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" sheetId="1" r:id="rId5"/>
    <sheet state="visible" name="SUMMARY" sheetId="2" r:id="rId6"/>
    <sheet state="visible" name="MONTHLY" sheetId="3" r:id="rId7"/>
    <sheet state="hidden" name="BUY_JAN" sheetId="4" r:id="rId8"/>
    <sheet state="hidden" name="BUY_FEB" sheetId="5" r:id="rId9"/>
    <sheet state="hidden" name="BUY_MAR" sheetId="6" r:id="rId10"/>
    <sheet state="hidden" name="BUY_APR" sheetId="7" r:id="rId11"/>
    <sheet state="hidden" name="BUY_MAY" sheetId="8" r:id="rId12"/>
    <sheet state="hidden" name="BUY_JUN" sheetId="9" r:id="rId13"/>
    <sheet state="hidden" name="BUY_JUL" sheetId="10" r:id="rId14"/>
    <sheet state="visible" name="BUY_AUG" sheetId="11" r:id="rId15"/>
    <sheet state="visible" name="AUG" sheetId="12" r:id="rId16"/>
    <sheet state="visible" name="BUY_SEP" sheetId="13" r:id="rId17"/>
    <sheet state="visible" name="SEP" sheetId="14" r:id="rId18"/>
    <sheet state="visible" name="INV_BUY_SEP" sheetId="15" r:id="rId19"/>
    <sheet state="visible" name="INV_DETAIL_BUY_SEP" sheetId="16" r:id="rId20"/>
    <sheet state="visible" name="INV_SELL_SEP" sheetId="17" r:id="rId21"/>
    <sheet state="visible" name="BUY_OCT" sheetId="18" r:id="rId22"/>
    <sheet state="visible" name="OCT" sheetId="19" r:id="rId23"/>
    <sheet state="visible" name="INV_BUY_OCT" sheetId="20" r:id="rId24"/>
    <sheet state="visible" name="INV_DETAIL_BUY_OCT" sheetId="21" r:id="rId25"/>
    <sheet state="visible" name="INV_SELL_OCT" sheetId="22" r:id="rId26"/>
    <sheet state="visible" name="BUY_NOV" sheetId="23" r:id="rId27"/>
    <sheet state="visible" name="NOV" sheetId="24" r:id="rId28"/>
    <sheet state="visible" name="BUY_DEC" sheetId="25" r:id="rId29"/>
    <sheet state="visible" name="DEC" sheetId="26" r:id="rId30"/>
    <sheet state="visible" name="LEGEND" sheetId="27" r:id="rId31"/>
    <sheet state="visible" name="10 AGUSTUS 2026" sheetId="28" r:id="rId32"/>
    <sheet state="visible" name="11 AGUSTUS 2026" sheetId="29" r:id="rId33"/>
    <sheet state="visible" name="12 AGUSTUS 2026" sheetId="30" r:id="rId34"/>
    <sheet state="visible" name="Sheet11" sheetId="31" r:id="rId35"/>
  </sheets>
  <definedNames>
    <definedName hidden="1" localSheetId="13" name="_xlnm._FilterDatabase">SEP!$B$1:$Q$12</definedName>
    <definedName hidden="1" localSheetId="18" name="_xlnm._FilterDatabase">OCT!$B$1:$Q$12</definedName>
    <definedName hidden="1" localSheetId="23" name="_xlnm._FilterDatabase">NOV!$B$1:$Q$11</definedName>
    <definedName hidden="1" localSheetId="25" name="_xlnm._FilterDatabase">DEC!$B$1:$Q$11</definedName>
  </definedNames>
  <calcPr/>
</workbook>
</file>

<file path=xl/sharedStrings.xml><?xml version="1.0" encoding="utf-8"?>
<sst xmlns="http://schemas.openxmlformats.org/spreadsheetml/2006/main" count="2377" uniqueCount="133">
  <si>
    <t>p</t>
  </si>
  <si>
    <t>MONTHLY SUMMARY 2026</t>
  </si>
  <si>
    <t>Day</t>
  </si>
  <si>
    <t>MONTH</t>
  </si>
  <si>
    <t>Date</t>
  </si>
  <si>
    <t>SALDO</t>
  </si>
  <si>
    <t>EXCHANGE</t>
  </si>
  <si>
    <t>NOMINAL</t>
  </si>
  <si>
    <t>GLOBAL</t>
  </si>
  <si>
    <t>RATE BUY (AVG)</t>
  </si>
  <si>
    <t>BUY</t>
  </si>
  <si>
    <t>SISA USDT</t>
  </si>
  <si>
    <t>RATE SELL (AVG)</t>
  </si>
  <si>
    <t>SELL</t>
  </si>
  <si>
    <t>tambah modal</t>
  </si>
  <si>
    <t>FEE 0.07%</t>
  </si>
  <si>
    <t>OUT</t>
  </si>
  <si>
    <t>TOTAL</t>
  </si>
  <si>
    <t>PROFIT</t>
  </si>
  <si>
    <t>MONTHLY</t>
  </si>
  <si>
    <t>REMARK</t>
  </si>
  <si>
    <t>DAY</t>
  </si>
  <si>
    <t>BCA</t>
  </si>
  <si>
    <t>BCA BISNIS</t>
  </si>
  <si>
    <t>BLU BCA</t>
  </si>
  <si>
    <t>MANDIRI</t>
  </si>
  <si>
    <t>BRI</t>
  </si>
  <si>
    <t>DATE</t>
  </si>
  <si>
    <t>BRI VEGA</t>
  </si>
  <si>
    <t>BNI</t>
  </si>
  <si>
    <t>SINARMAS</t>
  </si>
  <si>
    <t>RATE BUY</t>
  </si>
  <si>
    <t>USDT</t>
  </si>
  <si>
    <t>RATE</t>
  </si>
  <si>
    <t>TOTAL USDT</t>
  </si>
  <si>
    <t>RATE SELL</t>
  </si>
  <si>
    <t>FEE</t>
  </si>
  <si>
    <t>OMSET</t>
  </si>
  <si>
    <t>START</t>
  </si>
  <si>
    <t>AUG</t>
  </si>
  <si>
    <t>END</t>
  </si>
  <si>
    <t xml:space="preserve"> </t>
  </si>
  <si>
    <t>ID</t>
  </si>
  <si>
    <t>Nominal</t>
  </si>
  <si>
    <t>Price</t>
  </si>
  <si>
    <t>Total</t>
  </si>
  <si>
    <t>&gt;&gt; AVG &gt;&gt;</t>
  </si>
  <si>
    <t>&gt;&gt; DAILY &gt;&gt;</t>
  </si>
  <si>
    <t>Rate</t>
  </si>
  <si>
    <t>Fee %</t>
  </si>
  <si>
    <t>Fee ($)</t>
  </si>
  <si>
    <t>GrandTotal</t>
  </si>
  <si>
    <t>Sisa</t>
  </si>
  <si>
    <t>Sisa (Rp)</t>
  </si>
  <si>
    <r>
      <rPr>
        <rFont val="Arial"/>
        <color theme="1"/>
        <sz val="13.0"/>
      </rPr>
      <t xml:space="preserve">NOTE : 
</t>
    </r>
    <r>
      <rPr>
        <rFont val="Arial"/>
        <b/>
        <color theme="1"/>
        <sz val="13.0"/>
      </rPr>
      <t xml:space="preserve">sisa = grandtotal - nominal (summary)
</t>
    </r>
    <r>
      <rPr>
        <rFont val="Arial"/>
        <color theme="1"/>
        <sz val="13.0"/>
      </rPr>
      <t>total pembelian - total transaksi</t>
    </r>
  </si>
  <si>
    <t>SEP</t>
  </si>
  <si>
    <t>AUGUST</t>
  </si>
  <si>
    <t>SUMMARY</t>
  </si>
  <si>
    <t>Notes : Purple color is for input</t>
  </si>
  <si>
    <t>FEE (%)</t>
  </si>
  <si>
    <t>FEE (RP)</t>
  </si>
  <si>
    <t>TOTAL (DAILY)</t>
  </si>
  <si>
    <t>Fee (%)</t>
  </si>
  <si>
    <t>SEPTEMBER</t>
  </si>
  <si>
    <t>OCT</t>
  </si>
  <si>
    <t>INVOICE NUMBER</t>
  </si>
  <si>
    <t>BILLED TO</t>
  </si>
  <si>
    <t>PAYMENT METHOD</t>
  </si>
  <si>
    <t>ISSUE DATE</t>
  </si>
  <si>
    <t>DUE DATE</t>
  </si>
  <si>
    <t>STATUS</t>
  </si>
  <si>
    <t>QTY</t>
  </si>
  <si>
    <t>PRICE</t>
  </si>
  <si>
    <t>AMOUNT</t>
  </si>
  <si>
    <t>NABIL</t>
  </si>
  <si>
    <t>BANK BCA</t>
  </si>
  <si>
    <t>PAID</t>
  </si>
  <si>
    <t>NOV</t>
  </si>
  <si>
    <t>DEC</t>
  </si>
  <si>
    <t>DESCRIPTION</t>
  </si>
  <si>
    <t>UNIT PRICE</t>
  </si>
  <si>
    <t xml:space="preserve">BUY USD </t>
  </si>
  <si>
    <t>OCTOBER</t>
  </si>
  <si>
    <t>Fee</t>
  </si>
  <si>
    <t>NOVEMBER</t>
  </si>
  <si>
    <t>DECEMBER</t>
  </si>
  <si>
    <t>EXCHANGE FEE</t>
  </si>
  <si>
    <t>SHEET NAME BUY</t>
  </si>
  <si>
    <t>SHEET NAME INVOICES</t>
  </si>
  <si>
    <t>JAN</t>
  </si>
  <si>
    <t>INV_JAN</t>
  </si>
  <si>
    <t>PENDING</t>
  </si>
  <si>
    <t>FEB</t>
  </si>
  <si>
    <t>INV_FEB</t>
  </si>
  <si>
    <t>BANK MANDIRI</t>
  </si>
  <si>
    <t>MAR</t>
  </si>
  <si>
    <t>INV_MAR</t>
  </si>
  <si>
    <t>BANK BNI</t>
  </si>
  <si>
    <t>CANCEL</t>
  </si>
  <si>
    <t>APR</t>
  </si>
  <si>
    <t>INV_APR</t>
  </si>
  <si>
    <t>BANK BRI</t>
  </si>
  <si>
    <t>MAY</t>
  </si>
  <si>
    <t>INV_MAY</t>
  </si>
  <si>
    <t>WITHDRAWAL</t>
  </si>
  <si>
    <t>BANK UOB</t>
  </si>
  <si>
    <t>JUN</t>
  </si>
  <si>
    <t>INV_JUN</t>
  </si>
  <si>
    <t>BANK PERMATA</t>
  </si>
  <si>
    <t>JUL</t>
  </si>
  <si>
    <t>INV_JUL</t>
  </si>
  <si>
    <t>BANK OCBC</t>
  </si>
  <si>
    <t>INV_AUG</t>
  </si>
  <si>
    <t>BANK CIMB</t>
  </si>
  <si>
    <t>INV_SEP</t>
  </si>
  <si>
    <t>BANK JAGO</t>
  </si>
  <si>
    <t>INV_OCT</t>
  </si>
  <si>
    <t>No</t>
  </si>
  <si>
    <t>INV_NOV</t>
  </si>
  <si>
    <t>Normal</t>
  </si>
  <si>
    <t>INV_DEC</t>
  </si>
  <si>
    <t>HARGA</t>
  </si>
  <si>
    <t xml:space="preserve">SISA </t>
  </si>
  <si>
    <t>UPDATE SISA</t>
  </si>
  <si>
    <t>REALISASI</t>
  </si>
  <si>
    <t>NOW</t>
  </si>
  <si>
    <t>CIMB</t>
  </si>
  <si>
    <t>UPDATE</t>
  </si>
  <si>
    <t>UPDATE STOK</t>
  </si>
  <si>
    <t>fee tax 0,1%</t>
  </si>
  <si>
    <t>Grandtotal</t>
  </si>
  <si>
    <t>Sisa asset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</si>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</sst>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[$$]#,##0.00"/>
    <numFmt numFmtId="165" formatCode="&quot;Rp&quot;#,##0"/>
    <numFmt numFmtId="166" formatCode="[$$]#,##0"/>
    <numFmt numFmtId="167" formatCode="yyyy-mm-dd"/>
    <numFmt numFmtId="168" formatCode="&quot;$&quot;#,##0.00"/>
    <numFmt numFmtId="169" formatCode="[$Rp]#,##0"/>
    <numFmt numFmtId="170" formatCode="[$$-3C09]#,##0.00;\-[$$-3C09]#,##0.00"/>
    <numFmt numFmtId="171" formatCode="_-&quot;Rp&quot;* #,##0_-;\-&quot;Rp&quot;* #,##0_-;_-&quot;Rp&quot;* &quot;-&quot;_-;_-@"/>
    <numFmt numFmtId="172" formatCode="yyyy&quot;-&quot;mm&quot;-&quot;dd"/>
    <numFmt numFmtId="173" formatCode="_-&quot;Rp&quot;* #,##0_-;\-&quot;Rp&quot;* #,##0_-;_-&quot;Rp&quot;* 0_-;_-@-"/>
    <numFmt numFmtId="174" formatCode="[$Rp-421]#,##0"/>
    <numFmt numFmtId="175" formatCode="[$Rp-421]#,##0.000000000000"/>
    <numFmt numFmtId="176" formatCode="[$Rp-421]#,##0.00"/>
  </numFmts>
  <fonts count="36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b/>
      <sz val="18.0"/>
      <color theme="1"/>
      <name val="Calibri"/>
    </font>
    <font>
      <b/>
      <sz val="16.0"/>
      <color theme="1"/>
      <name val="Arial"/>
    </font>
    <font/>
    <font>
      <b/>
      <i/>
      <sz val="18.0"/>
      <color theme="1"/>
      <name val="Calibri"/>
    </font>
    <font>
      <b/>
      <color theme="1"/>
      <name val="Calibri"/>
    </font>
    <font>
      <b/>
      <sz val="18.0"/>
      <color rgb="FF980000"/>
      <name val="Calibri"/>
    </font>
    <font>
      <sz val="14.0"/>
      <color theme="1"/>
      <name val="Consolas"/>
    </font>
    <font>
      <sz val="14.0"/>
      <color theme="1"/>
      <name val="Arial"/>
    </font>
    <font>
      <sz val="18.0"/>
      <color theme="1"/>
      <name val="Calibri"/>
    </font>
    <font>
      <b/>
      <sz val="18.0"/>
      <color rgb="FF000000"/>
      <name val="Calibri"/>
    </font>
    <font>
      <color theme="1"/>
      <name val="Arial"/>
    </font>
    <font>
      <b/>
      <sz val="11.0"/>
      <color rgb="FF980000"/>
      <name val="Consolas"/>
    </font>
    <font>
      <b/>
      <i/>
      <sz val="16.0"/>
      <color theme="1"/>
      <name val="Arial"/>
    </font>
    <font>
      <b/>
      <sz val="18.0"/>
      <color rgb="FFFF0000"/>
      <name val="Calibri"/>
    </font>
    <font>
      <sz val="11.0"/>
      <color theme="1"/>
      <name val="Consolas"/>
    </font>
    <font>
      <sz val="16.0"/>
      <color theme="1"/>
      <name val="Arial"/>
    </font>
    <font>
      <b/>
      <sz val="16.0"/>
      <color theme="1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sz val="16.0"/>
      <color theme="1"/>
      <name val="Arial"/>
      <scheme val="minor"/>
    </font>
    <font>
      <sz val="17.0"/>
      <color theme="1"/>
      <name val="Calibri"/>
    </font>
    <font>
      <sz val="15.0"/>
      <color theme="1"/>
      <name val="Arial"/>
      <scheme val="minor"/>
    </font>
    <font>
      <sz val="13.0"/>
      <color theme="1"/>
      <name val="Arial"/>
      <scheme val="minor"/>
    </font>
    <font>
      <color theme="1"/>
      <name val="Calibri"/>
    </font>
    <font>
      <b/>
      <i/>
      <sz val="18.0"/>
      <color rgb="FF434343"/>
      <name val="Calibri"/>
    </font>
    <font>
      <b/>
      <color rgb="FF980000"/>
      <name val="Arial"/>
    </font>
    <font>
      <b/>
      <sz val="18.0"/>
      <color theme="1"/>
      <name val="Arial"/>
    </font>
    <font>
      <sz val="18.0"/>
      <color theme="1"/>
      <name val="Arial"/>
      <scheme val="minor"/>
    </font>
    <font>
      <sz val="14.0"/>
      <color theme="1"/>
      <name val="Calibri"/>
    </font>
    <font>
      <b/>
      <sz val="14.0"/>
      <color theme="1"/>
      <name val="Arial"/>
      <scheme val="minor"/>
    </font>
    <font>
      <sz val="12.0"/>
      <color theme="1"/>
      <name val="Arial"/>
    </font>
    <font>
      <b/>
      <sz val="14.0"/>
      <color theme="1"/>
      <name val="Arial"/>
    </font>
    <font>
      <b/>
      <sz val="12.0"/>
      <color theme="1"/>
      <name val="Arial"/>
      <scheme val="minor"/>
    </font>
  </fonts>
  <fills count="29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ABF8F"/>
        <bgColor rgb="FFFABF8F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FFCC66"/>
        <bgColor rgb="FFFFCC66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rgb="FFB7B7B7"/>
        <bgColor rgb="FFB7B7B7"/>
      </patternFill>
    </fill>
    <fill>
      <patternFill patternType="solid">
        <fgColor rgb="FFC27BA0"/>
        <bgColor rgb="FFC27BA0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3" numFmtId="1" xfId="0" applyAlignment="1" applyFill="1" applyFont="1" applyNumberForma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2" fillId="3" fontId="3" numFmtId="0" xfId="0" applyAlignment="1" applyBorder="1" applyFill="1" applyFont="1">
      <alignment horizontal="center" readingOrder="0" vertical="bottom"/>
    </xf>
    <xf borderId="1" fillId="2" fontId="3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2" fillId="3" fontId="3" numFmtId="164" xfId="0" applyAlignment="1" applyBorder="1" applyFill="1" applyFont="1" applyNumberFormat="1">
      <alignment horizontal="center" vertical="bottom"/>
    </xf>
    <xf borderId="3" fillId="2" fontId="3" numFmtId="165" xfId="0" applyAlignment="1" applyBorder="1" applyFill="1" applyFont="1" applyNumberFormat="1">
      <alignment horizontal="center" vertical="bottom"/>
    </xf>
    <xf borderId="1" fillId="0" fontId="5" numFmtId="0" xfId="0" applyBorder="1" applyFont="1"/>
    <xf borderId="2" fillId="3" fontId="3" numFmtId="0" xfId="0" applyAlignment="1" applyBorder="1" applyFill="1" applyFont="1">
      <alignment horizontal="center" vertical="bottom"/>
    </xf>
    <xf borderId="3" fillId="2" fontId="3" numFmtId="165" xfId="0" applyAlignment="1" applyBorder="1" applyFill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2" fillId="3" fontId="6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1" fillId="2" fontId="7" numFmtId="165" xfId="0" applyAlignment="1" applyBorder="1" applyFill="1" applyFont="1" applyNumberFormat="1">
      <alignment vertical="bottom"/>
    </xf>
    <xf borderId="1" fillId="2" fontId="3" numFmtId="165" xfId="0" applyAlignment="1" applyBorder="1" applyFill="1" applyFont="1" applyNumberFormat="1">
      <alignment horizontal="center" readingOrder="0" vertical="bottom"/>
    </xf>
    <xf borderId="4" fillId="0" fontId="3" numFmtId="166" xfId="0" applyAlignment="1" applyBorder="1" applyFont="1" applyNumberFormat="1">
      <alignment horizontal="center" readingOrder="0" vertical="bottom"/>
    </xf>
    <xf borderId="3" fillId="2" fontId="3" numFmtId="0" xfId="0" applyAlignment="1" applyBorder="1" applyFill="1" applyFont="1">
      <alignment horizontal="center" readingOrder="0" vertical="bottom"/>
    </xf>
    <xf borderId="2" fillId="2" fontId="3" numFmtId="0" xfId="0" applyAlignment="1" applyBorder="1" applyFill="1" applyFont="1">
      <alignment horizontal="center" vertical="bottom"/>
    </xf>
    <xf borderId="4" fillId="3" fontId="4" numFmtId="164" xfId="0" applyAlignment="1" applyBorder="1" applyFill="1" applyFont="1" applyNumberFormat="1">
      <alignment horizontal="center" vertical="bottom"/>
    </xf>
    <xf borderId="2" fillId="2" fontId="3" numFmtId="165" xfId="0" applyAlignment="1" applyBorder="1" applyFill="1" applyFont="1" applyNumberFormat="1">
      <alignment horizontal="center" vertical="bottom"/>
    </xf>
    <xf borderId="0" fillId="2" fontId="3" numFmtId="0" xfId="0" applyAlignment="1" applyFill="1" applyFont="1">
      <alignment readingOrder="0"/>
    </xf>
    <xf borderId="4" fillId="3" fontId="3" numFmtId="0" xfId="0" applyAlignment="1" applyBorder="1" applyFill="1" applyFont="1">
      <alignment horizontal="center" vertical="bottom"/>
    </xf>
    <xf borderId="0" fillId="2" fontId="7" numFmtId="0" xfId="0" applyFill="1" applyFont="1"/>
    <xf borderId="2" fillId="4" fontId="8" numFmtId="1" xfId="0" applyAlignment="1" applyBorder="1" applyFill="1" applyFont="1" applyNumberFormat="1">
      <alignment horizontal="center" vertical="bottom"/>
    </xf>
    <xf borderId="5" fillId="3" fontId="3" numFmtId="0" xfId="0" applyAlignment="1" applyBorder="1" applyFill="1" applyFont="1">
      <alignment horizontal="center" readingOrder="0" vertical="bottom"/>
    </xf>
    <xf borderId="2" fillId="5" fontId="9" numFmtId="1" xfId="0" applyAlignment="1" applyBorder="1" applyFill="1" applyFont="1" applyNumberFormat="1">
      <alignment vertical="bottom"/>
    </xf>
    <xf borderId="5" fillId="3" fontId="6" numFmtId="0" xfId="0" applyAlignment="1" applyBorder="1" applyFill="1" applyFont="1">
      <alignment horizontal="center" vertical="bottom"/>
    </xf>
    <xf borderId="2" fillId="0" fontId="10" numFmtId="167" xfId="0" applyAlignment="1" applyBorder="1" applyFont="1" applyNumberFormat="1">
      <alignment horizontal="center" readingOrder="0" vertical="bottom"/>
    </xf>
    <xf borderId="4" fillId="3" fontId="3" numFmtId="0" xfId="0" applyAlignment="1" applyBorder="1" applyFill="1" applyFont="1">
      <alignment horizontal="center" readingOrder="0" vertical="bottom"/>
    </xf>
    <xf borderId="2" fillId="5" fontId="3" numFmtId="0" xfId="0" applyAlignment="1" applyBorder="1" applyFill="1" applyFont="1">
      <alignment horizontal="center" readingOrder="0" vertical="bottom"/>
    </xf>
    <xf borderId="4" fillId="3" fontId="3" numFmtId="164" xfId="0" applyAlignment="1" applyBorder="1" applyFill="1" applyFont="1" applyNumberFormat="1">
      <alignment horizontal="center" vertical="bottom"/>
    </xf>
    <xf borderId="2" fillId="6" fontId="11" numFmtId="165" xfId="0" applyAlignment="1" applyBorder="1" applyFill="1" applyFont="1" applyNumberFormat="1">
      <alignment horizontal="center" vertical="bottom"/>
    </xf>
    <xf borderId="2" fillId="6" fontId="11" numFmtId="165" xfId="0" applyAlignment="1" applyBorder="1" applyFill="1" applyFont="1" applyNumberFormat="1">
      <alignment horizontal="center" readingOrder="0" vertical="bottom"/>
    </xf>
    <xf borderId="2" fillId="4" fontId="12" numFmtId="168" xfId="0" applyAlignment="1" applyBorder="1" applyFill="1" applyFont="1" applyNumberFormat="1">
      <alignment horizontal="right" vertical="bottom"/>
    </xf>
    <xf borderId="2" fillId="0" fontId="13" numFmtId="169" xfId="0" applyAlignment="1" applyBorder="1" applyFont="1" applyNumberFormat="1">
      <alignment vertical="bottom"/>
    </xf>
    <xf borderId="6" fillId="0" fontId="5" numFmtId="0" xfId="0" applyBorder="1" applyFont="1"/>
    <xf borderId="2" fillId="7" fontId="11" numFmtId="165" xfId="0" applyAlignment="1" applyBorder="1" applyFill="1" applyFont="1" applyNumberFormat="1">
      <alignment horizontal="center" vertical="bottom"/>
    </xf>
    <xf borderId="7" fillId="0" fontId="5" numFmtId="0" xfId="0" applyBorder="1" applyFont="1"/>
    <xf borderId="2" fillId="8" fontId="11" numFmtId="0" xfId="0" applyAlignment="1" applyBorder="1" applyFill="1" applyFont="1">
      <alignment horizontal="center" vertical="bottom"/>
    </xf>
    <xf borderId="0" fillId="0" fontId="13" numFmtId="0" xfId="0" applyAlignment="1" applyFont="1">
      <alignment vertical="bottom"/>
    </xf>
    <xf borderId="2" fillId="0" fontId="13" numFmtId="165" xfId="0" applyAlignment="1" applyBorder="1" applyFont="1" applyNumberFormat="1">
      <alignment vertical="bottom"/>
    </xf>
    <xf borderId="2" fillId="9" fontId="3" numFmtId="165" xfId="0" applyAlignment="1" applyBorder="1" applyFill="1" applyFont="1" applyNumberFormat="1">
      <alignment horizontal="center" readingOrder="0" vertical="bottom"/>
    </xf>
    <xf borderId="2" fillId="0" fontId="11" numFmtId="169" xfId="0" applyAlignment="1" applyBorder="1" applyFont="1" applyNumberFormat="1">
      <alignment horizontal="center" readingOrder="0" vertical="bottom"/>
    </xf>
    <xf borderId="2" fillId="3" fontId="11" numFmtId="10" xfId="0" applyAlignment="1" applyBorder="1" applyFill="1" applyFont="1" applyNumberFormat="1">
      <alignment horizontal="center" vertical="bottom"/>
    </xf>
    <xf borderId="2" fillId="10" fontId="14" numFmtId="1" xfId="0" applyAlignment="1" applyBorder="1" applyFill="1" applyFont="1" applyNumberFormat="1">
      <alignment readingOrder="0" vertical="bottom"/>
    </xf>
    <xf borderId="2" fillId="6" fontId="3" numFmtId="165" xfId="0" applyAlignment="1" applyBorder="1" applyFill="1" applyFont="1" applyNumberFormat="1">
      <alignment horizontal="center" vertical="bottom"/>
    </xf>
    <xf borderId="2" fillId="0" fontId="13" numFmtId="167" xfId="0" applyAlignment="1" applyBorder="1" applyFont="1" applyNumberFormat="1">
      <alignment horizontal="center" readingOrder="0" vertical="bottom"/>
    </xf>
    <xf borderId="2" fillId="0" fontId="11" numFmtId="0" xfId="0" applyAlignment="1" applyBorder="1" applyFont="1">
      <alignment readingOrder="0"/>
    </xf>
    <xf borderId="2" fillId="4" fontId="12" numFmtId="4" xfId="0" applyAlignment="1" applyBorder="1" applyFill="1" applyFont="1" applyNumberFormat="1">
      <alignment horizontal="right" vertical="bottom"/>
    </xf>
    <xf borderId="2" fillId="0" fontId="15" numFmtId="164" xfId="0" applyAlignment="1" applyBorder="1" applyFont="1" applyNumberFormat="1">
      <alignment horizontal="center" vertical="bottom"/>
    </xf>
    <xf borderId="2" fillId="0" fontId="3" numFmtId="4" xfId="0" applyAlignment="1" applyBorder="1" applyFont="1" applyNumberFormat="1">
      <alignment horizontal="center" vertical="bottom"/>
    </xf>
    <xf borderId="2" fillId="0" fontId="11" numFmtId="169" xfId="0" applyBorder="1" applyFont="1" applyNumberFormat="1"/>
    <xf borderId="2" fillId="0" fontId="6" numFmtId="169" xfId="0" applyAlignment="1" applyBorder="1" applyFont="1" applyNumberFormat="1">
      <alignment horizontal="center" vertical="bottom"/>
    </xf>
    <xf borderId="2" fillId="0" fontId="1" numFmtId="0" xfId="0" applyBorder="1" applyFont="1"/>
    <xf borderId="2" fillId="0" fontId="6" numFmtId="4" xfId="0" applyAlignment="1" applyBorder="1" applyFont="1" applyNumberFormat="1">
      <alignment horizontal="center" vertical="bottom"/>
    </xf>
    <xf borderId="2" fillId="11" fontId="11" numFmtId="0" xfId="0" applyAlignment="1" applyBorder="1" applyFill="1" applyFont="1">
      <alignment horizontal="center" readingOrder="0" vertical="bottom"/>
    </xf>
    <xf borderId="2" fillId="0" fontId="6" numFmtId="169" xfId="0" applyAlignment="1" applyBorder="1" applyFont="1" applyNumberFormat="1">
      <alignment horizontal="center" vertical="bottom"/>
    </xf>
    <xf borderId="8" fillId="0" fontId="6" numFmtId="169" xfId="0" applyAlignment="1" applyBorder="1" applyFont="1" applyNumberFormat="1">
      <alignment horizontal="center" vertical="bottom"/>
    </xf>
    <xf borderId="2" fillId="12" fontId="11" numFmtId="169" xfId="0" applyAlignment="1" applyBorder="1" applyFill="1" applyFont="1" applyNumberFormat="1">
      <alignment horizontal="center" vertical="bottom"/>
    </xf>
    <xf borderId="0" fillId="0" fontId="16" numFmtId="0" xfId="0" applyAlignment="1" applyFont="1">
      <alignment horizontal="center" vertical="bottom"/>
    </xf>
    <xf borderId="2" fillId="4" fontId="11" numFmtId="169" xfId="0" applyAlignment="1" applyBorder="1" applyFill="1" applyFont="1" applyNumberFormat="1">
      <alignment horizontal="center" readingOrder="0" vertical="bottom"/>
    </xf>
    <xf borderId="2" fillId="4" fontId="12" numFmtId="169" xfId="0" applyAlignment="1" applyBorder="1" applyFill="1" applyFont="1" applyNumberFormat="1">
      <alignment horizontal="right" vertical="bottom"/>
    </xf>
    <xf borderId="2" fillId="0" fontId="8" numFmtId="1" xfId="0" applyAlignment="1" applyBorder="1" applyFont="1" applyNumberFormat="1">
      <alignment horizontal="center" vertical="bottom"/>
    </xf>
    <xf borderId="2" fillId="8" fontId="3" numFmtId="165" xfId="0" applyAlignment="1" applyBorder="1" applyFill="1" applyFont="1" applyNumberFormat="1">
      <alignment horizontal="center" vertical="bottom"/>
    </xf>
    <xf borderId="2" fillId="12" fontId="3" numFmtId="165" xfId="0" applyAlignment="1" applyBorder="1" applyFill="1" applyFont="1" applyNumberFormat="1">
      <alignment horizontal="center" readingOrder="0" vertical="bottom"/>
    </xf>
    <xf borderId="2" fillId="12" fontId="3" numFmtId="165" xfId="0" applyAlignment="1" applyBorder="1" applyFill="1" applyFont="1" applyNumberFormat="1">
      <alignment horizontal="center" vertical="bottom"/>
    </xf>
    <xf borderId="2" fillId="0" fontId="12" numFmtId="168" xfId="0" applyAlignment="1" applyBorder="1" applyFont="1" applyNumberFormat="1">
      <alignment horizontal="center" vertical="bottom"/>
    </xf>
    <xf borderId="2" fillId="0" fontId="11" numFmtId="0" xfId="0" applyBorder="1" applyFont="1"/>
    <xf borderId="2" fillId="0" fontId="12" numFmtId="4" xfId="0" applyAlignment="1" applyBorder="1" applyFont="1" applyNumberFormat="1">
      <alignment horizontal="center" vertical="bottom"/>
    </xf>
    <xf borderId="2" fillId="0" fontId="12" numFmtId="169" xfId="0" applyAlignment="1" applyBorder="1" applyFont="1" applyNumberFormat="1">
      <alignment horizontal="center" vertical="bottom"/>
    </xf>
    <xf borderId="2" fillId="0" fontId="12" numFmtId="169" xfId="0" applyAlignment="1" applyBorder="1" applyFont="1" applyNumberFormat="1">
      <alignment horizontal="right" vertical="bottom"/>
    </xf>
    <xf borderId="2" fillId="5" fontId="17" numFmtId="1" xfId="0" applyAlignment="1" applyBorder="1" applyFill="1" applyFont="1" applyNumberFormat="1">
      <alignment vertical="bottom"/>
    </xf>
    <xf borderId="2" fillId="0" fontId="18" numFmtId="170" xfId="0" applyAlignment="1" applyBorder="1" applyFont="1" applyNumberFormat="1">
      <alignment vertical="bottom"/>
    </xf>
    <xf borderId="2" fillId="0" fontId="11" numFmtId="4" xfId="0" applyAlignment="1" applyBorder="1" applyFont="1" applyNumberFormat="1">
      <alignment horizontal="right" vertical="bottom"/>
    </xf>
    <xf borderId="2" fillId="0" fontId="11" numFmtId="169" xfId="0" applyAlignment="1" applyBorder="1" applyFont="1" applyNumberFormat="1">
      <alignment horizontal="center" vertical="bottom"/>
    </xf>
    <xf borderId="2" fillId="0" fontId="11" numFmtId="165" xfId="0" applyAlignment="1" applyBorder="1" applyFont="1" applyNumberFormat="1">
      <alignment horizontal="right" vertical="bottom"/>
    </xf>
    <xf borderId="8" fillId="13" fontId="11" numFmtId="165" xfId="0" applyAlignment="1" applyBorder="1" applyFill="1" applyFont="1" applyNumberFormat="1">
      <alignment horizontal="right" vertical="bottom"/>
    </xf>
    <xf borderId="0" fillId="0" fontId="3" numFmtId="1" xfId="0" applyAlignment="1" applyFont="1" applyNumberFormat="1">
      <alignment horizontal="center" readingOrder="0" vertical="bottom"/>
    </xf>
    <xf borderId="9" fillId="0" fontId="3" numFmtId="166" xfId="0" applyAlignment="1" applyBorder="1" applyFont="1" applyNumberFormat="1">
      <alignment horizontal="center" readingOrder="0" vertical="bottom"/>
    </xf>
    <xf borderId="2" fillId="0" fontId="3" numFmtId="1" xfId="0" applyAlignment="1" applyBorder="1" applyFont="1" applyNumberFormat="1">
      <alignment horizontal="center" readingOrder="0" vertical="bottom"/>
    </xf>
    <xf borderId="2" fillId="0" fontId="16" numFmtId="0" xfId="0" applyAlignment="1" applyBorder="1" applyFont="1">
      <alignment horizontal="center" vertical="bottom"/>
    </xf>
    <xf borderId="2" fillId="0" fontId="3" numFmtId="166" xfId="0" applyAlignment="1" applyBorder="1" applyFont="1" applyNumberFormat="1">
      <alignment horizontal="center" readingOrder="0" vertical="bottom"/>
    </xf>
    <xf borderId="0" fillId="0" fontId="19" numFmtId="0" xfId="0" applyAlignment="1" applyFont="1">
      <alignment horizontal="center" readingOrder="0"/>
    </xf>
    <xf borderId="2" fillId="14" fontId="13" numFmtId="0" xfId="0" applyAlignment="1" applyBorder="1" applyFill="1" applyFont="1">
      <alignment horizontal="center" readingOrder="0" vertical="bottom"/>
    </xf>
    <xf borderId="2" fillId="14" fontId="11" numFmtId="170" xfId="0" applyAlignment="1" applyBorder="1" applyFill="1" applyFont="1" applyNumberFormat="1">
      <alignment horizontal="center" readingOrder="0" vertical="bottom"/>
    </xf>
    <xf borderId="2" fillId="14" fontId="11" numFmtId="171" xfId="0" applyAlignment="1" applyBorder="1" applyFill="1" applyFont="1" applyNumberFormat="1">
      <alignment horizontal="center" vertical="bottom"/>
    </xf>
    <xf borderId="2" fillId="10" fontId="11" numFmtId="171" xfId="0" applyAlignment="1" applyBorder="1" applyFill="1" applyFont="1" applyNumberFormat="1">
      <alignment horizontal="center" vertical="bottom"/>
    </xf>
    <xf borderId="2" fillId="4" fontId="16" numFmtId="0" xfId="0" applyAlignment="1" applyBorder="1" applyFill="1" applyFont="1">
      <alignment horizontal="center" vertical="bottom"/>
    </xf>
    <xf borderId="2" fillId="15" fontId="20" numFmtId="172" xfId="0" applyBorder="1" applyFill="1" applyFont="1" applyNumberFormat="1"/>
    <xf borderId="2" fillId="15" fontId="21" numFmtId="0" xfId="0" applyAlignment="1" applyBorder="1" applyFill="1" applyFont="1">
      <alignment readingOrder="0"/>
    </xf>
    <xf borderId="2" fillId="15" fontId="22" numFmtId="168" xfId="0" applyBorder="1" applyFill="1" applyFont="1" applyNumberFormat="1"/>
    <xf borderId="2" fillId="15" fontId="23" numFmtId="173" xfId="0" applyAlignment="1" applyBorder="1" applyFill="1" applyFont="1" applyNumberFormat="1">
      <alignment horizontal="center" vertical="bottom"/>
    </xf>
    <xf borderId="2" fillId="15" fontId="22" numFmtId="4" xfId="0" applyAlignment="1" applyBorder="1" applyFill="1" applyFont="1" applyNumberFormat="1">
      <alignment horizontal="left"/>
    </xf>
    <xf borderId="2" fillId="16" fontId="20" numFmtId="172" xfId="0" applyBorder="1" applyFill="1" applyFont="1" applyNumberFormat="1"/>
    <xf borderId="2" fillId="16" fontId="22" numFmtId="168" xfId="0" applyBorder="1" applyFill="1" applyFont="1" applyNumberFormat="1"/>
    <xf borderId="2" fillId="16" fontId="23" numFmtId="173" xfId="0" applyAlignment="1" applyBorder="1" applyFill="1" applyFont="1" applyNumberFormat="1">
      <alignment horizontal="center" vertical="bottom"/>
    </xf>
    <xf borderId="2" fillId="16" fontId="22" numFmtId="4" xfId="0" applyAlignment="1" applyBorder="1" applyFill="1" applyFont="1" applyNumberFormat="1">
      <alignment horizontal="left"/>
    </xf>
    <xf borderId="2" fillId="0" fontId="11" numFmtId="0" xfId="0" applyAlignment="1" applyBorder="1" applyFont="1">
      <alignment horizontal="center" readingOrder="0" vertical="bottom"/>
    </xf>
    <xf borderId="0" fillId="0" fontId="24" numFmtId="168" xfId="0" applyFont="1" applyNumberFormat="1"/>
    <xf borderId="0" fillId="0" fontId="25" numFmtId="0" xfId="0" applyAlignment="1" applyFont="1">
      <alignment readingOrder="0" vertical="top"/>
    </xf>
    <xf borderId="2" fillId="14" fontId="11" numFmtId="170" xfId="0" applyAlignment="1" applyBorder="1" applyFill="1" applyFont="1" applyNumberFormat="1">
      <alignment horizontal="center" vertical="bottom"/>
    </xf>
    <xf borderId="0" fillId="0" fontId="1" numFmtId="0" xfId="0" applyAlignment="1" applyFont="1">
      <alignment horizontal="center"/>
    </xf>
    <xf borderId="2" fillId="15" fontId="21" numFmtId="0" xfId="0" applyBorder="1" applyFill="1" applyFont="1"/>
    <xf borderId="2" fillId="14" fontId="1" numFmtId="0" xfId="0" applyAlignment="1" applyBorder="1" applyFill="1" applyFont="1">
      <alignment horizontal="center" readingOrder="0"/>
    </xf>
    <xf borderId="2" fillId="4" fontId="11" numFmtId="4" xfId="0" applyAlignment="1" applyBorder="1" applyFill="1" applyFont="1" applyNumberFormat="1">
      <alignment horizontal="right" vertical="bottom"/>
    </xf>
    <xf borderId="2" fillId="16" fontId="20" numFmtId="0" xfId="0" applyBorder="1" applyFill="1" applyFont="1"/>
    <xf borderId="2" fillId="0" fontId="16" numFmtId="168" xfId="0" applyAlignment="1" applyBorder="1" applyFont="1" applyNumberFormat="1">
      <alignment horizontal="center" vertical="bottom"/>
    </xf>
    <xf borderId="2" fillId="0" fontId="16" numFmtId="10" xfId="0" applyAlignment="1" applyBorder="1" applyFont="1" applyNumberFormat="1">
      <alignment horizontal="center" vertical="bottom"/>
    </xf>
    <xf borderId="2" fillId="0" fontId="1" numFmtId="169" xfId="0" applyBorder="1" applyFont="1" applyNumberFormat="1"/>
    <xf borderId="2" fillId="0" fontId="13" numFmtId="171" xfId="0" applyAlignment="1" applyBorder="1" applyFont="1" applyNumberFormat="1">
      <alignment vertical="bottom"/>
    </xf>
    <xf borderId="0" fillId="0" fontId="26" numFmtId="0" xfId="0" applyFont="1"/>
    <xf borderId="2" fillId="0" fontId="3" numFmtId="0" xfId="0" applyAlignment="1" applyBorder="1" applyFont="1">
      <alignment horizontal="center" vertical="bottom"/>
    </xf>
    <xf borderId="2" fillId="0" fontId="27" numFmtId="170" xfId="0" applyAlignment="1" applyBorder="1" applyFont="1" applyNumberFormat="1">
      <alignment horizontal="center" vertical="bottom"/>
    </xf>
    <xf borderId="0" fillId="0" fontId="1" numFmtId="170" xfId="0" applyFont="1" applyNumberFormat="1"/>
    <xf borderId="0" fillId="14" fontId="1" numFmtId="0" xfId="0" applyAlignment="1" applyFill="1" applyFont="1">
      <alignment horizontal="center" readingOrder="0"/>
    </xf>
    <xf borderId="3" fillId="14" fontId="11" numFmtId="170" xfId="0" applyAlignment="1" applyBorder="1" applyFill="1" applyFont="1" applyNumberFormat="1">
      <alignment horizontal="center" vertical="bottom"/>
    </xf>
    <xf borderId="3" fillId="14" fontId="11" numFmtId="171" xfId="0" applyAlignment="1" applyBorder="1" applyFill="1" applyFont="1" applyNumberFormat="1">
      <alignment horizontal="center" vertical="bottom"/>
    </xf>
    <xf borderId="3" fillId="10" fontId="11" numFmtId="165" xfId="0" applyAlignment="1" applyBorder="1" applyFill="1" applyFont="1" applyNumberFormat="1">
      <alignment horizontal="center" vertical="bottom"/>
    </xf>
    <xf borderId="3" fillId="14" fontId="11" numFmtId="170" xfId="0" applyAlignment="1" applyBorder="1" applyFill="1" applyFont="1" applyNumberFormat="1">
      <alignment horizontal="center" readingOrder="0" vertical="bottom"/>
    </xf>
    <xf borderId="3" fillId="14" fontId="11" numFmtId="171" xfId="0" applyAlignment="1" applyBorder="1" applyFill="1" applyFont="1" applyNumberFormat="1">
      <alignment horizontal="center" readingOrder="0" vertical="bottom"/>
    </xf>
    <xf borderId="8" fillId="0" fontId="11" numFmtId="0" xfId="0" applyAlignment="1" applyBorder="1" applyFont="1">
      <alignment horizontal="center" readingOrder="0" vertical="bottom"/>
    </xf>
    <xf borderId="0" fillId="0" fontId="28" numFmtId="1" xfId="0" applyAlignment="1" applyFont="1" applyNumberFormat="1">
      <alignment horizontal="center" readingOrder="0" vertical="center"/>
    </xf>
    <xf borderId="0" fillId="0" fontId="13" numFmtId="1" xfId="0" applyAlignment="1" applyFont="1" applyNumberFormat="1">
      <alignment vertical="bottom"/>
    </xf>
    <xf borderId="0" fillId="0" fontId="13" numFmtId="1" xfId="0" applyAlignment="1" applyFont="1" applyNumberFormat="1">
      <alignment horizontal="center" vertical="bottom"/>
    </xf>
    <xf borderId="2" fillId="3" fontId="6" numFmtId="0" xfId="0" applyAlignment="1" applyBorder="1" applyFill="1" applyFont="1">
      <alignment horizontal="center" readingOrder="0" vertical="bottom"/>
    </xf>
    <xf borderId="2" fillId="11" fontId="29" numFmtId="0" xfId="0" applyAlignment="1" applyBorder="1" applyFill="1" applyFont="1">
      <alignment horizontal="center" readingOrder="0" vertical="bottom"/>
    </xf>
    <xf borderId="2" fillId="11" fontId="3" numFmtId="170" xfId="0" applyAlignment="1" applyBorder="1" applyFill="1" applyFont="1" applyNumberFormat="1">
      <alignment horizontal="center" readingOrder="0" vertical="bottom"/>
    </xf>
    <xf borderId="0" fillId="17" fontId="3" numFmtId="0" xfId="0" applyAlignment="1" applyFill="1" applyFont="1">
      <alignment horizontal="center" vertical="bottom"/>
    </xf>
    <xf borderId="2" fillId="4" fontId="11" numFmtId="0" xfId="0" applyAlignment="1" applyBorder="1" applyFill="1" applyFont="1">
      <alignment horizontal="center" vertical="bottom"/>
    </xf>
    <xf borderId="3" fillId="4" fontId="11" numFmtId="174" xfId="0" applyAlignment="1" applyBorder="1" applyFill="1" applyFont="1" applyNumberFormat="1">
      <alignment horizontal="center" vertical="bottom"/>
    </xf>
    <xf borderId="2" fillId="14" fontId="11" numFmtId="0" xfId="0" applyAlignment="1" applyBorder="1" applyFill="1" applyFont="1">
      <alignment horizontal="center" vertical="bottom"/>
    </xf>
    <xf borderId="2" fillId="4" fontId="11" numFmtId="165" xfId="0" applyAlignment="1" applyBorder="1" applyFill="1" applyFont="1" applyNumberFormat="1">
      <alignment horizontal="center" vertical="bottom"/>
    </xf>
    <xf borderId="2" fillId="18" fontId="11" numFmtId="165" xfId="0" applyAlignment="1" applyBorder="1" applyFill="1" applyFont="1" applyNumberFormat="1">
      <alignment horizontal="center" vertical="bottom"/>
    </xf>
    <xf borderId="2" fillId="13" fontId="11" numFmtId="165" xfId="0" applyAlignment="1" applyBorder="1" applyFill="1" applyFont="1" applyNumberFormat="1">
      <alignment horizontal="center" vertical="bottom"/>
    </xf>
    <xf borderId="8" fillId="13" fontId="11" numFmtId="165" xfId="0" applyAlignment="1" applyBorder="1" applyFill="1" applyFont="1" applyNumberFormat="1">
      <alignment horizontal="center" vertical="bottom"/>
    </xf>
    <xf borderId="2" fillId="19" fontId="11" numFmtId="167" xfId="0" applyAlignment="1" applyBorder="1" applyFill="1" applyFont="1" applyNumberFormat="1">
      <alignment horizontal="right" vertical="bottom"/>
    </xf>
    <xf borderId="2" fillId="17" fontId="11" numFmtId="169" xfId="0" applyAlignment="1" applyBorder="1" applyFill="1" applyFont="1" applyNumberFormat="1">
      <alignment horizontal="center" vertical="bottom"/>
    </xf>
    <xf borderId="0" fillId="17" fontId="11" numFmtId="171" xfId="0" applyAlignment="1" applyFill="1" applyFont="1" applyNumberFormat="1">
      <alignment horizontal="center" vertical="bottom"/>
    </xf>
    <xf borderId="0" fillId="17" fontId="11" numFmtId="165" xfId="0" applyAlignment="1" applyFill="1" applyFont="1" applyNumberFormat="1">
      <alignment horizontal="center" vertical="bottom"/>
    </xf>
    <xf borderId="2" fillId="0" fontId="13" numFmtId="0" xfId="0" applyAlignment="1" applyBorder="1" applyFont="1">
      <alignment horizontal="center" readingOrder="0" vertical="bottom"/>
    </xf>
    <xf borderId="2" fillId="14" fontId="11" numFmtId="170" xfId="0" applyAlignment="1" applyBorder="1" applyFill="1" applyFont="1" applyNumberFormat="1">
      <alignment horizontal="right" readingOrder="0" vertical="bottom"/>
    </xf>
    <xf borderId="2" fillId="14" fontId="11" numFmtId="171" xfId="0" applyAlignment="1" applyBorder="1" applyFill="1" applyFont="1" applyNumberFormat="1">
      <alignment horizontal="center" readingOrder="0" vertical="bottom"/>
    </xf>
    <xf borderId="3" fillId="14" fontId="11" numFmtId="0" xfId="0" applyAlignment="1" applyBorder="1" applyFill="1" applyFont="1">
      <alignment horizontal="center" readingOrder="0" vertical="bottom"/>
    </xf>
    <xf borderId="2" fillId="19" fontId="11" numFmtId="167" xfId="0" applyAlignment="1" applyBorder="1" applyFill="1" applyFont="1" applyNumberFormat="1">
      <alignment horizontal="right"/>
    </xf>
    <xf borderId="2" fillId="19" fontId="11" numFmtId="0" xfId="0" applyAlignment="1" applyBorder="1" applyFill="1" applyFont="1">
      <alignment horizontal="right"/>
    </xf>
    <xf borderId="2" fillId="0" fontId="1" numFmtId="0" xfId="0" applyAlignment="1" applyBorder="1" applyFont="1">
      <alignment horizontal="center" readingOrder="0"/>
    </xf>
    <xf borderId="2" fillId="19" fontId="11" numFmtId="0" xfId="0" applyBorder="1" applyFill="1" applyFont="1"/>
    <xf borderId="2" fillId="14" fontId="13" numFmtId="0" xfId="0" applyAlignment="1" applyBorder="1" applyFill="1" applyFont="1">
      <alignment horizontal="center" vertical="bottom"/>
    </xf>
    <xf borderId="2" fillId="0" fontId="11" numFmtId="0" xfId="0" applyAlignment="1" applyBorder="1" applyFont="1">
      <alignment horizontal="center" vertical="bottom"/>
    </xf>
    <xf borderId="2" fillId="15" fontId="11" numFmtId="165" xfId="0" applyAlignment="1" applyBorder="1" applyFill="1" applyFont="1" applyNumberFormat="1">
      <alignment horizontal="center" vertical="bottom"/>
    </xf>
    <xf borderId="8" fillId="16" fontId="11" numFmtId="165" xfId="0" applyAlignment="1" applyBorder="1" applyFill="1" applyFont="1" applyNumberFormat="1">
      <alignment horizontal="center" vertical="bottom"/>
    </xf>
    <xf borderId="2" fillId="19" fontId="13" numFmtId="0" xfId="0" applyAlignment="1" applyBorder="1" applyFill="1" applyFont="1">
      <alignment vertical="bottom"/>
    </xf>
    <xf borderId="2" fillId="0" fontId="13" numFmtId="167" xfId="0" applyAlignment="1" applyBorder="1" applyFont="1" applyNumberFormat="1">
      <alignment horizontal="center" vertical="bottom"/>
    </xf>
    <xf borderId="8" fillId="10" fontId="11" numFmtId="165" xfId="0" applyAlignment="1" applyBorder="1" applyFill="1" applyFont="1" applyNumberFormat="1">
      <alignment horizontal="center" vertical="bottom"/>
    </xf>
    <xf borderId="0" fillId="0" fontId="1" numFmtId="0" xfId="0" applyFont="1"/>
    <xf borderId="0" fillId="0" fontId="30" numFmtId="0" xfId="0" applyFont="1"/>
    <xf borderId="2" fillId="0" fontId="13" numFmtId="0" xfId="0" applyAlignment="1" applyBorder="1" applyFont="1">
      <alignment vertical="bottom"/>
    </xf>
    <xf borderId="2" fillId="17" fontId="3" numFmtId="0" xfId="0" applyAlignment="1" applyBorder="1" applyFill="1" applyFont="1">
      <alignment horizontal="center" vertical="bottom"/>
    </xf>
    <xf borderId="2" fillId="0" fontId="11" numFmtId="166" xfId="0" applyAlignment="1" applyBorder="1" applyFont="1" applyNumberFormat="1">
      <alignment horizontal="center" vertical="bottom"/>
    </xf>
    <xf borderId="2" fillId="14" fontId="11" numFmtId="0" xfId="0" applyAlignment="1" applyBorder="1" applyFill="1" applyFont="1">
      <alignment horizontal="center" readingOrder="0" vertical="bottom"/>
    </xf>
    <xf borderId="2" fillId="0" fontId="6" numFmtId="165" xfId="0" applyAlignment="1" applyBorder="1" applyFont="1" applyNumberFormat="1">
      <alignment horizontal="center" vertical="bottom"/>
    </xf>
    <xf borderId="8" fillId="13" fontId="6" numFmtId="165" xfId="0" applyAlignment="1" applyBorder="1" applyFill="1" applyFont="1" applyNumberFormat="1">
      <alignment horizontal="center" vertical="bottom"/>
    </xf>
    <xf borderId="2" fillId="17" fontId="11" numFmtId="171" xfId="0" applyAlignment="1" applyBorder="1" applyFill="1" applyFont="1" applyNumberFormat="1">
      <alignment horizontal="center" vertical="bottom"/>
    </xf>
    <xf borderId="2" fillId="19" fontId="11" numFmtId="170" xfId="0" applyAlignment="1" applyBorder="1" applyFill="1" applyFont="1" applyNumberFormat="1">
      <alignment horizontal="right" readingOrder="0" vertical="bottom"/>
    </xf>
    <xf borderId="2" fillId="17" fontId="11" numFmtId="165" xfId="0" applyAlignment="1" applyBorder="1" applyFill="1" applyFont="1" applyNumberFormat="1">
      <alignment horizontal="center" vertical="bottom"/>
    </xf>
    <xf borderId="2" fillId="19" fontId="11" numFmtId="171" xfId="0" applyAlignment="1" applyBorder="1" applyFill="1" applyFont="1" applyNumberFormat="1">
      <alignment horizontal="center" readingOrder="0" vertical="bottom"/>
    </xf>
    <xf borderId="2" fillId="8" fontId="1" numFmtId="0" xfId="0" applyBorder="1" applyFill="1" applyFont="1"/>
    <xf borderId="2" fillId="19" fontId="11" numFmtId="167" xfId="0" applyBorder="1" applyFill="1" applyFont="1" applyNumberFormat="1"/>
    <xf borderId="2" fillId="15" fontId="1" numFmtId="0" xfId="0" applyBorder="1" applyFill="1" applyFont="1"/>
    <xf borderId="2" fillId="4" fontId="11" numFmtId="174" xfId="0" applyAlignment="1" applyBorder="1" applyFill="1" applyFont="1" applyNumberFormat="1">
      <alignment horizontal="center" vertical="bottom"/>
    </xf>
    <xf borderId="2" fillId="19" fontId="11" numFmtId="167" xfId="0" applyAlignment="1" applyBorder="1" applyFill="1" applyFont="1" applyNumberFormat="1">
      <alignment readingOrder="0"/>
    </xf>
    <xf borderId="2" fillId="16" fontId="11" numFmtId="165" xfId="0" applyAlignment="1" applyBorder="1" applyFill="1" applyFont="1" applyNumberFormat="1">
      <alignment horizontal="center" vertical="bottom"/>
    </xf>
    <xf borderId="2" fillId="10" fontId="11" numFmtId="165" xfId="0" applyAlignment="1" applyBorder="1" applyFill="1" applyFont="1" applyNumberFormat="1">
      <alignment horizontal="center" vertical="bottom"/>
    </xf>
    <xf borderId="2" fillId="19" fontId="31" numFmtId="0" xfId="0" applyBorder="1" applyFill="1" applyFont="1"/>
    <xf borderId="2" fillId="10" fontId="3" numFmtId="1" xfId="0" applyAlignment="1" applyBorder="1" applyFill="1" applyFont="1" applyNumberFormat="1">
      <alignment horizontal="center" readingOrder="0" vertical="bottom"/>
    </xf>
    <xf borderId="2" fillId="10" fontId="32" numFmtId="0" xfId="0" applyAlignment="1" applyBorder="1" applyFill="1" applyFont="1">
      <alignment readingOrder="0"/>
    </xf>
    <xf borderId="2" fillId="10" fontId="32" numFmtId="0" xfId="0" applyAlignment="1" applyBorder="1" applyFill="1" applyFont="1">
      <alignment horizontal="left" readingOrder="0"/>
    </xf>
    <xf borderId="2" fillId="10" fontId="3" numFmtId="166" xfId="0" applyAlignment="1" applyBorder="1" applyFill="1" applyFont="1" applyNumberFormat="1">
      <alignment horizontal="center" readingOrder="0" vertical="bottom"/>
    </xf>
    <xf borderId="0" fillId="0" fontId="32" numFmtId="0" xfId="0" applyFont="1"/>
    <xf borderId="2" fillId="10" fontId="33" numFmtId="172" xfId="0" applyAlignment="1" applyBorder="1" applyFill="1" applyFont="1" applyNumberFormat="1">
      <alignment readingOrder="0"/>
    </xf>
    <xf borderId="2" fillId="10" fontId="33" numFmtId="0" xfId="0" applyAlignment="1" applyBorder="1" applyFill="1" applyFont="1">
      <alignment readingOrder="0"/>
    </xf>
    <xf borderId="2" fillId="10" fontId="10" numFmtId="0" xfId="0" applyAlignment="1" applyBorder="1" applyFill="1" applyFont="1">
      <alignment readingOrder="0" vertical="center"/>
    </xf>
    <xf borderId="2" fillId="10" fontId="33" numFmtId="167" xfId="0" applyAlignment="1" applyBorder="1" applyFill="1" applyFont="1" applyNumberFormat="1">
      <alignment horizontal="left" readingOrder="0" vertical="bottom"/>
    </xf>
    <xf borderId="2" fillId="10" fontId="33" numFmtId="172" xfId="0" applyBorder="1" applyFill="1" applyFont="1" applyNumberFormat="1"/>
    <xf borderId="2" fillId="14" fontId="13" numFmtId="0" xfId="0" applyAlignment="1" applyBorder="1" applyFill="1" applyFont="1">
      <alignment horizontal="center" vertical="bottom"/>
    </xf>
    <xf borderId="2" fillId="10" fontId="33" numFmtId="168" xfId="0" applyBorder="1" applyFill="1" applyFont="1" applyNumberFormat="1"/>
    <xf borderId="2" fillId="10" fontId="33" numFmtId="173" xfId="0" applyBorder="1" applyFill="1" applyFont="1" applyNumberFormat="1"/>
    <xf borderId="2" fillId="10" fontId="33" numFmtId="4" xfId="0" applyBorder="1" applyFill="1" applyFont="1" applyNumberFormat="1"/>
    <xf borderId="0" fillId="0" fontId="33" numFmtId="0" xfId="0" applyFont="1"/>
    <xf borderId="2" fillId="10" fontId="33" numFmtId="0" xfId="0" applyBorder="1" applyFill="1" applyFont="1"/>
    <xf borderId="2" fillId="19" fontId="13" numFmtId="167" xfId="0" applyAlignment="1" applyBorder="1" applyFill="1" applyFont="1" applyNumberFormat="1">
      <alignment vertical="bottom"/>
    </xf>
    <xf borderId="0" fillId="0" fontId="18" numFmtId="0" xfId="0" applyFont="1"/>
    <xf borderId="2" fillId="10" fontId="21" numFmtId="172" xfId="0" applyBorder="1" applyFill="1" applyFont="1" applyNumberFormat="1"/>
    <xf borderId="2" fillId="10" fontId="21" numFmtId="0" xfId="0" applyBorder="1" applyFill="1" applyFont="1"/>
    <xf borderId="2" fillId="10" fontId="21" numFmtId="168" xfId="0" applyBorder="1" applyFill="1" applyFont="1" applyNumberFormat="1"/>
    <xf borderId="2" fillId="10" fontId="21" numFmtId="173" xfId="0" applyBorder="1" applyFill="1" applyFont="1" applyNumberFormat="1"/>
    <xf borderId="2" fillId="10" fontId="21" numFmtId="4" xfId="0" applyBorder="1" applyFill="1" applyFont="1" applyNumberFormat="1"/>
    <xf borderId="0" fillId="0" fontId="21" numFmtId="0" xfId="0" applyFont="1"/>
    <xf borderId="2" fillId="19" fontId="11" numFmtId="170" xfId="0" applyAlignment="1" applyBorder="1" applyFill="1" applyFont="1" applyNumberFormat="1">
      <alignment horizontal="right" vertical="bottom"/>
    </xf>
    <xf borderId="2" fillId="19" fontId="11" numFmtId="171" xfId="0" applyAlignment="1" applyBorder="1" applyFill="1" applyFont="1" applyNumberFormat="1">
      <alignment horizontal="center" vertical="bottom"/>
    </xf>
    <xf borderId="2" fillId="10" fontId="20" numFmtId="0" xfId="0" applyAlignment="1" applyBorder="1" applyFill="1" applyFont="1">
      <alignment vertical="center"/>
    </xf>
    <xf borderId="0" fillId="0" fontId="21" numFmtId="0" xfId="0" applyAlignment="1" applyFont="1">
      <alignment horizontal="left"/>
    </xf>
    <xf borderId="0" fillId="0" fontId="21" numFmtId="168" xfId="0" applyFont="1" applyNumberFormat="1"/>
    <xf borderId="0" fillId="0" fontId="21" numFmtId="173" xfId="0" applyFont="1" applyNumberFormat="1"/>
    <xf borderId="0" fillId="0" fontId="21" numFmtId="4" xfId="0" applyFont="1" applyNumberFormat="1"/>
    <xf borderId="2" fillId="7" fontId="32" numFmtId="0" xfId="0" applyAlignment="1" applyBorder="1" applyFill="1" applyFont="1">
      <alignment readingOrder="0"/>
    </xf>
    <xf borderId="0" fillId="5" fontId="17" numFmtId="1" xfId="0" applyAlignment="1" applyFill="1" applyFont="1" applyNumberFormat="1">
      <alignment vertical="bottom"/>
    </xf>
    <xf borderId="0" fillId="0" fontId="13" numFmtId="167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19" fontId="11" numFmtId="170" xfId="0" applyAlignment="1" applyFill="1" applyFont="1" applyNumberFormat="1">
      <alignment horizontal="right" vertical="bottom"/>
    </xf>
    <xf borderId="0" fillId="19" fontId="11" numFmtId="171" xfId="0" applyAlignment="1" applyFill="1" applyFont="1" applyNumberFormat="1">
      <alignment horizontal="center" vertical="bottom"/>
    </xf>
    <xf borderId="0" fillId="14" fontId="11" numFmtId="171" xfId="0" applyAlignment="1" applyFill="1" applyFont="1" applyNumberFormat="1">
      <alignment horizontal="center" vertical="bottom"/>
    </xf>
    <xf borderId="2" fillId="4" fontId="20" numFmtId="167" xfId="0" applyBorder="1" applyFill="1" applyFont="1" applyNumberFormat="1"/>
    <xf borderId="2" fillId="4" fontId="20" numFmtId="0" xfId="0" applyBorder="1" applyFill="1" applyFont="1"/>
    <xf borderId="2" fillId="4" fontId="20" numFmtId="0" xfId="0" applyAlignment="1" applyBorder="1" applyFill="1" applyFont="1">
      <alignment readingOrder="0"/>
    </xf>
    <xf borderId="2" fillId="4" fontId="20" numFmtId="168" xfId="0" applyBorder="1" applyFill="1" applyFont="1" applyNumberFormat="1"/>
    <xf borderId="2" fillId="4" fontId="20" numFmtId="171" xfId="0" applyBorder="1" applyFill="1" applyFont="1" applyNumberFormat="1"/>
    <xf borderId="0" fillId="0" fontId="20" numFmtId="0" xfId="0" applyFont="1"/>
    <xf borderId="0" fillId="0" fontId="11" numFmtId="0" xfId="0" applyFont="1"/>
    <xf borderId="2" fillId="10" fontId="33" numFmtId="167" xfId="0" applyAlignment="1" applyBorder="1" applyFill="1" applyFont="1" applyNumberFormat="1">
      <alignment readingOrder="0"/>
    </xf>
    <xf borderId="2" fillId="10" fontId="33" numFmtId="167" xfId="0" applyBorder="1" applyFill="1" applyFont="1" applyNumberFormat="1"/>
    <xf borderId="2" fillId="10" fontId="33" numFmtId="170" xfId="0" applyBorder="1" applyFill="1" applyFont="1" applyNumberFormat="1"/>
    <xf borderId="2" fillId="10" fontId="33" numFmtId="165" xfId="0" applyBorder="1" applyFill="1" applyFont="1" applyNumberFormat="1"/>
    <xf borderId="2" fillId="10" fontId="21" numFmtId="167" xfId="0" applyBorder="1" applyFill="1" applyFont="1" applyNumberFormat="1"/>
    <xf borderId="2" fillId="10" fontId="21" numFmtId="170" xfId="0" applyBorder="1" applyFill="1" applyFont="1" applyNumberFormat="1"/>
    <xf borderId="2" fillId="10" fontId="21" numFmtId="165" xfId="0" applyBorder="1" applyFill="1" applyFont="1" applyNumberFormat="1"/>
    <xf borderId="0" fillId="0" fontId="21" numFmtId="167" xfId="0" applyFont="1" applyNumberFormat="1"/>
    <xf borderId="0" fillId="0" fontId="21" numFmtId="170" xfId="0" applyFont="1" applyNumberFormat="1"/>
    <xf borderId="0" fillId="0" fontId="21" numFmtId="165" xfId="0" applyFont="1" applyNumberFormat="1"/>
    <xf borderId="2" fillId="8" fontId="11" numFmtId="171" xfId="0" applyAlignment="1" applyBorder="1" applyFill="1" applyFont="1" applyNumberFormat="1">
      <alignment horizontal="center" vertical="bottom"/>
    </xf>
    <xf borderId="2" fillId="17" fontId="1" numFmtId="0" xfId="0" applyBorder="1" applyFill="1" applyFont="1"/>
    <xf borderId="2" fillId="15" fontId="10" numFmtId="172" xfId="0" applyAlignment="1" applyBorder="1" applyFill="1" applyFont="1" applyNumberFormat="1">
      <alignment horizontal="right" vertical="bottom"/>
    </xf>
    <xf borderId="2" fillId="15" fontId="13" numFmtId="0" xfId="0" applyAlignment="1" applyBorder="1" applyFill="1" applyFont="1">
      <alignment vertical="bottom"/>
    </xf>
    <xf borderId="2" fillId="14" fontId="11" numFmtId="170" xfId="0" applyAlignment="1" applyBorder="1" applyFill="1" applyFont="1" applyNumberFormat="1">
      <alignment horizontal="right" vertical="bottom"/>
    </xf>
    <xf borderId="0" fillId="0" fontId="24" numFmtId="0" xfId="0" applyFont="1"/>
    <xf borderId="0" fillId="11" fontId="34" numFmtId="0" xfId="0" applyAlignment="1" applyFill="1" applyFont="1">
      <alignment horizontal="center" vertical="bottom"/>
    </xf>
    <xf borderId="0" fillId="11" fontId="3" numFmtId="170" xfId="0" applyAlignment="1" applyFill="1" applyFont="1" applyNumberFormat="1">
      <alignment horizontal="center" vertical="bottom"/>
    </xf>
    <xf borderId="2" fillId="0" fontId="11" numFmtId="170" xfId="0" applyAlignment="1" applyBorder="1" applyFont="1" applyNumberFormat="1">
      <alignment horizontal="center" vertical="bottom"/>
    </xf>
    <xf borderId="3" fillId="0" fontId="11" numFmtId="174" xfId="0" applyAlignment="1" applyBorder="1" applyFont="1" applyNumberFormat="1">
      <alignment horizontal="center" vertical="bottom"/>
    </xf>
    <xf borderId="10" fillId="19" fontId="31" numFmtId="167" xfId="0" applyAlignment="1" applyBorder="1" applyFill="1" applyFont="1" applyNumberFormat="1">
      <alignment horizontal="right" vertical="bottom"/>
    </xf>
    <xf borderId="0" fillId="20" fontId="11" numFmtId="169" xfId="0" applyAlignment="1" applyFill="1" applyFont="1" applyNumberFormat="1">
      <alignment horizontal="center" vertical="bottom"/>
    </xf>
    <xf borderId="0" fillId="16" fontId="11" numFmtId="169" xfId="0" applyAlignment="1" applyFill="1" applyFont="1" applyNumberFormat="1">
      <alignment horizontal="center" vertical="bottom"/>
    </xf>
    <xf borderId="0" fillId="17" fontId="11" numFmtId="169" xfId="0" applyAlignment="1" applyFill="1" applyFont="1" applyNumberFormat="1">
      <alignment horizontal="center" vertical="bottom"/>
    </xf>
    <xf borderId="10" fillId="19" fontId="31" numFmtId="167" xfId="0" applyAlignment="1" applyBorder="1" applyFill="1" applyFont="1" applyNumberFormat="1">
      <alignment vertical="bottom"/>
    </xf>
    <xf borderId="2" fillId="0" fontId="11" numFmtId="170" xfId="0" applyAlignment="1" applyBorder="1" applyFont="1" applyNumberFormat="1">
      <alignment horizontal="center" readingOrder="0" vertical="bottom"/>
    </xf>
    <xf borderId="3" fillId="0" fontId="11" numFmtId="0" xfId="0" applyAlignment="1" applyBorder="1" applyFont="1">
      <alignment horizontal="center" readingOrder="0" vertical="bottom"/>
    </xf>
    <xf borderId="0" fillId="19" fontId="31" numFmtId="167" xfId="0" applyAlignment="1" applyFill="1" applyFont="1" applyNumberFormat="1">
      <alignment vertical="bottom"/>
    </xf>
    <xf borderId="0" fillId="19" fontId="31" numFmtId="167" xfId="0" applyFill="1" applyFont="1" applyNumberFormat="1"/>
    <xf borderId="2" fillId="0" fontId="1" numFmtId="0" xfId="0" applyAlignment="1" applyBorder="1" applyFont="1">
      <alignment horizontal="center"/>
    </xf>
    <xf borderId="0" fillId="0" fontId="13" numFmtId="1" xfId="0" applyAlignment="1" applyFont="1" applyNumberFormat="1">
      <alignment horizontal="center" readingOrder="0" vertical="center"/>
    </xf>
    <xf borderId="2" fillId="0" fontId="28" numFmtId="0" xfId="0" applyAlignment="1" applyBorder="1" applyFont="1">
      <alignment horizontal="center" readingOrder="0" vertical="bottom"/>
    </xf>
    <xf borderId="2" fillId="21" fontId="35" numFmtId="0" xfId="0" applyAlignment="1" applyBorder="1" applyFill="1" applyFont="1">
      <alignment horizontal="center" readingOrder="0"/>
    </xf>
    <xf borderId="2" fillId="19" fontId="35" numFmtId="0" xfId="0" applyAlignment="1" applyBorder="1" applyFill="1" applyFont="1">
      <alignment horizontal="center" readingOrder="0"/>
    </xf>
    <xf borderId="2" fillId="22" fontId="35" numFmtId="0" xfId="0" applyAlignment="1" applyBorder="1" applyFill="1" applyFont="1">
      <alignment horizontal="center" readingOrder="0"/>
    </xf>
    <xf borderId="2" fillId="14" fontId="35" numFmtId="0" xfId="0" applyAlignment="1" applyBorder="1" applyFill="1" applyFont="1">
      <alignment horizontal="center" readingOrder="0"/>
    </xf>
    <xf borderId="0" fillId="0" fontId="13" numFmtId="166" xfId="0" applyAlignment="1" applyFont="1" applyNumberFormat="1">
      <alignment vertical="bottom"/>
    </xf>
    <xf borderId="2" fillId="10" fontId="35" numFmtId="0" xfId="0" applyAlignment="1" applyBorder="1" applyFill="1" applyFont="1">
      <alignment horizontal="center" readingOrder="0"/>
    </xf>
    <xf borderId="2" fillId="15" fontId="35" numFmtId="0" xfId="0" applyAlignment="1" applyBorder="1" applyFill="1" applyFont="1">
      <alignment horizontal="center" readingOrder="0"/>
    </xf>
    <xf borderId="0" fillId="11" fontId="21" numFmtId="0" xfId="0" applyAlignment="1" applyFill="1" applyFont="1">
      <alignment horizontal="center" readingOrder="0"/>
    </xf>
    <xf borderId="2" fillId="19" fontId="21" numFmtId="0" xfId="0" applyAlignment="1" applyBorder="1" applyFill="1" applyFont="1">
      <alignment horizontal="center" readingOrder="0"/>
    </xf>
    <xf borderId="2" fillId="22" fontId="21" numFmtId="0" xfId="0" applyAlignment="1" applyBorder="1" applyFill="1" applyFont="1">
      <alignment horizontal="center"/>
    </xf>
    <xf borderId="2" fillId="14" fontId="21" numFmtId="0" xfId="0" applyAlignment="1" applyBorder="1" applyFill="1" applyFont="1">
      <alignment readingOrder="0"/>
    </xf>
    <xf borderId="2" fillId="10" fontId="21" numFmtId="0" xfId="0" applyAlignment="1" applyBorder="1" applyFill="1" applyFont="1">
      <alignment readingOrder="0"/>
    </xf>
    <xf borderId="2" fillId="15" fontId="21" numFmtId="0" xfId="0" applyAlignment="1" applyBorder="1" applyFill="1" applyFont="1">
      <alignment horizontal="center" readingOrder="0"/>
    </xf>
    <xf borderId="9" fillId="0" fontId="13" numFmtId="166" xfId="0" applyAlignment="1" applyBorder="1" applyFont="1" applyNumberFormat="1">
      <alignment vertical="bottom"/>
    </xf>
    <xf borderId="9" fillId="3" fontId="3" numFmtId="164" xfId="0" applyAlignment="1" applyBorder="1" applyFill="1" applyFont="1" applyNumberFormat="1">
      <alignment horizontal="center" vertical="bottom"/>
    </xf>
    <xf borderId="2" fillId="23" fontId="21" numFmtId="0" xfId="0" applyAlignment="1" applyBorder="1" applyFill="1" applyFont="1">
      <alignment horizontal="center" readingOrder="0"/>
    </xf>
    <xf borderId="9" fillId="3" fontId="3" numFmtId="0" xfId="0" applyAlignment="1" applyBorder="1" applyFill="1" applyFont="1">
      <alignment horizontal="center" vertical="bottom"/>
    </xf>
    <xf borderId="2" fillId="10" fontId="21" numFmtId="0" xfId="0" applyAlignment="1" applyBorder="1" applyFill="1" applyFont="1">
      <alignment horizontal="center" readingOrder="0"/>
    </xf>
    <xf borderId="3" fillId="3" fontId="3" numFmtId="0" xfId="0" applyAlignment="1" applyBorder="1" applyFill="1" applyFont="1">
      <alignment horizontal="center" vertical="bottom"/>
    </xf>
    <xf borderId="2" fillId="0" fontId="21" numFmtId="0" xfId="0" applyAlignment="1" applyBorder="1" applyFont="1">
      <alignment horizontal="center"/>
    </xf>
    <xf borderId="9" fillId="3" fontId="6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3" fillId="0" fontId="5" numFmtId="0" xfId="0" applyBorder="1" applyFont="1"/>
    <xf borderId="0" fillId="0" fontId="3" numFmtId="1" xfId="0" applyAlignment="1" applyFont="1" applyNumberFormat="1">
      <alignment horizontal="center" vertical="bottom"/>
    </xf>
    <xf borderId="9" fillId="0" fontId="3" numFmtId="166" xfId="0" applyAlignment="1" applyBorder="1" applyFont="1" applyNumberFormat="1">
      <alignment horizontal="center" vertical="bottom"/>
    </xf>
    <xf borderId="3" fillId="3" fontId="11" numFmtId="10" xfId="0" applyAlignment="1" applyBorder="1" applyFill="1" applyFont="1" applyNumberFormat="1">
      <alignment horizontal="center" vertical="bottom"/>
    </xf>
    <xf borderId="3" fillId="3" fontId="13" numFmtId="0" xfId="0" applyAlignment="1" applyBorder="1" applyFill="1" applyFont="1">
      <alignment vertical="bottom"/>
    </xf>
    <xf borderId="3" fillId="3" fontId="3" numFmtId="170" xfId="0" applyAlignment="1" applyBorder="1" applyFill="1" applyFont="1" applyNumberFormat="1">
      <alignment horizontal="center" vertical="bottom"/>
    </xf>
    <xf borderId="0" fillId="0" fontId="11" numFmtId="1" xfId="0" applyAlignment="1" applyFont="1" applyNumberFormat="1">
      <alignment horizontal="center" vertical="bottom"/>
    </xf>
    <xf borderId="9" fillId="0" fontId="11" numFmtId="170" xfId="0" applyAlignment="1" applyBorder="1" applyFont="1" applyNumberFormat="1">
      <alignment horizontal="center" vertical="bottom"/>
    </xf>
    <xf borderId="3" fillId="0" fontId="11" numFmtId="0" xfId="0" applyAlignment="1" applyBorder="1" applyFont="1">
      <alignment horizontal="center" vertical="bottom"/>
    </xf>
    <xf borderId="3" fillId="17" fontId="11" numFmtId="165" xfId="0" applyAlignment="1" applyBorder="1" applyFill="1" applyFont="1" applyNumberFormat="1">
      <alignment horizontal="center" vertical="bottom"/>
    </xf>
    <xf borderId="3" fillId="13" fontId="11" numFmtId="165" xfId="0" applyAlignment="1" applyBorder="1" applyFill="1" applyFont="1" applyNumberFormat="1">
      <alignment horizontal="center" vertical="bottom"/>
    </xf>
    <xf borderId="3" fillId="24" fontId="11" numFmtId="0" xfId="0" applyAlignment="1" applyBorder="1" applyFill="1" applyFont="1">
      <alignment horizontal="center" vertical="bottom"/>
    </xf>
    <xf borderId="3" fillId="0" fontId="11" numFmtId="170" xfId="0" applyAlignment="1" applyBorder="1" applyFont="1" applyNumberFormat="1">
      <alignment horizontal="center" vertical="bottom"/>
    </xf>
    <xf borderId="3" fillId="0" fontId="11" numFmtId="171" xfId="0" applyAlignment="1" applyBorder="1" applyFont="1" applyNumberFormat="1">
      <alignment horizontal="center" vertical="bottom"/>
    </xf>
    <xf borderId="3" fillId="0" fontId="13" numFmtId="0" xfId="0" applyAlignment="1" applyBorder="1" applyFont="1">
      <alignment vertical="bottom"/>
    </xf>
    <xf borderId="3" fillId="8" fontId="11" numFmtId="170" xfId="0" applyAlignment="1" applyBorder="1" applyFill="1" applyFont="1" applyNumberFormat="1">
      <alignment horizontal="center" vertical="bottom"/>
    </xf>
    <xf borderId="3" fillId="8" fontId="11" numFmtId="171" xfId="0" applyAlignment="1" applyBorder="1" applyFill="1" applyFont="1" applyNumberFormat="1">
      <alignment horizontal="center" vertical="bottom"/>
    </xf>
    <xf borderId="3" fillId="8" fontId="11" numFmtId="165" xfId="0" applyAlignment="1" applyBorder="1" applyFill="1" applyFont="1" applyNumberFormat="1">
      <alignment horizontal="center" vertical="bottom"/>
    </xf>
    <xf borderId="9" fillId="0" fontId="13" numFmtId="170" xfId="0" applyAlignment="1" applyBorder="1" applyFont="1" applyNumberFormat="1">
      <alignment vertical="bottom"/>
    </xf>
    <xf borderId="2" fillId="0" fontId="13" numFmtId="170" xfId="0" applyAlignment="1" applyBorder="1" applyFont="1" applyNumberFormat="1">
      <alignment vertical="bottom"/>
    </xf>
    <xf borderId="3" fillId="0" fontId="13" numFmtId="170" xfId="0" applyAlignment="1" applyBorder="1" applyFont="1" applyNumberFormat="1">
      <alignment vertical="bottom"/>
    </xf>
    <xf borderId="3" fillId="25" fontId="11" numFmtId="170" xfId="0" applyAlignment="1" applyBorder="1" applyFill="1" applyFont="1" applyNumberFormat="1">
      <alignment horizontal="center" vertical="bottom"/>
    </xf>
    <xf borderId="3" fillId="25" fontId="11" numFmtId="171" xfId="0" applyAlignment="1" applyBorder="1" applyFill="1" applyFont="1" applyNumberFormat="1">
      <alignment horizontal="center" vertical="bottom"/>
    </xf>
    <xf borderId="3" fillId="25" fontId="11" numFmtId="165" xfId="0" applyAlignment="1" applyBorder="1" applyFill="1" applyFont="1" applyNumberFormat="1">
      <alignment horizontal="center" vertical="bottom"/>
    </xf>
    <xf borderId="3" fillId="26" fontId="11" numFmtId="170" xfId="0" applyAlignment="1" applyBorder="1" applyFill="1" applyFont="1" applyNumberFormat="1">
      <alignment horizontal="center" vertical="bottom"/>
    </xf>
    <xf borderId="3" fillId="26" fontId="11" numFmtId="171" xfId="0" applyAlignment="1" applyBorder="1" applyFill="1" applyFont="1" applyNumberFormat="1">
      <alignment horizontal="center" vertical="bottom"/>
    </xf>
    <xf borderId="3" fillId="26" fontId="11" numFmtId="165" xfId="0" applyAlignment="1" applyBorder="1" applyFill="1" applyFont="1" applyNumberFormat="1">
      <alignment horizontal="center" vertical="bottom"/>
    </xf>
    <xf borderId="0" fillId="17" fontId="13" numFmtId="0" xfId="0" applyAlignment="1" applyFill="1" applyFont="1">
      <alignment vertical="bottom"/>
    </xf>
    <xf borderId="0" fillId="0" fontId="13" numFmtId="170" xfId="0" applyAlignment="1" applyFont="1" applyNumberFormat="1">
      <alignment vertical="bottom"/>
    </xf>
    <xf borderId="0" fillId="0" fontId="13" numFmtId="171" xfId="0" applyAlignment="1" applyFont="1" applyNumberFormat="1">
      <alignment vertical="bottom"/>
    </xf>
    <xf borderId="0" fillId="0" fontId="13" numFmtId="165" xfId="0" applyAlignment="1" applyFont="1" applyNumberFormat="1">
      <alignment vertical="bottom"/>
    </xf>
    <xf borderId="0" fillId="17" fontId="13" numFmtId="169" xfId="0" applyAlignment="1" applyFill="1" applyFont="1" applyNumberFormat="1">
      <alignment vertical="bottom"/>
    </xf>
    <xf borderId="0" fillId="0" fontId="13" numFmtId="169" xfId="0" applyAlignment="1" applyFont="1" applyNumberFormat="1">
      <alignment vertical="bottom"/>
    </xf>
    <xf borderId="3" fillId="8" fontId="13" numFmtId="170" xfId="0" applyAlignment="1" applyBorder="1" applyFill="1" applyFont="1" applyNumberFormat="1">
      <alignment vertical="bottom"/>
    </xf>
    <xf borderId="3" fillId="0" fontId="11" numFmtId="165" xfId="0" applyAlignment="1" applyBorder="1" applyFont="1" applyNumberFormat="1">
      <alignment horizontal="center" vertical="bottom"/>
    </xf>
    <xf borderId="11" fillId="13" fontId="11" numFmtId="165" xfId="0" applyAlignment="1" applyBorder="1" applyFill="1" applyFont="1" applyNumberFormat="1">
      <alignment horizontal="center" vertical="bottom"/>
    </xf>
    <xf borderId="3" fillId="17" fontId="11" numFmtId="171" xfId="0" applyAlignment="1" applyBorder="1" applyFill="1" applyFont="1" applyNumberFormat="1">
      <alignment horizontal="center" vertical="bottom"/>
    </xf>
    <xf borderId="9" fillId="0" fontId="13" numFmtId="0" xfId="0" applyAlignment="1" applyBorder="1" applyFont="1">
      <alignment vertical="bottom"/>
    </xf>
    <xf borderId="3" fillId="22" fontId="3" numFmtId="0" xfId="0" applyAlignment="1" applyBorder="1" applyFill="1" applyFont="1">
      <alignment horizontal="center" vertical="bottom"/>
    </xf>
    <xf borderId="3" fillId="22" fontId="11" numFmtId="171" xfId="0" applyAlignment="1" applyBorder="1" applyFill="1" applyFont="1" applyNumberFormat="1">
      <alignment horizontal="center" vertical="bottom"/>
    </xf>
    <xf borderId="1" fillId="0" fontId="13" numFmtId="0" xfId="0" applyAlignment="1" applyBorder="1" applyFont="1">
      <alignment vertical="bottom"/>
    </xf>
    <xf borderId="1" fillId="27" fontId="3" numFmtId="0" xfId="0" applyAlignment="1" applyBorder="1" applyFill="1" applyFont="1">
      <alignment horizontal="center" vertical="bottom"/>
    </xf>
    <xf borderId="3" fillId="27" fontId="3" numFmtId="0" xfId="0" applyAlignment="1" applyBorder="1" applyFill="1" applyFont="1">
      <alignment horizontal="center" vertical="bottom"/>
    </xf>
    <xf borderId="3" fillId="6" fontId="11" numFmtId="165" xfId="0" applyAlignment="1" applyBorder="1" applyFill="1" applyFont="1" applyNumberFormat="1">
      <alignment horizontal="center" vertical="bottom"/>
    </xf>
    <xf borderId="0" fillId="0" fontId="13" numFmtId="174" xfId="0" applyAlignment="1" applyFont="1" applyNumberFormat="1">
      <alignment vertical="bottom"/>
    </xf>
    <xf borderId="0" fillId="0" fontId="11" numFmtId="166" xfId="0" applyAlignment="1" applyFont="1" applyNumberFormat="1">
      <alignment horizontal="center" vertical="bottom"/>
    </xf>
    <xf borderId="3" fillId="24" fontId="11" numFmtId="165" xfId="0" applyAlignment="1" applyBorder="1" applyFill="1" applyFont="1" applyNumberFormat="1">
      <alignment horizontal="center" vertical="bottom"/>
    </xf>
    <xf borderId="9" fillId="0" fontId="11" numFmtId="166" xfId="0" applyAlignment="1" applyBorder="1" applyFont="1" applyNumberFormat="1">
      <alignment horizontal="center" vertical="bottom"/>
    </xf>
    <xf borderId="3" fillId="0" fontId="13" numFmtId="169" xfId="0" applyAlignment="1" applyBorder="1" applyFont="1" applyNumberFormat="1">
      <alignment vertical="bottom"/>
    </xf>
    <xf borderId="3" fillId="7" fontId="11" numFmtId="165" xfId="0" applyAlignment="1" applyBorder="1" applyFill="1" applyFont="1" applyNumberFormat="1">
      <alignment horizontal="center" vertical="bottom"/>
    </xf>
    <xf borderId="3" fillId="0" fontId="11" numFmtId="170" xfId="0" applyAlignment="1" applyBorder="1" applyFont="1" applyNumberFormat="1">
      <alignment horizontal="center" readingOrder="0" vertical="bottom"/>
    </xf>
    <xf borderId="1" fillId="8" fontId="11" numFmtId="0" xfId="0" applyAlignment="1" applyBorder="1" applyFill="1" applyFont="1">
      <alignment horizontal="center" vertical="bottom"/>
    </xf>
    <xf borderId="3" fillId="8" fontId="11" numFmtId="0" xfId="0" applyAlignment="1" applyBorder="1" applyFill="1" applyFont="1">
      <alignment horizontal="center" vertical="bottom"/>
    </xf>
    <xf borderId="3" fillId="12" fontId="11" numFmtId="169" xfId="0" applyAlignment="1" applyBorder="1" applyFill="1" applyFont="1" applyNumberFormat="1">
      <alignment horizontal="center" vertical="bottom"/>
    </xf>
    <xf borderId="3" fillId="0" fontId="6" numFmtId="0" xfId="0" applyAlignment="1" applyBorder="1" applyFont="1">
      <alignment horizontal="center" vertical="bottom"/>
    </xf>
    <xf borderId="3" fillId="0" fontId="11" numFmtId="171" xfId="0" applyAlignment="1" applyBorder="1" applyFont="1" applyNumberFormat="1">
      <alignment horizontal="center" readingOrder="0" vertical="bottom"/>
    </xf>
    <xf borderId="3" fillId="22" fontId="13" numFmtId="169" xfId="0" applyAlignment="1" applyBorder="1" applyFill="1" applyFont="1" applyNumberFormat="1">
      <alignment vertical="bottom"/>
    </xf>
    <xf borderId="3" fillId="0" fontId="3" numFmtId="169" xfId="0" applyAlignment="1" applyBorder="1" applyFont="1" applyNumberFormat="1">
      <alignment horizontal="center" vertical="bottom"/>
    </xf>
    <xf borderId="3" fillId="0" fontId="11" numFmtId="169" xfId="0" applyAlignment="1" applyBorder="1" applyFont="1" applyNumberFormat="1">
      <alignment horizontal="center" vertical="bottom"/>
    </xf>
    <xf borderId="3" fillId="0" fontId="13" numFmtId="166" xfId="0" applyAlignment="1" applyBorder="1" applyFont="1" applyNumberFormat="1">
      <alignment vertical="bottom"/>
    </xf>
    <xf borderId="0" fillId="0" fontId="11" numFmtId="0" xfId="0" applyAlignment="1" applyFont="1">
      <alignment horizontal="center" vertical="bottom"/>
    </xf>
    <xf borderId="3" fillId="8" fontId="6" numFmtId="165" xfId="0" applyAlignment="1" applyBorder="1" applyFill="1" applyFont="1" applyNumberFormat="1">
      <alignment horizontal="center" vertical="bottom"/>
    </xf>
    <xf borderId="3" fillId="0" fontId="6" numFmtId="169" xfId="0" applyAlignment="1" applyBorder="1" applyFont="1" applyNumberForma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0" fontId="13" numFmtId="165" xfId="0" applyAlignment="1" applyBorder="1" applyFont="1" applyNumberFormat="1">
      <alignment vertical="bottom"/>
    </xf>
    <xf borderId="3" fillId="28" fontId="11" numFmtId="0" xfId="0" applyAlignment="1" applyBorder="1" applyFill="1" applyFont="1">
      <alignment horizontal="center" vertical="bottom"/>
    </xf>
    <xf borderId="1" fillId="9" fontId="3" numFmtId="165" xfId="0" applyAlignment="1" applyBorder="1" applyFill="1" applyFont="1" applyNumberFormat="1">
      <alignment horizontal="center" vertical="bottom"/>
    </xf>
    <xf borderId="3" fillId="9" fontId="3" numFmtId="165" xfId="0" applyAlignment="1" applyBorder="1" applyFill="1" applyFont="1" applyNumberFormat="1">
      <alignment horizontal="center" vertical="bottom"/>
    </xf>
    <xf borderId="3" fillId="28" fontId="13" numFmtId="0" xfId="0" applyAlignment="1" applyBorder="1" applyFill="1" applyFont="1">
      <alignment vertical="bottom"/>
    </xf>
    <xf borderId="3" fillId="26" fontId="6" numFmtId="0" xfId="0" applyAlignment="1" applyBorder="1" applyFill="1" applyFont="1">
      <alignment horizontal="center" vertical="bottom"/>
    </xf>
    <xf borderId="2" fillId="0" fontId="13" numFmtId="174" xfId="0" applyAlignment="1" applyBorder="1" applyFont="1" applyNumberFormat="1">
      <alignment vertical="bottom"/>
    </xf>
    <xf borderId="1" fillId="13" fontId="11" numFmtId="165" xfId="0" applyAlignment="1" applyBorder="1" applyFill="1" applyFont="1" applyNumberFormat="1">
      <alignment horizontal="center" vertical="bottom"/>
    </xf>
    <xf borderId="3" fillId="0" fontId="16" numFmtId="0" xfId="0" applyAlignment="1" applyBorder="1" applyFont="1">
      <alignment horizontal="center" vertical="bottom"/>
    </xf>
    <xf borderId="3" fillId="0" fontId="16" numFmtId="170" xfId="0" applyAlignment="1" applyBorder="1" applyFont="1" applyNumberFormat="1">
      <alignment horizontal="center" vertical="bottom"/>
    </xf>
    <xf borderId="3" fillId="0" fontId="16" numFmtId="171" xfId="0" applyAlignment="1" applyBorder="1" applyFont="1" applyNumberFormat="1">
      <alignment horizontal="center" vertical="bottom"/>
    </xf>
    <xf borderId="3" fillId="24" fontId="3" numFmtId="165" xfId="0" applyAlignment="1" applyBorder="1" applyFill="1" applyFont="1" applyNumberFormat="1">
      <alignment horizontal="center" vertical="bottom"/>
    </xf>
    <xf borderId="2" fillId="6" fontId="6" numFmtId="165" xfId="0" applyAlignment="1" applyBorder="1" applyFill="1" applyFont="1" applyNumberFormat="1">
      <alignment horizontal="center" vertical="bottom"/>
    </xf>
    <xf borderId="3" fillId="0" fontId="16" numFmtId="10" xfId="0" applyAlignment="1" applyBorder="1" applyFont="1" applyNumberFormat="1">
      <alignment horizontal="center" vertical="bottom"/>
    </xf>
    <xf borderId="3" fillId="0" fontId="13" numFmtId="165" xfId="0" applyAlignment="1" applyBorder="1" applyFont="1" applyNumberFormat="1">
      <alignment vertical="bottom"/>
    </xf>
    <xf borderId="1" fillId="12" fontId="3" numFmtId="165" xfId="0" applyAlignment="1" applyBorder="1" applyFill="1" applyFont="1" applyNumberFormat="1">
      <alignment horizontal="center" vertical="bottom"/>
    </xf>
    <xf borderId="3" fillId="0" fontId="6" numFmtId="164" xfId="0" applyAlignment="1" applyBorder="1" applyFont="1" applyNumberFormat="1">
      <alignment horizontal="center" vertical="bottom"/>
    </xf>
    <xf borderId="3" fillId="0" fontId="6" numFmtId="165" xfId="0" applyAlignment="1" applyBorder="1" applyFont="1" applyNumberFormat="1">
      <alignment horizontal="center" vertical="bottom"/>
    </xf>
    <xf borderId="3" fillId="12" fontId="3" numFmtId="165" xfId="0" applyAlignment="1" applyBorder="1" applyFill="1" applyFont="1" applyNumberFormat="1">
      <alignment horizontal="center" vertical="bottom"/>
    </xf>
    <xf borderId="3" fillId="13" fontId="6" numFmtId="165" xfId="0" applyAlignment="1" applyBorder="1" applyFill="1" applyFont="1" applyNumberFormat="1">
      <alignment horizontal="center" vertical="bottom"/>
    </xf>
    <xf borderId="3" fillId="0" fontId="13" numFmtId="171" xfId="0" applyAlignment="1" applyBorder="1" applyFont="1" applyNumberFormat="1">
      <alignment vertical="bottom"/>
    </xf>
    <xf borderId="0" fillId="0" fontId="13" numFmtId="164" xfId="0" applyAlignment="1" applyFont="1" applyNumberFormat="1">
      <alignment vertical="bottom"/>
    </xf>
    <xf borderId="3" fillId="0" fontId="3" numFmtId="0" xfId="0" applyAlignment="1" applyBorder="1" applyFont="1">
      <alignment horizontal="center" vertical="bottom"/>
    </xf>
    <xf borderId="3" fillId="0" fontId="27" numFmtId="170" xfId="0" applyAlignment="1" applyBorder="1" applyFont="1" applyNumberFormat="1">
      <alignment horizontal="center" vertical="bottom"/>
    </xf>
    <xf borderId="0" fillId="0" fontId="13" numFmtId="175" xfId="0" applyAlignment="1" applyFont="1" applyNumberFormat="1">
      <alignment vertical="bottom"/>
    </xf>
    <xf borderId="0" fillId="0" fontId="13" numFmtId="176" xfId="0" applyAlignment="1" applyFont="1" applyNumberFormat="1">
      <alignment vertical="bottom"/>
    </xf>
    <xf borderId="2" fillId="12" fontId="6" numFmtId="165" xfId="0" applyAlignment="1" applyBorder="1" applyFill="1" applyFont="1" applyNumberFormat="1">
      <alignment horizontal="center" vertical="bottom"/>
    </xf>
    <xf borderId="0" fillId="17" fontId="13" numFmtId="171" xfId="0" applyAlignment="1" applyFill="1" applyFont="1" applyNumberFormat="1">
      <alignment vertical="bottom"/>
    </xf>
    <xf borderId="3" fillId="0" fontId="11" numFmtId="169" xfId="0" applyAlignment="1" applyBorder="1" applyFont="1" applyNumberFormat="1">
      <alignment vertical="bottom"/>
    </xf>
    <xf borderId="3" fillId="12" fontId="11" numFmtId="169" xfId="0" applyAlignment="1" applyBorder="1" applyFill="1" applyFont="1" applyNumberFormat="1">
      <alignment horizontal="center" readingOrder="0" vertical="bottom"/>
    </xf>
    <xf borderId="3" fillId="22" fontId="11" numFmtId="169" xfId="0" applyAlignment="1" applyBorder="1" applyFill="1" applyFont="1" applyNumberFormat="1">
      <alignment horizontal="center" readingOrder="0" vertical="bottom"/>
    </xf>
    <xf borderId="3" fillId="0" fontId="11" numFmtId="169" xfId="0" applyAlignment="1" applyBorder="1" applyFont="1" applyNumberFormat="1">
      <alignment horizontal="center" readingOrder="0" vertical="bottom"/>
    </xf>
    <xf borderId="9" fillId="0" fontId="11" numFmtId="0" xfId="0" applyAlignment="1" applyBorder="1" applyFont="1">
      <alignment horizontal="center" vertical="bottom"/>
    </xf>
    <xf borderId="2" fillId="0" fontId="13" numFmtId="170" xfId="0" applyAlignment="1" applyBorder="1" applyFont="1" applyNumberFormat="1">
      <alignment horizontal="center" vertical="bottom"/>
    </xf>
    <xf borderId="0" fillId="0" fontId="13" numFmtId="164" xfId="0" applyAlignment="1" applyFont="1" applyNumberFormat="1">
      <alignment horizontal="center" vertical="bottom"/>
    </xf>
    <xf borderId="0" fillId="0" fontId="13" numFmtId="170" xfId="0" applyAlignment="1" applyFont="1" applyNumberFormat="1">
      <alignment horizontal="center" vertical="bottom"/>
    </xf>
    <xf borderId="0" fillId="0" fontId="13" numFmtId="176" xfId="0" applyAlignment="1" applyFont="1" applyNumberFormat="1">
      <alignment horizontal="center"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16"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25"/>
    <col customWidth="1" min="2" max="2" width="15.25"/>
    <col customWidth="1" min="3" max="3" width="11.75"/>
    <col customWidth="1" min="4" max="4" width="22.63"/>
    <col customWidth="1" min="5" max="5" width="23.38"/>
    <col customWidth="1" min="6" max="6" width="22.63"/>
    <col customWidth="1" min="7" max="7" width="18.75"/>
    <col customWidth="1" min="8" max="8" width="21.5"/>
    <col customWidth="1" min="9" max="9" width="20.13"/>
    <col customWidth="1" min="10" max="10" width="2.88"/>
    <col customWidth="1" min="11" max="11" width="11.88"/>
    <col customWidth="1" min="12" max="12" width="17.88"/>
    <col customWidth="1" min="13" max="13" width="20.25"/>
    <col customWidth="1" min="14" max="14" width="22.25"/>
    <col customWidth="1" min="15" max="15" width="15.38"/>
    <col customWidth="1" min="16" max="16" width="17.0"/>
    <col customWidth="1" min="17" max="17" width="15.5"/>
    <col customWidth="1" min="18" max="18" width="17.0"/>
    <col customWidth="1" min="19" max="19" width="18.75"/>
    <col customWidth="1" min="20" max="20" width="22.25"/>
    <col customWidth="1" min="21" max="21" width="10.88"/>
    <col customWidth="1" min="22" max="22" width="17.88"/>
    <col customWidth="1" min="23" max="23" width="21.38"/>
    <col customWidth="1" min="24" max="27" width="12.5"/>
    <col customWidth="1" min="28" max="28" width="5.38"/>
  </cols>
  <sheetData>
    <row r="1">
      <c r="A1" s="3" t="s">
        <v>2</v>
      </c>
      <c r="B1" s="3" t="s">
        <v>4</v>
      </c>
      <c r="C1" s="6" t="s">
        <v>5</v>
      </c>
      <c r="D1" s="9" t="s">
        <v>8</v>
      </c>
      <c r="E1" s="12" t="s">
        <v>11</v>
      </c>
      <c r="F1" s="9" t="s">
        <v>14</v>
      </c>
      <c r="G1" s="9" t="s">
        <v>16</v>
      </c>
      <c r="H1" s="9" t="s">
        <v>17</v>
      </c>
      <c r="I1" s="9" t="s">
        <v>18</v>
      </c>
      <c r="J1" s="16"/>
      <c r="K1" s="17" t="s">
        <v>20</v>
      </c>
      <c r="L1" s="9" t="s">
        <v>22</v>
      </c>
      <c r="M1" s="9" t="s">
        <v>23</v>
      </c>
      <c r="N1" s="9" t="s">
        <v>24</v>
      </c>
      <c r="O1" s="9" t="s">
        <v>25</v>
      </c>
      <c r="P1" s="9" t="s">
        <v>26</v>
      </c>
      <c r="Q1" s="19" t="s">
        <v>28</v>
      </c>
      <c r="R1" s="20" t="s">
        <v>29</v>
      </c>
      <c r="S1" s="20" t="s">
        <v>30</v>
      </c>
      <c r="T1" s="22" t="s">
        <v>17</v>
      </c>
      <c r="U1" s="23" t="s">
        <v>32</v>
      </c>
      <c r="V1" s="23" t="s">
        <v>33</v>
      </c>
      <c r="W1" s="23" t="s">
        <v>34</v>
      </c>
      <c r="X1" s="25"/>
      <c r="Y1" s="25"/>
      <c r="Z1" s="25"/>
      <c r="AA1" s="25"/>
      <c r="AB1" s="25"/>
    </row>
    <row r="2">
      <c r="A2" s="28" t="str">
        <f>IF(ISBLANK(B2),"",TEXT(B2,"dddd"))</f>
        <v>Wednesday</v>
      </c>
      <c r="B2" s="30">
        <v>46267.0</v>
      </c>
      <c r="C2" s="32" t="s">
        <v>38</v>
      </c>
      <c r="D2" s="34">
        <f t="shared" ref="D2:D65" si="1">T2</f>
        <v>0</v>
      </c>
      <c r="E2" s="35">
        <v>0.0</v>
      </c>
      <c r="F2" s="37"/>
      <c r="G2" s="37"/>
      <c r="H2" s="39">
        <f>SUM(D2+E2+F2)</f>
        <v>0</v>
      </c>
      <c r="I2" s="41"/>
      <c r="J2" s="43"/>
      <c r="K2" s="44" t="s">
        <v>38</v>
      </c>
      <c r="L2" s="45">
        <v>0.0</v>
      </c>
      <c r="M2" s="45">
        <v>0.0</v>
      </c>
      <c r="N2" s="45">
        <v>0.0</v>
      </c>
      <c r="O2" s="45">
        <v>0.0</v>
      </c>
      <c r="P2" s="45">
        <v>0.0</v>
      </c>
      <c r="Q2" s="45">
        <v>0.0</v>
      </c>
      <c r="R2" s="45">
        <v>0.0</v>
      </c>
      <c r="S2" s="45">
        <v>0.0</v>
      </c>
      <c r="T2" s="48">
        <f>SUM(L2:S2)</f>
        <v>0</v>
      </c>
      <c r="U2" s="50"/>
      <c r="V2" s="50"/>
      <c r="W2" s="54"/>
    </row>
    <row r="3">
      <c r="A3" s="56"/>
      <c r="B3" s="56"/>
      <c r="C3" s="58" t="s">
        <v>40</v>
      </c>
      <c r="D3" s="61">
        <f t="shared" si="1"/>
        <v>1894000</v>
      </c>
      <c r="E3" s="61">
        <f>W3</f>
        <v>9960071.5</v>
      </c>
      <c r="F3" s="56"/>
      <c r="G3" s="63">
        <v>0.0</v>
      </c>
      <c r="H3" s="39">
        <f>SUM(D3+E3+F3+G3)</f>
        <v>11854071.5</v>
      </c>
      <c r="I3" s="66">
        <f>H3-H2</f>
        <v>11854071.5</v>
      </c>
      <c r="J3" s="56"/>
      <c r="K3" s="67" t="s">
        <v>40</v>
      </c>
      <c r="L3" s="45">
        <v>1894000.0</v>
      </c>
      <c r="M3" s="45">
        <v>0.0</v>
      </c>
      <c r="N3" s="45">
        <v>0.0</v>
      </c>
      <c r="O3" s="45">
        <v>0.0</v>
      </c>
      <c r="P3" s="45">
        <v>0.0</v>
      </c>
      <c r="Q3" s="45">
        <v>0.0</v>
      </c>
      <c r="R3" s="45">
        <v>0.0</v>
      </c>
      <c r="S3" s="45">
        <v>0.0</v>
      </c>
      <c r="T3" s="68">
        <f>SUM(J3:S3)</f>
        <v>1894000</v>
      </c>
      <c r="U3" s="50">
        <v>564.31</v>
      </c>
      <c r="V3" s="50">
        <v>17650.0</v>
      </c>
      <c r="W3" s="54">
        <f t="shared" ref="W3:W65" si="2">U3*V3</f>
        <v>9960071.5</v>
      </c>
    </row>
    <row r="4">
      <c r="A4" s="28" t="str">
        <f>IF(ISBLANK(B4),"",TEXT(B4,"dddd"))</f>
        <v>Thursday</v>
      </c>
      <c r="B4" s="30">
        <v>46268.0</v>
      </c>
      <c r="C4" s="32" t="s">
        <v>38</v>
      </c>
      <c r="D4" s="34">
        <f t="shared" si="1"/>
        <v>1894000</v>
      </c>
      <c r="E4" s="35"/>
      <c r="F4" s="37"/>
      <c r="G4" s="37"/>
      <c r="H4" s="39"/>
      <c r="I4" s="41"/>
      <c r="J4" s="43"/>
      <c r="K4" s="44" t="s">
        <v>38</v>
      </c>
      <c r="L4" s="45">
        <v>1894000.0</v>
      </c>
      <c r="M4" s="45">
        <v>0.0</v>
      </c>
      <c r="N4" s="45">
        <v>0.0</v>
      </c>
      <c r="O4" s="45">
        <v>0.0</v>
      </c>
      <c r="P4" s="45">
        <v>0.0</v>
      </c>
      <c r="Q4" s="45">
        <v>0.0</v>
      </c>
      <c r="R4" s="45">
        <v>0.0</v>
      </c>
      <c r="S4" s="45">
        <v>0.0</v>
      </c>
      <c r="T4" s="48">
        <f>SUM(L4:S4)</f>
        <v>1894000</v>
      </c>
      <c r="U4" s="70"/>
      <c r="V4" s="70"/>
      <c r="W4" s="70">
        <f t="shared" si="2"/>
        <v>0</v>
      </c>
    </row>
    <row r="5">
      <c r="A5" s="56"/>
      <c r="B5" s="56"/>
      <c r="C5" s="58" t="s">
        <v>40</v>
      </c>
      <c r="D5" s="61">
        <f t="shared" si="1"/>
        <v>31218000</v>
      </c>
      <c r="E5" s="61">
        <f>W5</f>
        <v>-11190608</v>
      </c>
      <c r="F5" s="56"/>
      <c r="G5" s="45">
        <v>1850000.0</v>
      </c>
      <c r="H5" s="39">
        <f>SUM(D5+E5+F5+G5)</f>
        <v>21877392</v>
      </c>
      <c r="I5" s="66">
        <f>H5-H4</f>
        <v>21877392</v>
      </c>
      <c r="J5" s="56"/>
      <c r="K5" s="67" t="s">
        <v>40</v>
      </c>
      <c r="L5" s="45">
        <v>6818000.0</v>
      </c>
      <c r="M5" s="45">
        <v>0.0</v>
      </c>
      <c r="N5" s="45">
        <v>2.44E7</v>
      </c>
      <c r="O5" s="45">
        <v>0.0</v>
      </c>
      <c r="P5" s="45">
        <v>0.0</v>
      </c>
      <c r="Q5" s="45">
        <v>0.0</v>
      </c>
      <c r="R5" s="45">
        <v>0.0</v>
      </c>
      <c r="S5" s="45">
        <v>0.0</v>
      </c>
      <c r="T5" s="68">
        <f>SUM(J5:S5)</f>
        <v>31218000</v>
      </c>
      <c r="U5" s="50">
        <v>-635.83</v>
      </c>
      <c r="V5" s="50">
        <v>17600.0</v>
      </c>
      <c r="W5" s="54">
        <f t="shared" si="2"/>
        <v>-11190608</v>
      </c>
    </row>
    <row r="6">
      <c r="A6" s="28" t="str">
        <f>IF(ISBLANK(B6),"",TEXT(B6,"dddd"))</f>
        <v>Friday</v>
      </c>
      <c r="B6" s="30">
        <v>46269.0</v>
      </c>
      <c r="C6" s="32" t="s">
        <v>38</v>
      </c>
      <c r="D6" s="34">
        <f t="shared" si="1"/>
        <v>24418000</v>
      </c>
      <c r="E6" s="35"/>
      <c r="F6" s="37"/>
      <c r="G6" s="37"/>
      <c r="H6" s="39"/>
      <c r="I6" s="41"/>
      <c r="J6" s="43"/>
      <c r="K6" s="44" t="s">
        <v>38</v>
      </c>
      <c r="L6" s="45">
        <v>18000.0</v>
      </c>
      <c r="M6" s="45">
        <v>0.0</v>
      </c>
      <c r="N6" s="45">
        <v>2.44E7</v>
      </c>
      <c r="O6" s="45">
        <v>0.0</v>
      </c>
      <c r="P6" s="45">
        <v>0.0</v>
      </c>
      <c r="Q6" s="45">
        <v>0.0</v>
      </c>
      <c r="R6" s="45">
        <v>0.0</v>
      </c>
      <c r="S6" s="45">
        <v>0.0</v>
      </c>
      <c r="T6" s="48">
        <f>SUM(L6:S6)</f>
        <v>24418000</v>
      </c>
      <c r="U6" s="70"/>
      <c r="V6" s="70"/>
      <c r="W6" s="70">
        <f t="shared" si="2"/>
        <v>0</v>
      </c>
    </row>
    <row r="7">
      <c r="A7" s="56"/>
      <c r="B7" s="56"/>
      <c r="C7" s="58" t="s">
        <v>40</v>
      </c>
      <c r="D7" s="61">
        <f t="shared" si="1"/>
        <v>1309000</v>
      </c>
      <c r="E7" s="61">
        <f>W7</f>
        <v>15466000</v>
      </c>
      <c r="F7" s="56"/>
      <c r="G7" s="45">
        <v>6800000.0</v>
      </c>
      <c r="H7" s="39">
        <f>SUM(D7+E7+F7+G7)</f>
        <v>23575000</v>
      </c>
      <c r="I7" s="66">
        <f>H7-H6</f>
        <v>23575000</v>
      </c>
      <c r="J7" s="56"/>
      <c r="K7" s="67" t="s">
        <v>40</v>
      </c>
      <c r="L7" s="45">
        <v>911000.0</v>
      </c>
      <c r="M7" s="45">
        <v>0.0</v>
      </c>
      <c r="N7" s="45">
        <v>398000.0</v>
      </c>
      <c r="O7" s="45">
        <v>0.0</v>
      </c>
      <c r="P7" s="45">
        <v>0.0</v>
      </c>
      <c r="Q7" s="45">
        <v>0.0</v>
      </c>
      <c r="R7" s="45">
        <v>0.0</v>
      </c>
      <c r="S7" s="45">
        <v>0.0</v>
      </c>
      <c r="T7" s="68">
        <f>SUM(J7:S7)</f>
        <v>1309000</v>
      </c>
      <c r="U7" s="50">
        <v>880.0</v>
      </c>
      <c r="V7" s="50">
        <v>17575.0</v>
      </c>
      <c r="W7" s="54">
        <f t="shared" si="2"/>
        <v>15466000</v>
      </c>
    </row>
    <row r="8">
      <c r="A8" s="28" t="str">
        <f>IF(ISBLANK(B8),"",TEXT(B8,"dddd"))</f>
        <v>Saturday</v>
      </c>
      <c r="B8" s="30">
        <v>46270.0</v>
      </c>
      <c r="C8" s="32" t="s">
        <v>38</v>
      </c>
      <c r="D8" s="34">
        <f t="shared" si="1"/>
        <v>1309000</v>
      </c>
      <c r="E8" s="35"/>
      <c r="F8" s="37"/>
      <c r="G8" s="37"/>
      <c r="H8" s="39"/>
      <c r="I8" s="41"/>
      <c r="J8" s="43"/>
      <c r="K8" s="44" t="s">
        <v>38</v>
      </c>
      <c r="L8" s="45">
        <v>911000.0</v>
      </c>
      <c r="M8" s="45">
        <v>0.0</v>
      </c>
      <c r="N8" s="45">
        <v>398000.0</v>
      </c>
      <c r="O8" s="45">
        <v>0.0</v>
      </c>
      <c r="P8" s="45">
        <v>0.0</v>
      </c>
      <c r="Q8" s="45">
        <v>0.0</v>
      </c>
      <c r="R8" s="45">
        <v>0.0</v>
      </c>
      <c r="S8" s="45">
        <v>0.0</v>
      </c>
      <c r="T8" s="48">
        <f>SUM(L8:S8)</f>
        <v>1309000</v>
      </c>
      <c r="U8" s="70"/>
      <c r="V8" s="70"/>
      <c r="W8" s="70">
        <f t="shared" si="2"/>
        <v>0</v>
      </c>
    </row>
    <row r="9">
      <c r="A9" s="56"/>
      <c r="B9" s="56"/>
      <c r="C9" s="58" t="s">
        <v>40</v>
      </c>
      <c r="D9" s="61">
        <f t="shared" si="1"/>
        <v>0</v>
      </c>
      <c r="E9" s="61">
        <f>W9</f>
        <v>0</v>
      </c>
      <c r="F9" s="56"/>
      <c r="G9" s="45">
        <v>5000000.0</v>
      </c>
      <c r="H9" s="39">
        <f>SUM(D9+E9+F9+G9)</f>
        <v>5000000</v>
      </c>
      <c r="I9" s="66">
        <f>H9-H8</f>
        <v>5000000</v>
      </c>
      <c r="J9" s="56"/>
      <c r="K9" s="67" t="s">
        <v>40</v>
      </c>
      <c r="L9" s="77"/>
      <c r="M9" s="77"/>
      <c r="N9" s="77"/>
      <c r="O9" s="77"/>
      <c r="P9" s="77"/>
      <c r="Q9" s="77"/>
      <c r="R9" s="45">
        <v>0.0</v>
      </c>
      <c r="S9" s="45">
        <v>0.0</v>
      </c>
      <c r="T9" s="68">
        <f>SUM(J9:S9)</f>
        <v>0</v>
      </c>
      <c r="U9" s="70"/>
      <c r="V9" s="70"/>
      <c r="W9" s="54">
        <f t="shared" si="2"/>
        <v>0</v>
      </c>
    </row>
    <row r="10">
      <c r="A10" s="28" t="str">
        <f>IF(ISBLANK(B10),"",TEXT(B10,"dddd"))</f>
        <v>Sunday</v>
      </c>
      <c r="B10" s="30">
        <v>46271.0</v>
      </c>
      <c r="C10" s="32" t="s">
        <v>38</v>
      </c>
      <c r="D10" s="34">
        <f t="shared" si="1"/>
        <v>0</v>
      </c>
      <c r="E10" s="35"/>
      <c r="F10" s="37"/>
      <c r="G10" s="37"/>
      <c r="H10" s="39"/>
      <c r="I10" s="41"/>
      <c r="J10" s="43"/>
      <c r="K10" s="44" t="s">
        <v>38</v>
      </c>
      <c r="L10" s="77"/>
      <c r="M10" s="77"/>
      <c r="N10" s="77"/>
      <c r="O10" s="77"/>
      <c r="P10" s="77"/>
      <c r="Q10" s="77"/>
      <c r="R10" s="45">
        <v>0.0</v>
      </c>
      <c r="S10" s="45">
        <v>0.0</v>
      </c>
      <c r="T10" s="48">
        <f>SUM(L10:S10)</f>
        <v>0</v>
      </c>
      <c r="U10" s="70"/>
      <c r="V10" s="70"/>
      <c r="W10" s="70">
        <f t="shared" si="2"/>
        <v>0</v>
      </c>
    </row>
    <row r="11">
      <c r="A11" s="56"/>
      <c r="B11" s="56"/>
      <c r="C11" s="58" t="s">
        <v>40</v>
      </c>
      <c r="D11" s="61">
        <f t="shared" si="1"/>
        <v>0</v>
      </c>
      <c r="E11" s="61">
        <f>W11</f>
        <v>0</v>
      </c>
      <c r="F11" s="56"/>
      <c r="G11" s="77"/>
      <c r="H11" s="39"/>
      <c r="I11" s="66">
        <f>H11-H10</f>
        <v>0</v>
      </c>
      <c r="J11" s="56"/>
      <c r="K11" s="67" t="s">
        <v>40</v>
      </c>
      <c r="L11" s="77"/>
      <c r="M11" s="77"/>
      <c r="N11" s="77"/>
      <c r="O11" s="77"/>
      <c r="P11" s="77"/>
      <c r="Q11" s="77"/>
      <c r="R11" s="45">
        <v>0.0</v>
      </c>
      <c r="S11" s="45">
        <v>0.0</v>
      </c>
      <c r="T11" s="68">
        <f>SUM(J11:S11)</f>
        <v>0</v>
      </c>
      <c r="U11" s="70"/>
      <c r="V11" s="70"/>
      <c r="W11" s="54">
        <f t="shared" si="2"/>
        <v>0</v>
      </c>
    </row>
    <row r="12">
      <c r="A12" s="28" t="str">
        <f>IF(ISBLANK(B12),"",TEXT(B12,"dddd"))</f>
        <v>Saturday</v>
      </c>
      <c r="B12" s="30">
        <v>46284.0</v>
      </c>
      <c r="C12" s="32" t="s">
        <v>38</v>
      </c>
      <c r="D12" s="34">
        <f t="shared" si="1"/>
        <v>0</v>
      </c>
      <c r="E12" s="35"/>
      <c r="F12" s="37"/>
      <c r="G12" s="37"/>
      <c r="H12" s="39"/>
      <c r="I12" s="41"/>
      <c r="J12" s="43"/>
      <c r="K12" s="44" t="s">
        <v>38</v>
      </c>
      <c r="L12" s="77"/>
      <c r="M12" s="77"/>
      <c r="N12" s="77"/>
      <c r="O12" s="77"/>
      <c r="P12" s="77"/>
      <c r="Q12" s="77"/>
      <c r="R12" s="45">
        <v>0.0</v>
      </c>
      <c r="S12" s="45">
        <v>0.0</v>
      </c>
      <c r="T12" s="48">
        <f>SUM(L12:S12)</f>
        <v>0</v>
      </c>
      <c r="U12" s="70"/>
      <c r="V12" s="70"/>
      <c r="W12" s="70">
        <f t="shared" si="2"/>
        <v>0</v>
      </c>
    </row>
    <row r="13">
      <c r="A13" s="56"/>
      <c r="B13" s="56"/>
      <c r="C13" s="58" t="s">
        <v>40</v>
      </c>
      <c r="D13" s="61">
        <f t="shared" si="1"/>
        <v>0</v>
      </c>
      <c r="E13" s="61">
        <f>W13</f>
        <v>0</v>
      </c>
      <c r="F13" s="56"/>
      <c r="G13" s="77"/>
      <c r="H13" s="39"/>
      <c r="I13" s="66">
        <f>H13-H12</f>
        <v>0</v>
      </c>
      <c r="J13" s="56"/>
      <c r="K13" s="67" t="s">
        <v>40</v>
      </c>
      <c r="L13" s="77"/>
      <c r="M13" s="77"/>
      <c r="N13" s="77"/>
      <c r="O13" s="77"/>
      <c r="P13" s="77"/>
      <c r="Q13" s="77"/>
      <c r="R13" s="45">
        <v>0.0</v>
      </c>
      <c r="S13" s="45">
        <v>0.0</v>
      </c>
      <c r="T13" s="68">
        <f>SUM(J13:S13)</f>
        <v>0</v>
      </c>
      <c r="U13" s="70"/>
      <c r="V13" s="70"/>
      <c r="W13" s="54">
        <f t="shared" si="2"/>
        <v>0</v>
      </c>
    </row>
    <row r="14">
      <c r="A14" s="28" t="str">
        <f>IF(ISBLANK(B14),"",TEXT(B14,"dddd"))</f>
        <v>Tuesday</v>
      </c>
      <c r="B14" s="30">
        <v>46273.0</v>
      </c>
      <c r="C14" s="32" t="s">
        <v>38</v>
      </c>
      <c r="D14" s="34">
        <f t="shared" si="1"/>
        <v>0</v>
      </c>
      <c r="E14" s="35"/>
      <c r="F14" s="37"/>
      <c r="G14" s="37"/>
      <c r="H14" s="39"/>
      <c r="I14" s="41"/>
      <c r="J14" s="43"/>
      <c r="K14" s="44" t="s">
        <v>38</v>
      </c>
      <c r="L14" s="77"/>
      <c r="M14" s="77"/>
      <c r="N14" s="77"/>
      <c r="O14" s="77"/>
      <c r="P14" s="77"/>
      <c r="Q14" s="77"/>
      <c r="R14" s="45">
        <v>0.0</v>
      </c>
      <c r="S14" s="45">
        <v>0.0</v>
      </c>
      <c r="T14" s="48">
        <f>SUM(L14:S14)</f>
        <v>0</v>
      </c>
      <c r="U14" s="70"/>
      <c r="V14" s="70"/>
      <c r="W14" s="70">
        <f t="shared" si="2"/>
        <v>0</v>
      </c>
    </row>
    <row r="15">
      <c r="A15" s="56"/>
      <c r="B15" s="56"/>
      <c r="C15" s="58" t="s">
        <v>40</v>
      </c>
      <c r="D15" s="61">
        <f t="shared" si="1"/>
        <v>0</v>
      </c>
      <c r="E15" s="61">
        <f>W15</f>
        <v>0</v>
      </c>
      <c r="F15" s="56"/>
      <c r="G15" s="77"/>
      <c r="H15" s="39"/>
      <c r="I15" s="66">
        <f>H15-H14</f>
        <v>0</v>
      </c>
      <c r="J15" s="56"/>
      <c r="K15" s="67" t="s">
        <v>40</v>
      </c>
      <c r="L15" s="77"/>
      <c r="M15" s="77"/>
      <c r="N15" s="77"/>
      <c r="O15" s="77"/>
      <c r="P15" s="77"/>
      <c r="Q15" s="77"/>
      <c r="R15" s="45">
        <v>0.0</v>
      </c>
      <c r="S15" s="45">
        <v>0.0</v>
      </c>
      <c r="T15" s="68">
        <f>SUM(J15:S15)</f>
        <v>0</v>
      </c>
      <c r="U15" s="70"/>
      <c r="V15" s="70"/>
      <c r="W15" s="54">
        <f t="shared" si="2"/>
        <v>0</v>
      </c>
    </row>
    <row r="16">
      <c r="A16" s="28" t="str">
        <f>IF(ISBLANK(B16),"",TEXT(B16,"dddd"))</f>
        <v>Friday</v>
      </c>
      <c r="B16" s="30">
        <v>46269.0</v>
      </c>
      <c r="C16" s="32" t="s">
        <v>38</v>
      </c>
      <c r="D16" s="34">
        <f t="shared" si="1"/>
        <v>24418000</v>
      </c>
      <c r="E16" s="35"/>
      <c r="F16" s="37"/>
      <c r="G16" s="37"/>
      <c r="H16" s="39"/>
      <c r="I16" s="41"/>
      <c r="J16" s="43"/>
      <c r="K16" s="44" t="s">
        <v>38</v>
      </c>
      <c r="L16" s="45">
        <v>18000.0</v>
      </c>
      <c r="M16" s="45">
        <v>0.0</v>
      </c>
      <c r="N16" s="45">
        <v>2.44E7</v>
      </c>
      <c r="O16" s="45">
        <v>0.0</v>
      </c>
      <c r="P16" s="45">
        <v>0.0</v>
      </c>
      <c r="Q16" s="45">
        <v>0.0</v>
      </c>
      <c r="R16" s="45">
        <v>0.0</v>
      </c>
      <c r="S16" s="45">
        <v>0.0</v>
      </c>
      <c r="T16" s="48">
        <f>SUM(L16:S16)</f>
        <v>24418000</v>
      </c>
      <c r="U16" s="70"/>
      <c r="V16" s="70"/>
      <c r="W16" s="70">
        <f t="shared" si="2"/>
        <v>0</v>
      </c>
    </row>
    <row r="17">
      <c r="A17" s="56"/>
      <c r="B17" s="56"/>
      <c r="C17" s="58" t="s">
        <v>40</v>
      </c>
      <c r="D17" s="61">
        <f t="shared" si="1"/>
        <v>0</v>
      </c>
      <c r="E17" s="61">
        <f>W17</f>
        <v>0</v>
      </c>
      <c r="F17" s="56"/>
      <c r="G17" s="77"/>
      <c r="H17" s="39"/>
      <c r="I17" s="66">
        <f>H17-H16</f>
        <v>0</v>
      </c>
      <c r="J17" s="56"/>
      <c r="K17" s="67" t="s">
        <v>40</v>
      </c>
      <c r="L17" s="77"/>
      <c r="M17" s="77"/>
      <c r="N17" s="77"/>
      <c r="O17" s="77"/>
      <c r="P17" s="77"/>
      <c r="Q17" s="77"/>
      <c r="R17" s="45">
        <v>0.0</v>
      </c>
      <c r="S17" s="45">
        <v>0.0</v>
      </c>
      <c r="T17" s="68">
        <f>SUM(J17:S17)</f>
        <v>0</v>
      </c>
      <c r="U17" s="70"/>
      <c r="V17" s="70"/>
      <c r="W17" s="54">
        <f t="shared" si="2"/>
        <v>0</v>
      </c>
    </row>
    <row r="18">
      <c r="A18" s="28" t="str">
        <f>IF(ISBLANK(B18),"",TEXT(B18,"dddd"))</f>
        <v>Saturday</v>
      </c>
      <c r="B18" s="30">
        <v>46270.0</v>
      </c>
      <c r="C18" s="32" t="s">
        <v>38</v>
      </c>
      <c r="D18" s="34">
        <f t="shared" si="1"/>
        <v>0</v>
      </c>
      <c r="E18" s="35"/>
      <c r="F18" s="37"/>
      <c r="G18" s="37"/>
      <c r="H18" s="39"/>
      <c r="I18" s="41"/>
      <c r="J18" s="43"/>
      <c r="K18" s="44" t="s">
        <v>38</v>
      </c>
      <c r="L18" s="77"/>
      <c r="M18" s="45" t="s">
        <v>41</v>
      </c>
      <c r="N18" s="77"/>
      <c r="O18" s="77"/>
      <c r="P18" s="77"/>
      <c r="Q18" s="77"/>
      <c r="R18" s="45">
        <v>0.0</v>
      </c>
      <c r="S18" s="45">
        <v>0.0</v>
      </c>
      <c r="T18" s="48">
        <f>SUM(L18:S18)</f>
        <v>0</v>
      </c>
      <c r="U18" s="70"/>
      <c r="V18" s="70"/>
      <c r="W18" s="70">
        <f t="shared" si="2"/>
        <v>0</v>
      </c>
    </row>
    <row r="19">
      <c r="A19" s="56"/>
      <c r="B19" s="56"/>
      <c r="C19" s="58" t="s">
        <v>40</v>
      </c>
      <c r="D19" s="61">
        <f t="shared" si="1"/>
        <v>0</v>
      </c>
      <c r="E19" s="61">
        <f>W19</f>
        <v>0</v>
      </c>
      <c r="F19" s="56"/>
      <c r="G19" s="77"/>
      <c r="H19" s="39"/>
      <c r="I19" s="66">
        <f>H19-H18</f>
        <v>0</v>
      </c>
      <c r="J19" s="56"/>
      <c r="K19" s="67" t="s">
        <v>40</v>
      </c>
      <c r="L19" s="77"/>
      <c r="M19" s="77"/>
      <c r="N19" s="77"/>
      <c r="O19" s="77"/>
      <c r="P19" s="77"/>
      <c r="Q19" s="77"/>
      <c r="R19" s="45">
        <v>0.0</v>
      </c>
      <c r="S19" s="45">
        <v>0.0</v>
      </c>
      <c r="T19" s="68">
        <f>SUM(J19:S19)</f>
        <v>0</v>
      </c>
      <c r="U19" s="70"/>
      <c r="V19" s="70"/>
      <c r="W19" s="54">
        <f t="shared" si="2"/>
        <v>0</v>
      </c>
    </row>
    <row r="20">
      <c r="A20" s="28" t="str">
        <f>IF(ISBLANK(B20),"",TEXT(B20,"dddd"))</f>
        <v>Sunday</v>
      </c>
      <c r="B20" s="30">
        <v>46271.0</v>
      </c>
      <c r="C20" s="32" t="s">
        <v>38</v>
      </c>
      <c r="D20" s="34">
        <f t="shared" si="1"/>
        <v>0</v>
      </c>
      <c r="E20" s="35"/>
      <c r="F20" s="37"/>
      <c r="G20" s="37"/>
      <c r="H20" s="39"/>
      <c r="I20" s="41"/>
      <c r="J20" s="43"/>
      <c r="K20" s="44" t="s">
        <v>38</v>
      </c>
      <c r="L20" s="77"/>
      <c r="M20" s="77"/>
      <c r="N20" s="77"/>
      <c r="O20" s="77"/>
      <c r="P20" s="77"/>
      <c r="Q20" s="77"/>
      <c r="R20" s="45">
        <v>0.0</v>
      </c>
      <c r="S20" s="45">
        <v>0.0</v>
      </c>
      <c r="T20" s="48">
        <f>SUM(L20:S20)</f>
        <v>0</v>
      </c>
      <c r="U20" s="70"/>
      <c r="V20" s="70"/>
      <c r="W20" s="70">
        <f t="shared" si="2"/>
        <v>0</v>
      </c>
    </row>
    <row r="21">
      <c r="A21" s="56"/>
      <c r="B21" s="56"/>
      <c r="C21" s="58" t="s">
        <v>40</v>
      </c>
      <c r="D21" s="61">
        <f t="shared" si="1"/>
        <v>0</v>
      </c>
      <c r="E21" s="61">
        <f>W21</f>
        <v>0</v>
      </c>
      <c r="F21" s="56"/>
      <c r="G21" s="77"/>
      <c r="H21" s="39"/>
      <c r="I21" s="66">
        <f>H21-H20</f>
        <v>0</v>
      </c>
      <c r="J21" s="56"/>
      <c r="K21" s="67" t="s">
        <v>40</v>
      </c>
      <c r="L21" s="77"/>
      <c r="M21" s="77"/>
      <c r="N21" s="77"/>
      <c r="O21" s="77"/>
      <c r="P21" s="77"/>
      <c r="Q21" s="77"/>
      <c r="R21" s="45">
        <v>0.0</v>
      </c>
      <c r="S21" s="45">
        <v>0.0</v>
      </c>
      <c r="T21" s="68">
        <f>SUM(J21:S21)</f>
        <v>0</v>
      </c>
      <c r="U21" s="70"/>
      <c r="V21" s="70"/>
      <c r="W21" s="54">
        <f t="shared" si="2"/>
        <v>0</v>
      </c>
    </row>
    <row r="22">
      <c r="A22" s="28" t="str">
        <f>IF(ISBLANK(B22),"",TEXT(B22,"dddd"))</f>
        <v>Monday</v>
      </c>
      <c r="B22" s="30">
        <v>46272.0</v>
      </c>
      <c r="C22" s="32" t="s">
        <v>38</v>
      </c>
      <c r="D22" s="34">
        <f t="shared" si="1"/>
        <v>0</v>
      </c>
      <c r="E22" s="35"/>
      <c r="F22" s="37"/>
      <c r="G22" s="37"/>
      <c r="H22" s="39"/>
      <c r="I22" s="41"/>
      <c r="J22" s="43"/>
      <c r="K22" s="44" t="s">
        <v>38</v>
      </c>
      <c r="L22" s="77"/>
      <c r="M22" s="77"/>
      <c r="N22" s="77"/>
      <c r="O22" s="77"/>
      <c r="P22" s="77"/>
      <c r="Q22" s="77"/>
      <c r="R22" s="45">
        <v>0.0</v>
      </c>
      <c r="S22" s="45">
        <v>0.0</v>
      </c>
      <c r="T22" s="48">
        <f>SUM(L22:S22)</f>
        <v>0</v>
      </c>
      <c r="U22" s="70"/>
      <c r="V22" s="70"/>
      <c r="W22" s="70">
        <f t="shared" si="2"/>
        <v>0</v>
      </c>
    </row>
    <row r="23">
      <c r="A23" s="56"/>
      <c r="B23" s="56"/>
      <c r="C23" s="58" t="s">
        <v>40</v>
      </c>
      <c r="D23" s="61">
        <f t="shared" si="1"/>
        <v>0</v>
      </c>
      <c r="E23" s="61">
        <f>W23</f>
        <v>0</v>
      </c>
      <c r="F23" s="56"/>
      <c r="G23" s="77"/>
      <c r="H23" s="39"/>
      <c r="I23" s="66">
        <f>H23-H22</f>
        <v>0</v>
      </c>
      <c r="J23" s="56"/>
      <c r="K23" s="67" t="s">
        <v>40</v>
      </c>
      <c r="L23" s="77"/>
      <c r="M23" s="77"/>
      <c r="N23" s="77"/>
      <c r="O23" s="77"/>
      <c r="P23" s="77"/>
      <c r="Q23" s="77"/>
      <c r="R23" s="45">
        <v>0.0</v>
      </c>
      <c r="S23" s="45">
        <v>0.0</v>
      </c>
      <c r="T23" s="68">
        <f>SUM(J23:S23)</f>
        <v>0</v>
      </c>
      <c r="U23" s="70"/>
      <c r="V23" s="70"/>
      <c r="W23" s="54">
        <f t="shared" si="2"/>
        <v>0</v>
      </c>
    </row>
    <row r="24">
      <c r="A24" s="28" t="str">
        <f>IF(ISBLANK(B24),"",TEXT(B24,"dddd"))</f>
        <v>Tuesday</v>
      </c>
      <c r="B24" s="30">
        <v>46273.0</v>
      </c>
      <c r="C24" s="32" t="s">
        <v>38</v>
      </c>
      <c r="D24" s="34">
        <f t="shared" si="1"/>
        <v>0</v>
      </c>
      <c r="E24" s="35"/>
      <c r="F24" s="37"/>
      <c r="G24" s="37"/>
      <c r="H24" s="39"/>
      <c r="I24" s="41"/>
      <c r="J24" s="43"/>
      <c r="K24" s="44" t="s">
        <v>38</v>
      </c>
      <c r="L24" s="77"/>
      <c r="M24" s="77"/>
      <c r="N24" s="77"/>
      <c r="O24" s="77"/>
      <c r="P24" s="77"/>
      <c r="Q24" s="77"/>
      <c r="R24" s="45">
        <v>0.0</v>
      </c>
      <c r="S24" s="45">
        <v>0.0</v>
      </c>
      <c r="T24" s="48">
        <f>SUM(L24:S24)</f>
        <v>0</v>
      </c>
      <c r="U24" s="70"/>
      <c r="V24" s="70"/>
      <c r="W24" s="70">
        <f t="shared" si="2"/>
        <v>0</v>
      </c>
    </row>
    <row r="25">
      <c r="A25" s="56"/>
      <c r="B25" s="56"/>
      <c r="C25" s="58" t="s">
        <v>40</v>
      </c>
      <c r="D25" s="61">
        <f t="shared" si="1"/>
        <v>0</v>
      </c>
      <c r="E25" s="61">
        <f>W25</f>
        <v>0</v>
      </c>
      <c r="F25" s="56"/>
      <c r="G25" s="77"/>
      <c r="H25" s="39"/>
      <c r="I25" s="66">
        <f>H25-H24</f>
        <v>0</v>
      </c>
      <c r="J25" s="56"/>
      <c r="K25" s="67" t="s">
        <v>40</v>
      </c>
      <c r="L25" s="77"/>
      <c r="M25" s="77"/>
      <c r="N25" s="77"/>
      <c r="O25" s="77"/>
      <c r="P25" s="77"/>
      <c r="Q25" s="77"/>
      <c r="R25" s="45">
        <v>0.0</v>
      </c>
      <c r="S25" s="45">
        <v>0.0</v>
      </c>
      <c r="T25" s="68">
        <f>SUM(J25:S25)</f>
        <v>0</v>
      </c>
      <c r="U25" s="70"/>
      <c r="V25" s="70"/>
      <c r="W25" s="54">
        <f t="shared" si="2"/>
        <v>0</v>
      </c>
    </row>
    <row r="26">
      <c r="A26" s="28" t="str">
        <f>IF(ISBLANK(B26),"",TEXT(B26,"dddd"))</f>
        <v>Friday</v>
      </c>
      <c r="B26" s="30">
        <v>46269.0</v>
      </c>
      <c r="C26" s="32" t="s">
        <v>38</v>
      </c>
      <c r="D26" s="34">
        <f t="shared" si="1"/>
        <v>24418000</v>
      </c>
      <c r="E26" s="35"/>
      <c r="F26" s="37"/>
      <c r="G26" s="37"/>
      <c r="H26" s="39"/>
      <c r="I26" s="41"/>
      <c r="J26" s="43"/>
      <c r="K26" s="44" t="s">
        <v>38</v>
      </c>
      <c r="L26" s="45">
        <v>18000.0</v>
      </c>
      <c r="M26" s="45">
        <v>0.0</v>
      </c>
      <c r="N26" s="45">
        <v>2.44E7</v>
      </c>
      <c r="O26" s="45">
        <v>0.0</v>
      </c>
      <c r="P26" s="45">
        <v>0.0</v>
      </c>
      <c r="Q26" s="45">
        <v>0.0</v>
      </c>
      <c r="R26" s="45">
        <v>0.0</v>
      </c>
      <c r="S26" s="45">
        <v>0.0</v>
      </c>
      <c r="T26" s="48">
        <f>SUM(L26:S26)</f>
        <v>24418000</v>
      </c>
      <c r="U26" s="70"/>
      <c r="V26" s="70"/>
      <c r="W26" s="70">
        <f t="shared" si="2"/>
        <v>0</v>
      </c>
    </row>
    <row r="27">
      <c r="A27" s="56"/>
      <c r="B27" s="56"/>
      <c r="C27" s="58" t="s">
        <v>40</v>
      </c>
      <c r="D27" s="61">
        <f t="shared" si="1"/>
        <v>0</v>
      </c>
      <c r="E27" s="61">
        <f>W27</f>
        <v>0</v>
      </c>
      <c r="F27" s="56"/>
      <c r="G27" s="77"/>
      <c r="H27" s="39"/>
      <c r="I27" s="66">
        <f>H27-H26</f>
        <v>0</v>
      </c>
      <c r="J27" s="56"/>
      <c r="K27" s="67" t="s">
        <v>40</v>
      </c>
      <c r="L27" s="77"/>
      <c r="M27" s="77"/>
      <c r="N27" s="77"/>
      <c r="O27" s="77"/>
      <c r="P27" s="77"/>
      <c r="Q27" s="77"/>
      <c r="R27" s="45">
        <v>0.0</v>
      </c>
      <c r="S27" s="45">
        <v>0.0</v>
      </c>
      <c r="T27" s="68">
        <f>SUM(J27:S27)</f>
        <v>0</v>
      </c>
      <c r="U27" s="70"/>
      <c r="V27" s="70"/>
      <c r="W27" s="54">
        <f t="shared" si="2"/>
        <v>0</v>
      </c>
    </row>
    <row r="28">
      <c r="A28" s="28" t="str">
        <f>IF(ISBLANK(B28),"",TEXT(B28,"dddd"))</f>
        <v>Saturday</v>
      </c>
      <c r="B28" s="30">
        <v>46270.0</v>
      </c>
      <c r="C28" s="32" t="s">
        <v>38</v>
      </c>
      <c r="D28" s="34">
        <f t="shared" si="1"/>
        <v>0</v>
      </c>
      <c r="E28" s="35"/>
      <c r="F28" s="37"/>
      <c r="G28" s="37"/>
      <c r="H28" s="39"/>
      <c r="I28" s="41"/>
      <c r="J28" s="43"/>
      <c r="K28" s="44" t="s">
        <v>38</v>
      </c>
      <c r="L28" s="77"/>
      <c r="M28" s="45" t="s">
        <v>41</v>
      </c>
      <c r="N28" s="77"/>
      <c r="O28" s="77"/>
      <c r="P28" s="77"/>
      <c r="Q28" s="77"/>
      <c r="R28" s="45">
        <v>0.0</v>
      </c>
      <c r="S28" s="45">
        <v>0.0</v>
      </c>
      <c r="T28" s="48">
        <f>SUM(L28:S28)</f>
        <v>0</v>
      </c>
      <c r="U28" s="70"/>
      <c r="V28" s="70"/>
      <c r="W28" s="70">
        <f t="shared" si="2"/>
        <v>0</v>
      </c>
    </row>
    <row r="29">
      <c r="A29" s="56"/>
      <c r="B29" s="56"/>
      <c r="C29" s="58" t="s">
        <v>40</v>
      </c>
      <c r="D29" s="61">
        <f t="shared" si="1"/>
        <v>0</v>
      </c>
      <c r="E29" s="61">
        <f>W29</f>
        <v>0</v>
      </c>
      <c r="F29" s="56"/>
      <c r="G29" s="77"/>
      <c r="H29" s="39"/>
      <c r="I29" s="66">
        <f>H29-H28</f>
        <v>0</v>
      </c>
      <c r="J29" s="56"/>
      <c r="K29" s="67" t="s">
        <v>40</v>
      </c>
      <c r="L29" s="77"/>
      <c r="M29" s="77"/>
      <c r="N29" s="77"/>
      <c r="O29" s="77"/>
      <c r="P29" s="77"/>
      <c r="Q29" s="77"/>
      <c r="R29" s="45">
        <v>0.0</v>
      </c>
      <c r="S29" s="45">
        <v>0.0</v>
      </c>
      <c r="T29" s="68">
        <f>SUM(J29:S29)</f>
        <v>0</v>
      </c>
      <c r="U29" s="70"/>
      <c r="V29" s="70"/>
      <c r="W29" s="54">
        <f t="shared" si="2"/>
        <v>0</v>
      </c>
    </row>
    <row r="30">
      <c r="A30" s="28" t="str">
        <f>IF(ISBLANK(B30),"",TEXT(B30,"dddd"))</f>
        <v>Sunday</v>
      </c>
      <c r="B30" s="30">
        <v>46271.0</v>
      </c>
      <c r="C30" s="32" t="s">
        <v>38</v>
      </c>
      <c r="D30" s="34">
        <f t="shared" si="1"/>
        <v>0</v>
      </c>
      <c r="E30" s="35"/>
      <c r="F30" s="37"/>
      <c r="G30" s="37"/>
      <c r="H30" s="39"/>
      <c r="I30" s="41"/>
      <c r="J30" s="43"/>
      <c r="K30" s="44" t="s">
        <v>38</v>
      </c>
      <c r="L30" s="77"/>
      <c r="M30" s="77"/>
      <c r="N30" s="77"/>
      <c r="O30" s="77"/>
      <c r="P30" s="77"/>
      <c r="Q30" s="77"/>
      <c r="R30" s="45">
        <v>0.0</v>
      </c>
      <c r="S30" s="45">
        <v>0.0</v>
      </c>
      <c r="T30" s="48">
        <f>SUM(L30:S30)</f>
        <v>0</v>
      </c>
      <c r="U30" s="70"/>
      <c r="V30" s="70"/>
      <c r="W30" s="70">
        <f t="shared" si="2"/>
        <v>0</v>
      </c>
    </row>
    <row r="31">
      <c r="A31" s="56"/>
      <c r="B31" s="56"/>
      <c r="C31" s="58" t="s">
        <v>40</v>
      </c>
      <c r="D31" s="61">
        <f t="shared" si="1"/>
        <v>0</v>
      </c>
      <c r="E31" s="61">
        <f>W31</f>
        <v>0</v>
      </c>
      <c r="F31" s="56"/>
      <c r="G31" s="77"/>
      <c r="H31" s="39"/>
      <c r="I31" s="66">
        <f>H31-H30</f>
        <v>0</v>
      </c>
      <c r="J31" s="56"/>
      <c r="K31" s="67" t="s">
        <v>40</v>
      </c>
      <c r="L31" s="77"/>
      <c r="M31" s="77"/>
      <c r="N31" s="77"/>
      <c r="O31" s="77"/>
      <c r="P31" s="77"/>
      <c r="Q31" s="77"/>
      <c r="R31" s="45">
        <v>0.0</v>
      </c>
      <c r="S31" s="45">
        <v>0.0</v>
      </c>
      <c r="T31" s="68">
        <f>SUM(J31:S31)</f>
        <v>0</v>
      </c>
      <c r="U31" s="70"/>
      <c r="V31" s="70"/>
      <c r="W31" s="54">
        <f t="shared" si="2"/>
        <v>0</v>
      </c>
    </row>
    <row r="32">
      <c r="A32" s="28" t="str">
        <f>IF(ISBLANK(B32),"",TEXT(B32,"dddd"))</f>
        <v>Monday</v>
      </c>
      <c r="B32" s="30">
        <v>46272.0</v>
      </c>
      <c r="C32" s="32" t="s">
        <v>38</v>
      </c>
      <c r="D32" s="34">
        <f t="shared" si="1"/>
        <v>0</v>
      </c>
      <c r="E32" s="35"/>
      <c r="F32" s="37"/>
      <c r="G32" s="37"/>
      <c r="H32" s="39"/>
      <c r="I32" s="41"/>
      <c r="J32" s="43"/>
      <c r="K32" s="44" t="s">
        <v>38</v>
      </c>
      <c r="L32" s="77"/>
      <c r="M32" s="77"/>
      <c r="N32" s="77"/>
      <c r="O32" s="77"/>
      <c r="P32" s="77"/>
      <c r="Q32" s="77"/>
      <c r="R32" s="45">
        <v>0.0</v>
      </c>
      <c r="S32" s="45">
        <v>0.0</v>
      </c>
      <c r="T32" s="48">
        <f>SUM(L32:S32)</f>
        <v>0</v>
      </c>
      <c r="U32" s="70"/>
      <c r="V32" s="70"/>
      <c r="W32" s="70">
        <f t="shared" si="2"/>
        <v>0</v>
      </c>
    </row>
    <row r="33">
      <c r="A33" s="56"/>
      <c r="B33" s="56"/>
      <c r="C33" s="58" t="s">
        <v>40</v>
      </c>
      <c r="D33" s="61">
        <f t="shared" si="1"/>
        <v>0</v>
      </c>
      <c r="E33" s="61">
        <f>W33</f>
        <v>0</v>
      </c>
      <c r="F33" s="56"/>
      <c r="G33" s="77"/>
      <c r="H33" s="39"/>
      <c r="I33" s="66">
        <f>H33-H32</f>
        <v>0</v>
      </c>
      <c r="J33" s="56"/>
      <c r="K33" s="67" t="s">
        <v>40</v>
      </c>
      <c r="L33" s="77"/>
      <c r="M33" s="77"/>
      <c r="N33" s="77"/>
      <c r="O33" s="77"/>
      <c r="P33" s="77"/>
      <c r="Q33" s="77"/>
      <c r="R33" s="45">
        <v>0.0</v>
      </c>
      <c r="S33" s="45">
        <v>0.0</v>
      </c>
      <c r="T33" s="68">
        <f>SUM(J33:S33)</f>
        <v>0</v>
      </c>
      <c r="U33" s="70"/>
      <c r="V33" s="70"/>
      <c r="W33" s="54">
        <f t="shared" si="2"/>
        <v>0</v>
      </c>
    </row>
    <row r="34">
      <c r="A34" s="28" t="str">
        <f>IF(ISBLANK(B34),"",TEXT(B34,"dddd"))</f>
        <v>Tuesday</v>
      </c>
      <c r="B34" s="30">
        <v>46273.0</v>
      </c>
      <c r="C34" s="32" t="s">
        <v>38</v>
      </c>
      <c r="D34" s="34">
        <f t="shared" si="1"/>
        <v>0</v>
      </c>
      <c r="E34" s="35"/>
      <c r="F34" s="37"/>
      <c r="G34" s="37"/>
      <c r="H34" s="39"/>
      <c r="I34" s="41"/>
      <c r="J34" s="43"/>
      <c r="K34" s="44" t="s">
        <v>38</v>
      </c>
      <c r="L34" s="77"/>
      <c r="M34" s="77"/>
      <c r="N34" s="77"/>
      <c r="O34" s="77"/>
      <c r="P34" s="77"/>
      <c r="Q34" s="77"/>
      <c r="R34" s="45">
        <v>0.0</v>
      </c>
      <c r="S34" s="45">
        <v>0.0</v>
      </c>
      <c r="T34" s="48">
        <f>SUM(L34:S34)</f>
        <v>0</v>
      </c>
      <c r="U34" s="70"/>
      <c r="V34" s="70"/>
      <c r="W34" s="70">
        <f t="shared" si="2"/>
        <v>0</v>
      </c>
    </row>
    <row r="35">
      <c r="A35" s="56"/>
      <c r="B35" s="56"/>
      <c r="C35" s="58" t="s">
        <v>40</v>
      </c>
      <c r="D35" s="61">
        <f t="shared" si="1"/>
        <v>0</v>
      </c>
      <c r="E35" s="61">
        <f>W35</f>
        <v>0</v>
      </c>
      <c r="F35" s="56"/>
      <c r="G35" s="77"/>
      <c r="H35" s="39"/>
      <c r="I35" s="66">
        <f>H35-H34</f>
        <v>0</v>
      </c>
      <c r="J35" s="56"/>
      <c r="K35" s="67" t="s">
        <v>40</v>
      </c>
      <c r="L35" s="77"/>
      <c r="M35" s="77"/>
      <c r="N35" s="77"/>
      <c r="O35" s="77"/>
      <c r="P35" s="77"/>
      <c r="Q35" s="77"/>
      <c r="R35" s="45">
        <v>0.0</v>
      </c>
      <c r="S35" s="45">
        <v>0.0</v>
      </c>
      <c r="T35" s="68">
        <f>SUM(J35:S35)</f>
        <v>0</v>
      </c>
      <c r="U35" s="70"/>
      <c r="V35" s="70"/>
      <c r="W35" s="54">
        <f t="shared" si="2"/>
        <v>0</v>
      </c>
    </row>
    <row r="36">
      <c r="A36" s="28" t="str">
        <f>IF(ISBLANK(B36),"",TEXT(B36,"dddd"))</f>
        <v>Friday</v>
      </c>
      <c r="B36" s="30">
        <v>46269.0</v>
      </c>
      <c r="C36" s="32" t="s">
        <v>38</v>
      </c>
      <c r="D36" s="34">
        <f t="shared" si="1"/>
        <v>24418000</v>
      </c>
      <c r="E36" s="35"/>
      <c r="F36" s="37"/>
      <c r="G36" s="37"/>
      <c r="H36" s="39"/>
      <c r="I36" s="41"/>
      <c r="J36" s="43"/>
      <c r="K36" s="44" t="s">
        <v>38</v>
      </c>
      <c r="L36" s="45">
        <v>18000.0</v>
      </c>
      <c r="M36" s="45">
        <v>0.0</v>
      </c>
      <c r="N36" s="45">
        <v>2.44E7</v>
      </c>
      <c r="O36" s="45">
        <v>0.0</v>
      </c>
      <c r="P36" s="45">
        <v>0.0</v>
      </c>
      <c r="Q36" s="45">
        <v>0.0</v>
      </c>
      <c r="R36" s="45">
        <v>0.0</v>
      </c>
      <c r="S36" s="45">
        <v>0.0</v>
      </c>
      <c r="T36" s="48">
        <f>SUM(L36:S36)</f>
        <v>24418000</v>
      </c>
      <c r="U36" s="70"/>
      <c r="V36" s="70"/>
      <c r="W36" s="70">
        <f t="shared" si="2"/>
        <v>0</v>
      </c>
    </row>
    <row r="37">
      <c r="A37" s="56"/>
      <c r="B37" s="56"/>
      <c r="C37" s="58" t="s">
        <v>40</v>
      </c>
      <c r="D37" s="61">
        <f t="shared" si="1"/>
        <v>0</v>
      </c>
      <c r="E37" s="61">
        <f>W37</f>
        <v>0</v>
      </c>
      <c r="F37" s="56"/>
      <c r="G37" s="77"/>
      <c r="H37" s="39"/>
      <c r="I37" s="66">
        <f>H37-H36</f>
        <v>0</v>
      </c>
      <c r="J37" s="56"/>
      <c r="K37" s="67" t="s">
        <v>40</v>
      </c>
      <c r="L37" s="77"/>
      <c r="M37" s="77"/>
      <c r="N37" s="77"/>
      <c r="O37" s="77"/>
      <c r="P37" s="77"/>
      <c r="Q37" s="77"/>
      <c r="R37" s="45">
        <v>0.0</v>
      </c>
      <c r="S37" s="45">
        <v>0.0</v>
      </c>
      <c r="T37" s="68">
        <f>SUM(J37:S37)</f>
        <v>0</v>
      </c>
      <c r="U37" s="70"/>
      <c r="V37" s="70"/>
      <c r="W37" s="54">
        <f t="shared" si="2"/>
        <v>0</v>
      </c>
    </row>
    <row r="38">
      <c r="A38" s="28" t="str">
        <f>IF(ISBLANK(B38),"",TEXT(B38,"dddd"))</f>
        <v>Saturday</v>
      </c>
      <c r="B38" s="30">
        <v>46270.0</v>
      </c>
      <c r="C38" s="32" t="s">
        <v>38</v>
      </c>
      <c r="D38" s="34">
        <f t="shared" si="1"/>
        <v>0</v>
      </c>
      <c r="E38" s="35"/>
      <c r="F38" s="37"/>
      <c r="G38" s="37"/>
      <c r="H38" s="39"/>
      <c r="I38" s="41"/>
      <c r="J38" s="43"/>
      <c r="K38" s="44" t="s">
        <v>38</v>
      </c>
      <c r="L38" s="77"/>
      <c r="M38" s="45" t="s">
        <v>41</v>
      </c>
      <c r="N38" s="77"/>
      <c r="O38" s="77"/>
      <c r="P38" s="77"/>
      <c r="Q38" s="77"/>
      <c r="R38" s="45">
        <v>0.0</v>
      </c>
      <c r="S38" s="45">
        <v>0.0</v>
      </c>
      <c r="T38" s="48">
        <f>SUM(L38:S38)</f>
        <v>0</v>
      </c>
      <c r="U38" s="70"/>
      <c r="V38" s="70"/>
      <c r="W38" s="70">
        <f t="shared" si="2"/>
        <v>0</v>
      </c>
    </row>
    <row r="39">
      <c r="A39" s="56"/>
      <c r="B39" s="56"/>
      <c r="C39" s="58" t="s">
        <v>40</v>
      </c>
      <c r="D39" s="61">
        <f t="shared" si="1"/>
        <v>0</v>
      </c>
      <c r="E39" s="61">
        <f>W39</f>
        <v>0</v>
      </c>
      <c r="F39" s="56"/>
      <c r="G39" s="77"/>
      <c r="H39" s="39"/>
      <c r="I39" s="66">
        <f>H39-H38</f>
        <v>0</v>
      </c>
      <c r="J39" s="56"/>
      <c r="K39" s="67" t="s">
        <v>40</v>
      </c>
      <c r="L39" s="77"/>
      <c r="M39" s="77"/>
      <c r="N39" s="77"/>
      <c r="O39" s="77"/>
      <c r="P39" s="77"/>
      <c r="Q39" s="77"/>
      <c r="R39" s="45">
        <v>0.0</v>
      </c>
      <c r="S39" s="45">
        <v>0.0</v>
      </c>
      <c r="T39" s="68">
        <f>SUM(J39:S39)</f>
        <v>0</v>
      </c>
      <c r="U39" s="70"/>
      <c r="V39" s="70"/>
      <c r="W39" s="54">
        <f t="shared" si="2"/>
        <v>0</v>
      </c>
    </row>
    <row r="40">
      <c r="A40" s="28" t="str">
        <f>IF(ISBLANK(B40),"",TEXT(B40,"dddd"))</f>
        <v>Sunday</v>
      </c>
      <c r="B40" s="30">
        <v>46271.0</v>
      </c>
      <c r="C40" s="32" t="s">
        <v>38</v>
      </c>
      <c r="D40" s="34">
        <f t="shared" si="1"/>
        <v>0</v>
      </c>
      <c r="E40" s="35"/>
      <c r="F40" s="37"/>
      <c r="G40" s="37"/>
      <c r="H40" s="39"/>
      <c r="I40" s="41"/>
      <c r="J40" s="43"/>
      <c r="K40" s="44" t="s">
        <v>38</v>
      </c>
      <c r="L40" s="77"/>
      <c r="M40" s="77"/>
      <c r="N40" s="77"/>
      <c r="O40" s="77"/>
      <c r="P40" s="77"/>
      <c r="Q40" s="77"/>
      <c r="R40" s="45">
        <v>0.0</v>
      </c>
      <c r="S40" s="45">
        <v>0.0</v>
      </c>
      <c r="T40" s="48">
        <f>SUM(L40:S40)</f>
        <v>0</v>
      </c>
      <c r="U40" s="70"/>
      <c r="V40" s="70"/>
      <c r="W40" s="70">
        <f t="shared" si="2"/>
        <v>0</v>
      </c>
    </row>
    <row r="41">
      <c r="A41" s="56"/>
      <c r="B41" s="56"/>
      <c r="C41" s="58" t="s">
        <v>40</v>
      </c>
      <c r="D41" s="61">
        <f t="shared" si="1"/>
        <v>0</v>
      </c>
      <c r="E41" s="61">
        <f>W41</f>
        <v>0</v>
      </c>
      <c r="F41" s="56"/>
      <c r="G41" s="77"/>
      <c r="H41" s="39"/>
      <c r="I41" s="66">
        <f>H41-H40</f>
        <v>0</v>
      </c>
      <c r="J41" s="56"/>
      <c r="K41" s="67" t="s">
        <v>40</v>
      </c>
      <c r="L41" s="77"/>
      <c r="M41" s="77"/>
      <c r="N41" s="77"/>
      <c r="O41" s="77"/>
      <c r="P41" s="77"/>
      <c r="Q41" s="77"/>
      <c r="R41" s="45">
        <v>0.0</v>
      </c>
      <c r="S41" s="45">
        <v>0.0</v>
      </c>
      <c r="T41" s="68">
        <f>SUM(J41:S41)</f>
        <v>0</v>
      </c>
      <c r="U41" s="70"/>
      <c r="V41" s="70"/>
      <c r="W41" s="54">
        <f t="shared" si="2"/>
        <v>0</v>
      </c>
    </row>
    <row r="42">
      <c r="A42" s="28" t="str">
        <f>IF(ISBLANK(B42),"",TEXT(B42,"dddd"))</f>
        <v>Monday</v>
      </c>
      <c r="B42" s="30">
        <v>46272.0</v>
      </c>
      <c r="C42" s="32" t="s">
        <v>38</v>
      </c>
      <c r="D42" s="34">
        <f t="shared" si="1"/>
        <v>0</v>
      </c>
      <c r="E42" s="35"/>
      <c r="F42" s="37"/>
      <c r="G42" s="37"/>
      <c r="H42" s="39"/>
      <c r="I42" s="41"/>
      <c r="J42" s="43"/>
      <c r="K42" s="44" t="s">
        <v>38</v>
      </c>
      <c r="L42" s="77"/>
      <c r="M42" s="77"/>
      <c r="N42" s="77"/>
      <c r="O42" s="77"/>
      <c r="P42" s="77"/>
      <c r="Q42" s="77"/>
      <c r="R42" s="45">
        <v>0.0</v>
      </c>
      <c r="S42" s="45">
        <v>0.0</v>
      </c>
      <c r="T42" s="48">
        <f>SUM(L42:S42)</f>
        <v>0</v>
      </c>
      <c r="U42" s="70"/>
      <c r="V42" s="70"/>
      <c r="W42" s="70">
        <f t="shared" si="2"/>
        <v>0</v>
      </c>
    </row>
    <row r="43">
      <c r="A43" s="56"/>
      <c r="B43" s="56"/>
      <c r="C43" s="58" t="s">
        <v>40</v>
      </c>
      <c r="D43" s="61">
        <f t="shared" si="1"/>
        <v>0</v>
      </c>
      <c r="E43" s="61">
        <f>W43</f>
        <v>0</v>
      </c>
      <c r="F43" s="56"/>
      <c r="G43" s="77"/>
      <c r="H43" s="39"/>
      <c r="I43" s="66">
        <f>H43-H42</f>
        <v>0</v>
      </c>
      <c r="J43" s="56"/>
      <c r="K43" s="67" t="s">
        <v>40</v>
      </c>
      <c r="L43" s="77"/>
      <c r="M43" s="77"/>
      <c r="N43" s="77"/>
      <c r="O43" s="77"/>
      <c r="P43" s="77"/>
      <c r="Q43" s="77"/>
      <c r="R43" s="45">
        <v>0.0</v>
      </c>
      <c r="S43" s="45">
        <v>0.0</v>
      </c>
      <c r="T43" s="68">
        <f>SUM(J43:S43)</f>
        <v>0</v>
      </c>
      <c r="U43" s="70"/>
      <c r="V43" s="70"/>
      <c r="W43" s="54">
        <f t="shared" si="2"/>
        <v>0</v>
      </c>
    </row>
    <row r="44">
      <c r="A44" s="28" t="str">
        <f>IF(ISBLANK(B44),"",TEXT(B44,"dddd"))</f>
        <v>Tuesday</v>
      </c>
      <c r="B44" s="30">
        <v>46273.0</v>
      </c>
      <c r="C44" s="32" t="s">
        <v>38</v>
      </c>
      <c r="D44" s="34">
        <f t="shared" si="1"/>
        <v>0</v>
      </c>
      <c r="E44" s="35"/>
      <c r="F44" s="37"/>
      <c r="G44" s="37"/>
      <c r="H44" s="39"/>
      <c r="I44" s="41"/>
      <c r="J44" s="43"/>
      <c r="K44" s="44" t="s">
        <v>38</v>
      </c>
      <c r="L44" s="77"/>
      <c r="M44" s="77"/>
      <c r="N44" s="77"/>
      <c r="O44" s="77"/>
      <c r="P44" s="77"/>
      <c r="Q44" s="77"/>
      <c r="R44" s="45">
        <v>0.0</v>
      </c>
      <c r="S44" s="45">
        <v>0.0</v>
      </c>
      <c r="T44" s="48">
        <f>SUM(L44:S44)</f>
        <v>0</v>
      </c>
      <c r="U44" s="70"/>
      <c r="V44" s="70"/>
      <c r="W44" s="70">
        <f t="shared" si="2"/>
        <v>0</v>
      </c>
    </row>
    <row r="45">
      <c r="A45" s="56"/>
      <c r="B45" s="56"/>
      <c r="C45" s="58" t="s">
        <v>40</v>
      </c>
      <c r="D45" s="61">
        <f t="shared" si="1"/>
        <v>0</v>
      </c>
      <c r="E45" s="61">
        <f>W45</f>
        <v>0</v>
      </c>
      <c r="F45" s="56"/>
      <c r="G45" s="77"/>
      <c r="H45" s="39"/>
      <c r="I45" s="66">
        <f>H45-H44</f>
        <v>0</v>
      </c>
      <c r="J45" s="56"/>
      <c r="K45" s="67" t="s">
        <v>40</v>
      </c>
      <c r="L45" s="77"/>
      <c r="M45" s="77"/>
      <c r="N45" s="77"/>
      <c r="O45" s="77"/>
      <c r="P45" s="77"/>
      <c r="Q45" s="77"/>
      <c r="R45" s="45">
        <v>0.0</v>
      </c>
      <c r="S45" s="45">
        <v>0.0</v>
      </c>
      <c r="T45" s="68">
        <f>SUM(J45:S45)</f>
        <v>0</v>
      </c>
      <c r="U45" s="70"/>
      <c r="V45" s="70"/>
      <c r="W45" s="54">
        <f t="shared" si="2"/>
        <v>0</v>
      </c>
    </row>
    <row r="46">
      <c r="A46" s="28" t="str">
        <f>IF(ISBLANK(B46),"",TEXT(B46,"dddd"))</f>
        <v>Friday</v>
      </c>
      <c r="B46" s="30">
        <v>46269.0</v>
      </c>
      <c r="C46" s="32" t="s">
        <v>38</v>
      </c>
      <c r="D46" s="34">
        <f t="shared" si="1"/>
        <v>24418000</v>
      </c>
      <c r="E46" s="35"/>
      <c r="F46" s="37"/>
      <c r="G46" s="37"/>
      <c r="H46" s="39"/>
      <c r="I46" s="41"/>
      <c r="J46" s="43"/>
      <c r="K46" s="44" t="s">
        <v>38</v>
      </c>
      <c r="L46" s="45">
        <v>18000.0</v>
      </c>
      <c r="M46" s="45">
        <v>0.0</v>
      </c>
      <c r="N46" s="45">
        <v>2.44E7</v>
      </c>
      <c r="O46" s="45">
        <v>0.0</v>
      </c>
      <c r="P46" s="45">
        <v>0.0</v>
      </c>
      <c r="Q46" s="45">
        <v>0.0</v>
      </c>
      <c r="R46" s="45">
        <v>0.0</v>
      </c>
      <c r="S46" s="45">
        <v>0.0</v>
      </c>
      <c r="T46" s="48">
        <f>SUM(L46:S46)</f>
        <v>24418000</v>
      </c>
      <c r="U46" s="70"/>
      <c r="V46" s="70"/>
      <c r="W46" s="70">
        <f t="shared" si="2"/>
        <v>0</v>
      </c>
    </row>
    <row r="47">
      <c r="A47" s="56"/>
      <c r="B47" s="56"/>
      <c r="C47" s="58" t="s">
        <v>40</v>
      </c>
      <c r="D47" s="61">
        <f t="shared" si="1"/>
        <v>0</v>
      </c>
      <c r="E47" s="61">
        <f>W47</f>
        <v>0</v>
      </c>
      <c r="F47" s="56"/>
      <c r="G47" s="77"/>
      <c r="H47" s="39"/>
      <c r="I47" s="66">
        <f>H47-H46</f>
        <v>0</v>
      </c>
      <c r="J47" s="56"/>
      <c r="K47" s="67" t="s">
        <v>40</v>
      </c>
      <c r="L47" s="77"/>
      <c r="M47" s="77"/>
      <c r="N47" s="77"/>
      <c r="O47" s="77"/>
      <c r="P47" s="77"/>
      <c r="Q47" s="77"/>
      <c r="R47" s="45">
        <v>0.0</v>
      </c>
      <c r="S47" s="45">
        <v>0.0</v>
      </c>
      <c r="T47" s="68">
        <f>SUM(J47:S47)</f>
        <v>0</v>
      </c>
      <c r="U47" s="70"/>
      <c r="V47" s="70"/>
      <c r="W47" s="54">
        <f t="shared" si="2"/>
        <v>0</v>
      </c>
    </row>
    <row r="48">
      <c r="A48" s="28" t="str">
        <f>IF(ISBLANK(B48),"",TEXT(B48,"dddd"))</f>
        <v>Saturday</v>
      </c>
      <c r="B48" s="30">
        <v>46270.0</v>
      </c>
      <c r="C48" s="32" t="s">
        <v>38</v>
      </c>
      <c r="D48" s="34">
        <f t="shared" si="1"/>
        <v>0</v>
      </c>
      <c r="E48" s="35"/>
      <c r="F48" s="37"/>
      <c r="G48" s="37"/>
      <c r="H48" s="39"/>
      <c r="I48" s="41"/>
      <c r="J48" s="43"/>
      <c r="K48" s="44" t="s">
        <v>38</v>
      </c>
      <c r="L48" s="77"/>
      <c r="M48" s="45" t="s">
        <v>41</v>
      </c>
      <c r="N48" s="77"/>
      <c r="O48" s="77"/>
      <c r="P48" s="77"/>
      <c r="Q48" s="77"/>
      <c r="R48" s="45">
        <v>0.0</v>
      </c>
      <c r="S48" s="45">
        <v>0.0</v>
      </c>
      <c r="T48" s="48">
        <f>SUM(L48:S48)</f>
        <v>0</v>
      </c>
      <c r="U48" s="70"/>
      <c r="V48" s="70"/>
      <c r="W48" s="70">
        <f t="shared" si="2"/>
        <v>0</v>
      </c>
    </row>
    <row r="49">
      <c r="A49" s="56"/>
      <c r="B49" s="56"/>
      <c r="C49" s="58" t="s">
        <v>40</v>
      </c>
      <c r="D49" s="61">
        <f t="shared" si="1"/>
        <v>0</v>
      </c>
      <c r="E49" s="61">
        <f>W49</f>
        <v>0</v>
      </c>
      <c r="F49" s="56"/>
      <c r="G49" s="77"/>
      <c r="H49" s="39"/>
      <c r="I49" s="66">
        <f>H49-H48</f>
        <v>0</v>
      </c>
      <c r="J49" s="56"/>
      <c r="K49" s="67" t="s">
        <v>40</v>
      </c>
      <c r="L49" s="77"/>
      <c r="M49" s="77"/>
      <c r="N49" s="77"/>
      <c r="O49" s="77"/>
      <c r="P49" s="77"/>
      <c r="Q49" s="77"/>
      <c r="R49" s="45">
        <v>0.0</v>
      </c>
      <c r="S49" s="45">
        <v>0.0</v>
      </c>
      <c r="T49" s="68">
        <f>SUM(J49:S49)</f>
        <v>0</v>
      </c>
      <c r="U49" s="70"/>
      <c r="V49" s="70"/>
      <c r="W49" s="54">
        <f t="shared" si="2"/>
        <v>0</v>
      </c>
    </row>
    <row r="50">
      <c r="A50" s="28" t="str">
        <f>IF(ISBLANK(B50),"",TEXT(B50,"dddd"))</f>
        <v>Sunday</v>
      </c>
      <c r="B50" s="30">
        <v>46271.0</v>
      </c>
      <c r="C50" s="32" t="s">
        <v>38</v>
      </c>
      <c r="D50" s="34">
        <f t="shared" si="1"/>
        <v>0</v>
      </c>
      <c r="E50" s="35"/>
      <c r="F50" s="37"/>
      <c r="G50" s="37"/>
      <c r="H50" s="39"/>
      <c r="I50" s="41"/>
      <c r="J50" s="43"/>
      <c r="K50" s="44" t="s">
        <v>38</v>
      </c>
      <c r="L50" s="77"/>
      <c r="M50" s="77"/>
      <c r="N50" s="77"/>
      <c r="O50" s="77"/>
      <c r="P50" s="77"/>
      <c r="Q50" s="77"/>
      <c r="R50" s="45">
        <v>0.0</v>
      </c>
      <c r="S50" s="45">
        <v>0.0</v>
      </c>
      <c r="T50" s="48">
        <f>SUM(L50:S50)</f>
        <v>0</v>
      </c>
      <c r="U50" s="70"/>
      <c r="V50" s="70"/>
      <c r="W50" s="70">
        <f t="shared" si="2"/>
        <v>0</v>
      </c>
    </row>
    <row r="51">
      <c r="A51" s="56"/>
      <c r="B51" s="56"/>
      <c r="C51" s="58" t="s">
        <v>40</v>
      </c>
      <c r="D51" s="61">
        <f t="shared" si="1"/>
        <v>0</v>
      </c>
      <c r="E51" s="61">
        <f>W51</f>
        <v>0</v>
      </c>
      <c r="F51" s="56"/>
      <c r="G51" s="77"/>
      <c r="H51" s="39"/>
      <c r="I51" s="66">
        <f>H51-H50</f>
        <v>0</v>
      </c>
      <c r="J51" s="56"/>
      <c r="K51" s="67" t="s">
        <v>40</v>
      </c>
      <c r="L51" s="77"/>
      <c r="M51" s="77"/>
      <c r="N51" s="77"/>
      <c r="O51" s="77"/>
      <c r="P51" s="77"/>
      <c r="Q51" s="77"/>
      <c r="R51" s="45">
        <v>0.0</v>
      </c>
      <c r="S51" s="45">
        <v>0.0</v>
      </c>
      <c r="T51" s="68">
        <f>SUM(J51:S51)</f>
        <v>0</v>
      </c>
      <c r="U51" s="70"/>
      <c r="V51" s="70"/>
      <c r="W51" s="54">
        <f t="shared" si="2"/>
        <v>0</v>
      </c>
    </row>
    <row r="52">
      <c r="A52" s="28" t="str">
        <f>IF(ISBLANK(B52),"",TEXT(B52,"dddd"))</f>
        <v>Monday</v>
      </c>
      <c r="B52" s="30">
        <v>46272.0</v>
      </c>
      <c r="C52" s="32" t="s">
        <v>38</v>
      </c>
      <c r="D52" s="34">
        <f t="shared" si="1"/>
        <v>0</v>
      </c>
      <c r="E52" s="35"/>
      <c r="F52" s="37"/>
      <c r="G52" s="37"/>
      <c r="H52" s="39"/>
      <c r="I52" s="41"/>
      <c r="J52" s="43"/>
      <c r="K52" s="44" t="s">
        <v>38</v>
      </c>
      <c r="L52" s="77"/>
      <c r="M52" s="77"/>
      <c r="N52" s="77"/>
      <c r="O52" s="77"/>
      <c r="P52" s="77"/>
      <c r="Q52" s="77"/>
      <c r="R52" s="45">
        <v>0.0</v>
      </c>
      <c r="S52" s="45">
        <v>0.0</v>
      </c>
      <c r="T52" s="48">
        <f>SUM(L52:S52)</f>
        <v>0</v>
      </c>
      <c r="U52" s="70"/>
      <c r="V52" s="70"/>
      <c r="W52" s="70">
        <f t="shared" si="2"/>
        <v>0</v>
      </c>
    </row>
    <row r="53">
      <c r="A53" s="56"/>
      <c r="B53" s="56"/>
      <c r="C53" s="58" t="s">
        <v>40</v>
      </c>
      <c r="D53" s="61">
        <f t="shared" si="1"/>
        <v>0</v>
      </c>
      <c r="E53" s="61">
        <f>W53</f>
        <v>0</v>
      </c>
      <c r="F53" s="56"/>
      <c r="G53" s="77"/>
      <c r="H53" s="39"/>
      <c r="I53" s="66">
        <f>H53-H52</f>
        <v>0</v>
      </c>
      <c r="J53" s="56"/>
      <c r="K53" s="67" t="s">
        <v>40</v>
      </c>
      <c r="L53" s="77"/>
      <c r="M53" s="77"/>
      <c r="N53" s="77"/>
      <c r="O53" s="77"/>
      <c r="P53" s="77"/>
      <c r="Q53" s="77"/>
      <c r="R53" s="45">
        <v>0.0</v>
      </c>
      <c r="S53" s="45">
        <v>0.0</v>
      </c>
      <c r="T53" s="68">
        <f>SUM(J53:S53)</f>
        <v>0</v>
      </c>
      <c r="U53" s="70"/>
      <c r="V53" s="70"/>
      <c r="W53" s="54">
        <f t="shared" si="2"/>
        <v>0</v>
      </c>
    </row>
    <row r="54">
      <c r="A54" s="28" t="str">
        <f>IF(ISBLANK(B54),"",TEXT(B54,"dddd"))</f>
        <v>Tuesday</v>
      </c>
      <c r="B54" s="30">
        <v>46273.0</v>
      </c>
      <c r="C54" s="32" t="s">
        <v>38</v>
      </c>
      <c r="D54" s="34">
        <f t="shared" si="1"/>
        <v>0</v>
      </c>
      <c r="E54" s="35"/>
      <c r="F54" s="37"/>
      <c r="G54" s="37"/>
      <c r="H54" s="39"/>
      <c r="I54" s="41"/>
      <c r="J54" s="43"/>
      <c r="K54" s="44" t="s">
        <v>38</v>
      </c>
      <c r="L54" s="77"/>
      <c r="M54" s="77"/>
      <c r="N54" s="77"/>
      <c r="O54" s="77"/>
      <c r="P54" s="77"/>
      <c r="Q54" s="77"/>
      <c r="R54" s="45">
        <v>0.0</v>
      </c>
      <c r="S54" s="45">
        <v>0.0</v>
      </c>
      <c r="T54" s="48">
        <f>SUM(L54:S54)</f>
        <v>0</v>
      </c>
      <c r="U54" s="70"/>
      <c r="V54" s="70"/>
      <c r="W54" s="70">
        <f t="shared" si="2"/>
        <v>0</v>
      </c>
    </row>
    <row r="55">
      <c r="A55" s="56"/>
      <c r="B55" s="56"/>
      <c r="C55" s="58" t="s">
        <v>40</v>
      </c>
      <c r="D55" s="61">
        <f t="shared" si="1"/>
        <v>0</v>
      </c>
      <c r="E55" s="61">
        <f>W55</f>
        <v>0</v>
      </c>
      <c r="F55" s="56"/>
      <c r="G55" s="77"/>
      <c r="H55" s="39"/>
      <c r="I55" s="66">
        <f>H55-H54</f>
        <v>0</v>
      </c>
      <c r="J55" s="56"/>
      <c r="K55" s="67" t="s">
        <v>40</v>
      </c>
      <c r="L55" s="77"/>
      <c r="M55" s="77"/>
      <c r="N55" s="77"/>
      <c r="O55" s="77"/>
      <c r="P55" s="77"/>
      <c r="Q55" s="77"/>
      <c r="R55" s="45">
        <v>0.0</v>
      </c>
      <c r="S55" s="45">
        <v>0.0</v>
      </c>
      <c r="T55" s="68">
        <f>SUM(J55:S55)</f>
        <v>0</v>
      </c>
      <c r="U55" s="70"/>
      <c r="V55" s="70"/>
      <c r="W55" s="54">
        <f t="shared" si="2"/>
        <v>0</v>
      </c>
    </row>
    <row r="56">
      <c r="A56" s="28" t="str">
        <f>IF(ISBLANK(B56),"",TEXT(B56,"dddd"))</f>
        <v>Friday</v>
      </c>
      <c r="B56" s="30">
        <v>46269.0</v>
      </c>
      <c r="C56" s="32" t="s">
        <v>38</v>
      </c>
      <c r="D56" s="34">
        <f t="shared" si="1"/>
        <v>24418000</v>
      </c>
      <c r="E56" s="35"/>
      <c r="F56" s="37"/>
      <c r="G56" s="37"/>
      <c r="H56" s="39"/>
      <c r="I56" s="41"/>
      <c r="J56" s="43"/>
      <c r="K56" s="44" t="s">
        <v>38</v>
      </c>
      <c r="L56" s="45">
        <v>18000.0</v>
      </c>
      <c r="M56" s="45">
        <v>0.0</v>
      </c>
      <c r="N56" s="45">
        <v>2.44E7</v>
      </c>
      <c r="O56" s="45">
        <v>0.0</v>
      </c>
      <c r="P56" s="45">
        <v>0.0</v>
      </c>
      <c r="Q56" s="45">
        <v>0.0</v>
      </c>
      <c r="R56" s="45">
        <v>0.0</v>
      </c>
      <c r="S56" s="45">
        <v>0.0</v>
      </c>
      <c r="T56" s="48">
        <f>SUM(L56:S56)</f>
        <v>24418000</v>
      </c>
      <c r="U56" s="70"/>
      <c r="V56" s="70"/>
      <c r="W56" s="70">
        <f t="shared" si="2"/>
        <v>0</v>
      </c>
    </row>
    <row r="57">
      <c r="A57" s="56"/>
      <c r="B57" s="56"/>
      <c r="C57" s="58" t="s">
        <v>40</v>
      </c>
      <c r="D57" s="61">
        <f t="shared" si="1"/>
        <v>0</v>
      </c>
      <c r="E57" s="61">
        <f>W57</f>
        <v>0</v>
      </c>
      <c r="F57" s="56"/>
      <c r="G57" s="77"/>
      <c r="H57" s="39"/>
      <c r="I57" s="66">
        <f>H57-H56</f>
        <v>0</v>
      </c>
      <c r="J57" s="56"/>
      <c r="K57" s="67" t="s">
        <v>40</v>
      </c>
      <c r="L57" s="77"/>
      <c r="M57" s="77"/>
      <c r="N57" s="77"/>
      <c r="O57" s="77"/>
      <c r="P57" s="77"/>
      <c r="Q57" s="77"/>
      <c r="R57" s="45">
        <v>0.0</v>
      </c>
      <c r="S57" s="45">
        <v>0.0</v>
      </c>
      <c r="T57" s="68">
        <f>SUM(J57:S57)</f>
        <v>0</v>
      </c>
      <c r="U57" s="70"/>
      <c r="V57" s="70"/>
      <c r="W57" s="54">
        <f t="shared" si="2"/>
        <v>0</v>
      </c>
    </row>
    <row r="58">
      <c r="A58" s="28" t="str">
        <f>IF(ISBLANK(B58),"",TEXT(B58,"dddd"))</f>
        <v>Saturday</v>
      </c>
      <c r="B58" s="30">
        <v>46270.0</v>
      </c>
      <c r="C58" s="32" t="s">
        <v>38</v>
      </c>
      <c r="D58" s="34">
        <f t="shared" si="1"/>
        <v>0</v>
      </c>
      <c r="E58" s="35"/>
      <c r="F58" s="37"/>
      <c r="G58" s="37"/>
      <c r="H58" s="39"/>
      <c r="I58" s="41"/>
      <c r="J58" s="43"/>
      <c r="K58" s="44" t="s">
        <v>38</v>
      </c>
      <c r="L58" s="77"/>
      <c r="M58" s="45" t="s">
        <v>41</v>
      </c>
      <c r="N58" s="77"/>
      <c r="O58" s="77"/>
      <c r="P58" s="77"/>
      <c r="Q58" s="77"/>
      <c r="R58" s="45">
        <v>0.0</v>
      </c>
      <c r="S58" s="45">
        <v>0.0</v>
      </c>
      <c r="T58" s="48">
        <f>SUM(L58:S58)</f>
        <v>0</v>
      </c>
      <c r="U58" s="70"/>
      <c r="V58" s="70"/>
      <c r="W58" s="70">
        <f t="shared" si="2"/>
        <v>0</v>
      </c>
    </row>
    <row r="59">
      <c r="A59" s="56"/>
      <c r="B59" s="56"/>
      <c r="C59" s="58" t="s">
        <v>40</v>
      </c>
      <c r="D59" s="61">
        <f t="shared" si="1"/>
        <v>0</v>
      </c>
      <c r="E59" s="61">
        <f>W59</f>
        <v>0</v>
      </c>
      <c r="F59" s="56"/>
      <c r="G59" s="77"/>
      <c r="H59" s="39"/>
      <c r="I59" s="66">
        <f>H59-H58</f>
        <v>0</v>
      </c>
      <c r="J59" s="56"/>
      <c r="K59" s="67" t="s">
        <v>40</v>
      </c>
      <c r="L59" s="77"/>
      <c r="M59" s="77"/>
      <c r="N59" s="77"/>
      <c r="O59" s="77"/>
      <c r="P59" s="77"/>
      <c r="Q59" s="77"/>
      <c r="R59" s="45">
        <v>0.0</v>
      </c>
      <c r="S59" s="45">
        <v>0.0</v>
      </c>
      <c r="T59" s="68">
        <f>SUM(J59:S59)</f>
        <v>0</v>
      </c>
      <c r="U59" s="70"/>
      <c r="V59" s="70"/>
      <c r="W59" s="54">
        <f t="shared" si="2"/>
        <v>0</v>
      </c>
    </row>
    <row r="60">
      <c r="A60" s="28" t="str">
        <f>IF(ISBLANK(B60),"",TEXT(B60,"dddd"))</f>
        <v>Sunday</v>
      </c>
      <c r="B60" s="30">
        <v>46271.0</v>
      </c>
      <c r="C60" s="32" t="s">
        <v>38</v>
      </c>
      <c r="D60" s="34">
        <f t="shared" si="1"/>
        <v>0</v>
      </c>
      <c r="E60" s="35"/>
      <c r="F60" s="37"/>
      <c r="G60" s="37"/>
      <c r="H60" s="39"/>
      <c r="I60" s="41"/>
      <c r="J60" s="43"/>
      <c r="K60" s="44" t="s">
        <v>38</v>
      </c>
      <c r="L60" s="77"/>
      <c r="M60" s="77"/>
      <c r="N60" s="77"/>
      <c r="O60" s="77"/>
      <c r="P60" s="77"/>
      <c r="Q60" s="77"/>
      <c r="R60" s="45">
        <v>0.0</v>
      </c>
      <c r="S60" s="45">
        <v>0.0</v>
      </c>
      <c r="T60" s="48">
        <f>SUM(L60:S60)</f>
        <v>0</v>
      </c>
      <c r="U60" s="70"/>
      <c r="V60" s="70"/>
      <c r="W60" s="70">
        <f t="shared" si="2"/>
        <v>0</v>
      </c>
    </row>
    <row r="61">
      <c r="A61" s="56"/>
      <c r="B61" s="56"/>
      <c r="C61" s="58" t="s">
        <v>40</v>
      </c>
      <c r="D61" s="61">
        <f t="shared" si="1"/>
        <v>0</v>
      </c>
      <c r="E61" s="61">
        <f>W61</f>
        <v>0</v>
      </c>
      <c r="F61" s="56"/>
      <c r="G61" s="77"/>
      <c r="H61" s="39"/>
      <c r="I61" s="66">
        <f>H61-H60</f>
        <v>0</v>
      </c>
      <c r="J61" s="56"/>
      <c r="K61" s="67" t="s">
        <v>40</v>
      </c>
      <c r="L61" s="77"/>
      <c r="M61" s="77"/>
      <c r="N61" s="77"/>
      <c r="O61" s="77"/>
      <c r="P61" s="77"/>
      <c r="Q61" s="77"/>
      <c r="R61" s="45">
        <v>0.0</v>
      </c>
      <c r="S61" s="45">
        <v>0.0</v>
      </c>
      <c r="T61" s="68">
        <f>SUM(J61:S61)</f>
        <v>0</v>
      </c>
      <c r="U61" s="70"/>
      <c r="V61" s="70"/>
      <c r="W61" s="54">
        <f t="shared" si="2"/>
        <v>0</v>
      </c>
    </row>
    <row r="62">
      <c r="A62" s="28" t="str">
        <f>IF(ISBLANK(B62),"",TEXT(B62,"dddd"))</f>
        <v>Monday</v>
      </c>
      <c r="B62" s="30">
        <v>46272.0</v>
      </c>
      <c r="C62" s="32" t="s">
        <v>38</v>
      </c>
      <c r="D62" s="34">
        <f t="shared" si="1"/>
        <v>0</v>
      </c>
      <c r="E62" s="35"/>
      <c r="F62" s="37"/>
      <c r="G62" s="37"/>
      <c r="H62" s="39"/>
      <c r="I62" s="41"/>
      <c r="J62" s="43"/>
      <c r="K62" s="44" t="s">
        <v>38</v>
      </c>
      <c r="L62" s="77"/>
      <c r="M62" s="77"/>
      <c r="N62" s="77"/>
      <c r="O62" s="77"/>
      <c r="P62" s="77"/>
      <c r="Q62" s="77"/>
      <c r="R62" s="45">
        <v>0.0</v>
      </c>
      <c r="S62" s="45">
        <v>0.0</v>
      </c>
      <c r="T62" s="48">
        <f>SUM(L62:S62)</f>
        <v>0</v>
      </c>
      <c r="U62" s="70"/>
      <c r="V62" s="70"/>
      <c r="W62" s="70">
        <f t="shared" si="2"/>
        <v>0</v>
      </c>
    </row>
    <row r="63">
      <c r="A63" s="56"/>
      <c r="B63" s="56"/>
      <c r="C63" s="58" t="s">
        <v>40</v>
      </c>
      <c r="D63" s="61">
        <f t="shared" si="1"/>
        <v>0</v>
      </c>
      <c r="E63" s="61">
        <f>W63</f>
        <v>0</v>
      </c>
      <c r="F63" s="56"/>
      <c r="G63" s="77"/>
      <c r="H63" s="39"/>
      <c r="I63" s="66">
        <f>H63-H62</f>
        <v>0</v>
      </c>
      <c r="J63" s="56"/>
      <c r="K63" s="67" t="s">
        <v>40</v>
      </c>
      <c r="L63" s="77"/>
      <c r="M63" s="77"/>
      <c r="N63" s="77"/>
      <c r="O63" s="77"/>
      <c r="P63" s="77"/>
      <c r="Q63" s="77"/>
      <c r="R63" s="45">
        <v>0.0</v>
      </c>
      <c r="S63" s="45">
        <v>0.0</v>
      </c>
      <c r="T63" s="68">
        <f>SUM(J63:S63)</f>
        <v>0</v>
      </c>
      <c r="U63" s="70"/>
      <c r="V63" s="70"/>
      <c r="W63" s="54">
        <f t="shared" si="2"/>
        <v>0</v>
      </c>
    </row>
    <row r="64">
      <c r="A64" s="28" t="str">
        <f>IF(ISBLANK(B64),"",TEXT(B64,"dddd"))</f>
        <v>Tuesday</v>
      </c>
      <c r="B64" s="30">
        <v>46273.0</v>
      </c>
      <c r="C64" s="32" t="s">
        <v>38</v>
      </c>
      <c r="D64" s="34">
        <f t="shared" si="1"/>
        <v>0</v>
      </c>
      <c r="E64" s="35"/>
      <c r="F64" s="37"/>
      <c r="G64" s="37"/>
      <c r="H64" s="39"/>
      <c r="I64" s="41"/>
      <c r="J64" s="43"/>
      <c r="K64" s="44" t="s">
        <v>38</v>
      </c>
      <c r="L64" s="77"/>
      <c r="M64" s="77"/>
      <c r="N64" s="77"/>
      <c r="O64" s="77"/>
      <c r="P64" s="77"/>
      <c r="Q64" s="77"/>
      <c r="R64" s="45">
        <v>0.0</v>
      </c>
      <c r="S64" s="45">
        <v>0.0</v>
      </c>
      <c r="T64" s="48">
        <f>SUM(L64:S64)</f>
        <v>0</v>
      </c>
      <c r="U64" s="70"/>
      <c r="V64" s="70"/>
      <c r="W64" s="70">
        <f t="shared" si="2"/>
        <v>0</v>
      </c>
    </row>
    <row r="65">
      <c r="A65" s="56"/>
      <c r="B65" s="56"/>
      <c r="C65" s="58" t="s">
        <v>40</v>
      </c>
      <c r="D65" s="61">
        <f t="shared" si="1"/>
        <v>0</v>
      </c>
      <c r="E65" s="61">
        <f>W65</f>
        <v>0</v>
      </c>
      <c r="F65" s="56"/>
      <c r="G65" s="77"/>
      <c r="H65" s="39"/>
      <c r="I65" s="66">
        <f>H65-H64</f>
        <v>0</v>
      </c>
      <c r="J65" s="56"/>
      <c r="K65" s="67" t="s">
        <v>40</v>
      </c>
      <c r="L65" s="77"/>
      <c r="M65" s="77"/>
      <c r="N65" s="77"/>
      <c r="O65" s="77"/>
      <c r="P65" s="77"/>
      <c r="Q65" s="77"/>
      <c r="R65" s="45">
        <v>0.0</v>
      </c>
      <c r="S65" s="45">
        <v>0.0</v>
      </c>
      <c r="T65" s="68">
        <f>SUM(J65:S65)</f>
        <v>0</v>
      </c>
      <c r="U65" s="70"/>
      <c r="V65" s="70"/>
      <c r="W65" s="54">
        <f t="shared" si="2"/>
        <v>0</v>
      </c>
    </row>
    <row r="66">
      <c r="T66" s="113"/>
    </row>
    <row r="67">
      <c r="T67" s="113"/>
    </row>
    <row r="68">
      <c r="T68" s="113"/>
    </row>
    <row r="69">
      <c r="T69" s="113"/>
    </row>
    <row r="70">
      <c r="T70" s="113"/>
    </row>
    <row r="71">
      <c r="T71" s="113"/>
    </row>
    <row r="72">
      <c r="T72" s="113"/>
    </row>
    <row r="73">
      <c r="T73" s="113"/>
    </row>
    <row r="74">
      <c r="T74" s="113"/>
    </row>
    <row r="75">
      <c r="T75" s="113"/>
    </row>
    <row r="76">
      <c r="T76" s="113"/>
    </row>
    <row r="77">
      <c r="T77" s="113"/>
    </row>
    <row r="78">
      <c r="T78" s="113"/>
    </row>
    <row r="79">
      <c r="T79" s="113"/>
    </row>
    <row r="80">
      <c r="T80" s="113"/>
    </row>
    <row r="81">
      <c r="T81" s="113"/>
    </row>
    <row r="82">
      <c r="T82" s="113"/>
    </row>
    <row r="83">
      <c r="T83" s="113"/>
    </row>
    <row r="84">
      <c r="T84" s="113"/>
    </row>
    <row r="85">
      <c r="T85" s="113"/>
    </row>
    <row r="86">
      <c r="T86" s="113"/>
    </row>
    <row r="87">
      <c r="T87" s="113"/>
    </row>
    <row r="88">
      <c r="T88" s="113"/>
    </row>
    <row r="89">
      <c r="T89" s="113"/>
    </row>
    <row r="90">
      <c r="T90" s="113"/>
    </row>
    <row r="91">
      <c r="T91" s="113"/>
    </row>
    <row r="92">
      <c r="T92" s="113"/>
    </row>
    <row r="93">
      <c r="T93" s="113"/>
    </row>
    <row r="94">
      <c r="T94" s="113"/>
    </row>
    <row r="95">
      <c r="T95" s="113"/>
    </row>
    <row r="96">
      <c r="T96" s="113"/>
    </row>
    <row r="97">
      <c r="T97" s="113"/>
    </row>
    <row r="98">
      <c r="T98" s="113"/>
    </row>
    <row r="99">
      <c r="T99" s="113"/>
    </row>
    <row r="100">
      <c r="T100" s="113"/>
    </row>
    <row r="101">
      <c r="T101" s="113"/>
    </row>
    <row r="102">
      <c r="T102" s="113"/>
    </row>
    <row r="103">
      <c r="T103" s="113"/>
    </row>
    <row r="104">
      <c r="T104" s="113"/>
    </row>
    <row r="105">
      <c r="T105" s="113"/>
    </row>
    <row r="106">
      <c r="T106" s="113"/>
    </row>
    <row r="107">
      <c r="T107" s="113"/>
    </row>
    <row r="108">
      <c r="T108" s="113"/>
    </row>
    <row r="109">
      <c r="T109" s="113"/>
    </row>
    <row r="110">
      <c r="T110" s="113"/>
    </row>
    <row r="111">
      <c r="T111" s="113"/>
    </row>
    <row r="112">
      <c r="T112" s="113"/>
    </row>
    <row r="113">
      <c r="T113" s="113"/>
    </row>
    <row r="114">
      <c r="T114" s="113"/>
    </row>
    <row r="115">
      <c r="T115" s="113"/>
    </row>
    <row r="116">
      <c r="T116" s="113"/>
    </row>
    <row r="117">
      <c r="T117" s="113"/>
    </row>
    <row r="118">
      <c r="T118" s="113"/>
    </row>
    <row r="119">
      <c r="T119" s="113"/>
    </row>
    <row r="120">
      <c r="T120" s="113"/>
    </row>
    <row r="121">
      <c r="T121" s="113"/>
    </row>
    <row r="122">
      <c r="T122" s="113"/>
    </row>
    <row r="123">
      <c r="T123" s="113"/>
    </row>
    <row r="124">
      <c r="T124" s="113"/>
    </row>
    <row r="125">
      <c r="T125" s="113"/>
    </row>
    <row r="126">
      <c r="T126" s="113"/>
    </row>
    <row r="127">
      <c r="T127" s="113"/>
    </row>
    <row r="128">
      <c r="T128" s="113"/>
    </row>
    <row r="129">
      <c r="T129" s="113"/>
    </row>
    <row r="130">
      <c r="T130" s="113"/>
    </row>
    <row r="131">
      <c r="T131" s="113"/>
    </row>
    <row r="132">
      <c r="T132" s="113"/>
    </row>
    <row r="133">
      <c r="T133" s="113"/>
    </row>
    <row r="134">
      <c r="T134" s="113"/>
    </row>
    <row r="135">
      <c r="T135" s="113"/>
    </row>
    <row r="136">
      <c r="T136" s="113"/>
    </row>
    <row r="137">
      <c r="T137" s="113"/>
    </row>
    <row r="138">
      <c r="T138" s="113"/>
    </row>
    <row r="139">
      <c r="T139" s="113"/>
    </row>
    <row r="140">
      <c r="T140" s="113"/>
    </row>
    <row r="141">
      <c r="T141" s="113"/>
    </row>
    <row r="142">
      <c r="T142" s="113"/>
    </row>
    <row r="143">
      <c r="T143" s="113"/>
    </row>
    <row r="144">
      <c r="T144" s="113"/>
    </row>
    <row r="145">
      <c r="T145" s="113"/>
    </row>
    <row r="146">
      <c r="T146" s="113"/>
    </row>
    <row r="147">
      <c r="T147" s="113"/>
    </row>
    <row r="148">
      <c r="T148" s="113"/>
    </row>
    <row r="149">
      <c r="T149" s="113"/>
    </row>
    <row r="150">
      <c r="T150" s="113"/>
    </row>
    <row r="151">
      <c r="T151" s="113"/>
    </row>
    <row r="152">
      <c r="T152" s="113"/>
    </row>
    <row r="153">
      <c r="T153" s="113"/>
    </row>
    <row r="154">
      <c r="T154" s="113"/>
    </row>
    <row r="155">
      <c r="T155" s="113"/>
    </row>
    <row r="156">
      <c r="T156" s="113"/>
    </row>
    <row r="157">
      <c r="T157" s="113"/>
    </row>
    <row r="158">
      <c r="T158" s="113"/>
    </row>
    <row r="159">
      <c r="T159" s="113"/>
    </row>
    <row r="160">
      <c r="T160" s="113"/>
    </row>
    <row r="161">
      <c r="T161" s="113"/>
    </row>
    <row r="162">
      <c r="T162" s="113"/>
    </row>
    <row r="163">
      <c r="T163" s="113"/>
    </row>
    <row r="164">
      <c r="T164" s="113"/>
    </row>
    <row r="165">
      <c r="T165" s="113"/>
    </row>
    <row r="166">
      <c r="T166" s="113"/>
    </row>
    <row r="167">
      <c r="T167" s="113"/>
    </row>
    <row r="168">
      <c r="T168" s="113"/>
    </row>
    <row r="169">
      <c r="T169" s="113"/>
    </row>
    <row r="170">
      <c r="T170" s="113"/>
    </row>
    <row r="171">
      <c r="T171" s="113"/>
    </row>
    <row r="172">
      <c r="T172" s="113"/>
    </row>
    <row r="173">
      <c r="T173" s="113"/>
    </row>
    <row r="174">
      <c r="T174" s="113"/>
    </row>
    <row r="175">
      <c r="T175" s="113"/>
    </row>
    <row r="176">
      <c r="T176" s="113"/>
    </row>
    <row r="177">
      <c r="T177" s="113"/>
    </row>
    <row r="178">
      <c r="T178" s="113"/>
    </row>
    <row r="179">
      <c r="T179" s="113"/>
    </row>
    <row r="180">
      <c r="T180" s="113"/>
    </row>
    <row r="181">
      <c r="T181" s="113"/>
    </row>
    <row r="182">
      <c r="T182" s="113"/>
    </row>
    <row r="183">
      <c r="T183" s="113"/>
    </row>
    <row r="184">
      <c r="T184" s="113"/>
    </row>
    <row r="185">
      <c r="T185" s="113"/>
    </row>
    <row r="186">
      <c r="T186" s="113"/>
    </row>
    <row r="187">
      <c r="T187" s="113"/>
    </row>
    <row r="188">
      <c r="T188" s="113"/>
    </row>
    <row r="189">
      <c r="T189" s="113"/>
    </row>
    <row r="190">
      <c r="T190" s="113"/>
    </row>
    <row r="191">
      <c r="T191" s="113"/>
    </row>
    <row r="192">
      <c r="T192" s="113"/>
    </row>
    <row r="193">
      <c r="T193" s="113"/>
    </row>
    <row r="194">
      <c r="T194" s="113"/>
    </row>
    <row r="195">
      <c r="T195" s="113"/>
    </row>
    <row r="196">
      <c r="T196" s="113"/>
    </row>
    <row r="197">
      <c r="T197" s="113"/>
    </row>
    <row r="198">
      <c r="T198" s="113"/>
    </row>
    <row r="199">
      <c r="T199" s="113"/>
    </row>
    <row r="200">
      <c r="T200" s="113"/>
    </row>
    <row r="201">
      <c r="T201" s="113"/>
    </row>
    <row r="202">
      <c r="T202" s="113"/>
    </row>
    <row r="203">
      <c r="T203" s="113"/>
    </row>
    <row r="204">
      <c r="T204" s="113"/>
    </row>
    <row r="205">
      <c r="T205" s="113"/>
    </row>
    <row r="206">
      <c r="T206" s="113"/>
    </row>
    <row r="207">
      <c r="T207" s="113"/>
    </row>
    <row r="208">
      <c r="T208" s="113"/>
    </row>
    <row r="209">
      <c r="T209" s="113"/>
    </row>
    <row r="210">
      <c r="T210" s="113"/>
    </row>
    <row r="211">
      <c r="T211" s="113"/>
    </row>
    <row r="212">
      <c r="T212" s="113"/>
    </row>
    <row r="213">
      <c r="T213" s="113"/>
    </row>
    <row r="214">
      <c r="T214" s="113"/>
    </row>
    <row r="215">
      <c r="T215" s="113"/>
    </row>
    <row r="216">
      <c r="T216" s="113"/>
    </row>
    <row r="217">
      <c r="T217" s="113"/>
    </row>
    <row r="218">
      <c r="T218" s="113"/>
    </row>
    <row r="219">
      <c r="T219" s="113"/>
    </row>
    <row r="220">
      <c r="T220" s="113"/>
    </row>
    <row r="221">
      <c r="T221" s="113"/>
    </row>
    <row r="222">
      <c r="T222" s="113"/>
    </row>
    <row r="223">
      <c r="T223" s="113"/>
    </row>
    <row r="224">
      <c r="T224" s="113"/>
    </row>
    <row r="225">
      <c r="T225" s="113"/>
    </row>
    <row r="226">
      <c r="T226" s="113"/>
    </row>
    <row r="227">
      <c r="T227" s="113"/>
    </row>
    <row r="228">
      <c r="T228" s="113"/>
    </row>
    <row r="229">
      <c r="T229" s="113"/>
    </row>
    <row r="230">
      <c r="T230" s="113"/>
    </row>
    <row r="231">
      <c r="T231" s="113"/>
    </row>
    <row r="232">
      <c r="T232" s="113"/>
    </row>
    <row r="233">
      <c r="T233" s="113"/>
    </row>
    <row r="234">
      <c r="T234" s="113"/>
    </row>
    <row r="235">
      <c r="T235" s="113"/>
    </row>
    <row r="236">
      <c r="T236" s="113"/>
    </row>
    <row r="237">
      <c r="T237" s="113"/>
    </row>
    <row r="238">
      <c r="T238" s="113"/>
    </row>
    <row r="239">
      <c r="T239" s="113"/>
    </row>
    <row r="240">
      <c r="T240" s="113"/>
    </row>
    <row r="241">
      <c r="T241" s="113"/>
    </row>
    <row r="242">
      <c r="T242" s="113"/>
    </row>
    <row r="243">
      <c r="T243" s="113"/>
    </row>
    <row r="244">
      <c r="T244" s="113"/>
    </row>
    <row r="245">
      <c r="T245" s="113"/>
    </row>
    <row r="246">
      <c r="T246" s="113"/>
    </row>
    <row r="247">
      <c r="T247" s="113"/>
    </row>
    <row r="248">
      <c r="T248" s="113"/>
    </row>
    <row r="249">
      <c r="T249" s="113"/>
    </row>
    <row r="250">
      <c r="T250" s="113"/>
    </row>
    <row r="251">
      <c r="T251" s="113"/>
    </row>
    <row r="252">
      <c r="T252" s="113"/>
    </row>
    <row r="253">
      <c r="T253" s="113"/>
    </row>
    <row r="254">
      <c r="T254" s="113"/>
    </row>
    <row r="255">
      <c r="T255" s="113"/>
    </row>
    <row r="256">
      <c r="T256" s="113"/>
    </row>
    <row r="257">
      <c r="T257" s="113"/>
    </row>
    <row r="258">
      <c r="T258" s="113"/>
    </row>
    <row r="259">
      <c r="T259" s="113"/>
    </row>
    <row r="260">
      <c r="T260" s="113"/>
    </row>
    <row r="261">
      <c r="T261" s="113"/>
    </row>
    <row r="262">
      <c r="T262" s="113"/>
    </row>
    <row r="263">
      <c r="T263" s="113"/>
    </row>
    <row r="264">
      <c r="T264" s="113"/>
    </row>
    <row r="265">
      <c r="T265" s="113"/>
    </row>
    <row r="266">
      <c r="T266" s="113"/>
    </row>
    <row r="267">
      <c r="T267" s="113"/>
    </row>
    <row r="268">
      <c r="T268" s="113"/>
    </row>
    <row r="269">
      <c r="T269" s="113"/>
    </row>
    <row r="270">
      <c r="T270" s="113"/>
    </row>
    <row r="271">
      <c r="T271" s="113"/>
    </row>
    <row r="272">
      <c r="T272" s="113"/>
    </row>
    <row r="273">
      <c r="T273" s="113"/>
    </row>
    <row r="274">
      <c r="T274" s="113"/>
    </row>
    <row r="275">
      <c r="T275" s="113"/>
    </row>
    <row r="276">
      <c r="T276" s="113"/>
    </row>
    <row r="277">
      <c r="T277" s="113"/>
    </row>
    <row r="278">
      <c r="T278" s="113"/>
    </row>
    <row r="279">
      <c r="T279" s="113"/>
    </row>
    <row r="280">
      <c r="T280" s="113"/>
    </row>
    <row r="281">
      <c r="T281" s="113"/>
    </row>
    <row r="282">
      <c r="T282" s="113"/>
    </row>
    <row r="283">
      <c r="T283" s="113"/>
    </row>
    <row r="284">
      <c r="T284" s="113"/>
    </row>
    <row r="285">
      <c r="T285" s="113"/>
    </row>
    <row r="286">
      <c r="T286" s="113"/>
    </row>
    <row r="287">
      <c r="T287" s="113"/>
    </row>
    <row r="288">
      <c r="T288" s="113"/>
    </row>
    <row r="289">
      <c r="T289" s="113"/>
    </row>
    <row r="290">
      <c r="T290" s="113"/>
    </row>
    <row r="291">
      <c r="T291" s="113"/>
    </row>
    <row r="292">
      <c r="T292" s="113"/>
    </row>
    <row r="293">
      <c r="T293" s="113"/>
    </row>
    <row r="294">
      <c r="T294" s="113"/>
    </row>
    <row r="295">
      <c r="T295" s="113"/>
    </row>
    <row r="296">
      <c r="T296" s="113"/>
    </row>
    <row r="297">
      <c r="T297" s="113"/>
    </row>
    <row r="298">
      <c r="T298" s="113"/>
    </row>
    <row r="299">
      <c r="T299" s="113"/>
    </row>
    <row r="300">
      <c r="T300" s="113"/>
    </row>
    <row r="301">
      <c r="T301" s="113"/>
    </row>
    <row r="302">
      <c r="T302" s="113"/>
    </row>
    <row r="303">
      <c r="T303" s="113"/>
    </row>
    <row r="304">
      <c r="T304" s="113"/>
    </row>
    <row r="305">
      <c r="T305" s="113"/>
    </row>
    <row r="306">
      <c r="T306" s="113"/>
    </row>
    <row r="307">
      <c r="T307" s="113"/>
    </row>
    <row r="308">
      <c r="T308" s="113"/>
    </row>
    <row r="309">
      <c r="T309" s="113"/>
    </row>
    <row r="310">
      <c r="T310" s="113"/>
    </row>
    <row r="311">
      <c r="T311" s="113"/>
    </row>
    <row r="312">
      <c r="T312" s="113"/>
    </row>
    <row r="313">
      <c r="T313" s="113"/>
    </row>
    <row r="314">
      <c r="T314" s="113"/>
    </row>
    <row r="315">
      <c r="T315" s="113"/>
    </row>
    <row r="316">
      <c r="T316" s="113"/>
    </row>
    <row r="317">
      <c r="T317" s="113"/>
    </row>
    <row r="318">
      <c r="T318" s="113"/>
    </row>
    <row r="319">
      <c r="T319" s="113"/>
    </row>
    <row r="320">
      <c r="T320" s="113"/>
    </row>
    <row r="321">
      <c r="T321" s="113"/>
    </row>
    <row r="322">
      <c r="T322" s="113"/>
    </row>
    <row r="323">
      <c r="T323" s="113"/>
    </row>
    <row r="324">
      <c r="T324" s="113"/>
    </row>
    <row r="325">
      <c r="T325" s="113"/>
    </row>
    <row r="326">
      <c r="T326" s="113"/>
    </row>
    <row r="327">
      <c r="T327" s="113"/>
    </row>
    <row r="328">
      <c r="T328" s="113"/>
    </row>
    <row r="329">
      <c r="T329" s="113"/>
    </row>
    <row r="330">
      <c r="T330" s="113"/>
    </row>
    <row r="331">
      <c r="T331" s="113"/>
    </row>
    <row r="332">
      <c r="T332" s="113"/>
    </row>
    <row r="333">
      <c r="T333" s="113"/>
    </row>
    <row r="334">
      <c r="T334" s="113"/>
    </row>
    <row r="335">
      <c r="T335" s="113"/>
    </row>
    <row r="336">
      <c r="T336" s="113"/>
    </row>
    <row r="337">
      <c r="T337" s="113"/>
    </row>
    <row r="338">
      <c r="T338" s="113"/>
    </row>
    <row r="339">
      <c r="T339" s="113"/>
    </row>
    <row r="340">
      <c r="T340" s="113"/>
    </row>
    <row r="341">
      <c r="T341" s="113"/>
    </row>
    <row r="342">
      <c r="T342" s="113"/>
    </row>
    <row r="343">
      <c r="T343" s="113"/>
    </row>
    <row r="344">
      <c r="T344" s="113"/>
    </row>
    <row r="345">
      <c r="T345" s="113"/>
    </row>
    <row r="346">
      <c r="T346" s="113"/>
    </row>
    <row r="347">
      <c r="T347" s="113"/>
    </row>
    <row r="348">
      <c r="T348" s="113"/>
    </row>
    <row r="349">
      <c r="T349" s="113"/>
    </row>
    <row r="350">
      <c r="T350" s="113"/>
    </row>
    <row r="351">
      <c r="T351" s="113"/>
    </row>
    <row r="352">
      <c r="T352" s="113"/>
    </row>
    <row r="353">
      <c r="T353" s="113"/>
    </row>
    <row r="354">
      <c r="T354" s="113"/>
    </row>
    <row r="355">
      <c r="T355" s="113"/>
    </row>
    <row r="356">
      <c r="T356" s="113"/>
    </row>
    <row r="357">
      <c r="T357" s="113"/>
    </row>
    <row r="358">
      <c r="T358" s="113"/>
    </row>
    <row r="359">
      <c r="T359" s="113"/>
    </row>
    <row r="360">
      <c r="T360" s="113"/>
    </row>
    <row r="361">
      <c r="T361" s="113"/>
    </row>
    <row r="362">
      <c r="T362" s="113"/>
    </row>
    <row r="363">
      <c r="T363" s="113"/>
    </row>
    <row r="364">
      <c r="T364" s="113"/>
    </row>
    <row r="365">
      <c r="T365" s="113"/>
    </row>
    <row r="366">
      <c r="T366" s="113"/>
    </row>
    <row r="367">
      <c r="T367" s="113"/>
    </row>
    <row r="368">
      <c r="T368" s="113"/>
    </row>
    <row r="369">
      <c r="T369" s="113"/>
    </row>
    <row r="370">
      <c r="T370" s="113"/>
    </row>
    <row r="371">
      <c r="T371" s="113"/>
    </row>
    <row r="372">
      <c r="T372" s="113"/>
    </row>
    <row r="373">
      <c r="T373" s="113"/>
    </row>
    <row r="374">
      <c r="T374" s="113"/>
    </row>
    <row r="375">
      <c r="T375" s="113"/>
    </row>
    <row r="376">
      <c r="T376" s="113"/>
    </row>
    <row r="377">
      <c r="T377" s="113"/>
    </row>
    <row r="378">
      <c r="T378" s="113"/>
    </row>
    <row r="379">
      <c r="T379" s="113"/>
    </row>
    <row r="380">
      <c r="T380" s="113"/>
    </row>
    <row r="381">
      <c r="T381" s="113"/>
    </row>
    <row r="382">
      <c r="T382" s="113"/>
    </row>
    <row r="383">
      <c r="T383" s="113"/>
    </row>
    <row r="384">
      <c r="T384" s="113"/>
    </row>
    <row r="385">
      <c r="T385" s="113"/>
    </row>
    <row r="386">
      <c r="T386" s="113"/>
    </row>
    <row r="387">
      <c r="T387" s="113"/>
    </row>
    <row r="388">
      <c r="T388" s="113"/>
    </row>
    <row r="389">
      <c r="T389" s="113"/>
    </row>
    <row r="390">
      <c r="T390" s="113"/>
    </row>
    <row r="391">
      <c r="T391" s="113"/>
    </row>
    <row r="392">
      <c r="T392" s="113"/>
    </row>
    <row r="393">
      <c r="T393" s="113"/>
    </row>
    <row r="394">
      <c r="T394" s="113"/>
    </row>
    <row r="395">
      <c r="T395" s="113"/>
    </row>
    <row r="396">
      <c r="T396" s="113"/>
    </row>
    <row r="397">
      <c r="T397" s="113"/>
    </row>
    <row r="398">
      <c r="T398" s="113"/>
    </row>
    <row r="399">
      <c r="T399" s="113"/>
    </row>
    <row r="400">
      <c r="T400" s="113"/>
    </row>
    <row r="401">
      <c r="T401" s="113"/>
    </row>
    <row r="402">
      <c r="T402" s="113"/>
    </row>
    <row r="403">
      <c r="T403" s="113"/>
    </row>
    <row r="404">
      <c r="T404" s="113"/>
    </row>
    <row r="405">
      <c r="T405" s="113"/>
    </row>
    <row r="406">
      <c r="T406" s="113"/>
    </row>
    <row r="407">
      <c r="T407" s="113"/>
    </row>
    <row r="408">
      <c r="T408" s="113"/>
    </row>
    <row r="409">
      <c r="T409" s="113"/>
    </row>
    <row r="410">
      <c r="T410" s="113"/>
    </row>
    <row r="411">
      <c r="T411" s="113"/>
    </row>
    <row r="412">
      <c r="T412" s="113"/>
    </row>
    <row r="413">
      <c r="T413" s="113"/>
    </row>
    <row r="414">
      <c r="T414" s="113"/>
    </row>
    <row r="415">
      <c r="T415" s="113"/>
    </row>
    <row r="416">
      <c r="T416" s="113"/>
    </row>
    <row r="417">
      <c r="T417" s="113"/>
    </row>
    <row r="418">
      <c r="T418" s="113"/>
    </row>
    <row r="419">
      <c r="T419" s="113"/>
    </row>
    <row r="420">
      <c r="T420" s="113"/>
    </row>
    <row r="421">
      <c r="T421" s="113"/>
    </row>
    <row r="422">
      <c r="T422" s="113"/>
    </row>
    <row r="423">
      <c r="T423" s="113"/>
    </row>
    <row r="424">
      <c r="T424" s="113"/>
    </row>
    <row r="425">
      <c r="T425" s="113"/>
    </row>
    <row r="426">
      <c r="T426" s="113"/>
    </row>
    <row r="427">
      <c r="T427" s="113"/>
    </row>
    <row r="428">
      <c r="T428" s="113"/>
    </row>
    <row r="429">
      <c r="T429" s="113"/>
    </row>
    <row r="430">
      <c r="T430" s="113"/>
    </row>
    <row r="431">
      <c r="T431" s="113"/>
    </row>
    <row r="432">
      <c r="T432" s="113"/>
    </row>
    <row r="433">
      <c r="T433" s="113"/>
    </row>
    <row r="434">
      <c r="T434" s="113"/>
    </row>
    <row r="435">
      <c r="T435" s="113"/>
    </row>
    <row r="436">
      <c r="T436" s="113"/>
    </row>
    <row r="437">
      <c r="T437" s="113"/>
    </row>
    <row r="438">
      <c r="T438" s="113"/>
    </row>
    <row r="439">
      <c r="T439" s="113"/>
    </row>
    <row r="440">
      <c r="T440" s="113"/>
    </row>
    <row r="441">
      <c r="T441" s="113"/>
    </row>
    <row r="442">
      <c r="T442" s="113"/>
    </row>
    <row r="443">
      <c r="T443" s="113"/>
    </row>
    <row r="444">
      <c r="T444" s="113"/>
    </row>
    <row r="445">
      <c r="T445" s="113"/>
    </row>
    <row r="446">
      <c r="T446" s="113"/>
    </row>
    <row r="447">
      <c r="T447" s="113"/>
    </row>
    <row r="448">
      <c r="T448" s="113"/>
    </row>
    <row r="449">
      <c r="T449" s="113"/>
    </row>
    <row r="450">
      <c r="T450" s="113"/>
    </row>
    <row r="451">
      <c r="T451" s="113"/>
    </row>
    <row r="452">
      <c r="T452" s="113"/>
    </row>
    <row r="453">
      <c r="T453" s="113"/>
    </row>
    <row r="454">
      <c r="T454" s="113"/>
    </row>
    <row r="455">
      <c r="T455" s="113"/>
    </row>
    <row r="456">
      <c r="T456" s="113"/>
    </row>
    <row r="457">
      <c r="T457" s="113"/>
    </row>
    <row r="458">
      <c r="T458" s="113"/>
    </row>
    <row r="459">
      <c r="T459" s="113"/>
    </row>
    <row r="460">
      <c r="T460" s="113"/>
    </row>
    <row r="461">
      <c r="T461" s="113"/>
    </row>
    <row r="462">
      <c r="T462" s="113"/>
    </row>
    <row r="463">
      <c r="T463" s="113"/>
    </row>
    <row r="464">
      <c r="T464" s="113"/>
    </row>
    <row r="465">
      <c r="T465" s="113"/>
    </row>
    <row r="466">
      <c r="T466" s="113"/>
    </row>
    <row r="467">
      <c r="T467" s="113"/>
    </row>
    <row r="468">
      <c r="T468" s="113"/>
    </row>
    <row r="469">
      <c r="T469" s="113"/>
    </row>
    <row r="470">
      <c r="T470" s="113"/>
    </row>
    <row r="471">
      <c r="T471" s="113"/>
    </row>
    <row r="472">
      <c r="T472" s="113"/>
    </row>
    <row r="473">
      <c r="T473" s="113"/>
    </row>
    <row r="474">
      <c r="T474" s="113"/>
    </row>
    <row r="475">
      <c r="T475" s="113"/>
    </row>
    <row r="476">
      <c r="T476" s="113"/>
    </row>
    <row r="477">
      <c r="T477" s="113"/>
    </row>
    <row r="478">
      <c r="T478" s="113"/>
    </row>
    <row r="479">
      <c r="T479" s="113"/>
    </row>
    <row r="480">
      <c r="T480" s="113"/>
    </row>
    <row r="481">
      <c r="T481" s="113"/>
    </row>
    <row r="482">
      <c r="T482" s="113"/>
    </row>
    <row r="483">
      <c r="T483" s="113"/>
    </row>
    <row r="484">
      <c r="T484" s="113"/>
    </row>
    <row r="485">
      <c r="T485" s="113"/>
    </row>
    <row r="486">
      <c r="T486" s="113"/>
    </row>
    <row r="487">
      <c r="T487" s="113"/>
    </row>
    <row r="488">
      <c r="T488" s="113"/>
    </row>
    <row r="489">
      <c r="T489" s="113"/>
    </row>
    <row r="490">
      <c r="T490" s="113"/>
    </row>
    <row r="491">
      <c r="T491" s="113"/>
    </row>
    <row r="492">
      <c r="T492" s="113"/>
    </row>
    <row r="493">
      <c r="T493" s="113"/>
    </row>
    <row r="494">
      <c r="T494" s="113"/>
    </row>
    <row r="495">
      <c r="T495" s="113"/>
    </row>
    <row r="496">
      <c r="T496" s="113"/>
    </row>
    <row r="497">
      <c r="T497" s="113"/>
    </row>
    <row r="498">
      <c r="T498" s="113"/>
    </row>
    <row r="499">
      <c r="T499" s="113"/>
    </row>
    <row r="500">
      <c r="T500" s="113"/>
    </row>
    <row r="501">
      <c r="T501" s="113"/>
    </row>
    <row r="502">
      <c r="T502" s="113"/>
    </row>
    <row r="503">
      <c r="T503" s="113"/>
    </row>
    <row r="504">
      <c r="T504" s="113"/>
    </row>
    <row r="505">
      <c r="T505" s="113"/>
    </row>
    <row r="506">
      <c r="T506" s="113"/>
    </row>
    <row r="507">
      <c r="T507" s="113"/>
    </row>
    <row r="508">
      <c r="T508" s="113"/>
    </row>
    <row r="509">
      <c r="T509" s="113"/>
    </row>
    <row r="510">
      <c r="T510" s="113"/>
    </row>
    <row r="511">
      <c r="T511" s="113"/>
    </row>
    <row r="512">
      <c r="T512" s="113"/>
    </row>
    <row r="513">
      <c r="T513" s="113"/>
    </row>
    <row r="514">
      <c r="T514" s="113"/>
    </row>
    <row r="515">
      <c r="T515" s="113"/>
    </row>
    <row r="516">
      <c r="T516" s="113"/>
    </row>
    <row r="517">
      <c r="T517" s="113"/>
    </row>
    <row r="518">
      <c r="T518" s="113"/>
    </row>
    <row r="519">
      <c r="T519" s="113"/>
    </row>
    <row r="520">
      <c r="T520" s="113"/>
    </row>
    <row r="521">
      <c r="T521" s="113"/>
    </row>
    <row r="522">
      <c r="T522" s="113"/>
    </row>
    <row r="523">
      <c r="T523" s="113"/>
    </row>
    <row r="524">
      <c r="T524" s="113"/>
    </row>
    <row r="525">
      <c r="T525" s="113"/>
    </row>
    <row r="526">
      <c r="T526" s="113"/>
    </row>
    <row r="527">
      <c r="T527" s="113"/>
    </row>
    <row r="528">
      <c r="T528" s="113"/>
    </row>
    <row r="529">
      <c r="T529" s="113"/>
    </row>
    <row r="530">
      <c r="T530" s="113"/>
    </row>
    <row r="531">
      <c r="T531" s="113"/>
    </row>
    <row r="532">
      <c r="T532" s="113"/>
    </row>
    <row r="533">
      <c r="T533" s="113"/>
    </row>
    <row r="534">
      <c r="T534" s="113"/>
    </row>
    <row r="535">
      <c r="T535" s="113"/>
    </row>
    <row r="536">
      <c r="T536" s="113"/>
    </row>
    <row r="537">
      <c r="T537" s="113"/>
    </row>
    <row r="538">
      <c r="T538" s="113"/>
    </row>
    <row r="539">
      <c r="T539" s="113"/>
    </row>
    <row r="540">
      <c r="T540" s="113"/>
    </row>
    <row r="541">
      <c r="T541" s="113"/>
    </row>
    <row r="542">
      <c r="T542" s="113"/>
    </row>
    <row r="543">
      <c r="T543" s="113"/>
    </row>
    <row r="544">
      <c r="T544" s="113"/>
    </row>
    <row r="545">
      <c r="T545" s="113"/>
    </row>
    <row r="546">
      <c r="T546" s="113"/>
    </row>
    <row r="547">
      <c r="T547" s="113"/>
    </row>
    <row r="548">
      <c r="T548" s="113"/>
    </row>
    <row r="549">
      <c r="T549" s="113"/>
    </row>
    <row r="550">
      <c r="T550" s="113"/>
    </row>
    <row r="551">
      <c r="T551" s="113"/>
    </row>
    <row r="552">
      <c r="T552" s="113"/>
    </row>
    <row r="553">
      <c r="T553" s="113"/>
    </row>
    <row r="554">
      <c r="T554" s="113"/>
    </row>
    <row r="555">
      <c r="T555" s="113"/>
    </row>
    <row r="556">
      <c r="T556" s="113"/>
    </row>
    <row r="557">
      <c r="T557" s="113"/>
    </row>
    <row r="558">
      <c r="T558" s="113"/>
    </row>
    <row r="559">
      <c r="T559" s="113"/>
    </row>
    <row r="560">
      <c r="T560" s="113"/>
    </row>
    <row r="561">
      <c r="T561" s="113"/>
    </row>
    <row r="562">
      <c r="T562" s="113"/>
    </row>
    <row r="563">
      <c r="T563" s="113"/>
    </row>
    <row r="564">
      <c r="T564" s="113"/>
    </row>
    <row r="565">
      <c r="T565" s="113"/>
    </row>
    <row r="566">
      <c r="T566" s="113"/>
    </row>
    <row r="567">
      <c r="T567" s="113"/>
    </row>
    <row r="568">
      <c r="T568" s="113"/>
    </row>
    <row r="569">
      <c r="T569" s="113"/>
    </row>
    <row r="570">
      <c r="T570" s="113"/>
    </row>
    <row r="571">
      <c r="T571" s="113"/>
    </row>
    <row r="572">
      <c r="T572" s="113"/>
    </row>
    <row r="573">
      <c r="T573" s="113"/>
    </row>
    <row r="574">
      <c r="T574" s="113"/>
    </row>
    <row r="575">
      <c r="T575" s="113"/>
    </row>
    <row r="576">
      <c r="T576" s="113"/>
    </row>
    <row r="577">
      <c r="T577" s="113"/>
    </row>
    <row r="578">
      <c r="T578" s="113"/>
    </row>
    <row r="579">
      <c r="T579" s="113"/>
    </row>
    <row r="580">
      <c r="T580" s="113"/>
    </row>
    <row r="581">
      <c r="T581" s="113"/>
    </row>
    <row r="582">
      <c r="T582" s="113"/>
    </row>
    <row r="583">
      <c r="T583" s="113"/>
    </row>
    <row r="584">
      <c r="T584" s="113"/>
    </row>
    <row r="585">
      <c r="T585" s="113"/>
    </row>
    <row r="586">
      <c r="T586" s="113"/>
    </row>
    <row r="587">
      <c r="T587" s="113"/>
    </row>
    <row r="588">
      <c r="T588" s="113"/>
    </row>
    <row r="589">
      <c r="T589" s="113"/>
    </row>
    <row r="590">
      <c r="T590" s="113"/>
    </row>
    <row r="591">
      <c r="T591" s="113"/>
    </row>
    <row r="592">
      <c r="T592" s="113"/>
    </row>
    <row r="593">
      <c r="T593" s="113"/>
    </row>
    <row r="594">
      <c r="T594" s="113"/>
    </row>
    <row r="595">
      <c r="T595" s="113"/>
    </row>
    <row r="596">
      <c r="T596" s="113"/>
    </row>
    <row r="597">
      <c r="T597" s="113"/>
    </row>
    <row r="598">
      <c r="T598" s="113"/>
    </row>
    <row r="599">
      <c r="T599" s="113"/>
    </row>
    <row r="600">
      <c r="T600" s="113"/>
    </row>
    <row r="601">
      <c r="T601" s="113"/>
    </row>
    <row r="602">
      <c r="T602" s="113"/>
    </row>
    <row r="603">
      <c r="T603" s="113"/>
    </row>
    <row r="604">
      <c r="T604" s="113"/>
    </row>
    <row r="605">
      <c r="T605" s="113"/>
    </row>
    <row r="606">
      <c r="T606" s="113"/>
    </row>
    <row r="607">
      <c r="T607" s="113"/>
    </row>
    <row r="608">
      <c r="T608" s="113"/>
    </row>
    <row r="609">
      <c r="T609" s="113"/>
    </row>
    <row r="610">
      <c r="T610" s="113"/>
    </row>
    <row r="611">
      <c r="T611" s="113"/>
    </row>
    <row r="612">
      <c r="T612" s="113"/>
    </row>
    <row r="613">
      <c r="T613" s="113"/>
    </row>
    <row r="614">
      <c r="T614" s="113"/>
    </row>
    <row r="615">
      <c r="T615" s="113"/>
    </row>
    <row r="616">
      <c r="T616" s="113"/>
    </row>
    <row r="617">
      <c r="T617" s="113"/>
    </row>
    <row r="618">
      <c r="T618" s="113"/>
    </row>
    <row r="619">
      <c r="T619" s="113"/>
    </row>
    <row r="620">
      <c r="T620" s="113"/>
    </row>
    <row r="621">
      <c r="T621" s="113"/>
    </row>
    <row r="622">
      <c r="T622" s="113"/>
    </row>
    <row r="623">
      <c r="T623" s="113"/>
    </row>
    <row r="624">
      <c r="T624" s="113"/>
    </row>
    <row r="625">
      <c r="T625" s="113"/>
    </row>
    <row r="626">
      <c r="T626" s="113"/>
    </row>
    <row r="627">
      <c r="T627" s="113"/>
    </row>
    <row r="628">
      <c r="T628" s="113"/>
    </row>
    <row r="629">
      <c r="T629" s="113"/>
    </row>
    <row r="630">
      <c r="T630" s="113"/>
    </row>
    <row r="631">
      <c r="T631" s="113"/>
    </row>
    <row r="632">
      <c r="T632" s="113"/>
    </row>
    <row r="633">
      <c r="T633" s="113"/>
    </row>
    <row r="634">
      <c r="T634" s="113"/>
    </row>
    <row r="635">
      <c r="T635" s="113"/>
    </row>
    <row r="636">
      <c r="T636" s="113"/>
    </row>
    <row r="637">
      <c r="T637" s="113"/>
    </row>
    <row r="638">
      <c r="T638" s="113"/>
    </row>
    <row r="639">
      <c r="T639" s="113"/>
    </row>
    <row r="640">
      <c r="T640" s="113"/>
    </row>
    <row r="641">
      <c r="T641" s="113"/>
    </row>
    <row r="642">
      <c r="T642" s="113"/>
    </row>
    <row r="643">
      <c r="T643" s="113"/>
    </row>
    <row r="644">
      <c r="T644" s="113"/>
    </row>
    <row r="645">
      <c r="T645" s="113"/>
    </row>
    <row r="646">
      <c r="T646" s="113"/>
    </row>
    <row r="647">
      <c r="T647" s="113"/>
    </row>
    <row r="648">
      <c r="T648" s="113"/>
    </row>
    <row r="649">
      <c r="T649" s="113"/>
    </row>
    <row r="650">
      <c r="T650" s="113"/>
    </row>
    <row r="651">
      <c r="T651" s="113"/>
    </row>
    <row r="652">
      <c r="T652" s="113"/>
    </row>
    <row r="653">
      <c r="T653" s="113"/>
    </row>
    <row r="654">
      <c r="T654" s="113"/>
    </row>
    <row r="655">
      <c r="T655" s="113"/>
    </row>
    <row r="656">
      <c r="T656" s="113"/>
    </row>
    <row r="657">
      <c r="T657" s="113"/>
    </row>
    <row r="658">
      <c r="T658" s="113"/>
    </row>
    <row r="659">
      <c r="T659" s="113"/>
    </row>
    <row r="660">
      <c r="T660" s="113"/>
    </row>
    <row r="661">
      <c r="T661" s="113"/>
    </row>
    <row r="662">
      <c r="T662" s="113"/>
    </row>
    <row r="663">
      <c r="T663" s="113"/>
    </row>
    <row r="664">
      <c r="T664" s="113"/>
    </row>
    <row r="665">
      <c r="T665" s="113"/>
    </row>
    <row r="666">
      <c r="T666" s="113"/>
    </row>
    <row r="667">
      <c r="T667" s="113"/>
    </row>
    <row r="668">
      <c r="T668" s="113"/>
    </row>
    <row r="669">
      <c r="T669" s="113"/>
    </row>
    <row r="670">
      <c r="T670" s="113"/>
    </row>
    <row r="671">
      <c r="T671" s="113"/>
    </row>
    <row r="672">
      <c r="T672" s="113"/>
    </row>
    <row r="673">
      <c r="T673" s="113"/>
    </row>
    <row r="674">
      <c r="T674" s="113"/>
    </row>
    <row r="675">
      <c r="T675" s="113"/>
    </row>
    <row r="676">
      <c r="T676" s="113"/>
    </row>
    <row r="677">
      <c r="T677" s="113"/>
    </row>
    <row r="678">
      <c r="T678" s="113"/>
    </row>
    <row r="679">
      <c r="T679" s="113"/>
    </row>
    <row r="680">
      <c r="T680" s="113"/>
    </row>
    <row r="681">
      <c r="T681" s="113"/>
    </row>
    <row r="682">
      <c r="T682" s="113"/>
    </row>
    <row r="683">
      <c r="T683" s="113"/>
    </row>
    <row r="684">
      <c r="T684" s="113"/>
    </row>
    <row r="685">
      <c r="T685" s="113"/>
    </row>
    <row r="686">
      <c r="T686" s="113"/>
    </row>
    <row r="687">
      <c r="T687" s="113"/>
    </row>
    <row r="688">
      <c r="T688" s="113"/>
    </row>
    <row r="689">
      <c r="T689" s="113"/>
    </row>
    <row r="690">
      <c r="T690" s="113"/>
    </row>
    <row r="691">
      <c r="T691" s="113"/>
    </row>
    <row r="692">
      <c r="T692" s="113"/>
    </row>
    <row r="693">
      <c r="T693" s="113"/>
    </row>
    <row r="694">
      <c r="T694" s="113"/>
    </row>
    <row r="695">
      <c r="T695" s="113"/>
    </row>
    <row r="696">
      <c r="T696" s="113"/>
    </row>
    <row r="697">
      <c r="T697" s="113"/>
    </row>
    <row r="698">
      <c r="T698" s="113"/>
    </row>
    <row r="699">
      <c r="T699" s="113"/>
    </row>
    <row r="700">
      <c r="T700" s="113"/>
    </row>
    <row r="701">
      <c r="T701" s="113"/>
    </row>
    <row r="702">
      <c r="T702" s="113"/>
    </row>
    <row r="703">
      <c r="T703" s="113"/>
    </row>
    <row r="704">
      <c r="T704" s="113"/>
    </row>
    <row r="705">
      <c r="T705" s="113"/>
    </row>
    <row r="706">
      <c r="T706" s="113"/>
    </row>
    <row r="707">
      <c r="T707" s="113"/>
    </row>
    <row r="708">
      <c r="T708" s="113"/>
    </row>
    <row r="709">
      <c r="T709" s="113"/>
    </row>
    <row r="710">
      <c r="T710" s="113"/>
    </row>
    <row r="711">
      <c r="T711" s="113"/>
    </row>
    <row r="712">
      <c r="T712" s="113"/>
    </row>
    <row r="713">
      <c r="T713" s="113"/>
    </row>
    <row r="714">
      <c r="T714" s="113"/>
    </row>
    <row r="715">
      <c r="T715" s="113"/>
    </row>
    <row r="716">
      <c r="T716" s="113"/>
    </row>
    <row r="717">
      <c r="T717" s="113"/>
    </row>
    <row r="718">
      <c r="T718" s="113"/>
    </row>
    <row r="719">
      <c r="T719" s="113"/>
    </row>
    <row r="720">
      <c r="T720" s="113"/>
    </row>
    <row r="721">
      <c r="T721" s="113"/>
    </row>
    <row r="722">
      <c r="T722" s="113"/>
    </row>
    <row r="723">
      <c r="T723" s="113"/>
    </row>
    <row r="724">
      <c r="T724" s="113"/>
    </row>
    <row r="725">
      <c r="T725" s="113"/>
    </row>
    <row r="726">
      <c r="T726" s="113"/>
    </row>
    <row r="727">
      <c r="T727" s="113"/>
    </row>
    <row r="728">
      <c r="T728" s="113"/>
    </row>
    <row r="729">
      <c r="T729" s="113"/>
    </row>
    <row r="730">
      <c r="T730" s="113"/>
    </row>
    <row r="731">
      <c r="T731" s="113"/>
    </row>
    <row r="732">
      <c r="T732" s="113"/>
    </row>
    <row r="733">
      <c r="T733" s="113"/>
    </row>
    <row r="734">
      <c r="T734" s="113"/>
    </row>
    <row r="735">
      <c r="T735" s="113"/>
    </row>
    <row r="736">
      <c r="T736" s="113"/>
    </row>
    <row r="737">
      <c r="T737" s="113"/>
    </row>
    <row r="738">
      <c r="T738" s="113"/>
    </row>
    <row r="739">
      <c r="T739" s="113"/>
    </row>
    <row r="740">
      <c r="T740" s="113"/>
    </row>
    <row r="741">
      <c r="T741" s="113"/>
    </row>
    <row r="742">
      <c r="T742" s="113"/>
    </row>
    <row r="743">
      <c r="T743" s="113"/>
    </row>
    <row r="744">
      <c r="T744" s="113"/>
    </row>
    <row r="745">
      <c r="T745" s="113"/>
    </row>
    <row r="746">
      <c r="T746" s="113"/>
    </row>
    <row r="747">
      <c r="T747" s="113"/>
    </row>
    <row r="748">
      <c r="T748" s="113"/>
    </row>
    <row r="749">
      <c r="T749" s="113"/>
    </row>
    <row r="750">
      <c r="T750" s="113"/>
    </row>
    <row r="751">
      <c r="T751" s="113"/>
    </row>
    <row r="752">
      <c r="T752" s="113"/>
    </row>
    <row r="753">
      <c r="T753" s="113"/>
    </row>
    <row r="754">
      <c r="T754" s="113"/>
    </row>
    <row r="755">
      <c r="T755" s="113"/>
    </row>
    <row r="756">
      <c r="T756" s="113"/>
    </row>
    <row r="757">
      <c r="T757" s="113"/>
    </row>
    <row r="758">
      <c r="T758" s="113"/>
    </row>
    <row r="759">
      <c r="T759" s="113"/>
    </row>
    <row r="760">
      <c r="T760" s="113"/>
    </row>
    <row r="761">
      <c r="T761" s="113"/>
    </row>
    <row r="762">
      <c r="T762" s="113"/>
    </row>
    <row r="763">
      <c r="T763" s="113"/>
    </row>
    <row r="764">
      <c r="T764" s="113"/>
    </row>
    <row r="765">
      <c r="T765" s="113"/>
    </row>
    <row r="766">
      <c r="T766" s="113"/>
    </row>
    <row r="767">
      <c r="T767" s="113"/>
    </row>
    <row r="768">
      <c r="T768" s="113"/>
    </row>
    <row r="769">
      <c r="T769" s="113"/>
    </row>
    <row r="770">
      <c r="T770" s="113"/>
    </row>
    <row r="771">
      <c r="T771" s="113"/>
    </row>
    <row r="772">
      <c r="T772" s="113"/>
    </row>
    <row r="773">
      <c r="T773" s="113"/>
    </row>
    <row r="774">
      <c r="T774" s="113"/>
    </row>
    <row r="775">
      <c r="T775" s="113"/>
    </row>
    <row r="776">
      <c r="T776" s="113"/>
    </row>
    <row r="777">
      <c r="T777" s="113"/>
    </row>
    <row r="778">
      <c r="T778" s="113"/>
    </row>
    <row r="779">
      <c r="T779" s="113"/>
    </row>
    <row r="780">
      <c r="T780" s="113"/>
    </row>
    <row r="781">
      <c r="T781" s="113"/>
    </row>
    <row r="782">
      <c r="T782" s="113"/>
    </row>
    <row r="783">
      <c r="T783" s="113"/>
    </row>
    <row r="784">
      <c r="T784" s="113"/>
    </row>
    <row r="785">
      <c r="T785" s="113"/>
    </row>
    <row r="786">
      <c r="T786" s="113"/>
    </row>
    <row r="787">
      <c r="T787" s="113"/>
    </row>
    <row r="788">
      <c r="T788" s="113"/>
    </row>
    <row r="789">
      <c r="T789" s="113"/>
    </row>
    <row r="790">
      <c r="T790" s="113"/>
    </row>
    <row r="791">
      <c r="T791" s="113"/>
    </row>
    <row r="792">
      <c r="T792" s="113"/>
    </row>
    <row r="793">
      <c r="T793" s="113"/>
    </row>
    <row r="794">
      <c r="T794" s="113"/>
    </row>
    <row r="795">
      <c r="T795" s="113"/>
    </row>
    <row r="796">
      <c r="T796" s="113"/>
    </row>
    <row r="797">
      <c r="T797" s="113"/>
    </row>
    <row r="798">
      <c r="T798" s="113"/>
    </row>
    <row r="799">
      <c r="T799" s="113"/>
    </row>
    <row r="800">
      <c r="T800" s="113"/>
    </row>
    <row r="801">
      <c r="T801" s="113"/>
    </row>
    <row r="802">
      <c r="T802" s="113"/>
    </row>
    <row r="803">
      <c r="T803" s="113"/>
    </row>
    <row r="804">
      <c r="T804" s="113"/>
    </row>
    <row r="805">
      <c r="T805" s="113"/>
    </row>
    <row r="806">
      <c r="T806" s="113"/>
    </row>
    <row r="807">
      <c r="T807" s="113"/>
    </row>
    <row r="808">
      <c r="T808" s="113"/>
    </row>
    <row r="809">
      <c r="T809" s="113"/>
    </row>
    <row r="810">
      <c r="T810" s="113"/>
    </row>
    <row r="811">
      <c r="T811" s="113"/>
    </row>
    <row r="812">
      <c r="T812" s="113"/>
    </row>
    <row r="813">
      <c r="T813" s="113"/>
    </row>
    <row r="814">
      <c r="T814" s="113"/>
    </row>
    <row r="815">
      <c r="T815" s="113"/>
    </row>
    <row r="816">
      <c r="T816" s="113"/>
    </row>
    <row r="817">
      <c r="T817" s="113"/>
    </row>
    <row r="818">
      <c r="T818" s="113"/>
    </row>
    <row r="819">
      <c r="T819" s="113"/>
    </row>
    <row r="820">
      <c r="T820" s="113"/>
    </row>
    <row r="821">
      <c r="T821" s="113"/>
    </row>
    <row r="822">
      <c r="T822" s="113"/>
    </row>
    <row r="823">
      <c r="T823" s="113"/>
    </row>
    <row r="824">
      <c r="T824" s="113"/>
    </row>
    <row r="825">
      <c r="T825" s="113"/>
    </row>
    <row r="826">
      <c r="T826" s="113"/>
    </row>
    <row r="827">
      <c r="T827" s="113"/>
    </row>
    <row r="828">
      <c r="T828" s="113"/>
    </row>
    <row r="829">
      <c r="T829" s="113"/>
    </row>
    <row r="830">
      <c r="T830" s="113"/>
    </row>
    <row r="831">
      <c r="T831" s="113"/>
    </row>
    <row r="832">
      <c r="T832" s="113"/>
    </row>
    <row r="833">
      <c r="T833" s="113"/>
    </row>
    <row r="834">
      <c r="T834" s="113"/>
    </row>
    <row r="835">
      <c r="T835" s="113"/>
    </row>
    <row r="836">
      <c r="T836" s="113"/>
    </row>
    <row r="837">
      <c r="T837" s="113"/>
    </row>
    <row r="838">
      <c r="T838" s="113"/>
    </row>
    <row r="839">
      <c r="T839" s="113"/>
    </row>
    <row r="840">
      <c r="T840" s="113"/>
    </row>
    <row r="841">
      <c r="T841" s="113"/>
    </row>
    <row r="842">
      <c r="T842" s="113"/>
    </row>
    <row r="843">
      <c r="T843" s="113"/>
    </row>
    <row r="844">
      <c r="T844" s="113"/>
    </row>
    <row r="845">
      <c r="T845" s="113"/>
    </row>
    <row r="846">
      <c r="T846" s="113"/>
    </row>
    <row r="847">
      <c r="T847" s="113"/>
    </row>
    <row r="848">
      <c r="T848" s="113"/>
    </row>
    <row r="849">
      <c r="T849" s="113"/>
    </row>
    <row r="850">
      <c r="T850" s="113"/>
    </row>
    <row r="851">
      <c r="T851" s="113"/>
    </row>
    <row r="852">
      <c r="T852" s="113"/>
    </row>
    <row r="853">
      <c r="T853" s="113"/>
    </row>
    <row r="854">
      <c r="T854" s="113"/>
    </row>
    <row r="855">
      <c r="T855" s="113"/>
    </row>
    <row r="856">
      <c r="T856" s="113"/>
    </row>
    <row r="857">
      <c r="T857" s="113"/>
    </row>
    <row r="858">
      <c r="T858" s="113"/>
    </row>
    <row r="859">
      <c r="T859" s="113"/>
    </row>
    <row r="860">
      <c r="T860" s="113"/>
    </row>
    <row r="861">
      <c r="T861" s="113"/>
    </row>
    <row r="862">
      <c r="T862" s="113"/>
    </row>
    <row r="863">
      <c r="T863" s="113"/>
    </row>
    <row r="864">
      <c r="T864" s="113"/>
    </row>
    <row r="865">
      <c r="T865" s="113"/>
    </row>
    <row r="866">
      <c r="T866" s="113"/>
    </row>
    <row r="867">
      <c r="T867" s="113"/>
    </row>
    <row r="868">
      <c r="T868" s="113"/>
    </row>
    <row r="869">
      <c r="T869" s="113"/>
    </row>
    <row r="870">
      <c r="T870" s="113"/>
    </row>
    <row r="871">
      <c r="T871" s="113"/>
    </row>
    <row r="872">
      <c r="T872" s="113"/>
    </row>
    <row r="873">
      <c r="T873" s="113"/>
    </row>
    <row r="874">
      <c r="T874" s="113"/>
    </row>
    <row r="875">
      <c r="T875" s="113"/>
    </row>
    <row r="876">
      <c r="T876" s="113"/>
    </row>
    <row r="877">
      <c r="T877" s="113"/>
    </row>
    <row r="878">
      <c r="T878" s="113"/>
    </row>
    <row r="879">
      <c r="T879" s="113"/>
    </row>
    <row r="880">
      <c r="T880" s="113"/>
    </row>
    <row r="881">
      <c r="T881" s="113"/>
    </row>
    <row r="882">
      <c r="T882" s="113"/>
    </row>
    <row r="883">
      <c r="T883" s="113"/>
    </row>
    <row r="884">
      <c r="T884" s="113"/>
    </row>
    <row r="885">
      <c r="T885" s="113"/>
    </row>
    <row r="886">
      <c r="T886" s="113"/>
    </row>
    <row r="887">
      <c r="T887" s="113"/>
    </row>
    <row r="888">
      <c r="T888" s="113"/>
    </row>
    <row r="889">
      <c r="T889" s="113"/>
    </row>
    <row r="890">
      <c r="T890" s="113"/>
    </row>
    <row r="891">
      <c r="T891" s="113"/>
    </row>
    <row r="892">
      <c r="T892" s="113"/>
    </row>
    <row r="893">
      <c r="T893" s="113"/>
    </row>
    <row r="894">
      <c r="T894" s="113"/>
    </row>
    <row r="895">
      <c r="T895" s="113"/>
    </row>
    <row r="896">
      <c r="T896" s="113"/>
    </row>
    <row r="897">
      <c r="T897" s="113"/>
    </row>
    <row r="898">
      <c r="T898" s="113"/>
    </row>
    <row r="899">
      <c r="T899" s="113"/>
    </row>
    <row r="900">
      <c r="T900" s="113"/>
    </row>
    <row r="901">
      <c r="T901" s="113"/>
    </row>
    <row r="902">
      <c r="T902" s="113"/>
    </row>
    <row r="903">
      <c r="T903" s="113"/>
    </row>
    <row r="904">
      <c r="T904" s="113"/>
    </row>
    <row r="905">
      <c r="T905" s="113"/>
    </row>
    <row r="906">
      <c r="T906" s="113"/>
    </row>
    <row r="907">
      <c r="T907" s="113"/>
    </row>
    <row r="908">
      <c r="T908" s="113"/>
    </row>
    <row r="909">
      <c r="T909" s="113"/>
    </row>
    <row r="910">
      <c r="T910" s="113"/>
    </row>
    <row r="911">
      <c r="T911" s="113"/>
    </row>
    <row r="912">
      <c r="T912" s="113"/>
    </row>
    <row r="913">
      <c r="T913" s="113"/>
    </row>
    <row r="914">
      <c r="T914" s="113"/>
    </row>
    <row r="915">
      <c r="T915" s="113"/>
    </row>
    <row r="916">
      <c r="T916" s="113"/>
    </row>
    <row r="917">
      <c r="T917" s="113"/>
    </row>
    <row r="918">
      <c r="T918" s="113"/>
    </row>
    <row r="919">
      <c r="T919" s="113"/>
    </row>
    <row r="920">
      <c r="T920" s="113"/>
    </row>
    <row r="921">
      <c r="T921" s="113"/>
    </row>
    <row r="922">
      <c r="T922" s="113"/>
    </row>
    <row r="923">
      <c r="T923" s="113"/>
    </row>
    <row r="924">
      <c r="T924" s="113"/>
    </row>
    <row r="925">
      <c r="T925" s="113"/>
    </row>
    <row r="926">
      <c r="T926" s="113"/>
    </row>
    <row r="927">
      <c r="T927" s="113"/>
    </row>
    <row r="928">
      <c r="T928" s="113"/>
    </row>
    <row r="929">
      <c r="T929" s="113"/>
    </row>
    <row r="930">
      <c r="T930" s="113"/>
    </row>
    <row r="931">
      <c r="T931" s="113"/>
    </row>
    <row r="932">
      <c r="T932" s="113"/>
    </row>
    <row r="933">
      <c r="T933" s="113"/>
    </row>
    <row r="934">
      <c r="T934" s="113"/>
    </row>
    <row r="935">
      <c r="T935" s="113"/>
    </row>
    <row r="936">
      <c r="T936" s="113"/>
    </row>
    <row r="937">
      <c r="T937" s="113"/>
    </row>
    <row r="938">
      <c r="T938" s="113"/>
    </row>
    <row r="939">
      <c r="T939" s="113"/>
    </row>
    <row r="940">
      <c r="T940" s="113"/>
    </row>
    <row r="941">
      <c r="T941" s="113"/>
    </row>
    <row r="942">
      <c r="T942" s="113"/>
    </row>
    <row r="943">
      <c r="T943" s="113"/>
    </row>
    <row r="944">
      <c r="T944" s="113"/>
    </row>
    <row r="945">
      <c r="T945" s="113"/>
    </row>
    <row r="946">
      <c r="T946" s="113"/>
    </row>
    <row r="947">
      <c r="T947" s="113"/>
    </row>
    <row r="948">
      <c r="T948" s="113"/>
    </row>
    <row r="949">
      <c r="T949" s="113"/>
    </row>
    <row r="950">
      <c r="T950" s="113"/>
    </row>
    <row r="951">
      <c r="T951" s="113"/>
    </row>
    <row r="952">
      <c r="T952" s="113"/>
    </row>
    <row r="953">
      <c r="T953" s="113"/>
    </row>
    <row r="954">
      <c r="T954" s="113"/>
    </row>
    <row r="955">
      <c r="T955" s="113"/>
    </row>
    <row r="956">
      <c r="T956" s="113"/>
    </row>
    <row r="957">
      <c r="T957" s="113"/>
    </row>
    <row r="958">
      <c r="T958" s="113"/>
    </row>
    <row r="959">
      <c r="T959" s="113"/>
    </row>
    <row r="960">
      <c r="T960" s="113"/>
    </row>
    <row r="961">
      <c r="T961" s="113"/>
    </row>
    <row r="962">
      <c r="T962" s="113"/>
    </row>
    <row r="963">
      <c r="T963" s="113"/>
    </row>
    <row r="964">
      <c r="T964" s="113"/>
    </row>
    <row r="965">
      <c r="T965" s="113"/>
    </row>
    <row r="966">
      <c r="T966" s="113"/>
    </row>
    <row r="967">
      <c r="T967" s="113"/>
    </row>
    <row r="968">
      <c r="T968" s="113"/>
    </row>
    <row r="969">
      <c r="T969" s="113"/>
    </row>
    <row r="970">
      <c r="T970" s="113"/>
    </row>
    <row r="971">
      <c r="T971" s="113"/>
    </row>
    <row r="972">
      <c r="T972" s="113"/>
    </row>
    <row r="973">
      <c r="T973" s="113"/>
    </row>
    <row r="974">
      <c r="T974" s="113"/>
    </row>
    <row r="975">
      <c r="T975" s="113"/>
    </row>
    <row r="976">
      <c r="T976" s="113"/>
    </row>
    <row r="977">
      <c r="T977" s="113"/>
    </row>
    <row r="978">
      <c r="T978" s="113"/>
    </row>
    <row r="979">
      <c r="T979" s="113"/>
    </row>
    <row r="980">
      <c r="T980" s="113"/>
    </row>
    <row r="981">
      <c r="T981" s="113"/>
    </row>
    <row r="982">
      <c r="T982" s="113"/>
    </row>
    <row r="983">
      <c r="T983" s="113"/>
    </row>
    <row r="984">
      <c r="T984" s="113"/>
    </row>
    <row r="985">
      <c r="T985" s="113"/>
    </row>
    <row r="986">
      <c r="T986" s="113"/>
    </row>
    <row r="987">
      <c r="T987" s="113"/>
    </row>
    <row r="988">
      <c r="T988" s="113"/>
    </row>
    <row r="989">
      <c r="T989" s="113"/>
    </row>
    <row r="990">
      <c r="T990" s="113"/>
    </row>
    <row r="991">
      <c r="T991" s="113"/>
    </row>
    <row r="992">
      <c r="T992" s="113"/>
    </row>
    <row r="993">
      <c r="T993" s="113"/>
    </row>
    <row r="994">
      <c r="T994" s="113"/>
    </row>
    <row r="995">
      <c r="T995" s="113"/>
    </row>
    <row r="996">
      <c r="T996" s="113"/>
    </row>
    <row r="997">
      <c r="T997" s="113"/>
    </row>
    <row r="998">
      <c r="T998" s="113"/>
    </row>
    <row r="999">
      <c r="T999" s="113"/>
    </row>
  </sheetData>
  <conditionalFormatting sqref="G2:G65">
    <cfRule type="cellIs" dxfId="3" priority="1" operator="greaterThan">
      <formula>0</formula>
    </cfRule>
  </conditionalFormatting>
  <conditionalFormatting sqref="G2:G65">
    <cfRule type="containsBlanks" dxfId="4" priority="2">
      <formula>LEN(TRIM(G2))=0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1.0"/>
    <col customWidth="1" min="2" max="2" width="10.38"/>
    <col customWidth="1" min="3" max="3" width="18.5"/>
    <col customWidth="1" min="4" max="4" width="19.0"/>
    <col customWidth="1" min="5" max="5" width="27.0"/>
    <col customWidth="1" min="6" max="6" width="18.88"/>
    <col customWidth="1" min="7" max="7" width="31.13"/>
    <col customWidth="1" min="8" max="8" width="32.38"/>
    <col customWidth="1" min="9" max="9" width="24.0"/>
    <col customWidth="1" min="10" max="10" width="27.13"/>
    <col customWidth="1" min="11" max="14" width="18.88"/>
    <col customWidth="1" min="15" max="15" width="23.88"/>
    <col customWidth="1" min="16" max="16" width="25.88"/>
    <col customWidth="1" min="17" max="17" width="27.13"/>
    <col customWidth="1" min="18" max="18" width="23.88"/>
    <col customWidth="1" min="19" max="19" width="31.13"/>
    <col customWidth="1" min="20" max="20" width="19.88"/>
    <col customWidth="1" min="21" max="21" width="23.0"/>
  </cols>
  <sheetData>
    <row r="1">
      <c r="A1" s="1" t="s">
        <v>0</v>
      </c>
      <c r="B1" s="4"/>
      <c r="C1" s="7" t="s">
        <v>6</v>
      </c>
      <c r="D1" s="10"/>
      <c r="E1" s="10"/>
      <c r="F1" s="10"/>
      <c r="G1" s="10"/>
      <c r="H1" s="10"/>
      <c r="I1" s="10"/>
      <c r="J1" s="10"/>
      <c r="K1" s="13"/>
      <c r="L1" s="13"/>
      <c r="M1" s="13"/>
      <c r="N1" s="15" t="s">
        <v>19</v>
      </c>
    </row>
    <row r="2">
      <c r="A2" s="18" t="s">
        <v>21</v>
      </c>
      <c r="B2" s="18" t="s">
        <v>27</v>
      </c>
      <c r="C2" s="21" t="s">
        <v>7</v>
      </c>
      <c r="D2" s="24" t="s">
        <v>31</v>
      </c>
      <c r="E2" s="24" t="s">
        <v>10</v>
      </c>
      <c r="F2" s="24" t="s">
        <v>35</v>
      </c>
      <c r="G2" s="24" t="s">
        <v>13</v>
      </c>
      <c r="H2" s="24" t="s">
        <v>36</v>
      </c>
      <c r="I2" s="27" t="s">
        <v>37</v>
      </c>
      <c r="J2" s="29" t="s">
        <v>18</v>
      </c>
      <c r="K2" s="15"/>
      <c r="L2" s="15"/>
      <c r="N2" s="31" t="s">
        <v>3</v>
      </c>
      <c r="O2" s="33" t="s">
        <v>7</v>
      </c>
      <c r="P2" s="24" t="s">
        <v>31</v>
      </c>
      <c r="Q2" s="24" t="s">
        <v>10</v>
      </c>
      <c r="R2" s="24" t="s">
        <v>35</v>
      </c>
      <c r="S2" s="24" t="s">
        <v>13</v>
      </c>
      <c r="T2" s="11" t="s">
        <v>36</v>
      </c>
      <c r="U2" s="29" t="s">
        <v>18</v>
      </c>
    </row>
    <row r="3">
      <c r="A3" s="38"/>
      <c r="B3" s="38"/>
      <c r="C3" s="38"/>
      <c r="D3" s="38"/>
      <c r="E3" s="38"/>
      <c r="F3" s="38"/>
      <c r="G3" s="38"/>
      <c r="H3" s="38"/>
      <c r="I3" s="40"/>
      <c r="J3" s="40"/>
      <c r="K3" s="42"/>
      <c r="L3" s="42"/>
      <c r="M3" s="42"/>
      <c r="N3" s="38"/>
      <c r="O3" s="38"/>
      <c r="P3" s="38"/>
      <c r="Q3" s="38"/>
      <c r="R3" s="38"/>
      <c r="S3" s="38"/>
      <c r="T3" s="46">
        <v>7.0E-4</v>
      </c>
      <c r="U3" s="40"/>
    </row>
    <row r="4">
      <c r="A4" s="47" t="s">
        <v>39</v>
      </c>
      <c r="B4" s="49"/>
      <c r="C4" s="52"/>
      <c r="D4" s="53"/>
      <c r="E4" s="55"/>
      <c r="F4" s="57"/>
      <c r="G4" s="59"/>
      <c r="H4" s="59"/>
      <c r="I4" s="60"/>
      <c r="J4" s="60"/>
      <c r="K4" s="62"/>
      <c r="L4" s="62"/>
      <c r="M4" s="62"/>
      <c r="N4" s="65" t="str">
        <f>IFERROR(__xludf.DUMMYFUNCTION("UNIQUE(FILTER(A2:A153,(A2:A153&lt;&gt;"""")*(COUNTIF(LEGEND!B2:B13,A2:A153)&gt;0)))"),"AUG")</f>
        <v>AUG</v>
      </c>
      <c r="O4" s="69">
        <f t="shared" ref="O4:O16" si="2">IFERROR(SUM(
  INDEX($C:$C,MATCH($N4,$A:$A,0)+1):
  INDEX($C:$C,MATCH($N4&amp;"_TOTAL",$A:$A,0)-1)
),0)</f>
        <v>1139465.57</v>
      </c>
      <c r="P4" s="71">
        <f t="shared" ref="P4:P16" si="3">IFERROR(AVERAGE(
  INDEX(D:D,MATCH($N4,$A:$A,0)+1):
  INDEX(D:D,MATCH($N4&amp;"_TOTAL",$A:$A,0)-1)
),0)</f>
        <v>17737.58198</v>
      </c>
      <c r="Q4" s="72">
        <f t="shared" ref="Q4:Q16" si="4">IFERROR(SUM(
  INDEX(E:E,MATCH($N4,$A:$A,0)+1):
  INDEX(E:E,MATCH($N4&amp;"_TOTAL",$A:$A,0)-1)
),0)</f>
        <v>20209889639</v>
      </c>
      <c r="R4" s="71">
        <f t="shared" ref="R4:R16" si="5">IFERROR(AVERAGE(
  INDEX(F:F,MATCH($N4,$A:$A,0)+1):
  INDEX(F:F,MATCH($N4&amp;"_TOTAL",$A:$A,0)-1)
),0)</f>
        <v>17762.5</v>
      </c>
      <c r="S4" s="72">
        <f t="shared" ref="S4:T4" si="1">IFERROR(SUM(
  INDEX(G:G,MATCH($N4,$A:$A,0)+1):
  INDEX(G:G,MATCH($N4&amp;"_TOTAL",$A:$A,0)-1)
),0)</f>
        <v>20249998209</v>
      </c>
      <c r="T4" s="72">
        <f t="shared" si="1"/>
        <v>14146922.75</v>
      </c>
      <c r="U4" s="72">
        <f t="shared" ref="U4:U16" si="7">IFERROR(SUM(
  INDEX(J:J,MATCH($N4,$A:$A,0)+1):
  INDEX(J:J,MATCH($N4&amp;"_TOTAL",$A:$A,0)-1)
),0)</f>
        <v>25961646.83</v>
      </c>
    </row>
    <row r="5">
      <c r="A5" s="74" t="str">
        <f t="shared" ref="A5:A35" si="8">IF(ISBLANK(B5),"",TEXT(B5,"dddd"))</f>
        <v>Saturday</v>
      </c>
      <c r="B5" s="49">
        <v>46235.0</v>
      </c>
      <c r="C5" s="75">
        <f>SUMIF(AUG!$B$3:$B$100, B5, AUG!$D$3:$D$100)</f>
        <v>0</v>
      </c>
      <c r="D5" s="76" t="str">
        <f>IFERROR(__xludf.DUMMYFUNCTION("IFNA(INDEX(FILTER(AUG!$E$3:$E$100, AUG!$B$3:$B$100=B5), 1), ""-"")"),"-")</f>
        <v>-</v>
      </c>
      <c r="E5" s="78">
        <f>SUMIF(AUG!$B$3:$B$100, B5, AUG!$F$3:$F$100)</f>
        <v>0</v>
      </c>
      <c r="F5" s="76" t="str">
        <f>IFERROR(__xludf.DUMMYFUNCTION("IFNA(INDEX(FILTER(AUG!$G$3:$G$100, AUG!$B$3:$B$100=B5), 1), ""-"")"),"-")</f>
        <v>-</v>
      </c>
      <c r="G5" s="78">
        <f>IFNA(SUMIF(AUG!$B$3:$B$100,B5,AUG!$H$3:$H$100),"-")</f>
        <v>0</v>
      </c>
      <c r="H5" s="78">
        <f t="shared" ref="H5:H35" si="9">E5*0.07%</f>
        <v>0</v>
      </c>
      <c r="I5" s="78">
        <f>SUMIF(AUG!B:B, B5, AUG!K:K)</f>
        <v>0</v>
      </c>
      <c r="J5" s="79">
        <f t="shared" ref="J5:J35" si="10">G5-E5-H5</f>
        <v>0</v>
      </c>
      <c r="K5" s="62"/>
      <c r="L5" s="62"/>
      <c r="M5" s="62"/>
      <c r="N5" s="65" t="str">
        <f>IFERROR(__xludf.DUMMYFUNCTION("""COMPUTED_VALUE"""),"SEP")</f>
        <v>SEP</v>
      </c>
      <c r="O5" s="69">
        <f t="shared" si="2"/>
        <v>11639890.98</v>
      </c>
      <c r="P5" s="71">
        <f t="shared" si="3"/>
        <v>17635.51172</v>
      </c>
      <c r="Q5" s="72">
        <f t="shared" si="4"/>
        <v>205573414297</v>
      </c>
      <c r="R5" s="71">
        <f t="shared" si="5"/>
        <v>17663.64286</v>
      </c>
      <c r="S5" s="72">
        <f t="shared" ref="S5:T5" si="6">IFERROR(SUM(
  INDEX(G:G,MATCH($N5,$A:$A,0)+1):
  INDEX(G:G,MATCH($N5&amp;"_TOTAL",$A:$A,0)-1)
),0)</f>
        <v>205910516613</v>
      </c>
      <c r="T5" s="72">
        <f t="shared" si="6"/>
        <v>43454634.43</v>
      </c>
      <c r="U5" s="72">
        <f t="shared" si="7"/>
        <v>293647681.6</v>
      </c>
    </row>
    <row r="6">
      <c r="A6" s="74" t="str">
        <f t="shared" si="8"/>
        <v>Sunday</v>
      </c>
      <c r="B6" s="49">
        <v>46236.0</v>
      </c>
      <c r="C6" s="75">
        <f>SUMIF(AUG!$B$3:$B$100, B6, AUG!$D$3:$D$100)</f>
        <v>0</v>
      </c>
      <c r="D6" s="76" t="str">
        <f>IFERROR(__xludf.DUMMYFUNCTION("IFNA(INDEX(FILTER(AUG!$E$3:$E$100, AUG!$B$3:$B$100=B6), 1), ""-"")"),"-")</f>
        <v>-</v>
      </c>
      <c r="E6" s="78">
        <f>SUMIF(AUG!$B$3:$B$100, B6, AUG!$F$3:$F$100)</f>
        <v>0</v>
      </c>
      <c r="F6" s="76" t="str">
        <f>IFERROR(__xludf.DUMMYFUNCTION("IFNA(INDEX(FILTER(AUG!$G$3:$G$100, AUG!$B$3:$B$100=B6), 1), ""-"")"),"-")</f>
        <v>-</v>
      </c>
      <c r="G6" s="78">
        <f>IFNA(SUMIF(AUG!$B$3:$B$100,B6,AUG!$H$3:$H$100),"-")</f>
        <v>0</v>
      </c>
      <c r="H6" s="78">
        <f t="shared" si="9"/>
        <v>0</v>
      </c>
      <c r="I6" s="78">
        <f>SUMIF(AUG!B:B, B6, AUG!K:K)</f>
        <v>0</v>
      </c>
      <c r="J6" s="79">
        <f t="shared" si="10"/>
        <v>0</v>
      </c>
      <c r="K6" s="62"/>
      <c r="L6" s="62"/>
      <c r="M6" s="62"/>
      <c r="N6" s="65" t="str">
        <f>IFERROR(__xludf.DUMMYFUNCTION("""COMPUTED_VALUE"""),"OCT")</f>
        <v>OCT</v>
      </c>
      <c r="O6" s="69">
        <f t="shared" si="2"/>
        <v>0</v>
      </c>
      <c r="P6" s="71">
        <f t="shared" si="3"/>
        <v>0</v>
      </c>
      <c r="Q6" s="72">
        <f t="shared" si="4"/>
        <v>0</v>
      </c>
      <c r="R6" s="71">
        <f t="shared" si="5"/>
        <v>0</v>
      </c>
      <c r="S6" s="72">
        <f t="shared" ref="S6:T6" si="11">IFERROR(SUM(
  INDEX(G:G,MATCH($N6,$A:$A,0)+1):
  INDEX(G:G,MATCH($N6&amp;"_TOTAL",$A:$A,0)-1)
),0)</f>
        <v>0</v>
      </c>
      <c r="T6" s="72">
        <f t="shared" si="11"/>
        <v>0</v>
      </c>
      <c r="U6" s="72">
        <f t="shared" si="7"/>
        <v>0</v>
      </c>
    </row>
    <row r="7">
      <c r="A7" s="74" t="str">
        <f t="shared" si="8"/>
        <v>Monday</v>
      </c>
      <c r="B7" s="49">
        <v>46237.0</v>
      </c>
      <c r="C7" s="75">
        <f>SUMIF(AUG!$B$3:$B$100, B7, AUG!$D$3:$D$100)</f>
        <v>0</v>
      </c>
      <c r="D7" s="76" t="str">
        <f>IFERROR(__xludf.DUMMYFUNCTION("IFNA(INDEX(FILTER(AUG!$E$3:$E$100, AUG!$B$3:$B$100=B7), 1), ""-"")"),"-")</f>
        <v>-</v>
      </c>
      <c r="E7" s="78">
        <f>SUMIF(AUG!$B$3:$B$100, B7, AUG!$F$3:$F$100)</f>
        <v>0</v>
      </c>
      <c r="F7" s="76" t="str">
        <f>IFERROR(__xludf.DUMMYFUNCTION("IFNA(INDEX(FILTER(AUG!$G$3:$G$100, AUG!$B$3:$B$100=B7), 1), ""-"")"),"-")</f>
        <v>-</v>
      </c>
      <c r="G7" s="78">
        <f>IFNA(SUMIF(AUG!$B$3:$B$100,B7,AUG!$H$3:$H$100),"-")</f>
        <v>0</v>
      </c>
      <c r="H7" s="78">
        <f t="shared" si="9"/>
        <v>0</v>
      </c>
      <c r="I7" s="78">
        <f>SUMIF(AUG!B:B, B7, AUG!K:K)</f>
        <v>0</v>
      </c>
      <c r="J7" s="79">
        <f t="shared" si="10"/>
        <v>0</v>
      </c>
      <c r="K7" s="62"/>
      <c r="L7" s="62"/>
      <c r="M7" s="62"/>
      <c r="N7" s="65" t="str">
        <f>IFERROR(__xludf.DUMMYFUNCTION("""COMPUTED_VALUE"""),"NOV")</f>
        <v>NOV</v>
      </c>
      <c r="O7" s="69">
        <f t="shared" si="2"/>
        <v>0</v>
      </c>
      <c r="P7" s="71">
        <f t="shared" si="3"/>
        <v>0</v>
      </c>
      <c r="Q7" s="72">
        <f t="shared" si="4"/>
        <v>0</v>
      </c>
      <c r="R7" s="71">
        <f t="shared" si="5"/>
        <v>0</v>
      </c>
      <c r="S7" s="72">
        <f t="shared" ref="S7:T7" si="12">IFERROR(SUM(
  INDEX(G:G,MATCH($N7,$A:$A,0)+1):
  INDEX(G:G,MATCH($N7&amp;"_TOTAL",$A:$A,0)-1)
),0)</f>
        <v>0</v>
      </c>
      <c r="T7" s="72">
        <f t="shared" si="12"/>
        <v>0</v>
      </c>
      <c r="U7" s="72">
        <f t="shared" si="7"/>
        <v>0</v>
      </c>
    </row>
    <row r="8">
      <c r="A8" s="74" t="str">
        <f t="shared" si="8"/>
        <v>Tuesday</v>
      </c>
      <c r="B8" s="49">
        <v>46238.0</v>
      </c>
      <c r="C8" s="75">
        <f>SUMIF(AUG!$B$3:$B$100, B8, AUG!$D$3:$D$100)</f>
        <v>0</v>
      </c>
      <c r="D8" s="76" t="str">
        <f>IFERROR(__xludf.DUMMYFUNCTION("IFNA(INDEX(FILTER(AUG!$E$3:$E$100, AUG!$B$3:$B$100=B8), 1), ""-"")"),"-")</f>
        <v>-</v>
      </c>
      <c r="E8" s="78">
        <f>SUMIF(AUG!$B$3:$B$100, B8, AUG!$F$3:$F$100)</f>
        <v>0</v>
      </c>
      <c r="F8" s="76" t="str">
        <f>IFERROR(__xludf.DUMMYFUNCTION("IFNA(INDEX(FILTER(AUG!$G$3:$G$100, AUG!$B$3:$B$100=B8), 1), ""-"")"),"-")</f>
        <v>-</v>
      </c>
      <c r="G8" s="78">
        <f>IFNA(SUMIF(AUG!$B$3:$B$100,B8,AUG!$H$3:$H$100),"-")</f>
        <v>0</v>
      </c>
      <c r="H8" s="78">
        <f t="shared" si="9"/>
        <v>0</v>
      </c>
      <c r="I8" s="78">
        <f>SUMIF(AUG!B:B, B8, AUG!K:K)</f>
        <v>0</v>
      </c>
      <c r="J8" s="79">
        <f t="shared" si="10"/>
        <v>0</v>
      </c>
      <c r="K8" s="62"/>
      <c r="L8" s="62"/>
      <c r="M8" s="62"/>
      <c r="N8" s="65" t="str">
        <f>IFERROR(__xludf.DUMMYFUNCTION("""COMPUTED_VALUE"""),"DEC")</f>
        <v>DEC</v>
      </c>
      <c r="O8" s="69">
        <f t="shared" si="2"/>
        <v>0</v>
      </c>
      <c r="P8" s="71">
        <f t="shared" si="3"/>
        <v>0</v>
      </c>
      <c r="Q8" s="72">
        <f t="shared" si="4"/>
        <v>0</v>
      </c>
      <c r="R8" s="71">
        <f t="shared" si="5"/>
        <v>0</v>
      </c>
      <c r="S8" s="72">
        <f t="shared" ref="S8:T8" si="13">IFERROR(SUM(
  INDEX(G:G,MATCH($N8,$A:$A,0)+1):
  INDEX(G:G,MATCH($N8&amp;"_TOTAL",$A:$A,0)-1)
),0)</f>
        <v>0</v>
      </c>
      <c r="T8" s="72">
        <f t="shared" si="13"/>
        <v>0</v>
      </c>
      <c r="U8" s="72">
        <f t="shared" si="7"/>
        <v>0</v>
      </c>
    </row>
    <row r="9">
      <c r="A9" s="74" t="str">
        <f t="shared" si="8"/>
        <v>Wednesday</v>
      </c>
      <c r="B9" s="49">
        <v>46239.0</v>
      </c>
      <c r="C9" s="75">
        <f>SUMIF(AUG!$B$3:$B$100, B9, AUG!$D$3:$D$100)</f>
        <v>0</v>
      </c>
      <c r="D9" s="76" t="str">
        <f>IFERROR(__xludf.DUMMYFUNCTION("IFNA(INDEX(FILTER(AUG!$E$3:$E$100, AUG!$B$3:$B$100=B9), 1), ""-"")"),"-")</f>
        <v>-</v>
      </c>
      <c r="E9" s="78">
        <f>SUMIF(AUG!$B$3:$B$100, B9, AUG!$F$3:$F$100)</f>
        <v>0</v>
      </c>
      <c r="F9" s="76" t="str">
        <f>IFERROR(__xludf.DUMMYFUNCTION("IFNA(INDEX(FILTER(AUG!$G$3:$G$100, AUG!$B$3:$B$100=B9), 1), ""-"")"),"-")</f>
        <v>-</v>
      </c>
      <c r="G9" s="78">
        <f>IFNA(SUMIF(AUG!$B$3:$B$100,B9,AUG!$H$3:$H$100),"-")</f>
        <v>0</v>
      </c>
      <c r="H9" s="78">
        <f t="shared" si="9"/>
        <v>0</v>
      </c>
      <c r="I9" s="78">
        <f>SUMIF(AUG!B:B, B9, AUG!K:K)</f>
        <v>0</v>
      </c>
      <c r="J9" s="79">
        <f t="shared" si="10"/>
        <v>0</v>
      </c>
      <c r="K9" s="62"/>
      <c r="L9" s="62"/>
      <c r="M9" s="62"/>
      <c r="N9" s="83"/>
      <c r="O9" s="69">
        <f t="shared" si="2"/>
        <v>0</v>
      </c>
      <c r="P9" s="71">
        <f t="shared" si="3"/>
        <v>0</v>
      </c>
      <c r="Q9" s="72">
        <f t="shared" si="4"/>
        <v>0</v>
      </c>
      <c r="R9" s="71">
        <f t="shared" si="5"/>
        <v>0</v>
      </c>
      <c r="S9" s="72">
        <f t="shared" ref="S9:T9" si="14">IFERROR(SUM(
  INDEX(G:G,MATCH($N9,$A:$A,0)+1):
  INDEX(G:G,MATCH($N9&amp;"_TOTAL",$A:$A,0)-1)
),0)</f>
        <v>0</v>
      </c>
      <c r="T9" s="72">
        <f t="shared" si="14"/>
        <v>0</v>
      </c>
      <c r="U9" s="72">
        <f t="shared" si="7"/>
        <v>0</v>
      </c>
    </row>
    <row r="10">
      <c r="A10" s="74" t="str">
        <f t="shared" si="8"/>
        <v>Thursday</v>
      </c>
      <c r="B10" s="49">
        <v>46240.0</v>
      </c>
      <c r="C10" s="75">
        <f>SUMIF(AUG!$B$3:$B$100, B10, AUG!$D$3:$D$100)</f>
        <v>0</v>
      </c>
      <c r="D10" s="76" t="str">
        <f>IFERROR(__xludf.DUMMYFUNCTION("IFNA(INDEX(FILTER(AUG!$E$3:$E$100, AUG!$B$3:$B$100=B10), 1), ""-"")"),"-")</f>
        <v>-</v>
      </c>
      <c r="E10" s="78">
        <f>SUMIF(AUG!$B$3:$B$100, B10, AUG!$F$3:$F$100)</f>
        <v>0</v>
      </c>
      <c r="F10" s="76" t="str">
        <f>IFERROR(__xludf.DUMMYFUNCTION("IFNA(INDEX(FILTER(AUG!$G$3:$G$100, AUG!$B$3:$B$100=B10), 1), ""-"")"),"-")</f>
        <v>-</v>
      </c>
      <c r="G10" s="78">
        <f>IFNA(SUMIF(AUG!$B$3:$B$100,B10,AUG!$H$3:$H$100),"-")</f>
        <v>0</v>
      </c>
      <c r="H10" s="78">
        <f t="shared" si="9"/>
        <v>0</v>
      </c>
      <c r="I10" s="78">
        <f>SUMIF(AUG!B:B, B10, AUG!K:K)</f>
        <v>0</v>
      </c>
      <c r="J10" s="79">
        <f t="shared" si="10"/>
        <v>0</v>
      </c>
      <c r="K10" s="62"/>
      <c r="L10" s="62"/>
      <c r="M10" s="62"/>
      <c r="N10" s="83"/>
      <c r="O10" s="69">
        <f t="shared" si="2"/>
        <v>0</v>
      </c>
      <c r="P10" s="71">
        <f t="shared" si="3"/>
        <v>0</v>
      </c>
      <c r="Q10" s="72">
        <f t="shared" si="4"/>
        <v>0</v>
      </c>
      <c r="R10" s="71">
        <f t="shared" si="5"/>
        <v>0</v>
      </c>
      <c r="S10" s="72">
        <f t="shared" ref="S10:T10" si="15">IFERROR(SUM(
  INDEX(G:G,MATCH($N10,$A:$A,0)+1):
  INDEX(G:G,MATCH($N10&amp;"_TOTAL",$A:$A,0)-1)
),0)</f>
        <v>0</v>
      </c>
      <c r="T10" s="72">
        <f t="shared" si="15"/>
        <v>0</v>
      </c>
      <c r="U10" s="72">
        <f t="shared" si="7"/>
        <v>0</v>
      </c>
    </row>
    <row r="11">
      <c r="A11" s="74" t="str">
        <f t="shared" si="8"/>
        <v>Friday</v>
      </c>
      <c r="B11" s="49">
        <v>46241.0</v>
      </c>
      <c r="C11" s="75">
        <f>SUMIF(AUG!$B$3:$B$100, B11, AUG!$D$3:$D$100)</f>
        <v>0</v>
      </c>
      <c r="D11" s="76" t="str">
        <f>IFERROR(__xludf.DUMMYFUNCTION("IFNA(INDEX(FILTER(AUG!$E$3:$E$100, AUG!$B$3:$B$100=B11), 1), ""-"")"),"-")</f>
        <v>-</v>
      </c>
      <c r="E11" s="78">
        <f>SUMIF(AUG!$B$3:$B$100, B11, AUG!$F$3:$F$100)</f>
        <v>0</v>
      </c>
      <c r="F11" s="76" t="str">
        <f>IFERROR(__xludf.DUMMYFUNCTION("IFNA(INDEX(FILTER(AUG!$G$3:$G$100, AUG!$B$3:$B$100=B11), 1), ""-"")"),"-")</f>
        <v>-</v>
      </c>
      <c r="G11" s="78">
        <f>IFNA(SUMIF(AUG!$B$3:$B$100,B11,AUG!$H$3:$H$100),"-")</f>
        <v>0</v>
      </c>
      <c r="H11" s="78">
        <f t="shared" si="9"/>
        <v>0</v>
      </c>
      <c r="I11" s="78">
        <f>SUMIF(AUG!B:B, B11, AUG!K:K)</f>
        <v>0</v>
      </c>
      <c r="J11" s="79">
        <f t="shared" si="10"/>
        <v>0</v>
      </c>
      <c r="K11" s="62"/>
      <c r="L11" s="62"/>
      <c r="M11" s="62"/>
      <c r="N11" s="83"/>
      <c r="O11" s="69">
        <f t="shared" si="2"/>
        <v>0</v>
      </c>
      <c r="P11" s="71">
        <f t="shared" si="3"/>
        <v>0</v>
      </c>
      <c r="Q11" s="72">
        <f t="shared" si="4"/>
        <v>0</v>
      </c>
      <c r="R11" s="71">
        <f t="shared" si="5"/>
        <v>0</v>
      </c>
      <c r="S11" s="72">
        <f t="shared" ref="S11:T11" si="16">IFERROR(SUM(
  INDEX(G:G,MATCH($N11,$A:$A,0)+1):
  INDEX(G:G,MATCH($N11&amp;"_TOTAL",$A:$A,0)-1)
),0)</f>
        <v>0</v>
      </c>
      <c r="T11" s="72">
        <f t="shared" si="16"/>
        <v>0</v>
      </c>
      <c r="U11" s="72">
        <f t="shared" si="7"/>
        <v>0</v>
      </c>
    </row>
    <row r="12">
      <c r="A12" s="74" t="str">
        <f t="shared" si="8"/>
        <v>Saturday</v>
      </c>
      <c r="B12" s="49">
        <v>46242.0</v>
      </c>
      <c r="C12" s="75">
        <f>SUMIF(AUG!$B$3:$B$100, B12, AUG!$D$3:$D$100)</f>
        <v>0</v>
      </c>
      <c r="D12" s="76" t="str">
        <f>IFERROR(__xludf.DUMMYFUNCTION("IFNA(INDEX(FILTER(AUG!$E$3:$E$100, AUG!$B$3:$B$100=B12), 1), ""-"")"),"-")</f>
        <v>-</v>
      </c>
      <c r="E12" s="78">
        <f>SUMIF(AUG!$B$3:$B$100, B12, AUG!$F$3:$F$100)</f>
        <v>0</v>
      </c>
      <c r="F12" s="76" t="str">
        <f>IFERROR(__xludf.DUMMYFUNCTION("IFNA(INDEX(FILTER(AUG!$G$3:$G$100, AUG!$B$3:$B$100=B12), 1), ""-"")"),"-")</f>
        <v>-</v>
      </c>
      <c r="G12" s="78">
        <f>IFNA(SUMIF(AUG!$B$3:$B$100,B12,AUG!$H$3:$H$100),"-")</f>
        <v>0</v>
      </c>
      <c r="H12" s="78">
        <f t="shared" si="9"/>
        <v>0</v>
      </c>
      <c r="I12" s="78">
        <f>SUMIF(AUG!B:B, B12, AUG!K:K)</f>
        <v>0</v>
      </c>
      <c r="J12" s="79">
        <f t="shared" si="10"/>
        <v>0</v>
      </c>
      <c r="K12" s="62"/>
      <c r="L12" s="62"/>
      <c r="M12" s="62"/>
      <c r="N12" s="83"/>
      <c r="O12" s="69">
        <f t="shared" si="2"/>
        <v>0</v>
      </c>
      <c r="P12" s="71">
        <f t="shared" si="3"/>
        <v>0</v>
      </c>
      <c r="Q12" s="72">
        <f t="shared" si="4"/>
        <v>0</v>
      </c>
      <c r="R12" s="71">
        <f t="shared" si="5"/>
        <v>0</v>
      </c>
      <c r="S12" s="72">
        <f t="shared" ref="S12:T12" si="17">IFERROR(SUM(
  INDEX(G:G,MATCH($N12,$A:$A,0)+1):
  INDEX(G:G,MATCH($N12&amp;"_TOTAL",$A:$A,0)-1)
),0)</f>
        <v>0</v>
      </c>
      <c r="T12" s="72">
        <f t="shared" si="17"/>
        <v>0</v>
      </c>
      <c r="U12" s="72">
        <f t="shared" si="7"/>
        <v>0</v>
      </c>
    </row>
    <row r="13">
      <c r="A13" s="74" t="str">
        <f t="shared" si="8"/>
        <v>Sunday</v>
      </c>
      <c r="B13" s="49">
        <v>46243.0</v>
      </c>
      <c r="C13" s="75">
        <f>SUMIF(AUG!$B$3:$B$100, B13, AUG!$D$3:$D$100)</f>
        <v>0</v>
      </c>
      <c r="D13" s="76" t="str">
        <f>IFERROR(__xludf.DUMMYFUNCTION("IFNA(INDEX(FILTER(AUG!$E$3:$E$100, AUG!$B$3:$B$100=B13), 1), ""-"")"),"-")</f>
        <v>-</v>
      </c>
      <c r="E13" s="78">
        <f>SUMIF(AUG!$B$3:$B$100, B13, AUG!$F$3:$F$100)</f>
        <v>0</v>
      </c>
      <c r="F13" s="76" t="str">
        <f>IFERROR(__xludf.DUMMYFUNCTION("IFNA(INDEX(FILTER(AUG!$G$3:$G$100, AUG!$B$3:$B$100=B13), 1), ""-"")"),"-")</f>
        <v>-</v>
      </c>
      <c r="G13" s="78">
        <f>IFNA(SUMIF(AUG!$B$3:$B$100,B13,AUG!$H$3:$H$100),"-")</f>
        <v>0</v>
      </c>
      <c r="H13" s="78">
        <f t="shared" si="9"/>
        <v>0</v>
      </c>
      <c r="I13" s="78">
        <f>SUMIF(AUG!B:B, B13, AUG!K:K)</f>
        <v>0</v>
      </c>
      <c r="J13" s="79">
        <f t="shared" si="10"/>
        <v>0</v>
      </c>
      <c r="K13" s="62"/>
      <c r="L13" s="62"/>
      <c r="M13" s="62"/>
      <c r="N13" s="83"/>
      <c r="O13" s="69">
        <f t="shared" si="2"/>
        <v>0</v>
      </c>
      <c r="P13" s="71">
        <f t="shared" si="3"/>
        <v>0</v>
      </c>
      <c r="Q13" s="72">
        <f t="shared" si="4"/>
        <v>0</v>
      </c>
      <c r="R13" s="71">
        <f t="shared" si="5"/>
        <v>0</v>
      </c>
      <c r="S13" s="72">
        <f t="shared" ref="S13:T13" si="18">IFERROR(SUM(
  INDEX(G:G,MATCH($N13,$A:$A,0)+1):
  INDEX(G:G,MATCH($N13&amp;"_TOTAL",$A:$A,0)-1)
),0)</f>
        <v>0</v>
      </c>
      <c r="T13" s="72">
        <f t="shared" si="18"/>
        <v>0</v>
      </c>
      <c r="U13" s="72">
        <f t="shared" si="7"/>
        <v>0</v>
      </c>
    </row>
    <row r="14">
      <c r="A14" s="74" t="str">
        <f t="shared" si="8"/>
        <v>Monday</v>
      </c>
      <c r="B14" s="49">
        <v>46244.0</v>
      </c>
      <c r="C14" s="75">
        <f>SUMIF(AUG!$B$3:$B$100, B14, AUG!$D$3:$D$100)</f>
        <v>169571.35</v>
      </c>
      <c r="D14" s="76">
        <f>IFERROR(__xludf.DUMMYFUNCTION("IFNA(INDEX(FILTER(AUG!$E$3:$E$100, AUG!$B$3:$B$100=B14), 1), ""-"")"),17664.016100178887)</f>
        <v>17664.0161</v>
      </c>
      <c r="E14" s="78">
        <f>SUMIF(AUG!$B$3:$B$100, B14, AUG!$F$3:$F$100)</f>
        <v>2995016202</v>
      </c>
      <c r="F14" s="76">
        <f>IFERROR(__xludf.DUMMYFUNCTION("IFNA(INDEX(FILTER(AUG!$G$3:$G$100, AUG!$B$3:$B$100=B14), 1), ""-"")"),17690.0)</f>
        <v>17690</v>
      </c>
      <c r="G14" s="78">
        <f>IFNA(SUMIF(AUG!$B$3:$B$100,B14,AUG!$H$3:$H$100),"-")</f>
        <v>2999999747</v>
      </c>
      <c r="H14" s="78">
        <f t="shared" si="9"/>
        <v>2096511.342</v>
      </c>
      <c r="I14" s="78">
        <f>SUMIF(AUG!B:B, B14, AUG!K:K)</f>
        <v>4983544.932</v>
      </c>
      <c r="J14" s="79">
        <f t="shared" si="10"/>
        <v>2887033.591</v>
      </c>
      <c r="K14" s="62"/>
      <c r="L14" s="62"/>
      <c r="M14" s="62"/>
      <c r="N14" s="83"/>
      <c r="O14" s="69">
        <f t="shared" si="2"/>
        <v>0</v>
      </c>
      <c r="P14" s="71">
        <f t="shared" si="3"/>
        <v>0</v>
      </c>
      <c r="Q14" s="72">
        <f t="shared" si="4"/>
        <v>0</v>
      </c>
      <c r="R14" s="71">
        <f t="shared" si="5"/>
        <v>0</v>
      </c>
      <c r="S14" s="72">
        <f t="shared" ref="S14:T14" si="19">IFERROR(SUM(
  INDEX(G:G,MATCH($N14,$A:$A,0)+1):
  INDEX(G:G,MATCH($N14&amp;"_TOTAL",$A:$A,0)-1)
),0)</f>
        <v>0</v>
      </c>
      <c r="T14" s="72">
        <f t="shared" si="19"/>
        <v>0</v>
      </c>
      <c r="U14" s="72">
        <f t="shared" si="7"/>
        <v>0</v>
      </c>
    </row>
    <row r="15">
      <c r="A15" s="74" t="str">
        <f t="shared" si="8"/>
        <v>Tuesday</v>
      </c>
      <c r="B15" s="49">
        <v>46245.0</v>
      </c>
      <c r="C15" s="75">
        <f>SUMIF(AUG!$B$3:$B$100, B15, AUG!$D$3:$D$100)</f>
        <v>112867.13</v>
      </c>
      <c r="D15" s="76">
        <f>IFERROR(__xludf.DUMMYFUNCTION("IFNA(INDEX(FILTER(AUG!$E$3:$E$100, AUG!$B$3:$B$100=B15), 1), ""-"")"),17706.222945928384)</f>
        <v>17706.22295</v>
      </c>
      <c r="E15" s="78">
        <f>SUMIF(AUG!$B$3:$B$100, B15, AUG!$F$3:$F$100)</f>
        <v>1998872404</v>
      </c>
      <c r="F15" s="76">
        <f>IFERROR(__xludf.DUMMYFUNCTION("IFNA(INDEX(FILTER(AUG!$G$3:$G$100, AUG!$B$3:$B$100=B15), 1), ""-"")"),17690.0)</f>
        <v>17690</v>
      </c>
      <c r="G15" s="78">
        <f>IFNA(SUMIF(AUG!$B$3:$B$100,B15,AUG!$H$3:$H$100),"-")</f>
        <v>1999999811</v>
      </c>
      <c r="H15" s="78">
        <f t="shared" si="9"/>
        <v>1399210.683</v>
      </c>
      <c r="I15" s="78">
        <f>SUMIF(AUG!B:B, B15, AUG!K:K)</f>
        <v>1127407.298</v>
      </c>
      <c r="J15" s="79">
        <f t="shared" si="10"/>
        <v>-271803.3848</v>
      </c>
      <c r="K15" s="62"/>
      <c r="L15" s="62"/>
      <c r="M15" s="62"/>
      <c r="N15" s="83"/>
      <c r="O15" s="69">
        <f t="shared" si="2"/>
        <v>0</v>
      </c>
      <c r="P15" s="71">
        <f t="shared" si="3"/>
        <v>0</v>
      </c>
      <c r="Q15" s="72">
        <f t="shared" si="4"/>
        <v>0</v>
      </c>
      <c r="R15" s="71">
        <f t="shared" si="5"/>
        <v>0</v>
      </c>
      <c r="S15" s="72">
        <f t="shared" ref="S15:T15" si="20">IFERROR(SUM(
  INDEX(G:G,MATCH($N15,$A:$A,0)+1):
  INDEX(G:G,MATCH($N15&amp;"_TOTAL",$A:$A,0)-1)
),0)</f>
        <v>0</v>
      </c>
      <c r="T15" s="72">
        <f t="shared" si="20"/>
        <v>0</v>
      </c>
      <c r="U15" s="72">
        <f t="shared" si="7"/>
        <v>0</v>
      </c>
    </row>
    <row r="16">
      <c r="A16" s="74" t="str">
        <f t="shared" si="8"/>
        <v>Wednesday</v>
      </c>
      <c r="B16" s="49">
        <v>46246.0</v>
      </c>
      <c r="C16" s="75">
        <f>SUMIF(AUG!$B$3:$B$100, B16, AUG!$D$3:$D$100)</f>
        <v>280725.49</v>
      </c>
      <c r="D16" s="76">
        <f>IFERROR(__xludf.DUMMYFUNCTION("IFNA(INDEX(FILTER(AUG!$E$3:$E$100, AUG!$B$3:$B$100=B16), 1), ""-"")"),17778.171636799914)</f>
        <v>17778.17164</v>
      </c>
      <c r="E16" s="78">
        <f>SUMIF(AUG!$B$3:$B$100, B16, AUG!$F$3:$F$100)</f>
        <v>4988596546</v>
      </c>
      <c r="F16" s="76">
        <f>IFERROR(__xludf.DUMMYFUNCTION("IFNA(INDEX(FILTER(AUG!$G$3:$G$100, AUG!$B$3:$B$100=B16), 1), ""-"")"),17825.0)</f>
        <v>17825</v>
      </c>
      <c r="G16" s="78">
        <f>IFNA(SUMIF(AUG!$B$3:$B$100,B16,AUG!$H$3:$H$100),"-")</f>
        <v>4999999591</v>
      </c>
      <c r="H16" s="78">
        <f t="shared" si="9"/>
        <v>3492017.582</v>
      </c>
      <c r="I16" s="78">
        <f>SUMIF(AUG!B:B, B16, AUG!K:K)</f>
        <v>11403044.55</v>
      </c>
      <c r="J16" s="79">
        <f t="shared" si="10"/>
        <v>7911026.963</v>
      </c>
      <c r="K16" s="62"/>
      <c r="L16" s="62"/>
      <c r="M16" s="62"/>
      <c r="N16" s="83"/>
      <c r="O16" s="69">
        <f t="shared" si="2"/>
        <v>0</v>
      </c>
      <c r="P16" s="71">
        <f t="shared" si="3"/>
        <v>0</v>
      </c>
      <c r="Q16" s="72">
        <f t="shared" si="4"/>
        <v>0</v>
      </c>
      <c r="R16" s="71">
        <f t="shared" si="5"/>
        <v>0</v>
      </c>
      <c r="S16" s="72">
        <f t="shared" ref="S16:T16" si="21">IFERROR(SUM(
  INDEX(G:G,MATCH($N16,$A:$A,0)+1):
  INDEX(G:G,MATCH($N16&amp;"_TOTAL",$A:$A,0)-1)
),0)</f>
        <v>0</v>
      </c>
      <c r="T16" s="72">
        <f t="shared" si="21"/>
        <v>0</v>
      </c>
      <c r="U16" s="72">
        <f t="shared" si="7"/>
        <v>0</v>
      </c>
    </row>
    <row r="17">
      <c r="A17" s="74" t="str">
        <f t="shared" si="8"/>
        <v>Thursday</v>
      </c>
      <c r="B17" s="49">
        <v>46247.0</v>
      </c>
      <c r="C17" s="75">
        <f>SUMIF(AUG!$B$3:$B$100, B17, AUG!$D$3:$D$100)</f>
        <v>224482.63</v>
      </c>
      <c r="D17" s="76">
        <f>IFERROR(__xludf.DUMMYFUNCTION("IFNA(INDEX(FILTER(AUG!$E$3:$E$100, AUG!$B$3:$B$100=B17), 1), ""-"")"),17799.999999999996)</f>
        <v>17800</v>
      </c>
      <c r="E17" s="78">
        <f>SUMIF(AUG!$B$3:$B$100, B17, AUG!$F$3:$F$100)</f>
        <v>3991544223</v>
      </c>
      <c r="F17" s="107">
        <f>IFERROR(__xludf.DUMMYFUNCTION("IFNA(INDEX(FILTER(AUG!$G$3:$G$100, AUG!$B$3:$B$100=B17), 1), ""-"")"),17820.0)</f>
        <v>17820</v>
      </c>
      <c r="G17" s="78">
        <f>IFNA(SUMIF(AUG!$B$3:$B$100,B17,AUG!$H$3:$H$100),"-")</f>
        <v>3999999804</v>
      </c>
      <c r="H17" s="78">
        <f t="shared" si="9"/>
        <v>2794080.956</v>
      </c>
      <c r="I17" s="78">
        <f>SUMIF(AUG!B:B, B17, AUG!K:K)</f>
        <v>8455581.708</v>
      </c>
      <c r="J17" s="79">
        <f t="shared" si="10"/>
        <v>5661500.752</v>
      </c>
      <c r="K17" s="62"/>
      <c r="L17" s="62"/>
      <c r="M17" s="62"/>
      <c r="N17" s="83"/>
      <c r="O17" s="109"/>
      <c r="P17" s="110"/>
      <c r="Q17" s="37"/>
      <c r="R17" s="56"/>
      <c r="S17" s="72"/>
      <c r="T17" s="111"/>
      <c r="U17" s="111"/>
    </row>
    <row r="18">
      <c r="A18" s="74" t="str">
        <f t="shared" si="8"/>
        <v>Friday</v>
      </c>
      <c r="B18" s="49">
        <v>46248.0</v>
      </c>
      <c r="C18" s="75">
        <f>SUMIF(AUG!$B$3:$B$100, B18, AUG!$D$3:$D$100)</f>
        <v>168760.54</v>
      </c>
      <c r="D18" s="76">
        <f>IFERROR(__xludf.DUMMYFUNCTION("IFNA(INDEX(FILTER(AUG!$E$3:$E$100, AUG!$B$3:$B$100=B18), 1), ""-"")"),17740.336250307795)</f>
        <v>17740.33625</v>
      </c>
      <c r="E18" s="78">
        <f>SUMIF(AUG!$B$3:$B$100, B18, AUG!$F$3:$F$100)</f>
        <v>2992263337</v>
      </c>
      <c r="F18" s="76">
        <f>IFERROR(__xludf.DUMMYFUNCTION("IFNA(INDEX(FILTER(AUG!$G$3:$G$100, AUG!$B$3:$B$100=B18), 1), ""-"")"),17780.0)</f>
        <v>17780</v>
      </c>
      <c r="G18" s="78">
        <f>IFNA(SUMIF(AUG!$B$3:$B$100,B18,AUG!$H$3:$H$100),"-")</f>
        <v>2999999813</v>
      </c>
      <c r="H18" s="78">
        <f t="shared" si="9"/>
        <v>2094584.336</v>
      </c>
      <c r="I18" s="78">
        <f>SUMIF(AUG!B:B, B18, AUG!K:K)</f>
        <v>7736476.07</v>
      </c>
      <c r="J18" s="79">
        <f t="shared" si="10"/>
        <v>5641891.734</v>
      </c>
      <c r="K18" s="62"/>
      <c r="L18" s="62"/>
      <c r="M18" s="62"/>
      <c r="N18" s="83"/>
      <c r="O18" s="109"/>
      <c r="P18" s="110"/>
      <c r="Q18" s="37"/>
      <c r="R18" s="56"/>
      <c r="S18" s="111"/>
      <c r="T18" s="111"/>
      <c r="U18" s="111"/>
    </row>
    <row r="19">
      <c r="A19" s="74" t="str">
        <f t="shared" si="8"/>
        <v>Saturday</v>
      </c>
      <c r="B19" s="49">
        <v>46249.0</v>
      </c>
      <c r="C19" s="75">
        <f>SUMIF(AUG!$B$3:$B$100, B19, AUG!$D$3:$D$100)</f>
        <v>98651.13</v>
      </c>
      <c r="D19" s="76">
        <f>IFERROR(__xludf.DUMMYFUNCTION("IFNA(INDEX(FILTER(AUG!$E$3:$E$100, AUG!$B$3:$B$100=B19), 1), ""-"")"),17708.98471159263)</f>
        <v>17708.98471</v>
      </c>
      <c r="E19" s="78">
        <f>SUMIF(AUG!$B$3:$B$100, B19, AUG!$F$3:$F$100)</f>
        <v>1746056544</v>
      </c>
      <c r="F19" s="76">
        <f>IFERROR(__xludf.DUMMYFUNCTION("IFNA(INDEX(FILTER(AUG!$G$3:$G$100, AUG!$B$3:$B$100=B19), 1), ""-"")"),17750.0)</f>
        <v>17750</v>
      </c>
      <c r="G19" s="78">
        <f>IFNA(SUMIF(AUG!$B$3:$B$100,B19,AUG!$H$3:$H$100),"-")</f>
        <v>1749999730</v>
      </c>
      <c r="H19" s="78">
        <f t="shared" si="9"/>
        <v>1222239.581</v>
      </c>
      <c r="I19" s="78">
        <f>SUMIF(AUG!B:B, B19, AUG!K:K)</f>
        <v>3943185.252</v>
      </c>
      <c r="J19" s="79">
        <f t="shared" si="10"/>
        <v>2720945.67</v>
      </c>
      <c r="K19" s="62"/>
      <c r="L19" s="62"/>
      <c r="M19" s="62"/>
      <c r="N19" s="83"/>
      <c r="O19" s="109"/>
      <c r="P19" s="110"/>
      <c r="Q19" s="37"/>
      <c r="R19" s="56"/>
      <c r="S19" s="111"/>
      <c r="T19" s="111"/>
      <c r="U19" s="111"/>
    </row>
    <row r="20">
      <c r="A20" s="74" t="str">
        <f t="shared" si="8"/>
        <v>Sunday</v>
      </c>
      <c r="B20" s="49">
        <v>46250.0</v>
      </c>
      <c r="C20" s="75">
        <f>SUMIF(AUG!$B$3:$B$100, B20, AUG!$D$3:$D$100)</f>
        <v>0</v>
      </c>
      <c r="D20" s="76" t="str">
        <f>IFERROR(__xludf.DUMMYFUNCTION("IFNA(INDEX(FILTER(AUG!$E$3:$E$100, AUG!$B$3:$B$100=B20), 1), ""-"")"),"-")</f>
        <v>-</v>
      </c>
      <c r="E20" s="78">
        <f>SUMIF(AUG!$B$3:$B$100, B20, AUG!$F$3:$F$100)</f>
        <v>0</v>
      </c>
      <c r="F20" s="76" t="str">
        <f>IFERROR(__xludf.DUMMYFUNCTION("IFNA(INDEX(FILTER(AUG!$G$3:$G$100, AUG!$B$3:$B$100=B20), 1), ""-"")"),"-")</f>
        <v>-</v>
      </c>
      <c r="G20" s="78">
        <f>IFNA(SUMIF(AUG!$B$3:$B$100,B20,AUG!$H$3:$H$100),"-")</f>
        <v>0</v>
      </c>
      <c r="H20" s="78">
        <f t="shared" si="9"/>
        <v>0</v>
      </c>
      <c r="I20" s="78">
        <f>SUMIF(AUG!B:B, B20, AUG!K:K)</f>
        <v>0</v>
      </c>
      <c r="J20" s="79">
        <f t="shared" si="10"/>
        <v>0</v>
      </c>
      <c r="K20" s="62"/>
      <c r="L20" s="62"/>
      <c r="M20" s="62"/>
      <c r="N20" s="83"/>
      <c r="O20" s="109"/>
      <c r="P20" s="112"/>
      <c r="Q20" s="37"/>
      <c r="R20" s="56"/>
      <c r="S20" s="111"/>
      <c r="T20" s="111"/>
      <c r="U20" s="111"/>
    </row>
    <row r="21">
      <c r="A21" s="74" t="str">
        <f t="shared" si="8"/>
        <v>Monday</v>
      </c>
      <c r="B21" s="49">
        <v>46251.0</v>
      </c>
      <c r="C21" s="75">
        <f>SUMIF(AUG!$B$3:$B$100, B21, AUG!$D$3:$D$100)</f>
        <v>56317.42</v>
      </c>
      <c r="D21" s="76">
        <f>IFERROR(__xludf.DUMMYFUNCTION("IFNA(INDEX(FILTER(AUG!$E$3:$E$100, AUG!$B$3:$B$100=B21), 1), ""-"")"),17732.924200571902)</f>
        <v>17732.9242</v>
      </c>
      <c r="E21" s="78">
        <f>SUMIF(AUG!$B$3:$B$100, B21, AUG!$F$3:$F$100)</f>
        <v>998383215.3</v>
      </c>
      <c r="F21" s="76">
        <f>IFERROR(__xludf.DUMMYFUNCTION("IFNA(INDEX(FILTER(AUG!$G$3:$G$100, AUG!$B$3:$B$100=B21), 1), ""-"")"),17745.0)</f>
        <v>17745</v>
      </c>
      <c r="G21" s="78">
        <f>IFNA(SUMIF(AUG!$B$3:$B$100,B21,AUG!$H$3:$H$100),"-")</f>
        <v>999999848.7</v>
      </c>
      <c r="H21" s="78">
        <f t="shared" si="9"/>
        <v>698868.2507</v>
      </c>
      <c r="I21" s="78">
        <f>SUMIF(AUG!B:B, B21, AUG!K:K)</f>
        <v>1616633.368</v>
      </c>
      <c r="J21" s="79">
        <f t="shared" si="10"/>
        <v>917765.1177</v>
      </c>
      <c r="K21" s="13"/>
      <c r="L21" s="13"/>
      <c r="M21" s="13"/>
      <c r="N21" s="114"/>
      <c r="O21" s="115"/>
      <c r="P21" s="112"/>
      <c r="Q21" s="43"/>
      <c r="R21" s="56"/>
      <c r="S21" s="111"/>
      <c r="T21" s="111"/>
      <c r="U21" s="111"/>
    </row>
    <row r="22">
      <c r="A22" s="74" t="str">
        <f t="shared" si="8"/>
        <v>Tuesday</v>
      </c>
      <c r="B22" s="49">
        <v>46252.0</v>
      </c>
      <c r="C22" s="75">
        <f>SUMIF(AUG!$B$3:$B$100, B22, AUG!$D$3:$D$100)</f>
        <v>28089.88</v>
      </c>
      <c r="D22" s="76">
        <f>IFERROR(__xludf.DUMMYFUNCTION("IFNA(INDEX(FILTER(AUG!$E$3:$E$100, AUG!$B$3:$B$100=B22), 1), ""-"")"),17770.0)</f>
        <v>17770</v>
      </c>
      <c r="E22" s="78">
        <f>SUMIF(AUG!$B$3:$B$100, B22, AUG!$F$3:$F$100)</f>
        <v>499157167.6</v>
      </c>
      <c r="F22" s="76">
        <f>IFERROR(__xludf.DUMMYFUNCTION("IFNA(INDEX(FILTER(AUG!$G$3:$G$100, AUG!$B$3:$B$100=B22), 1), ""-"")"),17800.0)</f>
        <v>17800</v>
      </c>
      <c r="G22" s="78">
        <f>IFNA(SUMIF(AUG!$B$3:$B$100,B22,AUG!$H$3:$H$100),"-")</f>
        <v>499999864</v>
      </c>
      <c r="H22" s="78">
        <f t="shared" si="9"/>
        <v>349410.0173</v>
      </c>
      <c r="I22" s="78">
        <f>SUMIF(AUG!B:B, B22, AUG!K:K)</f>
        <v>842696.4</v>
      </c>
      <c r="J22" s="79">
        <f t="shared" si="10"/>
        <v>493286.3827</v>
      </c>
      <c r="N22" s="56"/>
      <c r="O22" s="56"/>
      <c r="P22" s="56"/>
      <c r="Q22" s="56"/>
      <c r="R22" s="56"/>
      <c r="S22" s="111"/>
      <c r="T22" s="111"/>
      <c r="U22" s="111"/>
    </row>
    <row r="23">
      <c r="A23" s="74" t="str">
        <f t="shared" si="8"/>
        <v>Wednesday</v>
      </c>
      <c r="B23" s="49">
        <v>46253.0</v>
      </c>
      <c r="C23" s="75">
        <f>SUMIF(AUG!$B$3:$B$100, B23, AUG!$D$3:$D$100)</f>
        <v>0</v>
      </c>
      <c r="D23" s="76" t="str">
        <f>IFERROR(__xludf.DUMMYFUNCTION("IFNA(INDEX(FILTER(AUG!$E$3:$E$100, AUG!$B$3:$B$100=B23), 1), ""-"")"),"-")</f>
        <v>-</v>
      </c>
      <c r="E23" s="78">
        <f>SUMIF(AUG!$B$3:$B$100, B23, AUG!$F$3:$F$100)</f>
        <v>0</v>
      </c>
      <c r="F23" s="76" t="str">
        <f>IFERROR(__xludf.DUMMYFUNCTION("IFNA(INDEX(FILTER(AUG!$G$3:$G$100, AUG!$B$3:$B$100=B23), 1), ""-"")"),"-")</f>
        <v>-</v>
      </c>
      <c r="G23" s="78">
        <f>IFNA(SUMIF(AUG!$B$3:$B$100,B23,AUG!$H$3:$H$100),"-")</f>
        <v>0</v>
      </c>
      <c r="H23" s="78">
        <f t="shared" si="9"/>
        <v>0</v>
      </c>
      <c r="I23" s="78">
        <f>SUMIF(AUG!B:B, B23, AUG!K:K)</f>
        <v>0</v>
      </c>
      <c r="J23" s="79">
        <f t="shared" si="10"/>
        <v>0</v>
      </c>
      <c r="N23" s="56"/>
      <c r="O23" s="56"/>
      <c r="P23" s="56"/>
      <c r="Q23" s="56"/>
      <c r="R23" s="56"/>
      <c r="S23" s="111"/>
      <c r="T23" s="111"/>
      <c r="U23" s="111"/>
    </row>
    <row r="24">
      <c r="A24" s="74" t="str">
        <f t="shared" si="8"/>
        <v>Thursday</v>
      </c>
      <c r="B24" s="49">
        <v>46254.0</v>
      </c>
      <c r="C24" s="75">
        <f>SUMIF(AUG!$B$3:$B$100, B24, AUG!$D$3:$D$100)</f>
        <v>0</v>
      </c>
      <c r="D24" s="76" t="str">
        <f>IFERROR(__xludf.DUMMYFUNCTION("IFNA(INDEX(FILTER(AUG!$E$3:$E$100, AUG!$B$3:$B$100=B24), 1), ""-"")"),"-")</f>
        <v>-</v>
      </c>
      <c r="E24" s="78">
        <f>SUMIF(AUG!$B$3:$B$100, B24, AUG!$F$3:$F$100)</f>
        <v>0</v>
      </c>
      <c r="F24" s="76" t="str">
        <f>IFERROR(__xludf.DUMMYFUNCTION("IFNA(INDEX(FILTER(AUG!$G$3:$G$100, AUG!$B$3:$B$100=B24), 1), ""-"")"),"-")</f>
        <v>-</v>
      </c>
      <c r="G24" s="78">
        <f>IFNA(SUMIF(AUG!$B$3:$B$100,B24,AUG!$H$3:$H$100),"-")</f>
        <v>0</v>
      </c>
      <c r="H24" s="78">
        <f t="shared" si="9"/>
        <v>0</v>
      </c>
      <c r="I24" s="78">
        <f>SUMIF(AUG!B:B, B24, AUG!K:K)</f>
        <v>0</v>
      </c>
      <c r="J24" s="79">
        <f t="shared" si="10"/>
        <v>0</v>
      </c>
      <c r="N24" s="56"/>
      <c r="O24" s="56"/>
      <c r="P24" s="56"/>
      <c r="Q24" s="56"/>
      <c r="R24" s="56"/>
      <c r="S24" s="111"/>
      <c r="T24" s="111"/>
      <c r="U24" s="111"/>
    </row>
    <row r="25">
      <c r="A25" s="74" t="str">
        <f t="shared" si="8"/>
        <v>Friday</v>
      </c>
      <c r="B25" s="49">
        <v>46255.0</v>
      </c>
      <c r="C25" s="75">
        <f>SUMIF(AUG!$B$3:$B$100, B25, AUG!$D$3:$D$100)</f>
        <v>0</v>
      </c>
      <c r="D25" s="76" t="str">
        <f>IFERROR(__xludf.DUMMYFUNCTION("IFNA(INDEX(FILTER(AUG!$E$3:$E$100, AUG!$B$3:$B$100=B25), 1), ""-"")"),"-")</f>
        <v>-</v>
      </c>
      <c r="E25" s="78">
        <f>SUMIF(AUG!$B$3:$B$100, B25, AUG!$F$3:$F$100)</f>
        <v>0</v>
      </c>
      <c r="F25" s="76" t="str">
        <f>IFERROR(__xludf.DUMMYFUNCTION("IFNA(INDEX(FILTER(AUG!$G$3:$G$100, AUG!$B$3:$B$100=B25), 1), ""-"")"),"-")</f>
        <v>-</v>
      </c>
      <c r="G25" s="78">
        <f>IFNA(SUMIF(AUG!$B$3:$B$100,B25,AUG!$H$3:$H$100),"-")</f>
        <v>0</v>
      </c>
      <c r="H25" s="78">
        <f t="shared" si="9"/>
        <v>0</v>
      </c>
      <c r="I25" s="78">
        <f>SUMIF(AUG!B:B, B25, AUG!K:K)</f>
        <v>0</v>
      </c>
      <c r="J25" s="79">
        <f t="shared" si="10"/>
        <v>0</v>
      </c>
      <c r="N25" s="56"/>
      <c r="O25" s="56"/>
      <c r="P25" s="56"/>
      <c r="Q25" s="56"/>
      <c r="R25" s="56"/>
      <c r="S25" s="111"/>
      <c r="T25" s="111"/>
      <c r="U25" s="111"/>
    </row>
    <row r="26">
      <c r="A26" s="74" t="str">
        <f t="shared" si="8"/>
        <v>Saturday</v>
      </c>
      <c r="B26" s="49">
        <v>46256.0</v>
      </c>
      <c r="C26" s="75">
        <f>SUMIF(AUG!$B$3:$B$100, B26, AUG!$D$3:$D$100)</f>
        <v>0</v>
      </c>
      <c r="D26" s="76" t="str">
        <f>IFERROR(__xludf.DUMMYFUNCTION("IFNA(INDEX(FILTER(AUG!$E$3:$E$100, AUG!$B$3:$B$100=B26), 1), ""-"")"),"-")</f>
        <v>-</v>
      </c>
      <c r="E26" s="78">
        <f>SUMIF(AUG!$B$3:$B$100, B26, AUG!$F$3:$F$100)</f>
        <v>0</v>
      </c>
      <c r="F26" s="76" t="str">
        <f>IFERROR(__xludf.DUMMYFUNCTION("IFNA(INDEX(FILTER(AUG!$G$3:$G$100, AUG!$B$3:$B$100=B26), 1), ""-"")"),"-")</f>
        <v>-</v>
      </c>
      <c r="G26" s="78">
        <f>IFNA(SUMIF(AUG!$B$3:$B$100,B26,AUG!$H$3:$H$100),"-")</f>
        <v>0</v>
      </c>
      <c r="H26" s="78">
        <f t="shared" si="9"/>
        <v>0</v>
      </c>
      <c r="I26" s="78">
        <f>SUMIF(AUG!B:B, B26, AUG!K:K)</f>
        <v>0</v>
      </c>
      <c r="J26" s="79">
        <f t="shared" si="10"/>
        <v>0</v>
      </c>
      <c r="N26" s="56"/>
      <c r="O26" s="56"/>
      <c r="P26" s="56"/>
      <c r="Q26" s="56"/>
      <c r="R26" s="56"/>
      <c r="S26" s="56"/>
      <c r="T26" s="56"/>
      <c r="U26" s="56"/>
    </row>
    <row r="27">
      <c r="A27" s="74" t="str">
        <f t="shared" si="8"/>
        <v>Sunday</v>
      </c>
      <c r="B27" s="49">
        <v>46257.0</v>
      </c>
      <c r="C27" s="75">
        <f>SUMIF(AUG!$B$3:$B$100, B27, AUG!$D$3:$D$100)</f>
        <v>0</v>
      </c>
      <c r="D27" s="76" t="str">
        <f>IFERROR(__xludf.DUMMYFUNCTION("IFNA(INDEX(FILTER(AUG!$E$3:$E$100, AUG!$B$3:$B$100=B27), 1), ""-"")"),"-")</f>
        <v>-</v>
      </c>
      <c r="E27" s="78">
        <f>SUMIF(AUG!$B$3:$B$100, B27, AUG!$F$3:$F$100)</f>
        <v>0</v>
      </c>
      <c r="F27" s="76" t="str">
        <f>IFERROR(__xludf.DUMMYFUNCTION("IFNA(INDEX(FILTER(AUG!$G$3:$G$100, AUG!$B$3:$B$100=B27), 1), ""-"")"),"-")</f>
        <v>-</v>
      </c>
      <c r="G27" s="78">
        <f>IFNA(SUMIF(AUG!$B$3:$B$100,B27,AUG!$H$3:$H$100),"-")</f>
        <v>0</v>
      </c>
      <c r="H27" s="78">
        <f t="shared" si="9"/>
        <v>0</v>
      </c>
      <c r="I27" s="78">
        <f>SUMIF(AUG!B:B, B27, AUG!K:K)</f>
        <v>0</v>
      </c>
      <c r="J27" s="79">
        <f t="shared" si="10"/>
        <v>0</v>
      </c>
      <c r="N27" s="56"/>
      <c r="O27" s="56"/>
      <c r="P27" s="56"/>
      <c r="Q27" s="56"/>
      <c r="R27" s="56"/>
      <c r="S27" s="56"/>
      <c r="T27" s="56"/>
      <c r="U27" s="56"/>
    </row>
    <row r="28">
      <c r="A28" s="74" t="str">
        <f t="shared" si="8"/>
        <v>Monday</v>
      </c>
      <c r="B28" s="49">
        <v>46258.0</v>
      </c>
      <c r="C28" s="75">
        <f>SUMIF(AUG!$B$3:$B$100, B28, AUG!$D$3:$D$100)</f>
        <v>0</v>
      </c>
      <c r="D28" s="76" t="str">
        <f>IFERROR(__xludf.DUMMYFUNCTION("IFNA(INDEX(FILTER(AUG!$E$3:$E$100, AUG!$B$3:$B$100=B28), 1), ""-"")"),"-")</f>
        <v>-</v>
      </c>
      <c r="E28" s="78">
        <f>SUMIF(AUG!$B$3:$B$100, B28, AUG!$F$3:$F$100)</f>
        <v>0</v>
      </c>
      <c r="F28" s="76" t="str">
        <f>IFERROR(__xludf.DUMMYFUNCTION("IFNA(INDEX(FILTER(AUG!$G$3:$G$100, AUG!$B$3:$B$100=B28), 1), ""-"")"),"-")</f>
        <v>-</v>
      </c>
      <c r="G28" s="78">
        <f>IFNA(SUMIF(AUG!$B$3:$B$100,B28,AUG!$H$3:$H$100),"-")</f>
        <v>0</v>
      </c>
      <c r="H28" s="78">
        <f t="shared" si="9"/>
        <v>0</v>
      </c>
      <c r="I28" s="78">
        <f>SUMIF(AUG!B:B, B28, AUG!K:K)</f>
        <v>0</v>
      </c>
      <c r="J28" s="79">
        <f t="shared" si="10"/>
        <v>0</v>
      </c>
      <c r="N28" s="56"/>
      <c r="O28" s="56"/>
      <c r="P28" s="56"/>
      <c r="Q28" s="56"/>
      <c r="R28" s="56"/>
      <c r="S28" s="56"/>
      <c r="T28" s="56"/>
      <c r="U28" s="56"/>
    </row>
    <row r="29">
      <c r="A29" s="74" t="str">
        <f t="shared" si="8"/>
        <v>Tuesday</v>
      </c>
      <c r="B29" s="49">
        <v>46259.0</v>
      </c>
      <c r="C29" s="75">
        <f>SUMIF(AUG!$B$3:$B$100, B29, AUG!$D$3:$D$100)</f>
        <v>0</v>
      </c>
      <c r="D29" s="76" t="str">
        <f>IFERROR(__xludf.DUMMYFUNCTION("IFNA(INDEX(FILTER(AUG!$E$3:$E$100, AUG!$B$3:$B$100=B29), 1), ""-"")"),"-")</f>
        <v>-</v>
      </c>
      <c r="E29" s="78">
        <f>SUMIF(AUG!$B$3:$B$100, B29, AUG!$F$3:$F$100)</f>
        <v>0</v>
      </c>
      <c r="F29" s="76" t="str">
        <f>IFERROR(__xludf.DUMMYFUNCTION("IFNA(INDEX(FILTER(AUG!$G$3:$G$100, AUG!$B$3:$B$100=B29), 1), ""-"")"),"-")</f>
        <v>-</v>
      </c>
      <c r="G29" s="78">
        <f>IFNA(SUMIF(AUG!$B$3:$B$100,B29,AUG!$H$3:$H$100),"-")</f>
        <v>0</v>
      </c>
      <c r="H29" s="78">
        <f t="shared" si="9"/>
        <v>0</v>
      </c>
      <c r="I29" s="78">
        <f>SUMIF(AUG!B:B, B29, AUG!K:K)</f>
        <v>0</v>
      </c>
      <c r="J29" s="79">
        <f t="shared" si="10"/>
        <v>0</v>
      </c>
      <c r="N29" s="56"/>
      <c r="O29" s="56"/>
      <c r="P29" s="56"/>
      <c r="Q29" s="56"/>
      <c r="R29" s="56"/>
      <c r="S29" s="56"/>
      <c r="T29" s="56"/>
      <c r="U29" s="56"/>
    </row>
    <row r="30">
      <c r="A30" s="74" t="str">
        <f t="shared" si="8"/>
        <v>Wednesday</v>
      </c>
      <c r="B30" s="49">
        <v>46260.0</v>
      </c>
      <c r="C30" s="75">
        <f>SUMIF(AUG!$B$3:$B$100, B30, AUG!$D$3:$D$100)</f>
        <v>0</v>
      </c>
      <c r="D30" s="76" t="str">
        <f>IFERROR(__xludf.DUMMYFUNCTION("IFNA(INDEX(FILTER(AUG!$E$3:$E$100, AUG!$B$3:$B$100=B30), 1), ""-"")"),"-")</f>
        <v>-</v>
      </c>
      <c r="E30" s="78">
        <f>SUMIF(AUG!$B$3:$B$100, B30, AUG!$F$3:$F$100)</f>
        <v>0</v>
      </c>
      <c r="F30" s="76" t="str">
        <f>IFERROR(__xludf.DUMMYFUNCTION("IFNA(INDEX(FILTER(AUG!$G$3:$G$100, AUG!$B$3:$B$100=B30), 1), ""-"")"),"-")</f>
        <v>-</v>
      </c>
      <c r="G30" s="78">
        <f>IFNA(SUMIF(AUG!$B$3:$B$100,B30,AUG!$H$3:$H$100),"-")</f>
        <v>0</v>
      </c>
      <c r="H30" s="78">
        <f t="shared" si="9"/>
        <v>0</v>
      </c>
      <c r="I30" s="78">
        <f>SUMIF(AUG!B:B, B30, AUG!K:K)</f>
        <v>0</v>
      </c>
      <c r="J30" s="79">
        <f t="shared" si="10"/>
        <v>0</v>
      </c>
      <c r="N30" s="56"/>
      <c r="O30" s="56"/>
      <c r="P30" s="56"/>
      <c r="Q30" s="56"/>
      <c r="R30" s="56"/>
      <c r="S30" s="56"/>
      <c r="T30" s="56"/>
      <c r="U30" s="56"/>
    </row>
    <row r="31">
      <c r="A31" s="74" t="str">
        <f t="shared" si="8"/>
        <v>Thursday</v>
      </c>
      <c r="B31" s="49">
        <v>46261.0</v>
      </c>
      <c r="C31" s="75">
        <f>SUMIF(AUG!$B$3:$B$100, B31, AUG!$D$3:$D$100)</f>
        <v>0</v>
      </c>
      <c r="D31" s="76" t="str">
        <f>IFERROR(__xludf.DUMMYFUNCTION("IFNA(INDEX(FILTER(AUG!$E$3:$E$100, AUG!$B$3:$B$100=B31), 1), ""-"")"),"-")</f>
        <v>-</v>
      </c>
      <c r="E31" s="78">
        <f>SUMIF(AUG!$B$3:$B$100, B31, AUG!$F$3:$F$100)</f>
        <v>0</v>
      </c>
      <c r="F31" s="76" t="str">
        <f>IFERROR(__xludf.DUMMYFUNCTION("IFNA(INDEX(FILTER(AUG!$G$3:$G$100, AUG!$B$3:$B$100=B31), 1), ""-"")"),"-")</f>
        <v>-</v>
      </c>
      <c r="G31" s="78">
        <f>IFNA(SUMIF(AUG!$B$3:$B$100,B31,AUG!$H$3:$H$100),"-")</f>
        <v>0</v>
      </c>
      <c r="H31" s="78">
        <f t="shared" si="9"/>
        <v>0</v>
      </c>
      <c r="I31" s="78">
        <f>SUMIF(AUG!B:B, B31, AUG!K:K)</f>
        <v>0</v>
      </c>
      <c r="J31" s="79">
        <f t="shared" si="10"/>
        <v>0</v>
      </c>
      <c r="N31" s="56"/>
      <c r="O31" s="56"/>
      <c r="P31" s="56"/>
      <c r="Q31" s="56"/>
      <c r="R31" s="56"/>
      <c r="S31" s="56"/>
      <c r="T31" s="56"/>
      <c r="U31" s="56"/>
    </row>
    <row r="32">
      <c r="A32" s="74" t="str">
        <f t="shared" si="8"/>
        <v>Friday</v>
      </c>
      <c r="B32" s="49">
        <v>46262.0</v>
      </c>
      <c r="C32" s="75">
        <f>SUMIF(AUG!$B$3:$B$100, B32, AUG!$D$3:$D$100)</f>
        <v>0</v>
      </c>
      <c r="D32" s="76" t="str">
        <f>IFERROR(__xludf.DUMMYFUNCTION("IFNA(INDEX(FILTER(AUG!$E$3:$E$100, AUG!$B$3:$B$100=B32), 1), ""-"")"),"-")</f>
        <v>-</v>
      </c>
      <c r="E32" s="78">
        <f>SUMIF(AUG!$B$3:$B$100, B32, AUG!$F$3:$F$100)</f>
        <v>0</v>
      </c>
      <c r="F32" s="76" t="str">
        <f>IFERROR(__xludf.DUMMYFUNCTION("IFNA(INDEX(FILTER(AUG!$G$3:$G$100, AUG!$B$3:$B$100=B32), 1), ""-"")"),"-")</f>
        <v>-</v>
      </c>
      <c r="G32" s="78">
        <f>IFNA(SUMIF(AUG!$B$3:$B$100,B32,AUG!$H$3:$H$100),"-")</f>
        <v>0</v>
      </c>
      <c r="H32" s="78">
        <f t="shared" si="9"/>
        <v>0</v>
      </c>
      <c r="I32" s="78">
        <f>SUMIF(AUG!B:B, B32, AUG!K:K)</f>
        <v>0</v>
      </c>
      <c r="J32" s="79">
        <f t="shared" si="10"/>
        <v>0</v>
      </c>
      <c r="N32" s="56"/>
      <c r="O32" s="56"/>
      <c r="P32" s="56"/>
      <c r="Q32" s="56"/>
      <c r="R32" s="56"/>
      <c r="S32" s="56"/>
      <c r="T32" s="56"/>
      <c r="U32" s="56"/>
    </row>
    <row r="33">
      <c r="A33" s="74" t="str">
        <f t="shared" si="8"/>
        <v>Saturday</v>
      </c>
      <c r="B33" s="49">
        <v>46263.0</v>
      </c>
      <c r="C33" s="75">
        <f>SUMIF(AUG!$B$3:$B$100, B33, AUG!$D$3:$D$100)</f>
        <v>0</v>
      </c>
      <c r="D33" s="76" t="str">
        <f>IFERROR(__xludf.DUMMYFUNCTION("IFNA(INDEX(FILTER(AUG!$E$3:$E$100, AUG!$B$3:$B$100=B33), 1), ""-"")"),"-")</f>
        <v>-</v>
      </c>
      <c r="E33" s="78">
        <f>SUMIF(AUG!$B$3:$B$100, B33, AUG!$F$3:$F$100)</f>
        <v>0</v>
      </c>
      <c r="F33" s="76" t="str">
        <f>IFERROR(__xludf.DUMMYFUNCTION("IFNA(INDEX(FILTER(AUG!$G$3:$G$100, AUG!$B$3:$B$100=B33), 1), ""-"")"),"-")</f>
        <v>-</v>
      </c>
      <c r="G33" s="78">
        <f>IFNA(SUMIF(AUG!$B$3:$B$100,B33,AUG!$H$3:$H$100),"-")</f>
        <v>0</v>
      </c>
      <c r="H33" s="78">
        <f t="shared" si="9"/>
        <v>0</v>
      </c>
      <c r="I33" s="78">
        <f>SUMIF(AUG!B:B, B33, AUG!K:K)</f>
        <v>0</v>
      </c>
      <c r="J33" s="79">
        <f t="shared" si="10"/>
        <v>0</v>
      </c>
      <c r="N33" s="56"/>
      <c r="O33" s="56"/>
      <c r="P33" s="56"/>
      <c r="Q33" s="56"/>
      <c r="R33" s="56"/>
      <c r="S33" s="56"/>
      <c r="T33" s="56"/>
      <c r="U33" s="56"/>
    </row>
    <row r="34">
      <c r="A34" s="74" t="str">
        <f t="shared" si="8"/>
        <v>Sunday</v>
      </c>
      <c r="B34" s="49">
        <v>46264.0</v>
      </c>
      <c r="C34" s="75">
        <f>SUMIF(AUG!$B$3:$B$100, B34, AUG!$D$3:$D$100)</f>
        <v>0</v>
      </c>
      <c r="D34" s="76" t="str">
        <f>IFERROR(__xludf.DUMMYFUNCTION("IFNA(INDEX(FILTER(AUG!$E$3:$E$100, AUG!$B$3:$B$100=B34), 1), ""-"")"),"-")</f>
        <v>-</v>
      </c>
      <c r="E34" s="78">
        <f>SUMIF(AUG!$B$3:$B$100, B34, AUG!$F$3:$F$100)</f>
        <v>0</v>
      </c>
      <c r="F34" s="76" t="str">
        <f>IFERROR(__xludf.DUMMYFUNCTION("IFNA(INDEX(FILTER(AUG!$G$3:$G$100, AUG!$B$3:$B$100=B34), 1), ""-"")"),"-")</f>
        <v>-</v>
      </c>
      <c r="G34" s="78">
        <f>IFNA(SUMIF(AUG!$B$3:$B$100,B34,AUG!$H$3:$H$100),"-")</f>
        <v>0</v>
      </c>
      <c r="H34" s="78">
        <f t="shared" si="9"/>
        <v>0</v>
      </c>
      <c r="I34" s="78">
        <f>SUMIF(AUG!B:B, B34, AUG!K:K)</f>
        <v>0</v>
      </c>
      <c r="J34" s="79">
        <f t="shared" si="10"/>
        <v>0</v>
      </c>
      <c r="N34" s="56"/>
      <c r="O34" s="56"/>
      <c r="P34" s="56"/>
      <c r="Q34" s="56"/>
      <c r="R34" s="56"/>
      <c r="S34" s="56"/>
      <c r="T34" s="56"/>
      <c r="U34" s="56"/>
    </row>
    <row r="35">
      <c r="A35" s="74" t="str">
        <f t="shared" si="8"/>
        <v>Monday</v>
      </c>
      <c r="B35" s="49">
        <v>46265.0</v>
      </c>
      <c r="C35" s="75">
        <f>SUMIF(AUG!$B$3:$B$100, B35, AUG!$D$3:$D$100)</f>
        <v>0</v>
      </c>
      <c r="D35" s="76" t="str">
        <f>IFERROR(__xludf.DUMMYFUNCTION("IFNA(INDEX(FILTER(AUG!$E$3:$E$100, AUG!$B$3:$B$100=B35), 1), ""-"")"),"-")</f>
        <v>-</v>
      </c>
      <c r="E35" s="78">
        <f>SUMIF(AUG!$B$3:$B$100, B35, AUG!$F$3:$F$100)</f>
        <v>0</v>
      </c>
      <c r="F35" s="76" t="str">
        <f>IFERROR(__xludf.DUMMYFUNCTION("IFNA(INDEX(FILTER(AUG!$G$3:$G$100, AUG!$B$3:$B$100=B35), 1), ""-"")"),"-")</f>
        <v>-</v>
      </c>
      <c r="G35" s="78">
        <f>IFNA(SUMIF(AUG!$B$3:$B$100,B35,AUG!$H$3:$H$100),"-")</f>
        <v>0</v>
      </c>
      <c r="H35" s="78">
        <f t="shared" si="9"/>
        <v>0</v>
      </c>
      <c r="I35" s="78">
        <f>SUMIF(AUG!B:B, B35, AUG!K:K)</f>
        <v>0</v>
      </c>
      <c r="J35" s="79">
        <f t="shared" si="10"/>
        <v>0</v>
      </c>
      <c r="N35" s="56"/>
      <c r="O35" s="56"/>
      <c r="P35" s="56"/>
      <c r="Q35" s="56"/>
      <c r="R35" s="56"/>
      <c r="S35" s="56"/>
      <c r="T35" s="56"/>
      <c r="U35" s="56"/>
    </row>
    <row r="36">
      <c r="A36" s="47" t="str">
        <f>CONCAT(A4,"_TOTAL")</f>
        <v>AUG_TOTAL</v>
      </c>
      <c r="B36" s="49"/>
      <c r="C36" s="52">
        <f>sum(C5:C35)</f>
        <v>1139465.57</v>
      </c>
      <c r="D36" s="53">
        <f>IFERROR(IF(AVERAGE(D5:D35)=0,"-",AVERAGE(D5:D35)),"-")</f>
        <v>17737.58198</v>
      </c>
      <c r="E36" s="55">
        <f>sum(E5:E35)</f>
        <v>20209889639</v>
      </c>
      <c r="F36" s="57">
        <f>IFERROR(IF(AVERAGE(F5:F35)=0,"-",AVERAGE(F5:F35)),"-")</f>
        <v>17762.5</v>
      </c>
      <c r="G36" s="59">
        <f t="shared" ref="G36:J36" si="22">sum(G5:G35)</f>
        <v>20249998209</v>
      </c>
      <c r="H36" s="59">
        <f t="shared" si="22"/>
        <v>14146922.75</v>
      </c>
      <c r="I36" s="59">
        <f t="shared" si="22"/>
        <v>40108569.57</v>
      </c>
      <c r="J36" s="60">
        <f t="shared" si="22"/>
        <v>25961646.83</v>
      </c>
    </row>
    <row r="37">
      <c r="A37" s="47" t="s">
        <v>55</v>
      </c>
      <c r="B37" s="49"/>
      <c r="C37" s="52"/>
      <c r="D37" s="53"/>
      <c r="E37" s="55"/>
      <c r="F37" s="57"/>
      <c r="G37" s="59"/>
      <c r="H37" s="100"/>
      <c r="I37" s="123"/>
      <c r="J37" s="60"/>
    </row>
    <row r="38">
      <c r="A38" s="74" t="str">
        <f t="shared" ref="A38:A67" si="23">IF(ISBLANK(B38),"",TEXT(B38,"dddd"))</f>
        <v>Tuesday</v>
      </c>
      <c r="B38" s="49">
        <v>46266.0</v>
      </c>
      <c r="C38" s="75">
        <f>SUMIF(SEP!$B$3:$B$101, B38, SEP!$D$3:$D$101)</f>
        <v>263607.97</v>
      </c>
      <c r="D38" s="76">
        <f>IFERROR(__xludf.DUMMYFUNCTION("IFNA(INDEX(FILTER(SEP!$E$3:$E$100, SEP!$B$3:$B$100=B38), 1), ""-"")"),17631.61273918904)</f>
        <v>17631.61274</v>
      </c>
      <c r="E38" s="78">
        <f>SUMIF(SEP!$B$3:$B$101, B38, SEP!$F$3:$F$101)</f>
        <v>4648033379</v>
      </c>
      <c r="F38" s="76">
        <f>IFERROR(__xludf.DUMMYFUNCTION("IFNA(INDEX(FILTER(SEP!$G$3:$G$100, SEP!$B$3:$B$100=B38), 1), ""-"")"),17675.0)</f>
        <v>17675</v>
      </c>
      <c r="G38" s="78">
        <f>IFNA(SUMIF(SEP!$B$3:$B$900,B38,SEP!$H$3:$H$900),"-")</f>
        <v>4656949679</v>
      </c>
      <c r="H38" s="78">
        <f>SUMIF(SEP!B:B, B38, SEP!J:J)</f>
        <v>812399.1106</v>
      </c>
      <c r="I38" s="78">
        <f>SUMIF(SEP!B:B, B38, SEP!K:K)</f>
        <v>8916300.275</v>
      </c>
      <c r="J38" s="79">
        <f t="shared" ref="J38:J68" si="24">G38-E38-H38</f>
        <v>8103901.164</v>
      </c>
    </row>
    <row r="39">
      <c r="A39" s="74" t="str">
        <f t="shared" si="23"/>
        <v>Wednesday</v>
      </c>
      <c r="B39" s="49">
        <v>46267.0</v>
      </c>
      <c r="C39" s="75">
        <f>SUMIF(SEP!$B$3:$B$101, B39, SEP!$D$3:$D$101)</f>
        <v>426052.27</v>
      </c>
      <c r="D39" s="76">
        <f>IFERROR(__xludf.DUMMYFUNCTION("IFNA(INDEX(FILTER(SEP!$E$3:$E$100, SEP!$B$3:$B$100=B39), 1), ""-"")"),17669.94174431459)</f>
        <v>17669.94174</v>
      </c>
      <c r="E39" s="78">
        <f>SUMIF(SEP!$B$3:$B$101, B39, SEP!$F$3:$F$101)</f>
        <v>7522792266</v>
      </c>
      <c r="F39" s="76">
        <f>IFERROR(__xludf.DUMMYFUNCTION("IFNA(INDEX(FILTER(SEP!$G$3:$G$100, SEP!$B$3:$B$100=B39), 1), ""-"")"),17695.0)</f>
        <v>17695</v>
      </c>
      <c r="G39" s="78">
        <f>IFNA(SUMIF(SEP!$B$3:$B$900,B39,SEP!$H$3:$H$900),"-")</f>
        <v>7538920615</v>
      </c>
      <c r="H39" s="78">
        <f>SUMIF(SEP!B:B, B39, SEP!J:J)</f>
        <v>3761396.133</v>
      </c>
      <c r="I39" s="78">
        <f>SUMIF(SEP!B:B, B39, SEP!K:K)</f>
        <v>16128349.4</v>
      </c>
      <c r="J39" s="79">
        <f t="shared" si="24"/>
        <v>12366953.26</v>
      </c>
    </row>
    <row r="40">
      <c r="A40" s="74" t="str">
        <f t="shared" si="23"/>
        <v>Thursday</v>
      </c>
      <c r="B40" s="49">
        <v>46268.0</v>
      </c>
      <c r="C40" s="75">
        <f>SUMIF(SEP!$B$3:$B$101, B40, SEP!$D$3:$D$101)</f>
        <v>605342.11</v>
      </c>
      <c r="D40" s="76">
        <f>IFERROR(__xludf.DUMMYFUNCTION("IFNA(INDEX(FILTER(SEP!$E$3:$E$100, SEP!$B$3:$B$100=B40), 1), ""-"")"),17628.226888880523)</f>
        <v>17628.22689</v>
      </c>
      <c r="E40" s="78">
        <f>SUMIF(SEP!$B$3:$B$101, B40, SEP!$F$3:$F$101)</f>
        <v>10664145199</v>
      </c>
      <c r="F40" s="107">
        <f>IFERROR(__xludf.DUMMYFUNCTION("IFNA(INDEX(FILTER(SEP!$G$3:$G$100, SEP!$B$3:$B$100=B40), 1), ""-"")"),17665.0)</f>
        <v>17665</v>
      </c>
      <c r="G40" s="78">
        <f>IFNA(SUMIF(SEP!$B$3:$B$900,B40,SEP!$H$3:$H$900),"-")</f>
        <v>10685630581</v>
      </c>
      <c r="H40" s="78">
        <f>SUMIF(SEP!B:B, B40, SEP!J:J)</f>
        <v>1495800.853</v>
      </c>
      <c r="I40" s="78">
        <f>SUMIF(SEP!B:B, B40, SEP!K:K)</f>
        <v>21485382.36</v>
      </c>
      <c r="J40" s="79">
        <f t="shared" si="24"/>
        <v>19989581.5</v>
      </c>
    </row>
    <row r="41">
      <c r="A41" s="74" t="str">
        <f t="shared" si="23"/>
        <v>Friday</v>
      </c>
      <c r="B41" s="49">
        <v>46269.0</v>
      </c>
      <c r="C41" s="75">
        <f>SUMIF(SEP!$B$3:$B$101, B41, SEP!$D$3:$D$101)</f>
        <v>716616.9</v>
      </c>
      <c r="D41" s="76">
        <f>IFERROR(__xludf.DUMMYFUNCTION("IFNA(INDEX(FILTER(SEP!$E$3:$E$100, SEP!$B$3:$B$100=B41), 1), ""-"")"),17570.0)</f>
        <v>17570</v>
      </c>
      <c r="E41" s="78">
        <f>SUMIF(SEP!$B$3:$B$101, B41, SEP!$F$3:$F$101)</f>
        <v>12584890170</v>
      </c>
      <c r="F41" s="107">
        <f>IFERROR(__xludf.DUMMYFUNCTION("IFNA(INDEX(FILTER(SEP!$G$3:$G$100, SEP!$B$3:$B$100=B41), 1), ""-"")"),17610.0)</f>
        <v>17610</v>
      </c>
      <c r="G41" s="78">
        <f>IFNA(SUMIF(SEP!$B$3:$B$900,B41,SEP!$H$3:$H$900),"-")</f>
        <v>12610984812</v>
      </c>
      <c r="H41" s="78">
        <f>SUMIF(SEP!B:B, B41, SEP!J:J)</f>
        <v>498893.4325</v>
      </c>
      <c r="I41" s="78">
        <f>SUMIF(SEP!B:B, B41, SEP!K:K)</f>
        <v>26094642.14</v>
      </c>
      <c r="J41" s="79">
        <f t="shared" si="24"/>
        <v>25595748.71</v>
      </c>
    </row>
    <row r="42">
      <c r="A42" s="74" t="str">
        <f t="shared" si="23"/>
        <v>Saturday</v>
      </c>
      <c r="B42" s="49">
        <v>46270.0</v>
      </c>
      <c r="C42" s="75">
        <f>SUMIF(SEP!$B$3:$B$101, B42, SEP!$D$3:$D$101)</f>
        <v>85348.5</v>
      </c>
      <c r="D42" s="76">
        <f>IFERROR(__xludf.DUMMYFUNCTION("IFNA(INDEX(FILTER(SEP!$E$3:$E$100, SEP!$B$3:$B$100=B42), 1), ""-"")"),17550.0)</f>
        <v>17550</v>
      </c>
      <c r="E42" s="78">
        <f>SUMIF(SEP!$B$3:$B$101, B42, SEP!$F$3:$F$101)</f>
        <v>1497866175</v>
      </c>
      <c r="F42" s="107">
        <f>IFERROR(__xludf.DUMMYFUNCTION("IFNA(INDEX(FILTER(SEP!$G$3:$G$100, SEP!$B$3:$B$100=B42), 1), ""-"")"),17575.0)</f>
        <v>17575</v>
      </c>
      <c r="G42" s="78">
        <f>IFNA(SUMIF(SEP!$B$3:$B$900,B42,SEP!$H$3:$H$900),"-")</f>
        <v>1499999888</v>
      </c>
      <c r="H42" s="78">
        <f>SUMIF(SEP!B:B, B42, SEP!J:J)</f>
        <v>0</v>
      </c>
      <c r="I42" s="78">
        <f>SUMIF(SEP!B:B, B42, SEP!K:K)</f>
        <v>2133712.5</v>
      </c>
      <c r="J42" s="79">
        <f t="shared" si="24"/>
        <v>2133712.5</v>
      </c>
    </row>
    <row r="43">
      <c r="A43" s="74" t="str">
        <f t="shared" si="23"/>
        <v>Sunday</v>
      </c>
      <c r="B43" s="49">
        <v>46271.0</v>
      </c>
      <c r="C43" s="75">
        <f>SUMIF(SEP!$B$3:$B$101, B43, SEP!$D$3:$D$101)</f>
        <v>0</v>
      </c>
      <c r="D43" s="76" t="str">
        <f>IFERROR(__xludf.DUMMYFUNCTION("IFNA(INDEX(FILTER(SEP!$E$3:$E$100, SEP!$B$3:$B$100=B43), 1), ""-"")"),"-")</f>
        <v>-</v>
      </c>
      <c r="E43" s="78">
        <f>SUMIF(SEP!$B$3:$B$101, B43, SEP!$F$3:$F$101)</f>
        <v>0</v>
      </c>
      <c r="F43" s="107" t="str">
        <f>IFERROR(__xludf.DUMMYFUNCTION("IFNA(INDEX(FILTER(SEP!$G$3:$G$100, SEP!$B$3:$B$100=B43), 1), ""-"")"),"-")</f>
        <v>-</v>
      </c>
      <c r="G43" s="78">
        <f>IFNA(SUMIF(SEP!$B$3:$B$900,B43,SEP!$H$3:$H$900),"-")</f>
        <v>0</v>
      </c>
      <c r="H43" s="78">
        <f>SUMIF(SEP!B:B, B43, SEP!J:J)</f>
        <v>0</v>
      </c>
      <c r="I43" s="78">
        <f>SUMIF(SEP!B:B, B43, SEP!K:K)</f>
        <v>0</v>
      </c>
      <c r="J43" s="79">
        <f t="shared" si="24"/>
        <v>0</v>
      </c>
    </row>
    <row r="44">
      <c r="A44" s="74" t="str">
        <f t="shared" si="23"/>
        <v>Monday</v>
      </c>
      <c r="B44" s="49">
        <v>46272.0</v>
      </c>
      <c r="C44" s="75">
        <f>SUMIF(SEP!$B$3:$B$101, B44, SEP!$D$3:$D$101)</f>
        <v>113749.49</v>
      </c>
      <c r="D44" s="76">
        <f>IFERROR(__xludf.DUMMYFUNCTION("IFNA(INDEX(FILTER(SEP!$E$3:$E$100, SEP!$B$3:$B$100=B44), 1), ""-"")"),17559.53413496284)</f>
        <v>17559.53413</v>
      </c>
      <c r="E44" s="78">
        <f>SUMIF(SEP!$B$3:$B$101, B44, SEP!$F$3:$F$101)</f>
        <v>1997388052</v>
      </c>
      <c r="F44" s="107">
        <f>IFERROR(__xludf.DUMMYFUNCTION("IFNA(INDEX(FILTER(SEP!$G$3:$G$100, SEP!$B$3:$B$100=B44), 1), ""-"")"),17575.0)</f>
        <v>17575</v>
      </c>
      <c r="G44" s="78">
        <f>IFNA(SUMIF(SEP!$B$3:$B$900,B44,SEP!$H$3:$H$900),"-")</f>
        <v>2000000044</v>
      </c>
      <c r="H44" s="78">
        <f>SUMIF(SEP!B:B, B44, SEP!J:J)</f>
        <v>998694.0262</v>
      </c>
      <c r="I44" s="78">
        <f>SUMIF(SEP!B:B, B44, SEP!K:K)</f>
        <v>2611991.46</v>
      </c>
      <c r="J44" s="79">
        <f t="shared" si="24"/>
        <v>1613297.434</v>
      </c>
    </row>
    <row r="45">
      <c r="A45" s="74" t="str">
        <f t="shared" si="23"/>
        <v>Tuesday</v>
      </c>
      <c r="B45" s="49">
        <v>46273.0</v>
      </c>
      <c r="C45" s="75">
        <f>SUMIF(SEP!$B$3:$B$101, B45, SEP!$D$3:$D$101)</f>
        <v>396456.04</v>
      </c>
      <c r="D45" s="76">
        <f>IFERROR(__xludf.DUMMYFUNCTION("IFNA(INDEX(FILTER(SEP!$E$3:$E$100, SEP!$B$3:$B$100=B45), 1), ""-"")"),17556.0)</f>
        <v>17556</v>
      </c>
      <c r="E45" s="78">
        <f>SUMIF(SEP!$B$3:$B$101, B45, SEP!$F$3:$F$101)</f>
        <v>6959255251</v>
      </c>
      <c r="F45" s="107">
        <f>IFERROR(__xludf.DUMMYFUNCTION("IFNA(INDEX(FILTER(SEP!$G$3:$G$100, SEP!$B$3:$B$100=B45), 1), ""-"")"),17572.0)</f>
        <v>17572</v>
      </c>
      <c r="G45" s="78">
        <f>IFNA(SUMIF(SEP!$B$3:$B$900,B45,SEP!$H$3:$H$900),"-")</f>
        <v>6966525535</v>
      </c>
      <c r="H45" s="78">
        <f>SUMIF(SEP!B:B, B45, SEP!J:J)</f>
        <v>499015.49</v>
      </c>
      <c r="I45" s="78">
        <f>SUMIF(SEP!B:B, B45, SEP!K:K)</f>
        <v>7270284.086</v>
      </c>
      <c r="J45" s="79">
        <f t="shared" si="24"/>
        <v>6771268.596</v>
      </c>
    </row>
    <row r="46">
      <c r="A46" s="74" t="str">
        <f t="shared" si="23"/>
        <v>Wednesday</v>
      </c>
      <c r="B46" s="49">
        <v>46274.0</v>
      </c>
      <c r="C46" s="75">
        <f>SUMIF(SEP!$B$3:$B$101, B46, SEP!$D$3:$D$101)</f>
        <v>57208.23</v>
      </c>
      <c r="D46" s="76">
        <f>IFERROR(__xludf.DUMMYFUNCTION("IFNA(INDEX(FILTER(SEP!$E$3:$E$100, SEP!$B$3:$B$100=B46), 1), ""-"")"),17452.500670195415)</f>
        <v>17452.50067</v>
      </c>
      <c r="E46" s="78">
        <f>SUMIF(SEP!$B$3:$B$101, B46, SEP!$F$3:$F$101)</f>
        <v>998426672.4</v>
      </c>
      <c r="F46" s="107">
        <f>IFERROR(__xludf.DUMMYFUNCTION("IFNA(INDEX(FILTER(SEP!$G$3:$G$100, SEP!$B$3:$B$100=B46), 1), ""-"")"),17480.0)</f>
        <v>17480</v>
      </c>
      <c r="G46" s="78">
        <f>IFNA(SUMIF(SEP!$B$3:$B$900,B46,SEP!$H$3:$H$900),"-")</f>
        <v>999999860.4</v>
      </c>
      <c r="H46" s="78">
        <f>SUMIF(SEP!B:B, B46, SEP!J:J)</f>
        <v>499213.3362</v>
      </c>
      <c r="I46" s="78">
        <f>SUMIF(SEP!B:B, B46, SEP!K:K)</f>
        <v>1573187.984</v>
      </c>
      <c r="J46" s="79">
        <f t="shared" si="24"/>
        <v>1073974.648</v>
      </c>
    </row>
    <row r="47">
      <c r="A47" s="74" t="str">
        <f t="shared" si="23"/>
        <v>Thursday</v>
      </c>
      <c r="B47" s="49">
        <v>46275.0</v>
      </c>
      <c r="C47" s="75">
        <f>SUMIF(SEP!$B$3:$B$101, B47, SEP!$D$3:$D$101)</f>
        <v>144667.12</v>
      </c>
      <c r="D47" s="76">
        <f>IFERROR(__xludf.DUMMYFUNCTION("IFNA(INDEX(FILTER(SEP!$E$3:$E$100, SEP!$B$3:$B$100=B47), 1), ""-"")"),17480.0)</f>
        <v>17480</v>
      </c>
      <c r="E47" s="78">
        <f>SUMIF(SEP!$B$3:$B$101, B47, SEP!$F$3:$F$101)</f>
        <v>2529218879</v>
      </c>
      <c r="F47" s="107">
        <f>IFERROR(__xludf.DUMMYFUNCTION("IFNA(INDEX(FILTER(SEP!$G$3:$G$100, SEP!$B$3:$B$100=B47), 1), ""-"")"),17500.0)</f>
        <v>17500</v>
      </c>
      <c r="G47" s="78">
        <f>IFNA(SUMIF(SEP!$B$3:$B$900,B47,SEP!$H$3:$H$900),"-")</f>
        <v>2531674600</v>
      </c>
      <c r="H47" s="78">
        <f>SUMIF(SEP!B:B, B47, SEP!J:J)</f>
        <v>0</v>
      </c>
      <c r="I47" s="78">
        <f>SUMIF(SEP!B:B, B47, SEP!K:K)</f>
        <v>2455721.05</v>
      </c>
      <c r="J47" s="79">
        <f t="shared" si="24"/>
        <v>2455721.05</v>
      </c>
    </row>
    <row r="48">
      <c r="A48" s="74" t="str">
        <f t="shared" si="23"/>
        <v>Friday</v>
      </c>
      <c r="B48" s="49">
        <v>46276.0</v>
      </c>
      <c r="C48" s="75">
        <f>SUMIF(SEP!$B$3:$B$101, B48, SEP!$D$3:$D$101)</f>
        <v>158035.51</v>
      </c>
      <c r="D48" s="76">
        <f>IFERROR(__xludf.DUMMYFUNCTION("IFNA(INDEX(FILTER(SEP!$E$3:$E$100, SEP!$B$3:$B$100=B48), 1), ""-"")"),17516.302133926034)</f>
        <v>17516.30213</v>
      </c>
      <c r="E48" s="78">
        <f>SUMIF(SEP!$B$3:$B$101, B48, SEP!$F$3:$F$101)</f>
        <v>2767381430</v>
      </c>
      <c r="F48" s="107">
        <f>IFERROR(__xludf.DUMMYFUNCTION("IFNA(INDEX(FILTER(SEP!$G$3:$G$100, SEP!$B$3:$B$100=B48), 1), ""-"")"),17540.0)</f>
        <v>17540</v>
      </c>
      <c r="G48" s="78">
        <f>IFNA(SUMIF(SEP!$B$3:$B$900,B48,SEP!$H$3:$H$900),"-")</f>
        <v>2769999907</v>
      </c>
      <c r="H48" s="78">
        <f>SUMIF(SEP!B:B, B48, SEP!J:J)</f>
        <v>249662.219</v>
      </c>
      <c r="I48" s="78">
        <f>SUMIF(SEP!B:B, B48, SEP!K:K)</f>
        <v>2618476.369</v>
      </c>
      <c r="J48" s="79">
        <f t="shared" si="24"/>
        <v>2368814.15</v>
      </c>
    </row>
    <row r="49">
      <c r="A49" s="74" t="str">
        <f t="shared" si="23"/>
        <v>Saturday</v>
      </c>
      <c r="B49" s="49">
        <v>46277.0</v>
      </c>
      <c r="C49" s="75">
        <f>SUMIF(SEP!$B$3:$B$101, B49, SEP!$D$3:$D$101)</f>
        <v>183157.29</v>
      </c>
      <c r="D49" s="76">
        <f>IFERROR(__xludf.DUMMYFUNCTION("IFNA(INDEX(FILTER(SEP!$E$3:$E$100, SEP!$B$3:$B$100=B49), 1), ""-"")"),17495.0)</f>
        <v>17495</v>
      </c>
      <c r="E49" s="78">
        <f>SUMIF(SEP!$B$3:$B$101, B49, SEP!$F$3:$F$101)</f>
        <v>3204336789</v>
      </c>
      <c r="F49" s="107">
        <f>IFERROR(__xludf.DUMMYFUNCTION("IFNA(INDEX(FILTER(SEP!$G$3:$G$100, SEP!$B$3:$B$100=B49), 1), ""-"")"),17515.0)</f>
        <v>17515</v>
      </c>
      <c r="G49" s="78">
        <f>IFNA(SUMIF(SEP!$B$3:$B$900,B49,SEP!$H$3:$H$900),"-")</f>
        <v>3207999934</v>
      </c>
      <c r="H49" s="78">
        <f>SUMIF(SEP!B:B, B49, SEP!J:J)</f>
        <v>0</v>
      </c>
      <c r="I49" s="78">
        <f>SUMIF(SEP!B:B, B49, SEP!K:K)</f>
        <v>3663145.8</v>
      </c>
      <c r="J49" s="79">
        <f t="shared" si="24"/>
        <v>3663145.8</v>
      </c>
    </row>
    <row r="50">
      <c r="A50" s="74" t="str">
        <f t="shared" si="23"/>
        <v>Sunday</v>
      </c>
      <c r="B50" s="49">
        <v>46278.0</v>
      </c>
      <c r="C50" s="75">
        <f>SUMIF(SEP!$B$3:$B$101, B50, SEP!$D$3:$D$101)</f>
        <v>344075.18</v>
      </c>
      <c r="D50" s="76">
        <f>IFERROR(__xludf.DUMMYFUNCTION("IFNA(INDEX(FILTER(SEP!$E$3:$E$100, SEP!$B$3:$B$100=B50), 1), ""-"")"),17490.0)</f>
        <v>17490</v>
      </c>
      <c r="E50" s="78">
        <f>SUMIF(SEP!$B$3:$B$101, B50, SEP!$F$3:$F$101)</f>
        <v>6017874898</v>
      </c>
      <c r="F50" s="107">
        <f>IFERROR(__xludf.DUMMYFUNCTION("IFNA(INDEX(FILTER(SEP!$G$3:$G$100, SEP!$B$3:$B$100=B50), 1), ""-"")"),17515.0)</f>
        <v>17515</v>
      </c>
      <c r="G50" s="78">
        <f>IFNA(SUMIF(SEP!$B$3:$B$900,B50,SEP!$H$3:$H$900),"-")</f>
        <v>6025042585</v>
      </c>
      <c r="H50" s="78">
        <f>SUMIF(SEP!B:B, B50, SEP!J:J)</f>
        <v>0</v>
      </c>
      <c r="I50" s="78">
        <f>SUMIF(SEP!B:B, B50, SEP!K:K)</f>
        <v>7167687</v>
      </c>
      <c r="J50" s="79">
        <f t="shared" si="24"/>
        <v>7167687</v>
      </c>
    </row>
    <row r="51">
      <c r="A51" s="74" t="str">
        <f t="shared" si="23"/>
        <v>Monday</v>
      </c>
      <c r="B51" s="49">
        <v>46279.0</v>
      </c>
      <c r="C51" s="75">
        <f>SUMIF(SEP!$B$3:$B$101, B51, SEP!$D$3:$D$101)</f>
        <v>758019.9</v>
      </c>
      <c r="D51" s="76">
        <f>IFERROR(__xludf.DUMMYFUNCTION("IFNA(INDEX(FILTER(SEP!$E$3:$E$100, SEP!$B$3:$B$100=B51), 1), ""-"")"),17555.0)</f>
        <v>17555</v>
      </c>
      <c r="E51" s="78">
        <f>SUMIF(SEP!$B$3:$B$101, B51, SEP!$F$3:$F$101)</f>
        <v>13308751774</v>
      </c>
      <c r="F51" s="107">
        <f>IFERROR(__xludf.DUMMYFUNCTION("IFNA(INDEX(FILTER(SEP!$G$3:$G$100, SEP!$B$3:$B$100=B51), 1), ""-"")"),17575.0)</f>
        <v>17575</v>
      </c>
      <c r="G51" s="78">
        <f>IFNA(SUMIF(SEP!$B$3:$B$900,B51,SEP!$H$3:$H$900),"-")</f>
        <v>13319187959</v>
      </c>
      <c r="H51" s="78">
        <f>SUMIF(SEP!B:B, B51, SEP!J:J)</f>
        <v>0</v>
      </c>
      <c r="I51" s="78">
        <f>SUMIF(SEP!B:B, B51, SEP!K:K)</f>
        <v>10436185.15</v>
      </c>
      <c r="J51" s="79">
        <f t="shared" si="24"/>
        <v>10436185.15</v>
      </c>
    </row>
    <row r="52">
      <c r="A52" s="74" t="str">
        <f t="shared" si="23"/>
        <v>Tuesday</v>
      </c>
      <c r="B52" s="49">
        <v>46280.0</v>
      </c>
      <c r="C52" s="75">
        <f>SUMIF(SEP!$B$3:$B$901, B52, SEP!$D$3:$D$901)</f>
        <v>130496.45</v>
      </c>
      <c r="D52" s="76">
        <f>IFERROR(__xludf.DUMMYFUNCTION("IFNA(INDEX(FILTER(SEP!$E$3:$E$900, SEP!$B$3:$B$900=B52), 1), ""-"")"),17615.0)</f>
        <v>17615</v>
      </c>
      <c r="E52" s="78">
        <f>SUMIF(SEP!$B$3:$B$901, B52, SEP!$F$3:$F$901)</f>
        <v>2298694967</v>
      </c>
      <c r="F52" s="107">
        <f>IFERROR(__xludf.DUMMYFUNCTION("IFNA(INDEX(FILTER(SEP!$G$3:$G$900, SEP!$B$3:$B$900=B52), 1), ""-"")"),17625.0)</f>
        <v>17625</v>
      </c>
      <c r="G52" s="78">
        <f>IFNA(SUMIF(SEP!$B$3:$B$900,B52,SEP!$H$3:$H$900),"-")</f>
        <v>2299999931</v>
      </c>
      <c r="H52" s="78">
        <f>SUMIF(SEP!B:B, B52, SEP!J:J)</f>
        <v>0</v>
      </c>
      <c r="I52" s="78">
        <f>SUMIF(SEP!B:B, B52, SEP!K:K)</f>
        <v>1304964.5</v>
      </c>
      <c r="J52" s="79">
        <f t="shared" si="24"/>
        <v>1304964.5</v>
      </c>
    </row>
    <row r="53">
      <c r="A53" s="74" t="str">
        <f t="shared" si="23"/>
        <v>Wednesday</v>
      </c>
      <c r="B53" s="49">
        <v>46281.0</v>
      </c>
      <c r="C53" s="75">
        <f>SUMIF(SEP!$B$3:$B$901, B53, SEP!$D$3:$D$901)</f>
        <v>452351.73</v>
      </c>
      <c r="D53" s="76">
        <f>IFERROR(__xludf.DUMMYFUNCTION("IFNA(INDEX(FILTER(SEP!$E$3:$E$900, SEP!$B$3:$B$900=B53), 1), ""-"")"),17582.045894924104)</f>
        <v>17582.04589</v>
      </c>
      <c r="E53" s="78">
        <f>SUMIF(SEP!$B$3:$B$901, B53, SEP!$F$3:$F$901)</f>
        <v>7945525449</v>
      </c>
      <c r="F53" s="107">
        <f>IFERROR(__xludf.DUMMYFUNCTION("IFNA(INDEX(FILTER(SEP!$G$3:$G$900, SEP!$B$3:$B$900=B53), 1), ""-"")"),17610.0)</f>
        <v>17610</v>
      </c>
      <c r="G53" s="78">
        <f>IFNA(SUMIF(SEP!$B$3:$B$900,B53,SEP!$H$3:$H$900),"-")</f>
        <v>7959999328</v>
      </c>
      <c r="H53" s="78">
        <f>SUMIF(SEP!B:B, B53, SEP!J:J)</f>
        <v>499236.4691</v>
      </c>
      <c r="I53" s="78">
        <f>SUMIF(SEP!B:B, B53, SEP!K:K)</f>
        <v>14473878.88</v>
      </c>
      <c r="J53" s="79">
        <f t="shared" si="24"/>
        <v>13974642.41</v>
      </c>
    </row>
    <row r="54">
      <c r="A54" s="74" t="str">
        <f t="shared" si="23"/>
        <v>Thursday</v>
      </c>
      <c r="B54" s="49">
        <v>46282.0</v>
      </c>
      <c r="C54" s="75">
        <f>SUMIF(SEP!$B$3:$B$901, B54, SEP!$D$3:$D$901)</f>
        <v>241333.91</v>
      </c>
      <c r="D54" s="76">
        <f>IFERROR(__xludf.DUMMYFUNCTION("IFNA(INDEX(FILTER(SEP!$E$3:$E$900, SEP!$B$3:$B$900=B54), 1), ""-"")"),17640.0)</f>
        <v>17640</v>
      </c>
      <c r="E54" s="78">
        <f>SUMIF(SEP!$B$3:$B$901, B54, SEP!$F$3:$F$901)</f>
        <v>4253816901</v>
      </c>
      <c r="F54" s="107">
        <f>IFERROR(__xludf.DUMMYFUNCTION("IFNA(INDEX(FILTER(SEP!$G$3:$G$900, SEP!$B$3:$B$900=B54), 1), ""-"")"),17660.0)</f>
        <v>17660</v>
      </c>
      <c r="G54" s="78">
        <f>IFNA(SUMIF(SEP!$B$3:$B$900,B54,SEP!$H$3:$H$900),"-")</f>
        <v>4259973236</v>
      </c>
      <c r="H54" s="78">
        <f>SUMIF(SEP!B:B, B54, SEP!J:J)</f>
        <v>1247692.789</v>
      </c>
      <c r="I54" s="78">
        <f>SUMIF(SEP!B:B, B54, SEP!K:K)</f>
        <v>6156334.903</v>
      </c>
      <c r="J54" s="79">
        <f t="shared" si="24"/>
        <v>4908642.114</v>
      </c>
    </row>
    <row r="55">
      <c r="A55" s="74" t="str">
        <f t="shared" si="23"/>
        <v>Friday</v>
      </c>
      <c r="B55" s="49">
        <v>46283.0</v>
      </c>
      <c r="C55" s="75">
        <f>SUMIF(SEP!$B$3:$B$901, B55, SEP!$D$3:$D$901)</f>
        <v>751246.13</v>
      </c>
      <c r="D55" s="76">
        <f>IFERROR(__xludf.DUMMYFUNCTION("IFNA(INDEX(FILTER(SEP!$E$3:$E$900, SEP!$B$3:$B$900=B55), 1), ""-"")"),17614.687437208722)</f>
        <v>17614.68744</v>
      </c>
      <c r="E55" s="78">
        <f>SUMIF(SEP!$B$3:$B$901, B55, SEP!$F$3:$F$901)</f>
        <v>13234571621</v>
      </c>
      <c r="F55" s="107">
        <f>IFERROR(__xludf.DUMMYFUNCTION("IFNA(INDEX(FILTER(SEP!$G$3:$G$900, SEP!$B$3:$B$900=B55), 1), ""-"")"),17650.0)</f>
        <v>17650</v>
      </c>
      <c r="G55" s="78">
        <f>IFNA(SUMIF(SEP!$B$3:$B$900,B55,SEP!$H$3:$H$900),"-")</f>
        <v>13258363812</v>
      </c>
      <c r="H55" s="78">
        <f>SUMIF(SEP!B:B, B55, SEP!J:J)</f>
        <v>4641469.526</v>
      </c>
      <c r="I55" s="78">
        <f>SUMIF(SEP!B:B, B55, SEP!K:K)</f>
        <v>23792191.04</v>
      </c>
      <c r="J55" s="79">
        <f t="shared" si="24"/>
        <v>19150721.52</v>
      </c>
    </row>
    <row r="56">
      <c r="A56" s="74" t="str">
        <f t="shared" si="23"/>
        <v>Saturday</v>
      </c>
      <c r="B56" s="49">
        <v>46284.0</v>
      </c>
      <c r="C56" s="75">
        <f>SUMIF(SEP!$B$3:$B$901, B56, SEP!$D$3:$D$901)</f>
        <v>515268.952</v>
      </c>
      <c r="D56" s="76">
        <f>IFERROR(__xludf.DUMMYFUNCTION("IFNA(INDEX(FILTER(SEP!$E$3:$E$900, SEP!$B$3:$B$900=B56), 1), ""-"")"),17560.0)</f>
        <v>17560</v>
      </c>
      <c r="E56" s="78">
        <f>SUMIF(SEP!$B$3:$B$901, B56, SEP!$F$3:$F$901)</f>
        <v>9043326788</v>
      </c>
      <c r="F56" s="107">
        <f>IFERROR(__xludf.DUMMYFUNCTION("IFNA(INDEX(FILTER(SEP!$G$3:$G$900, SEP!$B$3:$B$900=B56), 1), ""-"")"),17600.0)</f>
        <v>17600</v>
      </c>
      <c r="G56" s="78">
        <f>IFNA(SUMIF(SEP!$B$3:$B$900,B56,SEP!$H$3:$H$900),"-")</f>
        <v>9062048973</v>
      </c>
      <c r="H56" s="78">
        <f>SUMIF(SEP!B:B, B56, SEP!J:J)</f>
        <v>2499922.613</v>
      </c>
      <c r="I56" s="78">
        <f>SUMIF(SEP!B:B, B56, SEP!K:K)</f>
        <v>18722185.3</v>
      </c>
      <c r="J56" s="79">
        <f t="shared" si="24"/>
        <v>16222262.69</v>
      </c>
    </row>
    <row r="57">
      <c r="A57" s="74" t="str">
        <f t="shared" si="23"/>
        <v>Sunday</v>
      </c>
      <c r="B57" s="49">
        <v>46285.0</v>
      </c>
      <c r="C57" s="75">
        <f>SUMIF(SEP!$B$3:$B$901, B57, SEP!$D$3:$D$901)</f>
        <v>396983.12</v>
      </c>
      <c r="D57" s="76">
        <f>IFERROR(__xludf.DUMMYFUNCTION("IFNA(INDEX(FILTER(SEP!$E$3:$E$900, SEP!$B$3:$B$900=B57), 1), ""-"")"),17537.167388945163)</f>
        <v>17537.16739</v>
      </c>
      <c r="E57" s="78">
        <f>SUMIF(SEP!$B$3:$B$901, B57, SEP!$F$3:$F$901)</f>
        <v>6960980670</v>
      </c>
      <c r="F57" s="107">
        <f>IFERROR(__xludf.DUMMYFUNCTION("IFNA(INDEX(FILTER(SEP!$G$3:$G$900, SEP!$B$3:$B$900=B57), 1), ""-"")"),17580.0)</f>
        <v>17580</v>
      </c>
      <c r="G57" s="78">
        <f>IFNA(SUMIF(SEP!$B$3:$B$900,B57,SEP!$H$3:$H$900),"-")</f>
        <v>6975999571</v>
      </c>
      <c r="H57" s="78">
        <f>SUMIF(SEP!B:B, B57, SEP!J:J)</f>
        <v>2332303.492</v>
      </c>
      <c r="I57" s="78">
        <f>SUMIF(SEP!B:B, B57, SEP!K:K)</f>
        <v>15018901.77</v>
      </c>
      <c r="J57" s="79">
        <f t="shared" si="24"/>
        <v>12686598.28</v>
      </c>
    </row>
    <row r="58">
      <c r="A58" s="74" t="str">
        <f t="shared" si="23"/>
        <v>Monday</v>
      </c>
      <c r="B58" s="49">
        <v>46286.0</v>
      </c>
      <c r="C58" s="75">
        <f>SUMIF(SEP!$B$3:$B$901, B58, SEP!$D$3:$D$901)</f>
        <v>471032.54</v>
      </c>
      <c r="D58" s="76">
        <f>IFERROR(__xludf.DUMMYFUNCTION("IFNA(INDEX(FILTER(SEP!$E$3:$E$900, SEP!$B$3:$B$900=B58), 1), ""-"")"),17660.430256656822)</f>
        <v>17660.43026</v>
      </c>
      <c r="E58" s="78">
        <f>SUMIF(SEP!$B$3:$B$901, B58, SEP!$F$3:$F$901)</f>
        <v>8327191970</v>
      </c>
      <c r="F58" s="107">
        <f>IFERROR(__xludf.DUMMYFUNCTION("IFNA(INDEX(FILTER(SEP!$G$3:$G$900, SEP!$B$3:$B$900=B58), 1), ""-"")"),17685.0)</f>
        <v>17685</v>
      </c>
      <c r="G58" s="78">
        <f>IFNA(SUMIF(SEP!$B$3:$B$900,B58,SEP!$H$3:$H$900),"-")</f>
        <v>8344589933</v>
      </c>
      <c r="H58" s="78">
        <f>SUMIF(SEP!B:B, B58, SEP!J:J)</f>
        <v>3913934.918</v>
      </c>
      <c r="I58" s="78">
        <f>SUMIF(SEP!B:B, B58, SEP!K:K)</f>
        <v>17397962.46</v>
      </c>
      <c r="J58" s="79">
        <f t="shared" si="24"/>
        <v>13484027.54</v>
      </c>
    </row>
    <row r="59">
      <c r="A59" s="74" t="str">
        <f t="shared" si="23"/>
        <v>Tuesday</v>
      </c>
      <c r="B59" s="49">
        <v>46287.0</v>
      </c>
      <c r="C59" s="75">
        <f>SUMIF(SEP!$B$3:$B$901, B59, SEP!$D$3:$D$901)</f>
        <v>706865.44</v>
      </c>
      <c r="D59" s="76">
        <f>IFERROR(__xludf.DUMMYFUNCTION("IFNA(INDEX(FILTER(SEP!$E$3:$E$900, SEP!$B$3:$B$900=B59), 1), ""-"")"),17750.0)</f>
        <v>17750</v>
      </c>
      <c r="E59" s="78">
        <f>SUMIF(SEP!$B$3:$B$901, B59, SEP!$F$3:$F$901)</f>
        <v>12547633576</v>
      </c>
      <c r="F59" s="107">
        <f>IFERROR(__xludf.DUMMYFUNCTION("IFNA(INDEX(FILTER(SEP!$G$3:$G$900, SEP!$B$3:$B$900=B59), 1), ""-"")"),17790.0)</f>
        <v>17790</v>
      </c>
      <c r="G59" s="78">
        <f>IFNA(SUMIF(SEP!$B$3:$B$900,B59,SEP!$H$3:$H$900),"-")</f>
        <v>12572998945</v>
      </c>
      <c r="H59" s="78">
        <f>SUMIF(SEP!B:B, B59, SEP!J:J)</f>
        <v>4391028.383</v>
      </c>
      <c r="I59" s="78">
        <f>SUMIF(SEP!B:B, B59, SEP!K:K)</f>
        <v>25365369.31</v>
      </c>
      <c r="J59" s="79">
        <f t="shared" si="24"/>
        <v>20974340.93</v>
      </c>
    </row>
    <row r="60">
      <c r="A60" s="74" t="str">
        <f t="shared" si="23"/>
        <v>Wednesday</v>
      </c>
      <c r="B60" s="49">
        <v>46288.0</v>
      </c>
      <c r="C60" s="75">
        <f>SUMIF(SEP!$B$3:$B$901, B60, SEP!$D$3:$D$901)</f>
        <v>312423.22</v>
      </c>
      <c r="D60" s="76">
        <f>IFERROR(__xludf.DUMMYFUNCTION("IFNA(INDEX(FILTER(SEP!$E$3:$E$900, SEP!$B$3:$B$900=B60), 1), ""-"")"),17764.860600943943)</f>
        <v>17764.8606</v>
      </c>
      <c r="E60" s="78">
        <f>SUMIF(SEP!$B$3:$B$901, B60, SEP!$F$3:$F$901)</f>
        <v>5547628549</v>
      </c>
      <c r="F60" s="107">
        <f>IFERROR(__xludf.DUMMYFUNCTION("IFNA(INDEX(FILTER(SEP!$G$3:$G$900, SEP!$B$3:$B$900=B60), 1), ""-"")"),17790.0)</f>
        <v>17790</v>
      </c>
      <c r="G60" s="78">
        <f>IFNA(SUMIF(SEP!$B$3:$B$900,B60,SEP!$H$3:$H$900),"-")</f>
        <v>5555602548</v>
      </c>
      <c r="H60" s="78">
        <f>SUMIF(SEP!B:B, B60, SEP!J:J)</f>
        <v>776907.205</v>
      </c>
      <c r="I60" s="78">
        <f>SUMIF(SEP!B:B, B60, SEP!K:K)</f>
        <v>7973998.749</v>
      </c>
      <c r="J60" s="79">
        <f t="shared" si="24"/>
        <v>7197091.544</v>
      </c>
    </row>
    <row r="61">
      <c r="A61" s="74" t="str">
        <f t="shared" si="23"/>
        <v>Thursday</v>
      </c>
      <c r="B61" s="49">
        <v>46289.0</v>
      </c>
      <c r="C61" s="75">
        <f>SUMIF(SEP!$B$3:$B$901, B61, SEP!$D$3:$D$901)</f>
        <v>949677.41</v>
      </c>
      <c r="D61" s="76">
        <f>IFERROR(__xludf.DUMMYFUNCTION("IFNA(INDEX(FILTER(SEP!$E$3:$E$900, SEP!$B$3:$B$900=B61), 1), ""-"")"),17771.892147587514)</f>
        <v>17771.89215</v>
      </c>
      <c r="E61" s="78">
        <f>SUMIF(SEP!$B$3:$B$901, B61, SEP!$F$3:$F$901)</f>
        <v>16898633690</v>
      </c>
      <c r="F61" s="107">
        <f>IFERROR(__xludf.DUMMYFUNCTION("IFNA(INDEX(FILTER(SEP!$G$3:$G$900, SEP!$B$3:$B$900=B61), 1), ""-"")"),17800.0)</f>
        <v>17800</v>
      </c>
      <c r="G61" s="78">
        <f>IFNA(SUMIF(SEP!$B$3:$B$900,B61,SEP!$H$3:$H$900),"-")</f>
        <v>16924999351</v>
      </c>
      <c r="H61" s="78">
        <f>SUMIF(SEP!B:B, B61, SEP!J:J)</f>
        <v>5953670.924</v>
      </c>
      <c r="I61" s="78">
        <f>SUMIF(SEP!B:B, B61, SEP!K:K)</f>
        <v>26365660.87</v>
      </c>
      <c r="J61" s="79">
        <f t="shared" si="24"/>
        <v>20411989.94</v>
      </c>
    </row>
    <row r="62">
      <c r="A62" s="74" t="str">
        <f t="shared" si="23"/>
        <v>Friday</v>
      </c>
      <c r="B62" s="49">
        <v>46290.0</v>
      </c>
      <c r="C62" s="75">
        <f>SUMIF(SEP!$B$3:$B$901, B62, SEP!$D$3:$D$901)</f>
        <v>775711.04</v>
      </c>
      <c r="D62" s="76">
        <f>IFERROR(__xludf.DUMMYFUNCTION("IFNA(INDEX(FILTER(SEP!$E$3:$E$900, SEP!$B$3:$B$900=B62), 1), ""-"")"),17826.0)</f>
        <v>17826</v>
      </c>
      <c r="E62" s="78">
        <f>SUMIF(SEP!$B$3:$B$901, B62, SEP!$F$3:$F$901)</f>
        <v>13794873681</v>
      </c>
      <c r="F62" s="107">
        <f>IFERROR(__xludf.DUMMYFUNCTION("IFNA(INDEX(FILTER(SEP!$G$3:$G$900, SEP!$B$3:$B$900=B62), 1), ""-"")"),17870.0)</f>
        <v>17870</v>
      </c>
      <c r="G62" s="78">
        <f>IFNA(SUMIF(SEP!$B$3:$B$900,B62,SEP!$H$3:$H$900),"-")</f>
        <v>13820025788</v>
      </c>
      <c r="H62" s="78">
        <f>SUMIF(SEP!B:B, B62, SEP!J:J)</f>
        <v>2273477.009</v>
      </c>
      <c r="I62" s="78">
        <f>SUMIF(SEP!B:B, B62, SEP!K:K)</f>
        <v>25152107.17</v>
      </c>
      <c r="J62" s="79">
        <f t="shared" si="24"/>
        <v>22878630.16</v>
      </c>
    </row>
    <row r="63">
      <c r="A63" s="74" t="str">
        <f t="shared" si="23"/>
        <v>Saturday</v>
      </c>
      <c r="B63" s="49">
        <v>46291.0</v>
      </c>
      <c r="C63" s="75">
        <f>SUMIF(SEP!$B$3:$B$901, B63, SEP!$D$3:$D$901)</f>
        <v>557390.92</v>
      </c>
      <c r="D63" s="76">
        <f>IFERROR(__xludf.DUMMYFUNCTION("IFNA(INDEX(FILTER(SEP!$E$3:$E$900, SEP!$B$3:$B$900=B63), 1), ""-"")"),17735.604469365175)</f>
        <v>17735.60447</v>
      </c>
      <c r="E63" s="78">
        <f>SUMIF(SEP!$B$3:$B$901, B63, SEP!$F$3:$F$901)</f>
        <v>9889242747</v>
      </c>
      <c r="F63" s="107">
        <f>IFERROR(__xludf.DUMMYFUNCTION("IFNA(INDEX(FILTER(SEP!$G$3:$G$900, SEP!$B$3:$B$900=B63), 1), ""-"")"),17770.0)</f>
        <v>17770</v>
      </c>
      <c r="G63" s="78">
        <f>IFNA(SUMIF(SEP!$B$3:$B$900,B63,SEP!$H$3:$H$900),"-")</f>
        <v>9904999839</v>
      </c>
      <c r="H63" s="78">
        <f>SUMIF(SEP!B:B, B63, SEP!J:J)</f>
        <v>499032.201</v>
      </c>
      <c r="I63" s="78">
        <f>SUMIF(SEP!B:B, B63, SEP!K:K)</f>
        <v>15757091.22</v>
      </c>
      <c r="J63" s="79">
        <f t="shared" si="24"/>
        <v>15258059.02</v>
      </c>
    </row>
    <row r="64">
      <c r="A64" s="74" t="str">
        <f t="shared" si="23"/>
        <v>Sunday</v>
      </c>
      <c r="B64" s="49">
        <v>46292.0</v>
      </c>
      <c r="C64" s="75">
        <f>SUMIF(SEP!$B$3:$B$901, B64, SEP!$D$3:$D$901)</f>
        <v>322486.34</v>
      </c>
      <c r="D64" s="76">
        <f>IFERROR(__xludf.DUMMYFUNCTION("IFNA(INDEX(FILTER(SEP!$E$3:$E$900, SEP!$B$3:$B$900=B64), 1), ""-"")"),17815.0)</f>
        <v>17815</v>
      </c>
      <c r="E64" s="78">
        <f>SUMIF(SEP!$B$3:$B$901, B64, SEP!$F$3:$F$901)</f>
        <v>5741292407</v>
      </c>
      <c r="F64" s="107">
        <f>IFERROR(__xludf.DUMMYFUNCTION("IFNA(INDEX(FILTER(SEP!$G$3:$G$900, SEP!$B$3:$B$900=B64), 1), ""-"")"),17835.0)</f>
        <v>17835</v>
      </c>
      <c r="G64" s="78">
        <f>IFNA(SUMIF(SEP!$B$3:$B$900,B64,SEP!$H$3:$H$900),"-")</f>
        <v>5749999798</v>
      </c>
      <c r="H64" s="78">
        <f>SUMIF(SEP!B:B, B64, SEP!J:J)</f>
        <v>2321572.689</v>
      </c>
      <c r="I64" s="78">
        <f>SUMIF(SEP!B:B, B64, SEP!K:K)</f>
        <v>8707390.85</v>
      </c>
      <c r="J64" s="79">
        <f t="shared" si="24"/>
        <v>6385818.161</v>
      </c>
    </row>
    <row r="65">
      <c r="A65" s="74" t="str">
        <f t="shared" si="23"/>
        <v>Monday</v>
      </c>
      <c r="B65" s="49">
        <v>46293.0</v>
      </c>
      <c r="C65" s="75">
        <f>SUMIF(SEP!$B$3:$B$901, B65, SEP!$D$3:$D$901)</f>
        <v>399897.91</v>
      </c>
      <c r="D65" s="76">
        <f>IFERROR(__xludf.DUMMYFUNCTION("IFNA(INDEX(FILTER(SEP!$E$3:$E$900, SEP!$B$3:$B$900=B65), 1), ""-"")"),17840.0)</f>
        <v>17840</v>
      </c>
      <c r="E65" s="78">
        <f>SUMIF(SEP!$B$3:$B$901, B65, SEP!$F$3:$F$901)</f>
        <v>7146539468</v>
      </c>
      <c r="F65" s="107">
        <f>IFERROR(__xludf.DUMMYFUNCTION("IFNA(INDEX(FILTER(SEP!$G$3:$G$900, SEP!$B$3:$B$900=B65), 1), ""-"")"),17875.0)</f>
        <v>17875</v>
      </c>
      <c r="G65" s="78">
        <f>IFNA(SUMIF(SEP!$B$3:$B$900,B65,SEP!$H$3:$H$900),"-")</f>
        <v>7157999612</v>
      </c>
      <c r="H65" s="78">
        <f>SUMIF(SEP!B:B, B65, SEP!J:J)</f>
        <v>2290563.911</v>
      </c>
      <c r="I65" s="78">
        <f>SUMIF(SEP!B:B, B65, SEP!K:K)</f>
        <v>11460144.65</v>
      </c>
      <c r="J65" s="79">
        <f t="shared" si="24"/>
        <v>9169580.739</v>
      </c>
    </row>
    <row r="66">
      <c r="A66" s="74" t="str">
        <f t="shared" si="23"/>
        <v>Tuesday</v>
      </c>
      <c r="B66" s="49">
        <v>46294.0</v>
      </c>
      <c r="C66" s="75">
        <f>SUMIF(SEP!$B$3:$B$901, B66, SEP!$D$3:$D$901)</f>
        <v>404389.36</v>
      </c>
      <c r="D66" s="76">
        <f>IFERROR(__xludf.DUMMYFUNCTION("IFNA(INDEX(FILTER(SEP!$E$3:$E$900, SEP!$B$3:$B$900=B66), 1), ""-"")"),17927.521775346693)</f>
        <v>17927.52178</v>
      </c>
      <c r="E66" s="78">
        <f>SUMIF(SEP!$B$3:$B$901, B66, SEP!$F$3:$F$901)</f>
        <v>7243100881</v>
      </c>
      <c r="F66" s="107">
        <f>IFERROR(__xludf.DUMMYFUNCTION("IFNA(INDEX(FILTER(SEP!$G$3:$G$900, SEP!$B$3:$B$900=B66), 1), ""-"")"),17950.0)</f>
        <v>17950</v>
      </c>
      <c r="G66" s="78">
        <f>IFNA(SUMIF(SEP!$B$3:$B$900,B66,SEP!$H$3:$H$900),"-")</f>
        <v>7249999950</v>
      </c>
      <c r="H66" s="78">
        <f>SUMIF(SEP!B:B, B66, SEP!J:J)</f>
        <v>998747.706</v>
      </c>
      <c r="I66" s="78">
        <f>SUMIF(SEP!B:B, B66, SEP!K:K)</f>
        <v>6899068.753</v>
      </c>
      <c r="J66" s="79">
        <f t="shared" si="24"/>
        <v>5900321.047</v>
      </c>
    </row>
    <row r="67">
      <c r="A67" s="74" t="str">
        <f t="shared" si="23"/>
        <v>Wednesday</v>
      </c>
      <c r="B67" s="49">
        <v>46295.0</v>
      </c>
      <c r="C67" s="75">
        <f>SUMIF(SEP!$B$3:$B$901, B67, SEP!$D$3:$D$901)</f>
        <v>0</v>
      </c>
      <c r="D67" s="76" t="str">
        <f>IFERROR(__xludf.DUMMYFUNCTION("IFNA(INDEX(FILTER(SEP!$E$3:$E$900, SEP!$B$3:$B$900=B67), 1), ""-"")"),"-")</f>
        <v>-</v>
      </c>
      <c r="E67" s="78">
        <f>SUMIF(SEP!$B$3:$B$901, B67, SEP!$F$3:$F$901)</f>
        <v>0</v>
      </c>
      <c r="F67" s="107" t="str">
        <f>IFERROR(__xludf.DUMMYFUNCTION("IFNA(INDEX(FILTER(SEP!$G$3:$G$900, SEP!$B$3:$B$900=B67), 1), ""-"")"),"")</f>
        <v/>
      </c>
      <c r="G67" s="78">
        <f>IFNA(SUMIF(SEP!$B$3:$B$900,B67,SEP!$H$3:$H$900),"-")</f>
        <v>0</v>
      </c>
      <c r="H67" s="78">
        <f>SUMIF(SEP!B:B, B67, SEP!J:J)</f>
        <v>0</v>
      </c>
      <c r="I67" s="78">
        <f>SUMIF(SEP!B:B, B67, SEP!K:K)</f>
        <v>0</v>
      </c>
      <c r="J67" s="79">
        <f t="shared" si="24"/>
        <v>0</v>
      </c>
    </row>
    <row r="68">
      <c r="A68" s="47" t="str">
        <f>CONCAT(A37,"_TOTAL")</f>
        <v>SEP_TOTAL</v>
      </c>
      <c r="B68" s="161"/>
      <c r="C68" s="52">
        <f>sum(C38:C67)</f>
        <v>11639890.98</v>
      </c>
      <c r="D68" s="53">
        <f>IFERROR(IF(AVERAGE(D38:D67)=0,"-",AVERAGE(D38:D67)),"-")</f>
        <v>17635.51172</v>
      </c>
      <c r="E68" s="163">
        <f>sum(E38:E67)</f>
        <v>205573414297</v>
      </c>
      <c r="F68" s="53">
        <f>IFERROR(IF(AVERAGE(F38:F67)=0,"-",AVERAGE(F38:F67)),"-")</f>
        <v>17663.64286</v>
      </c>
      <c r="G68" s="163">
        <f t="shared" ref="G68:I68" si="25">sum(G38:G67)</f>
        <v>205910516613</v>
      </c>
      <c r="H68" s="163">
        <f t="shared" si="25"/>
        <v>43454634.43</v>
      </c>
      <c r="I68" s="163">
        <f t="shared" si="25"/>
        <v>337102316</v>
      </c>
      <c r="J68" s="164">
        <f t="shared" si="24"/>
        <v>293647681.6</v>
      </c>
    </row>
    <row r="69">
      <c r="A69" s="47" t="s">
        <v>64</v>
      </c>
      <c r="B69" s="49"/>
      <c r="C69" s="52"/>
      <c r="D69" s="53"/>
      <c r="E69" s="55"/>
      <c r="F69" s="57"/>
      <c r="G69" s="59"/>
      <c r="H69" s="59"/>
      <c r="I69" s="60"/>
      <c r="J69" s="60"/>
    </row>
    <row r="70">
      <c r="A70" s="74" t="str">
        <f t="shared" ref="A70:A100" si="26">IF(ISBLANK(B70),"",TEXT(B70,"dddd"))</f>
        <v>Thursday</v>
      </c>
      <c r="B70" s="49">
        <v>46296.0</v>
      </c>
      <c r="C70" s="75">
        <f>SUMIF(AUG!$B$3:$B$100, B70, AUG!$D$3:$D$100)</f>
        <v>0</v>
      </c>
      <c r="D70" s="76" t="str">
        <f>IFERROR(__xludf.DUMMYFUNCTION("IFNA(INDEX(FILTER(AUG!$E$3:$E$100, AUG!$B$3:$B$100=B70), 1), ""-"")"),"-")</f>
        <v>-</v>
      </c>
      <c r="E70" s="78">
        <f>SUMIF(AUG!$B$3:$B$100, B70, AUG!$F$3:$F$100)</f>
        <v>0</v>
      </c>
      <c r="F70" s="76" t="str">
        <f>IFERROR(__xludf.DUMMYFUNCTION("IFNA(INDEX(FILTER(AUG!$G$3:$G$100, AUG!$B$3:$B$100=B70), 1), ""-"")"),"-")</f>
        <v>-</v>
      </c>
      <c r="G70" s="78">
        <f>IFNA(SUMIF(AUG!$B$3:$B$100,B70,AUG!$H$3:$H$100),"-")</f>
        <v>0</v>
      </c>
      <c r="H70" s="78">
        <f t="shared" ref="H70:H100" si="27">E70*0.07%</f>
        <v>0</v>
      </c>
      <c r="I70" s="78">
        <f>SUMIF(OCT!B:B, B70, OCT!K:K)</f>
        <v>0</v>
      </c>
      <c r="J70" s="79">
        <f t="shared" ref="J70:J101" si="28">G70-E70-H70</f>
        <v>0</v>
      </c>
    </row>
    <row r="71">
      <c r="A71" s="74" t="str">
        <f t="shared" si="26"/>
        <v>Friday</v>
      </c>
      <c r="B71" s="49">
        <v>46297.0</v>
      </c>
      <c r="C71" s="75">
        <f>SUMIF(AUG!$B$3:$B$100, B71, AUG!$D$3:$D$100)</f>
        <v>0</v>
      </c>
      <c r="D71" s="76" t="str">
        <f>IFERROR(__xludf.DUMMYFUNCTION("IFNA(INDEX(FILTER(AUG!$E$3:$E$100, AUG!$B$3:$B$100=B71), 1), ""-"")"),"-")</f>
        <v>-</v>
      </c>
      <c r="E71" s="78">
        <f>SUMIF(AUG!$B$3:$B$100, B71, AUG!$F$3:$F$100)</f>
        <v>0</v>
      </c>
      <c r="F71" s="76" t="str">
        <f>IFERROR(__xludf.DUMMYFUNCTION("IFNA(INDEX(FILTER(AUG!$G$3:$G$100, AUG!$B$3:$B$100=B71), 1), ""-"")"),"-")</f>
        <v>-</v>
      </c>
      <c r="G71" s="78">
        <f>IFNA(SUMIF(AUG!$B$3:$B$100,B71,AUG!$H$3:$H$100),"-")</f>
        <v>0</v>
      </c>
      <c r="H71" s="78">
        <f t="shared" si="27"/>
        <v>0</v>
      </c>
      <c r="I71" s="78">
        <f>SUMIF(OCT!B:B, B71, OCT!K:K)</f>
        <v>9283849.75</v>
      </c>
      <c r="J71" s="79">
        <f t="shared" si="28"/>
        <v>0</v>
      </c>
    </row>
    <row r="72">
      <c r="A72" s="74" t="str">
        <f t="shared" si="26"/>
        <v>Saturday</v>
      </c>
      <c r="B72" s="49">
        <v>46298.0</v>
      </c>
      <c r="C72" s="75">
        <f>SUMIF(AUG!$B$3:$B$100, B72, AUG!$D$3:$D$100)</f>
        <v>0</v>
      </c>
      <c r="D72" s="76" t="str">
        <f>IFERROR(__xludf.DUMMYFUNCTION("IFNA(INDEX(FILTER(AUG!$E$3:$E$100, AUG!$B$3:$B$100=B72), 1), ""-"")"),"-")</f>
        <v>-</v>
      </c>
      <c r="E72" s="78">
        <f>SUMIF(AUG!$B$3:$B$100, B72, AUG!$F$3:$F$100)</f>
        <v>0</v>
      </c>
      <c r="F72" s="76" t="str">
        <f>IFERROR(__xludf.DUMMYFUNCTION("IFNA(INDEX(FILTER(AUG!$G$3:$G$100, AUG!$B$3:$B$100=B72), 1), ""-"")"),"-")</f>
        <v>-</v>
      </c>
      <c r="G72" s="78">
        <f>IFNA(SUMIF(AUG!$B$3:$B$100,B72,AUG!$H$3:$H$100),"-")</f>
        <v>0</v>
      </c>
      <c r="H72" s="78">
        <f t="shared" si="27"/>
        <v>0</v>
      </c>
      <c r="I72" s="78">
        <f>SUMIF(OCT!B:B, B72, OCT!K:K)</f>
        <v>135971.2</v>
      </c>
      <c r="J72" s="79">
        <f t="shared" si="28"/>
        <v>0</v>
      </c>
    </row>
    <row r="73">
      <c r="A73" s="74" t="str">
        <f t="shared" si="26"/>
        <v>Sunday</v>
      </c>
      <c r="B73" s="49">
        <v>46299.0</v>
      </c>
      <c r="C73" s="75">
        <f>SUMIF(AUG!$B$3:$B$100, B73, AUG!$D$3:$D$100)</f>
        <v>0</v>
      </c>
      <c r="D73" s="76" t="str">
        <f>IFERROR(__xludf.DUMMYFUNCTION("IFNA(INDEX(FILTER(AUG!$E$3:$E$100, AUG!$B$3:$B$100=B73), 1), ""-"")"),"-")</f>
        <v>-</v>
      </c>
      <c r="E73" s="78">
        <f>SUMIF(AUG!$B$3:$B$100, B73, AUG!$F$3:$F$100)</f>
        <v>0</v>
      </c>
      <c r="F73" s="76" t="str">
        <f>IFERROR(__xludf.DUMMYFUNCTION("IFNA(INDEX(FILTER(AUG!$G$3:$G$100, AUG!$B$3:$B$100=B73), 1), ""-"")"),"-")</f>
        <v>-</v>
      </c>
      <c r="G73" s="78">
        <f>IFNA(SUMIF(AUG!$B$3:$B$100,B73,AUG!$H$3:$H$100),"-")</f>
        <v>0</v>
      </c>
      <c r="H73" s="78">
        <f t="shared" si="27"/>
        <v>0</v>
      </c>
      <c r="I73" s="78">
        <f>SUMIF(OCT!B:B, B73, OCT!K:K)</f>
        <v>-1275961.5</v>
      </c>
      <c r="J73" s="79">
        <f t="shared" si="28"/>
        <v>0</v>
      </c>
    </row>
    <row r="74">
      <c r="A74" s="74" t="str">
        <f t="shared" si="26"/>
        <v>Monday</v>
      </c>
      <c r="B74" s="49">
        <v>46300.0</v>
      </c>
      <c r="C74" s="75">
        <f>SUMIF(AUG!$B$3:$B$100, B74, AUG!$D$3:$D$100)</f>
        <v>0</v>
      </c>
      <c r="D74" s="76" t="str">
        <f>IFERROR(__xludf.DUMMYFUNCTION("IFNA(INDEX(FILTER(AUG!$E$3:$E$100, AUG!$B$3:$B$100=B74), 1), ""-"")"),"-")</f>
        <v>-</v>
      </c>
      <c r="E74" s="78">
        <f>SUMIF(AUG!$B$3:$B$100, B74, AUG!$F$3:$F$100)</f>
        <v>0</v>
      </c>
      <c r="F74" s="76" t="str">
        <f>IFERROR(__xludf.DUMMYFUNCTION("IFNA(INDEX(FILTER(AUG!$G$3:$G$100, AUG!$B$3:$B$100=B74), 1), ""-"")"),"-")</f>
        <v>-</v>
      </c>
      <c r="G74" s="78">
        <f>IFNA(SUMIF(AUG!$B$3:$B$100,B74,AUG!$H$3:$H$100),"-")</f>
        <v>0</v>
      </c>
      <c r="H74" s="78">
        <f t="shared" si="27"/>
        <v>0</v>
      </c>
      <c r="I74" s="78">
        <f>SUMIF(OCT!B:B, B74, OCT!K:K)</f>
        <v>13145038.51</v>
      </c>
      <c r="J74" s="79">
        <f t="shared" si="28"/>
        <v>0</v>
      </c>
    </row>
    <row r="75">
      <c r="A75" s="74" t="str">
        <f t="shared" si="26"/>
        <v>Tuesday</v>
      </c>
      <c r="B75" s="49">
        <v>46301.0</v>
      </c>
      <c r="C75" s="75">
        <f>SUMIF(AUG!$B$3:$B$100, B75, AUG!$D$3:$D$100)</f>
        <v>0</v>
      </c>
      <c r="D75" s="76" t="str">
        <f>IFERROR(__xludf.DUMMYFUNCTION("IFNA(INDEX(FILTER(AUG!$E$3:$E$100, AUG!$B$3:$B$100=B75), 1), ""-"")"),"-")</f>
        <v>-</v>
      </c>
      <c r="E75" s="78">
        <f>SUMIF(AUG!$B$3:$B$100, B75, AUG!$F$3:$F$100)</f>
        <v>0</v>
      </c>
      <c r="F75" s="76" t="str">
        <f>IFERROR(__xludf.DUMMYFUNCTION("IFNA(INDEX(FILTER(AUG!$G$3:$G$100, AUG!$B$3:$B$100=B75), 1), ""-"")"),"-")</f>
        <v>-</v>
      </c>
      <c r="G75" s="78">
        <f>IFNA(SUMIF(AUG!$B$3:$B$100,B75,AUG!$H$3:$H$100),"-")</f>
        <v>0</v>
      </c>
      <c r="H75" s="78">
        <f t="shared" si="27"/>
        <v>0</v>
      </c>
      <c r="I75" s="78">
        <f>SUMIF(OCT!B:B, B75, OCT!K:K)</f>
        <v>0</v>
      </c>
      <c r="J75" s="79">
        <f t="shared" si="28"/>
        <v>0</v>
      </c>
    </row>
    <row r="76">
      <c r="A76" s="74" t="str">
        <f t="shared" si="26"/>
        <v>Wednesday</v>
      </c>
      <c r="B76" s="49">
        <v>46302.0</v>
      </c>
      <c r="C76" s="75">
        <f>SUMIF(AUG!$B$3:$B$100, B76, AUG!$D$3:$D$100)</f>
        <v>0</v>
      </c>
      <c r="D76" s="76" t="str">
        <f>IFERROR(__xludf.DUMMYFUNCTION("IFNA(INDEX(FILTER(AUG!$E$3:$E$100, AUG!$B$3:$B$100=B76), 1), ""-"")"),"-")</f>
        <v>-</v>
      </c>
      <c r="E76" s="78">
        <f>SUMIF(AUG!$B$3:$B$100, B76, AUG!$F$3:$F$100)</f>
        <v>0</v>
      </c>
      <c r="F76" s="76" t="str">
        <f>IFERROR(__xludf.DUMMYFUNCTION("IFNA(INDEX(FILTER(AUG!$G$3:$G$100, AUG!$B$3:$B$100=B76), 1), ""-"")"),"-")</f>
        <v>-</v>
      </c>
      <c r="G76" s="78">
        <f>IFNA(SUMIF(AUG!$B$3:$B$100,B76,AUG!$H$3:$H$100),"-")</f>
        <v>0</v>
      </c>
      <c r="H76" s="78">
        <f t="shared" si="27"/>
        <v>0</v>
      </c>
      <c r="I76" s="78">
        <f>SUMIF(OCT!B:B, B76, OCT!K:K)</f>
        <v>0</v>
      </c>
      <c r="J76" s="79">
        <f t="shared" si="28"/>
        <v>0</v>
      </c>
    </row>
    <row r="77">
      <c r="A77" s="74" t="str">
        <f t="shared" si="26"/>
        <v>Thursday</v>
      </c>
      <c r="B77" s="49">
        <v>46303.0</v>
      </c>
      <c r="C77" s="75">
        <f>SUMIF(AUG!$B$3:$B$100, B77, AUG!$D$3:$D$100)</f>
        <v>0</v>
      </c>
      <c r="D77" s="76" t="str">
        <f>IFERROR(__xludf.DUMMYFUNCTION("IFNA(INDEX(FILTER(AUG!$E$3:$E$100, AUG!$B$3:$B$100=B77), 1), ""-"")"),"-")</f>
        <v>-</v>
      </c>
      <c r="E77" s="78">
        <f>SUMIF(AUG!$B$3:$B$100, B77, AUG!$F$3:$F$100)</f>
        <v>0</v>
      </c>
      <c r="F77" s="76" t="str">
        <f>IFERROR(__xludf.DUMMYFUNCTION("IFNA(INDEX(FILTER(AUG!$G$3:$G$100, AUG!$B$3:$B$100=B77), 1), ""-"")"),"-")</f>
        <v>-</v>
      </c>
      <c r="G77" s="78">
        <f>IFNA(SUMIF(AUG!$B$3:$B$100,B77,AUG!$H$3:$H$100),"-")</f>
        <v>0</v>
      </c>
      <c r="H77" s="78">
        <f t="shared" si="27"/>
        <v>0</v>
      </c>
      <c r="I77" s="78">
        <f>SUMIF(OCT!B:B, B77, OCT!K:K)</f>
        <v>0</v>
      </c>
      <c r="J77" s="79">
        <f t="shared" si="28"/>
        <v>0</v>
      </c>
    </row>
    <row r="78">
      <c r="A78" s="74" t="str">
        <f t="shared" si="26"/>
        <v>Friday</v>
      </c>
      <c r="B78" s="49">
        <v>46304.0</v>
      </c>
      <c r="C78" s="75">
        <f>SUMIF(AUG!$B$3:$B$100, B78, AUG!$D$3:$D$100)</f>
        <v>0</v>
      </c>
      <c r="D78" s="76" t="str">
        <f>IFERROR(__xludf.DUMMYFUNCTION("IFNA(INDEX(FILTER(AUG!$E$3:$E$100, AUG!$B$3:$B$100=B78), 1), ""-"")"),"-")</f>
        <v>-</v>
      </c>
      <c r="E78" s="78">
        <f>SUMIF(AUG!$B$3:$B$100, B78, AUG!$F$3:$F$100)</f>
        <v>0</v>
      </c>
      <c r="F78" s="76" t="str">
        <f>IFERROR(__xludf.DUMMYFUNCTION("IFNA(INDEX(FILTER(AUG!$G$3:$G$100, AUG!$B$3:$B$100=B78), 1), ""-"")"),"-")</f>
        <v>-</v>
      </c>
      <c r="G78" s="78">
        <f>IFNA(SUMIF(AUG!$B$3:$B$100,B78,AUG!$H$3:$H$100),"-")</f>
        <v>0</v>
      </c>
      <c r="H78" s="78">
        <f t="shared" si="27"/>
        <v>0</v>
      </c>
      <c r="I78" s="78">
        <f>SUMIF(OCT!B:B, B78, OCT!K:K)</f>
        <v>0</v>
      </c>
      <c r="J78" s="79">
        <f t="shared" si="28"/>
        <v>0</v>
      </c>
    </row>
    <row r="79">
      <c r="A79" s="74" t="str">
        <f t="shared" si="26"/>
        <v>Saturday</v>
      </c>
      <c r="B79" s="49">
        <v>46305.0</v>
      </c>
      <c r="C79" s="75">
        <f>SUMIF(AUG!$B$3:$B$100, B79, AUG!$D$3:$D$100)</f>
        <v>0</v>
      </c>
      <c r="D79" s="76" t="str">
        <f>IFERROR(__xludf.DUMMYFUNCTION("IFNA(INDEX(FILTER(AUG!$E$3:$E$100, AUG!$B$3:$B$100=B79), 1), ""-"")"),"-")</f>
        <v>-</v>
      </c>
      <c r="E79" s="78">
        <f>SUMIF(AUG!$B$3:$B$100, B79, AUG!$F$3:$F$100)</f>
        <v>0</v>
      </c>
      <c r="F79" s="76" t="str">
        <f>IFERROR(__xludf.DUMMYFUNCTION("IFNA(INDEX(FILTER(AUG!$G$3:$G$100, AUG!$B$3:$B$100=B79), 1), ""-"")"),"-")</f>
        <v>-</v>
      </c>
      <c r="G79" s="78">
        <f>IFNA(SUMIF(AUG!$B$3:$B$100,B79,AUG!$H$3:$H$100),"-")</f>
        <v>0</v>
      </c>
      <c r="H79" s="78">
        <f t="shared" si="27"/>
        <v>0</v>
      </c>
      <c r="I79" s="78">
        <f>SUMIF(OCT!B:B, B79, OCT!K:K)</f>
        <v>0</v>
      </c>
      <c r="J79" s="79">
        <f t="shared" si="28"/>
        <v>0</v>
      </c>
    </row>
    <row r="80">
      <c r="A80" s="74" t="str">
        <f t="shared" si="26"/>
        <v>Sunday</v>
      </c>
      <c r="B80" s="49">
        <v>46306.0</v>
      </c>
      <c r="C80" s="75">
        <f>SUMIF(AUG!$B$3:$B$100, B80, AUG!$D$3:$D$100)</f>
        <v>0</v>
      </c>
      <c r="D80" s="76" t="str">
        <f>IFERROR(__xludf.DUMMYFUNCTION("IFNA(INDEX(FILTER(AUG!$E$3:$E$100, AUG!$B$3:$B$100=B80), 1), ""-"")"),"-")</f>
        <v>-</v>
      </c>
      <c r="E80" s="78">
        <f>SUMIF(AUG!$B$3:$B$100, B80, AUG!$F$3:$F$100)</f>
        <v>0</v>
      </c>
      <c r="F80" s="76" t="str">
        <f>IFERROR(__xludf.DUMMYFUNCTION("IFNA(INDEX(FILTER(AUG!$G$3:$G$100, AUG!$B$3:$B$100=B80), 1), ""-"")"),"-")</f>
        <v>-</v>
      </c>
      <c r="G80" s="78">
        <f>IFNA(SUMIF(AUG!$B$3:$B$100,B80,AUG!$H$3:$H$100),"-")</f>
        <v>0</v>
      </c>
      <c r="H80" s="78">
        <f t="shared" si="27"/>
        <v>0</v>
      </c>
      <c r="I80" s="78">
        <f>SUMIF(OCT!B:B, B80, OCT!K:K)</f>
        <v>0</v>
      </c>
      <c r="J80" s="79">
        <f t="shared" si="28"/>
        <v>0</v>
      </c>
    </row>
    <row r="81">
      <c r="A81" s="74" t="str">
        <f t="shared" si="26"/>
        <v>Monday</v>
      </c>
      <c r="B81" s="49">
        <v>46307.0</v>
      </c>
      <c r="C81" s="75">
        <f>SUMIF(AUG!$B$3:$B$100, B81, AUG!$D$3:$D$100)</f>
        <v>0</v>
      </c>
      <c r="D81" s="76" t="str">
        <f>IFERROR(__xludf.DUMMYFUNCTION("IFNA(INDEX(FILTER(AUG!$E$3:$E$100, AUG!$B$3:$B$100=B81), 1), ""-"")"),"-")</f>
        <v>-</v>
      </c>
      <c r="E81" s="78">
        <f>SUMIF(AUG!$B$3:$B$100, B81, AUG!$F$3:$F$100)</f>
        <v>0</v>
      </c>
      <c r="F81" s="76" t="str">
        <f>IFERROR(__xludf.DUMMYFUNCTION("IFNA(INDEX(FILTER(AUG!$G$3:$G$100, AUG!$B$3:$B$100=B81), 1), ""-"")"),"-")</f>
        <v>-</v>
      </c>
      <c r="G81" s="78">
        <f>IFNA(SUMIF(AUG!$B$3:$B$100,B81,AUG!$H$3:$H$100),"-")</f>
        <v>0</v>
      </c>
      <c r="H81" s="78">
        <f t="shared" si="27"/>
        <v>0</v>
      </c>
      <c r="I81" s="78">
        <f>SUMIF(OCT!B:B, B81, OCT!K:K)</f>
        <v>0</v>
      </c>
      <c r="J81" s="79">
        <f t="shared" si="28"/>
        <v>0</v>
      </c>
    </row>
    <row r="82">
      <c r="A82" s="74" t="str">
        <f t="shared" si="26"/>
        <v>Tuesday</v>
      </c>
      <c r="B82" s="49">
        <v>46308.0</v>
      </c>
      <c r="C82" s="75">
        <f>SUMIF(AUG!$B$3:$B$100, B82, AUG!$D$3:$D$100)</f>
        <v>0</v>
      </c>
      <c r="D82" s="76" t="str">
        <f>IFERROR(__xludf.DUMMYFUNCTION("IFNA(INDEX(FILTER(AUG!$E$3:$E$100, AUG!$B$3:$B$100=B82), 1), ""-"")"),"-")</f>
        <v>-</v>
      </c>
      <c r="E82" s="78">
        <f>SUMIF(AUG!$B$3:$B$100, B82, AUG!$F$3:$F$100)</f>
        <v>0</v>
      </c>
      <c r="F82" s="76" t="str">
        <f>IFERROR(__xludf.DUMMYFUNCTION("IFNA(INDEX(FILTER(AUG!$G$3:$G$100, AUG!$B$3:$B$100=B82), 1), ""-"")"),"-")</f>
        <v>-</v>
      </c>
      <c r="G82" s="78">
        <f>IFNA(SUMIF(AUG!$B$3:$B$100,B82,AUG!$H$3:$H$100),"-")</f>
        <v>0</v>
      </c>
      <c r="H82" s="78">
        <f t="shared" si="27"/>
        <v>0</v>
      </c>
      <c r="I82" s="78">
        <f>SUMIF(OCT!B:B, B82, OCT!K:K)</f>
        <v>0</v>
      </c>
      <c r="J82" s="79">
        <f t="shared" si="28"/>
        <v>0</v>
      </c>
    </row>
    <row r="83">
      <c r="A83" s="74" t="str">
        <f t="shared" si="26"/>
        <v>Wednesday</v>
      </c>
      <c r="B83" s="49">
        <v>46309.0</v>
      </c>
      <c r="C83" s="75">
        <f>SUMIF(AUG!$B$3:$B$100, B83, AUG!$D$3:$D$100)</f>
        <v>0</v>
      </c>
      <c r="D83" s="76" t="str">
        <f>IFERROR(__xludf.DUMMYFUNCTION("IFNA(INDEX(FILTER(AUG!$E$3:$E$100, AUG!$B$3:$B$100=B83), 1), ""-"")"),"-")</f>
        <v>-</v>
      </c>
      <c r="E83" s="78">
        <f>SUMIF(AUG!$B$3:$B$100, B83, AUG!$F$3:$F$100)</f>
        <v>0</v>
      </c>
      <c r="F83" s="76" t="str">
        <f>IFERROR(__xludf.DUMMYFUNCTION("IFNA(INDEX(FILTER(AUG!$G$3:$G$100, AUG!$B$3:$B$100=B83), 1), ""-"")"),"-")</f>
        <v>-</v>
      </c>
      <c r="G83" s="78">
        <f>IFNA(SUMIF(AUG!$B$3:$B$100,B83,AUG!$H$3:$H$100),"-")</f>
        <v>0</v>
      </c>
      <c r="H83" s="78">
        <f t="shared" si="27"/>
        <v>0</v>
      </c>
      <c r="I83" s="78">
        <f>SUMIF(OCT!B:B, B83, OCT!K:K)</f>
        <v>0</v>
      </c>
      <c r="J83" s="79">
        <f t="shared" si="28"/>
        <v>0</v>
      </c>
    </row>
    <row r="84">
      <c r="A84" s="74" t="str">
        <f t="shared" si="26"/>
        <v>Thursday</v>
      </c>
      <c r="B84" s="49">
        <v>46310.0</v>
      </c>
      <c r="C84" s="75">
        <f>SUMIF(AUG!$B$3:$B$100, B84, AUG!$D$3:$D$100)</f>
        <v>0</v>
      </c>
      <c r="D84" s="76" t="str">
        <f>IFERROR(__xludf.DUMMYFUNCTION("IFNA(INDEX(FILTER(AUG!$E$3:$E$100, AUG!$B$3:$B$100=B84), 1), ""-"")"),"-")</f>
        <v>-</v>
      </c>
      <c r="E84" s="78">
        <f>SUMIF(AUG!$B$3:$B$100, B84, AUG!$F$3:$F$100)</f>
        <v>0</v>
      </c>
      <c r="F84" s="76" t="str">
        <f>IFERROR(__xludf.DUMMYFUNCTION("IFNA(INDEX(FILTER(AUG!$G$3:$G$100, AUG!$B$3:$B$100=B84), 1), ""-"")"),"-")</f>
        <v>-</v>
      </c>
      <c r="G84" s="78">
        <f>IFNA(SUMIF(AUG!$B$3:$B$100,B84,AUG!$H$3:$H$100),"-")</f>
        <v>0</v>
      </c>
      <c r="H84" s="78">
        <f t="shared" si="27"/>
        <v>0</v>
      </c>
      <c r="I84" s="78">
        <f>SUMIF(OCT!B:B, B84, OCT!K:K)</f>
        <v>0</v>
      </c>
      <c r="J84" s="79">
        <f t="shared" si="28"/>
        <v>0</v>
      </c>
    </row>
    <row r="85">
      <c r="A85" s="74" t="str">
        <f t="shared" si="26"/>
        <v>Friday</v>
      </c>
      <c r="B85" s="49">
        <v>46311.0</v>
      </c>
      <c r="C85" s="75">
        <f>SUMIF(AUG!$B$3:$B$100, B85, AUG!$D$3:$D$100)</f>
        <v>0</v>
      </c>
      <c r="D85" s="76" t="str">
        <f>IFERROR(__xludf.DUMMYFUNCTION("IFNA(INDEX(FILTER(AUG!$E$3:$E$100, AUG!$B$3:$B$100=B85), 1), ""-"")"),"-")</f>
        <v>-</v>
      </c>
      <c r="E85" s="78">
        <f>SUMIF(AUG!$B$3:$B$100, B85, AUG!$F$3:$F$100)</f>
        <v>0</v>
      </c>
      <c r="F85" s="76" t="str">
        <f>IFERROR(__xludf.DUMMYFUNCTION("IFNA(INDEX(FILTER(AUG!$G$3:$G$100, AUG!$B$3:$B$100=B85), 1), ""-"")"),"-")</f>
        <v>-</v>
      </c>
      <c r="G85" s="78">
        <f>IFNA(SUMIF(AUG!$B$3:$B$100,B85,AUG!$H$3:$H$100),"-")</f>
        <v>0</v>
      </c>
      <c r="H85" s="78">
        <f t="shared" si="27"/>
        <v>0</v>
      </c>
      <c r="I85" s="78">
        <f>SUMIF(OCT!B:B, B85, OCT!K:K)</f>
        <v>0</v>
      </c>
      <c r="J85" s="79">
        <f t="shared" si="28"/>
        <v>0</v>
      </c>
    </row>
    <row r="86">
      <c r="A86" s="74" t="str">
        <f t="shared" si="26"/>
        <v>Saturday</v>
      </c>
      <c r="B86" s="49">
        <v>46312.0</v>
      </c>
      <c r="C86" s="75">
        <f>SUMIF(AUG!$B$3:$B$100, B86, AUG!$D$3:$D$100)</f>
        <v>0</v>
      </c>
      <c r="D86" s="76" t="str">
        <f>IFERROR(__xludf.DUMMYFUNCTION("IFNA(INDEX(FILTER(AUG!$E$3:$E$100, AUG!$B$3:$B$100=B86), 1), ""-"")"),"-")</f>
        <v>-</v>
      </c>
      <c r="E86" s="78">
        <f>SUMIF(AUG!$B$3:$B$100, B86, AUG!$F$3:$F$100)</f>
        <v>0</v>
      </c>
      <c r="F86" s="76" t="str">
        <f>IFERROR(__xludf.DUMMYFUNCTION("IFNA(INDEX(FILTER(AUG!$G$3:$G$100, AUG!$B$3:$B$100=B86), 1), ""-"")"),"-")</f>
        <v>-</v>
      </c>
      <c r="G86" s="78">
        <f>IFNA(SUMIF(AUG!$B$3:$B$100,B86,AUG!$H$3:$H$100),"-")</f>
        <v>0</v>
      </c>
      <c r="H86" s="78">
        <f t="shared" si="27"/>
        <v>0</v>
      </c>
      <c r="I86" s="78">
        <f>SUMIF(OCT!B:B, B86, OCT!K:K)</f>
        <v>0</v>
      </c>
      <c r="J86" s="79">
        <f t="shared" si="28"/>
        <v>0</v>
      </c>
    </row>
    <row r="87">
      <c r="A87" s="74" t="str">
        <f t="shared" si="26"/>
        <v>Sunday</v>
      </c>
      <c r="B87" s="49">
        <v>46313.0</v>
      </c>
      <c r="C87" s="75">
        <f>SUMIF(AUG!$B$3:$B$100, B87, AUG!$D$3:$D$100)</f>
        <v>0</v>
      </c>
      <c r="D87" s="76" t="str">
        <f>IFERROR(__xludf.DUMMYFUNCTION("IFNA(INDEX(FILTER(AUG!$E$3:$E$100, AUG!$B$3:$B$100=B87), 1), ""-"")"),"-")</f>
        <v>-</v>
      </c>
      <c r="E87" s="78">
        <f>SUMIF(AUG!$B$3:$B$100, B87, AUG!$F$3:$F$100)</f>
        <v>0</v>
      </c>
      <c r="F87" s="76" t="str">
        <f>IFERROR(__xludf.DUMMYFUNCTION("IFNA(INDEX(FILTER(AUG!$G$3:$G$100, AUG!$B$3:$B$100=B87), 1), ""-"")"),"-")</f>
        <v>-</v>
      </c>
      <c r="G87" s="78">
        <f>IFNA(SUMIF(AUG!$B$3:$B$100,B87,AUG!$H$3:$H$100),"-")</f>
        <v>0</v>
      </c>
      <c r="H87" s="78">
        <f t="shared" si="27"/>
        <v>0</v>
      </c>
      <c r="I87" s="78">
        <f>SUMIF(OCT!B:B, B87, OCT!K:K)</f>
        <v>0</v>
      </c>
      <c r="J87" s="79">
        <f t="shared" si="28"/>
        <v>0</v>
      </c>
    </row>
    <row r="88">
      <c r="A88" s="74" t="str">
        <f t="shared" si="26"/>
        <v>Monday</v>
      </c>
      <c r="B88" s="49">
        <v>46314.0</v>
      </c>
      <c r="C88" s="75">
        <f>SUMIF(AUG!$B$3:$B$100, B88, AUG!$D$3:$D$100)</f>
        <v>0</v>
      </c>
      <c r="D88" s="76" t="str">
        <f>IFERROR(__xludf.DUMMYFUNCTION("IFNA(INDEX(FILTER(AUG!$E$3:$E$100, AUG!$B$3:$B$100=B88), 1), ""-"")"),"-")</f>
        <v>-</v>
      </c>
      <c r="E88" s="78">
        <f>SUMIF(AUG!$B$3:$B$100, B88, AUG!$F$3:$F$100)</f>
        <v>0</v>
      </c>
      <c r="F88" s="76" t="str">
        <f>IFERROR(__xludf.DUMMYFUNCTION("IFNA(INDEX(FILTER(AUG!$G$3:$G$100, AUG!$B$3:$B$100=B88), 1), ""-"")"),"-")</f>
        <v>-</v>
      </c>
      <c r="G88" s="78">
        <f>IFNA(SUMIF(AUG!$B$3:$B$100,B88,AUG!$H$3:$H$100),"-")</f>
        <v>0</v>
      </c>
      <c r="H88" s="78">
        <f t="shared" si="27"/>
        <v>0</v>
      </c>
      <c r="I88" s="78">
        <f>SUMIF(OCT!B:B, B88, OCT!K:K)</f>
        <v>0</v>
      </c>
      <c r="J88" s="79">
        <f t="shared" si="28"/>
        <v>0</v>
      </c>
    </row>
    <row r="89">
      <c r="A89" s="74" t="str">
        <f t="shared" si="26"/>
        <v>Tuesday</v>
      </c>
      <c r="B89" s="49">
        <v>46315.0</v>
      </c>
      <c r="C89" s="75">
        <f>SUMIF(AUG!$B$3:$B$100, B89, AUG!$D$3:$D$100)</f>
        <v>0</v>
      </c>
      <c r="D89" s="76" t="str">
        <f>IFERROR(__xludf.DUMMYFUNCTION("IFNA(INDEX(FILTER(AUG!$E$3:$E$100, AUG!$B$3:$B$100=B89), 1), ""-"")"),"-")</f>
        <v>-</v>
      </c>
      <c r="E89" s="78">
        <f>SUMIF(AUG!$B$3:$B$100, B89, AUG!$F$3:$F$100)</f>
        <v>0</v>
      </c>
      <c r="F89" s="76" t="str">
        <f>IFERROR(__xludf.DUMMYFUNCTION("IFNA(INDEX(FILTER(AUG!$G$3:$G$100, AUG!$B$3:$B$100=B89), 1), ""-"")"),"-")</f>
        <v>-</v>
      </c>
      <c r="G89" s="78">
        <f>IFNA(SUMIF(AUG!$B$3:$B$100,B89,AUG!$H$3:$H$100),"-")</f>
        <v>0</v>
      </c>
      <c r="H89" s="78">
        <f t="shared" si="27"/>
        <v>0</v>
      </c>
      <c r="I89" s="78">
        <f>SUMIF(OCT!B:B, B89, OCT!K:K)</f>
        <v>0</v>
      </c>
      <c r="J89" s="79">
        <f t="shared" si="28"/>
        <v>0</v>
      </c>
    </row>
    <row r="90">
      <c r="A90" s="74" t="str">
        <f t="shared" si="26"/>
        <v>Wednesday</v>
      </c>
      <c r="B90" s="49">
        <v>46316.0</v>
      </c>
      <c r="C90" s="75">
        <f>SUMIF(AUG!$B$3:$B$100, B90, AUG!$D$3:$D$100)</f>
        <v>0</v>
      </c>
      <c r="D90" s="76" t="str">
        <f>IFERROR(__xludf.DUMMYFUNCTION("IFNA(INDEX(FILTER(AUG!$E$3:$E$100, AUG!$B$3:$B$100=B90), 1), ""-"")"),"-")</f>
        <v>-</v>
      </c>
      <c r="E90" s="78">
        <f>SUMIF(AUG!$B$3:$B$100, B90, AUG!$F$3:$F$100)</f>
        <v>0</v>
      </c>
      <c r="F90" s="76" t="str">
        <f>IFERROR(__xludf.DUMMYFUNCTION("IFNA(INDEX(FILTER(AUG!$G$3:$G$100, AUG!$B$3:$B$100=B90), 1), ""-"")"),"-")</f>
        <v>-</v>
      </c>
      <c r="G90" s="78">
        <f>IFNA(SUMIF(AUG!$B$3:$B$100,B90,AUG!$H$3:$H$100),"-")</f>
        <v>0</v>
      </c>
      <c r="H90" s="78">
        <f t="shared" si="27"/>
        <v>0</v>
      </c>
      <c r="I90" s="78">
        <f>SUMIF(OCT!B:B, B90, OCT!K:K)</f>
        <v>0</v>
      </c>
      <c r="J90" s="79">
        <f t="shared" si="28"/>
        <v>0</v>
      </c>
    </row>
    <row r="91">
      <c r="A91" s="74" t="str">
        <f t="shared" si="26"/>
        <v>Thursday</v>
      </c>
      <c r="B91" s="49">
        <v>46317.0</v>
      </c>
      <c r="C91" s="75">
        <f>SUMIF(AUG!$B$3:$B$100, B91, AUG!$D$3:$D$100)</f>
        <v>0</v>
      </c>
      <c r="D91" s="76" t="str">
        <f>IFERROR(__xludf.DUMMYFUNCTION("IFNA(INDEX(FILTER(AUG!$E$3:$E$100, AUG!$B$3:$B$100=B91), 1), ""-"")"),"-")</f>
        <v>-</v>
      </c>
      <c r="E91" s="78">
        <f>SUMIF(AUG!$B$3:$B$100, B91, AUG!$F$3:$F$100)</f>
        <v>0</v>
      </c>
      <c r="F91" s="76" t="str">
        <f>IFERROR(__xludf.DUMMYFUNCTION("IFNA(INDEX(FILTER(AUG!$G$3:$G$100, AUG!$B$3:$B$100=B91), 1), ""-"")"),"-")</f>
        <v>-</v>
      </c>
      <c r="G91" s="78">
        <f>IFNA(SUMIF(AUG!$B$3:$B$100,B91,AUG!$H$3:$H$100),"-")</f>
        <v>0</v>
      </c>
      <c r="H91" s="78">
        <f t="shared" si="27"/>
        <v>0</v>
      </c>
      <c r="I91" s="78">
        <f>SUMIF(OCT!B:B, B91, OCT!K:K)</f>
        <v>0</v>
      </c>
      <c r="J91" s="79">
        <f t="shared" si="28"/>
        <v>0</v>
      </c>
    </row>
    <row r="92">
      <c r="A92" s="74" t="str">
        <f t="shared" si="26"/>
        <v>Friday</v>
      </c>
      <c r="B92" s="49">
        <v>46318.0</v>
      </c>
      <c r="C92" s="75">
        <f>SUMIF(AUG!$B$3:$B$100, B92, AUG!$D$3:$D$100)</f>
        <v>0</v>
      </c>
      <c r="D92" s="76" t="str">
        <f>IFERROR(__xludf.DUMMYFUNCTION("IFNA(INDEX(FILTER(AUG!$E$3:$E$100, AUG!$B$3:$B$100=B92), 1), ""-"")"),"-")</f>
        <v>-</v>
      </c>
      <c r="E92" s="78">
        <f>SUMIF(AUG!$B$3:$B$100, B92, AUG!$F$3:$F$100)</f>
        <v>0</v>
      </c>
      <c r="F92" s="76" t="str">
        <f>IFERROR(__xludf.DUMMYFUNCTION("IFNA(INDEX(FILTER(AUG!$G$3:$G$100, AUG!$B$3:$B$100=B92), 1), ""-"")"),"-")</f>
        <v>-</v>
      </c>
      <c r="G92" s="78">
        <f>IFNA(SUMIF(AUG!$B$3:$B$100,B92,AUG!$H$3:$H$100),"-")</f>
        <v>0</v>
      </c>
      <c r="H92" s="78">
        <f t="shared" si="27"/>
        <v>0</v>
      </c>
      <c r="I92" s="78">
        <f>SUMIF(OCT!B:B, B92, OCT!K:K)</f>
        <v>0</v>
      </c>
      <c r="J92" s="79">
        <f t="shared" si="28"/>
        <v>0</v>
      </c>
    </row>
    <row r="93">
      <c r="A93" s="74" t="str">
        <f t="shared" si="26"/>
        <v>Saturday</v>
      </c>
      <c r="B93" s="49">
        <v>46319.0</v>
      </c>
      <c r="C93" s="75">
        <f>SUMIF(AUG!$B$3:$B$100, B93, AUG!$D$3:$D$100)</f>
        <v>0</v>
      </c>
      <c r="D93" s="76" t="str">
        <f>IFERROR(__xludf.DUMMYFUNCTION("IFNA(INDEX(FILTER(AUG!$E$3:$E$100, AUG!$B$3:$B$100=B93), 1), ""-"")"),"-")</f>
        <v>-</v>
      </c>
      <c r="E93" s="78">
        <f>SUMIF(AUG!$B$3:$B$100, B93, AUG!$F$3:$F$100)</f>
        <v>0</v>
      </c>
      <c r="F93" s="76" t="str">
        <f>IFERROR(__xludf.DUMMYFUNCTION("IFNA(INDEX(FILTER(AUG!$G$3:$G$100, AUG!$B$3:$B$100=B93), 1), ""-"")"),"-")</f>
        <v>-</v>
      </c>
      <c r="G93" s="78">
        <f>IFNA(SUMIF(AUG!$B$3:$B$100,B93,AUG!$H$3:$H$100),"-")</f>
        <v>0</v>
      </c>
      <c r="H93" s="78">
        <f t="shared" si="27"/>
        <v>0</v>
      </c>
      <c r="I93" s="78">
        <f>SUMIF(OCT!B:B, B93, OCT!K:K)</f>
        <v>0</v>
      </c>
      <c r="J93" s="79">
        <f t="shared" si="28"/>
        <v>0</v>
      </c>
    </row>
    <row r="94">
      <c r="A94" s="74" t="str">
        <f t="shared" si="26"/>
        <v>Sunday</v>
      </c>
      <c r="B94" s="49">
        <v>46320.0</v>
      </c>
      <c r="C94" s="75">
        <f>SUMIF(AUG!$B$3:$B$100, B94, AUG!$D$3:$D$100)</f>
        <v>0</v>
      </c>
      <c r="D94" s="76" t="str">
        <f>IFERROR(__xludf.DUMMYFUNCTION("IFNA(INDEX(FILTER(AUG!$E$3:$E$100, AUG!$B$3:$B$100=B94), 1), ""-"")"),"-")</f>
        <v>-</v>
      </c>
      <c r="E94" s="78">
        <f>SUMIF(AUG!$B$3:$B$100, B94, AUG!$F$3:$F$100)</f>
        <v>0</v>
      </c>
      <c r="F94" s="76" t="str">
        <f>IFERROR(__xludf.DUMMYFUNCTION("IFNA(INDEX(FILTER(AUG!$G$3:$G$100, AUG!$B$3:$B$100=B94), 1), ""-"")"),"-")</f>
        <v>-</v>
      </c>
      <c r="G94" s="78">
        <f>IFNA(SUMIF(AUG!$B$3:$B$100,B94,AUG!$H$3:$H$100),"-")</f>
        <v>0</v>
      </c>
      <c r="H94" s="78">
        <f t="shared" si="27"/>
        <v>0</v>
      </c>
      <c r="I94" s="78">
        <f>SUMIF(OCT!B:B, B94, OCT!K:K)</f>
        <v>0</v>
      </c>
      <c r="J94" s="79">
        <f t="shared" si="28"/>
        <v>0</v>
      </c>
    </row>
    <row r="95">
      <c r="A95" s="74" t="str">
        <f t="shared" si="26"/>
        <v>Monday</v>
      </c>
      <c r="B95" s="49">
        <v>46321.0</v>
      </c>
      <c r="C95" s="75">
        <f>SUMIF(AUG!$B$3:$B$100, B95, AUG!$D$3:$D$100)</f>
        <v>0</v>
      </c>
      <c r="D95" s="76" t="str">
        <f>IFERROR(__xludf.DUMMYFUNCTION("IFNA(INDEX(FILTER(AUG!$E$3:$E$100, AUG!$B$3:$B$100=B95), 1), ""-"")"),"-")</f>
        <v>-</v>
      </c>
      <c r="E95" s="78">
        <f>SUMIF(AUG!$B$3:$B$100, B95, AUG!$F$3:$F$100)</f>
        <v>0</v>
      </c>
      <c r="F95" s="76" t="str">
        <f>IFERROR(__xludf.DUMMYFUNCTION("IFNA(INDEX(FILTER(AUG!$G$3:$G$100, AUG!$B$3:$B$100=B95), 1), ""-"")"),"-")</f>
        <v>-</v>
      </c>
      <c r="G95" s="78">
        <f>IFNA(SUMIF(AUG!$B$3:$B$100,B95,AUG!$H$3:$H$100),"-")</f>
        <v>0</v>
      </c>
      <c r="H95" s="78">
        <f t="shared" si="27"/>
        <v>0</v>
      </c>
      <c r="I95" s="78">
        <f>SUMIF(OCT!B:B, B95, OCT!K:K)</f>
        <v>0</v>
      </c>
      <c r="J95" s="79">
        <f t="shared" si="28"/>
        <v>0</v>
      </c>
    </row>
    <row r="96">
      <c r="A96" s="74" t="str">
        <f t="shared" si="26"/>
        <v>Tuesday</v>
      </c>
      <c r="B96" s="49">
        <v>46322.0</v>
      </c>
      <c r="C96" s="75">
        <f>SUMIF(AUG!$B$3:$B$100, B96, AUG!$D$3:$D$100)</f>
        <v>0</v>
      </c>
      <c r="D96" s="76" t="str">
        <f>IFERROR(__xludf.DUMMYFUNCTION("IFNA(INDEX(FILTER(AUG!$E$3:$E$100, AUG!$B$3:$B$100=B96), 1), ""-"")"),"-")</f>
        <v>-</v>
      </c>
      <c r="E96" s="78">
        <f>SUMIF(AUG!$B$3:$B$100, B96, AUG!$F$3:$F$100)</f>
        <v>0</v>
      </c>
      <c r="F96" s="76" t="str">
        <f>IFERROR(__xludf.DUMMYFUNCTION("IFNA(INDEX(FILTER(AUG!$G$3:$G$100, AUG!$B$3:$B$100=B96), 1), ""-"")"),"-")</f>
        <v>-</v>
      </c>
      <c r="G96" s="78">
        <f>IFNA(SUMIF(AUG!$B$3:$B$100,B96,AUG!$H$3:$H$100),"-")</f>
        <v>0</v>
      </c>
      <c r="H96" s="78">
        <f t="shared" si="27"/>
        <v>0</v>
      </c>
      <c r="I96" s="78">
        <f>SUMIF(OCT!B:B, B96, OCT!K:K)</f>
        <v>0</v>
      </c>
      <c r="J96" s="79">
        <f t="shared" si="28"/>
        <v>0</v>
      </c>
    </row>
    <row r="97">
      <c r="A97" s="74" t="str">
        <f t="shared" si="26"/>
        <v>Wednesday</v>
      </c>
      <c r="B97" s="49">
        <v>46323.0</v>
      </c>
      <c r="C97" s="75">
        <f>SUMIF(AUG!$B$3:$B$100, B97, AUG!$D$3:$D$100)</f>
        <v>0</v>
      </c>
      <c r="D97" s="76" t="str">
        <f>IFERROR(__xludf.DUMMYFUNCTION("IFNA(INDEX(FILTER(AUG!$E$3:$E$100, AUG!$B$3:$B$100=B97), 1), ""-"")"),"-")</f>
        <v>-</v>
      </c>
      <c r="E97" s="78">
        <f>SUMIF(AUG!$B$3:$B$100, B97, AUG!$F$3:$F$100)</f>
        <v>0</v>
      </c>
      <c r="F97" s="76" t="str">
        <f>IFERROR(__xludf.DUMMYFUNCTION("IFNA(INDEX(FILTER(AUG!$G$3:$G$100, AUG!$B$3:$B$100=B97), 1), ""-"")"),"-")</f>
        <v>-</v>
      </c>
      <c r="G97" s="78">
        <f>IFNA(SUMIF(AUG!$B$3:$B$100,B97,AUG!$H$3:$H$100),"-")</f>
        <v>0</v>
      </c>
      <c r="H97" s="78">
        <f t="shared" si="27"/>
        <v>0</v>
      </c>
      <c r="I97" s="78">
        <f>SUMIF(OCT!B:B, B97, OCT!K:K)</f>
        <v>0</v>
      </c>
      <c r="J97" s="79">
        <f t="shared" si="28"/>
        <v>0</v>
      </c>
    </row>
    <row r="98">
      <c r="A98" s="74" t="str">
        <f t="shared" si="26"/>
        <v>Thursday</v>
      </c>
      <c r="B98" s="49">
        <v>46324.0</v>
      </c>
      <c r="C98" s="75">
        <f>SUMIF(AUG!$B$3:$B$100, B98, AUG!$D$3:$D$100)</f>
        <v>0</v>
      </c>
      <c r="D98" s="76" t="str">
        <f>IFERROR(__xludf.DUMMYFUNCTION("IFNA(INDEX(FILTER(AUG!$E$3:$E$100, AUG!$B$3:$B$100=B98), 1), ""-"")"),"-")</f>
        <v>-</v>
      </c>
      <c r="E98" s="78">
        <f>SUMIF(AUG!$B$3:$B$100, B98, AUG!$F$3:$F$100)</f>
        <v>0</v>
      </c>
      <c r="F98" s="76" t="str">
        <f>IFERROR(__xludf.DUMMYFUNCTION("IFNA(INDEX(FILTER(AUG!$G$3:$G$100, AUG!$B$3:$B$100=B98), 1), ""-"")"),"-")</f>
        <v>-</v>
      </c>
      <c r="G98" s="78">
        <f>IFNA(SUMIF(AUG!$B$3:$B$100,B98,AUG!$H$3:$H$100),"-")</f>
        <v>0</v>
      </c>
      <c r="H98" s="78">
        <f t="shared" si="27"/>
        <v>0</v>
      </c>
      <c r="I98" s="78">
        <f>SUMIF(OCT!B:B, B98, OCT!K:K)</f>
        <v>0</v>
      </c>
      <c r="J98" s="79">
        <f t="shared" si="28"/>
        <v>0</v>
      </c>
    </row>
    <row r="99">
      <c r="A99" s="74" t="str">
        <f t="shared" si="26"/>
        <v>Friday</v>
      </c>
      <c r="B99" s="49">
        <v>46325.0</v>
      </c>
      <c r="C99" s="75">
        <f>SUMIF(AUG!$B$3:$B$100, B99, AUG!$D$3:$D$100)</f>
        <v>0</v>
      </c>
      <c r="D99" s="76" t="str">
        <f>IFERROR(__xludf.DUMMYFUNCTION("IFNA(INDEX(FILTER(AUG!$E$3:$E$100, AUG!$B$3:$B$100=B99), 1), ""-"")"),"-")</f>
        <v>-</v>
      </c>
      <c r="E99" s="78">
        <f>SUMIF(AUG!$B$3:$B$100, B99, AUG!$F$3:$F$100)</f>
        <v>0</v>
      </c>
      <c r="F99" s="76" t="str">
        <f>IFERROR(__xludf.DUMMYFUNCTION("IFNA(INDEX(FILTER(AUG!$G$3:$G$100, AUG!$B$3:$B$100=B99), 1), ""-"")"),"-")</f>
        <v>-</v>
      </c>
      <c r="G99" s="78">
        <f>IFNA(SUMIF(AUG!$B$3:$B$100,B99,AUG!$H$3:$H$100),"-")</f>
        <v>0</v>
      </c>
      <c r="H99" s="78">
        <f t="shared" si="27"/>
        <v>0</v>
      </c>
      <c r="I99" s="78">
        <f>SUMIF(OCT!B:B, B99, OCT!K:K)</f>
        <v>0</v>
      </c>
      <c r="J99" s="79">
        <f t="shared" si="28"/>
        <v>0</v>
      </c>
    </row>
    <row r="100">
      <c r="A100" s="74" t="str">
        <f t="shared" si="26"/>
        <v>Saturday</v>
      </c>
      <c r="B100" s="49">
        <v>46326.0</v>
      </c>
      <c r="C100" s="75">
        <f>SUMIF(AUG!$B$3:$B$100, B100, AUG!$D$3:$D$100)</f>
        <v>0</v>
      </c>
      <c r="D100" s="76" t="str">
        <f>IFERROR(__xludf.DUMMYFUNCTION("IFNA(INDEX(FILTER(AUG!$E$3:$E$100, AUG!$B$3:$B$100=B100), 1), ""-"")"),"-")</f>
        <v>-</v>
      </c>
      <c r="E100" s="78">
        <f>SUMIF(AUG!$B$3:$B$100, B100, AUG!$F$3:$F$100)</f>
        <v>0</v>
      </c>
      <c r="F100" s="76" t="str">
        <f>IFERROR(__xludf.DUMMYFUNCTION("IFNA(INDEX(FILTER(AUG!$G$3:$G$100, AUG!$B$3:$B$100=B100), 1), ""-"")"),"-")</f>
        <v>-</v>
      </c>
      <c r="G100" s="78">
        <f>IFNA(SUMIF(AUG!$B$3:$B$100,B100,AUG!$H$3:$H$100),"-")</f>
        <v>0</v>
      </c>
      <c r="H100" s="78">
        <f t="shared" si="27"/>
        <v>0</v>
      </c>
      <c r="I100" s="78">
        <f>SUMIF(OCT!B:B, B100, OCT!K:K)</f>
        <v>0</v>
      </c>
      <c r="J100" s="79">
        <f t="shared" si="28"/>
        <v>0</v>
      </c>
    </row>
    <row r="101">
      <c r="A101" s="47" t="str">
        <f>CONCAT(A69,"_TOTAL")</f>
        <v>OCT_TOTAL</v>
      </c>
      <c r="B101" s="161"/>
      <c r="C101" s="52">
        <f>sum(C70:C73)</f>
        <v>0</v>
      </c>
      <c r="D101" s="53" t="str">
        <f>IFERROR(IF(AVERAGE(D70:D73)=0,"-",AVERAGE(D70:D73)),"-")</f>
        <v>-</v>
      </c>
      <c r="E101" s="163">
        <f>sum(E70:E73)</f>
        <v>0</v>
      </c>
      <c r="F101" s="53" t="str">
        <f>IFERROR(IF(AVERAGE(F70:F73)=0,"-",AVERAGE(F70:F73)),"-")</f>
        <v>-</v>
      </c>
      <c r="G101" s="163">
        <f t="shared" ref="G101:I101" si="29">sum(G70:G73)</f>
        <v>0</v>
      </c>
      <c r="H101" s="163">
        <f t="shared" si="29"/>
        <v>0</v>
      </c>
      <c r="I101" s="163">
        <f t="shared" si="29"/>
        <v>8143859.45</v>
      </c>
      <c r="J101" s="164">
        <f t="shared" si="28"/>
        <v>0</v>
      </c>
    </row>
    <row r="102">
      <c r="A102" s="47" t="s">
        <v>77</v>
      </c>
      <c r="B102" s="49"/>
      <c r="C102" s="52"/>
      <c r="D102" s="53"/>
      <c r="E102" s="55"/>
      <c r="F102" s="57"/>
      <c r="G102" s="59"/>
      <c r="H102" s="59"/>
      <c r="I102" s="60"/>
      <c r="J102" s="60"/>
    </row>
    <row r="103">
      <c r="A103" s="74" t="str">
        <f t="shared" ref="A103:A106" si="30">IF(ISBLANK(B103),"",TEXT(B103,"dddd"))</f>
        <v>Sunday</v>
      </c>
      <c r="B103" s="49">
        <v>46327.0</v>
      </c>
      <c r="C103" s="75">
        <f>SUMIF(AUG!$B$3:$B$100, B103, AUG!$D$3:$D$100)</f>
        <v>0</v>
      </c>
      <c r="D103" s="76" t="str">
        <f>IFERROR(__xludf.DUMMYFUNCTION("IFNA(INDEX(FILTER(AUG!$E$3:$E$100, AUG!$B$3:$B$100=B103), 1), ""-"")"),"-")</f>
        <v>-</v>
      </c>
      <c r="E103" s="78">
        <f>SUMIF(AUG!$B$3:$B$100, B103, AUG!$F$3:$F$100)</f>
        <v>0</v>
      </c>
      <c r="F103" s="76" t="str">
        <f>IFERROR(__xludf.DUMMYFUNCTION("IFNA(INDEX(FILTER(AUG!$G$3:$G$100, AUG!$B$3:$B$100=B103), 1), ""-"")"),"-")</f>
        <v>-</v>
      </c>
      <c r="G103" s="78">
        <f>IFNA(SUMIF(AUG!$B$3:$B$100,B103,AUG!$H$3:$H$100),"-")</f>
        <v>0</v>
      </c>
      <c r="H103" s="78">
        <f t="shared" ref="H103:H106" si="31">E103*0.07%</f>
        <v>0</v>
      </c>
      <c r="I103" s="78">
        <f>SUMIF(NOV!B:B, B103, NOV!K:K)</f>
        <v>0</v>
      </c>
      <c r="J103" s="79">
        <f t="shared" ref="J103:J107" si="32">G103-E103-H103</f>
        <v>0</v>
      </c>
    </row>
    <row r="104">
      <c r="A104" s="74" t="str">
        <f t="shared" si="30"/>
        <v>Monday</v>
      </c>
      <c r="B104" s="49">
        <v>46328.0</v>
      </c>
      <c r="C104" s="75">
        <f>SUMIF(AUG!$B$3:$B$100, B104, AUG!$D$3:$D$100)</f>
        <v>0</v>
      </c>
      <c r="D104" s="76" t="str">
        <f>IFERROR(__xludf.DUMMYFUNCTION("IFNA(INDEX(FILTER(AUG!$E$3:$E$100, AUG!$B$3:$B$100=B104), 1), ""-"")"),"-")</f>
        <v>-</v>
      </c>
      <c r="E104" s="78">
        <f>SUMIF(AUG!$B$3:$B$100, B104, AUG!$F$3:$F$100)</f>
        <v>0</v>
      </c>
      <c r="F104" s="76" t="str">
        <f>IFERROR(__xludf.DUMMYFUNCTION("IFNA(INDEX(FILTER(AUG!$G$3:$G$100, AUG!$B$3:$B$100=B104), 1), ""-"")"),"-")</f>
        <v>-</v>
      </c>
      <c r="G104" s="78">
        <f>IFNA(SUMIF(AUG!$B$3:$B$100,B104,AUG!$H$3:$H$100),"-")</f>
        <v>0</v>
      </c>
      <c r="H104" s="78">
        <f t="shared" si="31"/>
        <v>0</v>
      </c>
      <c r="I104" s="78">
        <f>SUMIF(NOV!B:B, B104, NOV!K:K)</f>
        <v>0</v>
      </c>
      <c r="J104" s="79">
        <f t="shared" si="32"/>
        <v>0</v>
      </c>
    </row>
    <row r="105">
      <c r="A105" s="74" t="str">
        <f t="shared" si="30"/>
        <v>Tuesday</v>
      </c>
      <c r="B105" s="49">
        <v>46329.0</v>
      </c>
      <c r="C105" s="75">
        <f>SUMIF(AUG!$B$3:$B$100, B105, AUG!$D$3:$D$100)</f>
        <v>0</v>
      </c>
      <c r="D105" s="76" t="str">
        <f>IFERROR(__xludf.DUMMYFUNCTION("IFNA(INDEX(FILTER(AUG!$E$3:$E$100, AUG!$B$3:$B$100=B105), 1), ""-"")"),"-")</f>
        <v>-</v>
      </c>
      <c r="E105" s="78">
        <f>SUMIF(AUG!$B$3:$B$100, B105, AUG!$F$3:$F$100)</f>
        <v>0</v>
      </c>
      <c r="F105" s="76" t="str">
        <f>IFERROR(__xludf.DUMMYFUNCTION("IFNA(INDEX(FILTER(AUG!$G$3:$G$100, AUG!$B$3:$B$100=B105), 1), ""-"")"),"-")</f>
        <v>-</v>
      </c>
      <c r="G105" s="78">
        <f>IFNA(SUMIF(AUG!$B$3:$B$100,B105,AUG!$H$3:$H$100),"-")</f>
        <v>0</v>
      </c>
      <c r="H105" s="78">
        <f t="shared" si="31"/>
        <v>0</v>
      </c>
      <c r="I105" s="78">
        <f>SUMIF(NOV!B:B, B105, NOV!K:K)</f>
        <v>0</v>
      </c>
      <c r="J105" s="79">
        <f t="shared" si="32"/>
        <v>0</v>
      </c>
    </row>
    <row r="106">
      <c r="A106" s="74" t="str">
        <f t="shared" si="30"/>
        <v>Wednesday</v>
      </c>
      <c r="B106" s="49">
        <v>46330.0</v>
      </c>
      <c r="C106" s="75">
        <f>SUMIF(AUG!$B$3:$B$100, B106, AUG!$D$3:$D$100)</f>
        <v>0</v>
      </c>
      <c r="D106" s="76" t="str">
        <f>IFERROR(__xludf.DUMMYFUNCTION("IFNA(INDEX(FILTER(AUG!$E$3:$E$100, AUG!$B$3:$B$100=B106), 1), ""-"")"),"-")</f>
        <v>-</v>
      </c>
      <c r="E106" s="78">
        <f>SUMIF(AUG!$B$3:$B$100, B106, AUG!$F$3:$F$100)</f>
        <v>0</v>
      </c>
      <c r="F106" s="76" t="str">
        <f>IFERROR(__xludf.DUMMYFUNCTION("IFNA(INDEX(FILTER(AUG!$G$3:$G$100, AUG!$B$3:$B$100=B106), 1), ""-"")"),"-")</f>
        <v>-</v>
      </c>
      <c r="G106" s="78">
        <f>IFNA(SUMIF(AUG!$B$3:$B$100,B106,AUG!$H$3:$H$100),"-")</f>
        <v>0</v>
      </c>
      <c r="H106" s="78">
        <f t="shared" si="31"/>
        <v>0</v>
      </c>
      <c r="I106" s="78">
        <f>SUMIF(NOV!B:B, B106, NOV!K:K)</f>
        <v>0</v>
      </c>
      <c r="J106" s="79">
        <f t="shared" si="32"/>
        <v>0</v>
      </c>
    </row>
    <row r="107">
      <c r="A107" s="47" t="str">
        <f>CONCAT(A102,"_TOTAL")</f>
        <v>NOV_TOTAL</v>
      </c>
      <c r="B107" s="161"/>
      <c r="C107" s="52">
        <f>sum(C103:C106)</f>
        <v>0</v>
      </c>
      <c r="D107" s="53" t="str">
        <f>IFERROR(IF(AVERAGE(D103:D106)=0,"-",AVERAGE(D103:D106)),"-")</f>
        <v>-</v>
      </c>
      <c r="E107" s="163">
        <f>sum(E103:E106)</f>
        <v>0</v>
      </c>
      <c r="F107" s="53" t="str">
        <f>IFERROR(IF(AVERAGE(F103:F106)=0,"-",AVERAGE(F103:F106)),"-")</f>
        <v>-</v>
      </c>
      <c r="G107" s="163">
        <f t="shared" ref="G107:I107" si="33">sum(G103:G106)</f>
        <v>0</v>
      </c>
      <c r="H107" s="163">
        <f t="shared" si="33"/>
        <v>0</v>
      </c>
      <c r="I107" s="163">
        <f t="shared" si="33"/>
        <v>0</v>
      </c>
      <c r="J107" s="164">
        <f t="shared" si="32"/>
        <v>0</v>
      </c>
    </row>
    <row r="108">
      <c r="A108" s="47" t="s">
        <v>78</v>
      </c>
      <c r="B108" s="49"/>
      <c r="C108" s="52"/>
      <c r="D108" s="53"/>
      <c r="E108" s="55"/>
      <c r="F108" s="57"/>
      <c r="G108" s="59"/>
      <c r="H108" s="59"/>
      <c r="I108" s="60"/>
      <c r="J108" s="60"/>
    </row>
    <row r="109">
      <c r="A109" s="74" t="str">
        <f t="shared" ref="A109:A112" si="34">IF(ISBLANK(B109),"",TEXT(B109,"dddd"))</f>
        <v>Tuesday</v>
      </c>
      <c r="B109" s="49">
        <v>46357.0</v>
      </c>
      <c r="C109" s="75">
        <f>SUMIF(AUG!$B$3:$B$100, B109, AUG!$D$3:$D$100)</f>
        <v>0</v>
      </c>
      <c r="D109" s="76" t="str">
        <f>IFERROR(__xludf.DUMMYFUNCTION("IFNA(INDEX(FILTER(AUG!$E$3:$E$100, AUG!$B$3:$B$100=B109), 1), ""-"")"),"-")</f>
        <v>-</v>
      </c>
      <c r="E109" s="78">
        <f>SUMIF(AUG!$B$3:$B$100, B109, AUG!$F$3:$F$100)</f>
        <v>0</v>
      </c>
      <c r="F109" s="76" t="str">
        <f>IFERROR(__xludf.DUMMYFUNCTION("IFNA(INDEX(FILTER(AUG!$G$3:$G$100, AUG!$B$3:$B$100=B109), 1), ""-"")"),"-")</f>
        <v>-</v>
      </c>
      <c r="G109" s="78">
        <f>IFNA(SUMIF(AUG!$B$3:$B$100,B109,AUG!$H$3:$H$100),"-")</f>
        <v>0</v>
      </c>
      <c r="H109" s="78">
        <f t="shared" ref="H109:H112" si="35">E109*0.07%</f>
        <v>0</v>
      </c>
      <c r="I109" s="78">
        <f>SUMIF(DEC!B:B, B109, DEC!K:K)</f>
        <v>0</v>
      </c>
      <c r="J109" s="79">
        <f t="shared" ref="J109:J113" si="36">G109-E109-H109</f>
        <v>0</v>
      </c>
    </row>
    <row r="110">
      <c r="A110" s="74" t="str">
        <f t="shared" si="34"/>
        <v>Wednesday</v>
      </c>
      <c r="B110" s="49">
        <v>46358.0</v>
      </c>
      <c r="C110" s="75">
        <f>SUMIF(AUG!$B$3:$B$100, B110, AUG!$D$3:$D$100)</f>
        <v>0</v>
      </c>
      <c r="D110" s="76" t="str">
        <f>IFERROR(__xludf.DUMMYFUNCTION("IFNA(INDEX(FILTER(AUG!$E$3:$E$100, AUG!$B$3:$B$100=B110), 1), ""-"")"),"-")</f>
        <v>-</v>
      </c>
      <c r="E110" s="78">
        <f>SUMIF(AUG!$B$3:$B$100, B110, AUG!$F$3:$F$100)</f>
        <v>0</v>
      </c>
      <c r="F110" s="76" t="str">
        <f>IFERROR(__xludf.DUMMYFUNCTION("IFNA(INDEX(FILTER(AUG!$G$3:$G$100, AUG!$B$3:$B$100=B110), 1), ""-"")"),"-")</f>
        <v>-</v>
      </c>
      <c r="G110" s="78">
        <f>IFNA(SUMIF(AUG!$B$3:$B$100,B110,AUG!$H$3:$H$100),"-")</f>
        <v>0</v>
      </c>
      <c r="H110" s="78">
        <f t="shared" si="35"/>
        <v>0</v>
      </c>
      <c r="I110" s="78">
        <f>SUMIF(DEC!B:B, B110, DEC!K:K)</f>
        <v>0</v>
      </c>
      <c r="J110" s="79">
        <f t="shared" si="36"/>
        <v>0</v>
      </c>
    </row>
    <row r="111">
      <c r="A111" s="74" t="str">
        <f t="shared" si="34"/>
        <v>Thursday</v>
      </c>
      <c r="B111" s="49">
        <v>46359.0</v>
      </c>
      <c r="C111" s="75">
        <f>SUMIF(AUG!$B$3:$B$100, B111, AUG!$D$3:$D$100)</f>
        <v>0</v>
      </c>
      <c r="D111" s="76" t="str">
        <f>IFERROR(__xludf.DUMMYFUNCTION("IFNA(INDEX(FILTER(AUG!$E$3:$E$100, AUG!$B$3:$B$100=B111), 1), ""-"")"),"-")</f>
        <v>-</v>
      </c>
      <c r="E111" s="78">
        <f>SUMIF(AUG!$B$3:$B$100, B111, AUG!$F$3:$F$100)</f>
        <v>0</v>
      </c>
      <c r="F111" s="76" t="str">
        <f>IFERROR(__xludf.DUMMYFUNCTION("IFNA(INDEX(FILTER(AUG!$G$3:$G$100, AUG!$B$3:$B$100=B111), 1), ""-"")"),"-")</f>
        <v>-</v>
      </c>
      <c r="G111" s="78">
        <f>IFNA(SUMIF(AUG!$B$3:$B$100,B111,AUG!$H$3:$H$100),"-")</f>
        <v>0</v>
      </c>
      <c r="H111" s="78">
        <f t="shared" si="35"/>
        <v>0</v>
      </c>
      <c r="I111" s="78">
        <f>SUMIF(DEC!B:B, B111, DEC!K:K)</f>
        <v>0</v>
      </c>
      <c r="J111" s="79">
        <f t="shared" si="36"/>
        <v>0</v>
      </c>
    </row>
    <row r="112">
      <c r="A112" s="74" t="str">
        <f t="shared" si="34"/>
        <v>Friday</v>
      </c>
      <c r="B112" s="49">
        <v>46360.0</v>
      </c>
      <c r="C112" s="75">
        <f>SUMIF(AUG!$B$3:$B$100, B112, AUG!$D$3:$D$100)</f>
        <v>0</v>
      </c>
      <c r="D112" s="76" t="str">
        <f>IFERROR(__xludf.DUMMYFUNCTION("IFNA(INDEX(FILTER(AUG!$E$3:$E$100, AUG!$B$3:$B$100=B112), 1), ""-"")"),"-")</f>
        <v>-</v>
      </c>
      <c r="E112" s="78">
        <f>SUMIF(AUG!$B$3:$B$100, B112, AUG!$F$3:$F$100)</f>
        <v>0</v>
      </c>
      <c r="F112" s="76" t="str">
        <f>IFERROR(__xludf.DUMMYFUNCTION("IFNA(INDEX(FILTER(AUG!$G$3:$G$100, AUG!$B$3:$B$100=B112), 1), ""-"")"),"-")</f>
        <v>-</v>
      </c>
      <c r="G112" s="78">
        <f>IFNA(SUMIF(AUG!$B$3:$B$100,B112,AUG!$H$3:$H$100),"-")</f>
        <v>0</v>
      </c>
      <c r="H112" s="78">
        <f t="shared" si="35"/>
        <v>0</v>
      </c>
      <c r="I112" s="78">
        <f>SUMIF(DEC!B:B, B112, DEC!K:K)</f>
        <v>0</v>
      </c>
      <c r="J112" s="79">
        <f t="shared" si="36"/>
        <v>0</v>
      </c>
    </row>
    <row r="113">
      <c r="A113" s="47" t="str">
        <f>CONCAT(A108,"_TOTAL")</f>
        <v>DEC_TOTAL</v>
      </c>
      <c r="B113" s="161"/>
      <c r="C113" s="52">
        <f>sum(C109:C112)</f>
        <v>0</v>
      </c>
      <c r="D113" s="53" t="str">
        <f>IFERROR(IF(AVERAGE(D109:D112)=0,"-",AVERAGE(D109:D112)),"-")</f>
        <v>-</v>
      </c>
      <c r="E113" s="163">
        <f>sum(E109:E112)</f>
        <v>0</v>
      </c>
      <c r="F113" s="53" t="str">
        <f>IFERROR(IF(AVERAGE(F109:F112)=0,"-",AVERAGE(F109:F112)),"-")</f>
        <v>-</v>
      </c>
      <c r="G113" s="163">
        <f t="shared" ref="G113:I113" si="37">sum(G109:G112)</f>
        <v>0</v>
      </c>
      <c r="H113" s="163">
        <f t="shared" si="37"/>
        <v>0</v>
      </c>
      <c r="I113" s="163">
        <f t="shared" si="37"/>
        <v>0</v>
      </c>
      <c r="J113" s="164">
        <f t="shared" si="36"/>
        <v>0</v>
      </c>
    </row>
    <row r="114">
      <c r="C114" s="194"/>
    </row>
    <row r="115">
      <c r="C115" s="194"/>
    </row>
    <row r="116">
      <c r="C116" s="194"/>
    </row>
    <row r="117">
      <c r="C117" s="194"/>
    </row>
    <row r="118">
      <c r="C118" s="194"/>
    </row>
    <row r="119">
      <c r="C119" s="194"/>
    </row>
    <row r="120">
      <c r="C120" s="194"/>
    </row>
    <row r="121">
      <c r="C121" s="194"/>
    </row>
    <row r="122">
      <c r="C122" s="194"/>
    </row>
    <row r="123">
      <c r="C123" s="194"/>
    </row>
    <row r="124">
      <c r="C124" s="194"/>
    </row>
    <row r="125">
      <c r="C125" s="194"/>
    </row>
    <row r="126">
      <c r="C126" s="194"/>
    </row>
    <row r="127">
      <c r="C127" s="194"/>
    </row>
    <row r="128">
      <c r="C128" s="194"/>
    </row>
    <row r="129">
      <c r="C129" s="194"/>
    </row>
    <row r="130">
      <c r="C130" s="194"/>
    </row>
    <row r="131">
      <c r="C131" s="194"/>
    </row>
    <row r="132">
      <c r="C132" s="194"/>
    </row>
    <row r="133">
      <c r="C133" s="194"/>
    </row>
    <row r="134">
      <c r="C134" s="194"/>
    </row>
    <row r="135">
      <c r="C135" s="194"/>
    </row>
    <row r="136">
      <c r="C136" s="194"/>
    </row>
    <row r="137">
      <c r="C137" s="194"/>
    </row>
    <row r="138">
      <c r="C138" s="194"/>
    </row>
    <row r="139">
      <c r="C139" s="194"/>
    </row>
    <row r="140">
      <c r="C140" s="194"/>
    </row>
    <row r="141">
      <c r="C141" s="194"/>
    </row>
    <row r="142">
      <c r="C142" s="194"/>
    </row>
    <row r="143">
      <c r="C143" s="194"/>
    </row>
    <row r="144">
      <c r="C144" s="194"/>
    </row>
    <row r="145">
      <c r="C145" s="194"/>
    </row>
    <row r="146">
      <c r="C146" s="194"/>
    </row>
    <row r="147">
      <c r="C147" s="194"/>
    </row>
    <row r="148">
      <c r="C148" s="194"/>
    </row>
    <row r="149">
      <c r="C149" s="194"/>
    </row>
    <row r="150">
      <c r="C150" s="194"/>
    </row>
    <row r="151">
      <c r="C151" s="194"/>
    </row>
    <row r="152">
      <c r="C152" s="194"/>
    </row>
    <row r="153">
      <c r="C153" s="194"/>
    </row>
    <row r="154">
      <c r="C154" s="194"/>
    </row>
    <row r="155">
      <c r="C155" s="194"/>
    </row>
    <row r="156">
      <c r="C156" s="194"/>
    </row>
    <row r="157">
      <c r="C157" s="194"/>
    </row>
    <row r="158">
      <c r="C158" s="194"/>
    </row>
    <row r="159">
      <c r="C159" s="194"/>
    </row>
    <row r="160">
      <c r="C160" s="194"/>
    </row>
    <row r="161">
      <c r="C161" s="194"/>
    </row>
    <row r="162">
      <c r="C162" s="194"/>
    </row>
    <row r="163">
      <c r="C163" s="194"/>
    </row>
    <row r="164">
      <c r="C164" s="194"/>
    </row>
    <row r="165">
      <c r="C165" s="194"/>
    </row>
    <row r="166">
      <c r="C166" s="194"/>
    </row>
    <row r="167">
      <c r="C167" s="194"/>
    </row>
    <row r="168">
      <c r="C168" s="194"/>
    </row>
    <row r="169">
      <c r="C169" s="194"/>
    </row>
    <row r="170">
      <c r="C170" s="194"/>
    </row>
    <row r="171">
      <c r="C171" s="194"/>
    </row>
    <row r="172">
      <c r="C172" s="194"/>
    </row>
    <row r="173">
      <c r="C173" s="194"/>
    </row>
    <row r="174">
      <c r="C174" s="194"/>
    </row>
    <row r="175">
      <c r="C175" s="194"/>
    </row>
    <row r="176">
      <c r="C176" s="194"/>
    </row>
    <row r="177">
      <c r="C177" s="194"/>
    </row>
    <row r="178">
      <c r="C178" s="194"/>
    </row>
    <row r="179">
      <c r="C179" s="194"/>
    </row>
    <row r="180">
      <c r="C180" s="194"/>
    </row>
    <row r="181">
      <c r="C181" s="194"/>
    </row>
    <row r="182">
      <c r="C182" s="194"/>
    </row>
    <row r="183">
      <c r="C183" s="194"/>
    </row>
    <row r="184">
      <c r="C184" s="194"/>
    </row>
    <row r="185">
      <c r="C185" s="194"/>
    </row>
    <row r="186">
      <c r="C186" s="194"/>
    </row>
    <row r="187">
      <c r="C187" s="194"/>
    </row>
    <row r="188">
      <c r="C188" s="194"/>
    </row>
    <row r="189">
      <c r="C189" s="194"/>
    </row>
    <row r="190">
      <c r="C190" s="194"/>
    </row>
    <row r="191">
      <c r="C191" s="194"/>
    </row>
    <row r="192">
      <c r="C192" s="194"/>
    </row>
    <row r="193">
      <c r="C193" s="194"/>
    </row>
    <row r="194">
      <c r="C194" s="194"/>
    </row>
    <row r="195">
      <c r="C195" s="194"/>
    </row>
    <row r="196">
      <c r="C196" s="194"/>
    </row>
    <row r="197">
      <c r="C197" s="194"/>
    </row>
    <row r="198">
      <c r="C198" s="194"/>
    </row>
    <row r="199">
      <c r="C199" s="194"/>
    </row>
    <row r="200">
      <c r="C200" s="194"/>
    </row>
    <row r="201">
      <c r="C201" s="194"/>
    </row>
    <row r="202">
      <c r="C202" s="194"/>
    </row>
    <row r="203">
      <c r="C203" s="194"/>
    </row>
    <row r="204">
      <c r="C204" s="194"/>
    </row>
    <row r="205">
      <c r="C205" s="194"/>
    </row>
    <row r="206">
      <c r="C206" s="194"/>
    </row>
    <row r="207">
      <c r="C207" s="194"/>
    </row>
    <row r="208">
      <c r="C208" s="194"/>
    </row>
    <row r="209">
      <c r="C209" s="194"/>
    </row>
    <row r="210">
      <c r="C210" s="194"/>
    </row>
    <row r="211">
      <c r="C211" s="194"/>
    </row>
    <row r="212">
      <c r="C212" s="194"/>
    </row>
    <row r="213">
      <c r="C213" s="194"/>
    </row>
    <row r="214">
      <c r="C214" s="194"/>
    </row>
    <row r="215">
      <c r="C215" s="194"/>
    </row>
    <row r="216">
      <c r="C216" s="194"/>
    </row>
    <row r="217">
      <c r="C217" s="194"/>
    </row>
    <row r="218">
      <c r="C218" s="194"/>
    </row>
    <row r="219">
      <c r="C219" s="194"/>
    </row>
    <row r="220">
      <c r="C220" s="194"/>
    </row>
    <row r="221">
      <c r="C221" s="194"/>
    </row>
    <row r="222">
      <c r="C222" s="194"/>
    </row>
    <row r="223">
      <c r="C223" s="194"/>
    </row>
    <row r="224">
      <c r="C224" s="194"/>
    </row>
    <row r="225">
      <c r="C225" s="194"/>
    </row>
    <row r="226">
      <c r="C226" s="194"/>
    </row>
    <row r="227">
      <c r="C227" s="194"/>
    </row>
    <row r="228">
      <c r="C228" s="194"/>
    </row>
    <row r="229">
      <c r="C229" s="194"/>
    </row>
    <row r="230">
      <c r="C230" s="194"/>
    </row>
    <row r="231">
      <c r="C231" s="194"/>
    </row>
    <row r="232">
      <c r="C232" s="194"/>
    </row>
    <row r="233">
      <c r="C233" s="194"/>
    </row>
    <row r="234">
      <c r="C234" s="194"/>
    </row>
    <row r="235">
      <c r="C235" s="194"/>
    </row>
    <row r="236">
      <c r="C236" s="194"/>
    </row>
    <row r="237">
      <c r="C237" s="194"/>
    </row>
    <row r="238">
      <c r="C238" s="194"/>
    </row>
    <row r="239">
      <c r="C239" s="194"/>
    </row>
    <row r="240">
      <c r="C240" s="194"/>
    </row>
    <row r="241">
      <c r="C241" s="194"/>
    </row>
    <row r="242">
      <c r="C242" s="194"/>
    </row>
    <row r="243">
      <c r="C243" s="194"/>
    </row>
    <row r="244">
      <c r="C244" s="194"/>
    </row>
    <row r="245">
      <c r="C245" s="194"/>
    </row>
    <row r="246">
      <c r="C246" s="194"/>
    </row>
    <row r="247">
      <c r="C247" s="194"/>
    </row>
    <row r="248">
      <c r="C248" s="194"/>
    </row>
    <row r="249">
      <c r="C249" s="194"/>
    </row>
    <row r="250">
      <c r="C250" s="194"/>
    </row>
    <row r="251">
      <c r="C251" s="194"/>
    </row>
    <row r="252">
      <c r="C252" s="194"/>
    </row>
    <row r="253">
      <c r="C253" s="194"/>
    </row>
    <row r="254">
      <c r="C254" s="194"/>
    </row>
    <row r="255">
      <c r="C255" s="194"/>
    </row>
    <row r="256">
      <c r="C256" s="194"/>
    </row>
    <row r="257">
      <c r="C257" s="194"/>
    </row>
    <row r="258">
      <c r="C258" s="194"/>
    </row>
    <row r="259">
      <c r="C259" s="194"/>
    </row>
    <row r="260">
      <c r="C260" s="194"/>
    </row>
    <row r="261">
      <c r="C261" s="194"/>
    </row>
    <row r="262">
      <c r="C262" s="194"/>
    </row>
    <row r="263">
      <c r="C263" s="194"/>
    </row>
    <row r="264">
      <c r="C264" s="194"/>
    </row>
    <row r="265">
      <c r="C265" s="194"/>
    </row>
    <row r="266">
      <c r="C266" s="194"/>
    </row>
    <row r="267">
      <c r="C267" s="194"/>
    </row>
    <row r="268">
      <c r="C268" s="194"/>
    </row>
    <row r="269">
      <c r="C269" s="194"/>
    </row>
    <row r="270">
      <c r="C270" s="194"/>
    </row>
    <row r="271">
      <c r="C271" s="194"/>
    </row>
    <row r="272">
      <c r="C272" s="194"/>
    </row>
    <row r="273">
      <c r="C273" s="194"/>
    </row>
    <row r="274">
      <c r="C274" s="194"/>
    </row>
    <row r="275">
      <c r="C275" s="194"/>
    </row>
    <row r="276">
      <c r="C276" s="194"/>
    </row>
    <row r="277">
      <c r="C277" s="194"/>
    </row>
    <row r="278">
      <c r="C278" s="194"/>
    </row>
    <row r="279">
      <c r="C279" s="194"/>
    </row>
    <row r="280">
      <c r="C280" s="194"/>
    </row>
    <row r="281">
      <c r="C281" s="194"/>
    </row>
    <row r="282">
      <c r="C282" s="194"/>
    </row>
    <row r="283">
      <c r="C283" s="194"/>
    </row>
    <row r="284">
      <c r="C284" s="194"/>
    </row>
    <row r="285">
      <c r="C285" s="194"/>
    </row>
    <row r="286">
      <c r="C286" s="194"/>
    </row>
    <row r="287">
      <c r="C287" s="194"/>
    </row>
    <row r="288">
      <c r="C288" s="194"/>
    </row>
    <row r="289">
      <c r="C289" s="194"/>
    </row>
    <row r="290">
      <c r="C290" s="194"/>
    </row>
    <row r="291">
      <c r="C291" s="194"/>
    </row>
    <row r="292">
      <c r="C292" s="194"/>
    </row>
    <row r="293">
      <c r="C293" s="194"/>
    </row>
    <row r="294">
      <c r="C294" s="194"/>
    </row>
    <row r="295">
      <c r="C295" s="194"/>
    </row>
    <row r="296">
      <c r="C296" s="194"/>
    </row>
    <row r="297">
      <c r="C297" s="194"/>
    </row>
    <row r="298">
      <c r="C298" s="194"/>
    </row>
    <row r="299">
      <c r="C299" s="194"/>
    </row>
    <row r="300">
      <c r="C300" s="194"/>
    </row>
    <row r="301">
      <c r="C301" s="194"/>
    </row>
    <row r="302">
      <c r="C302" s="194"/>
    </row>
    <row r="303">
      <c r="C303" s="194"/>
    </row>
    <row r="304">
      <c r="C304" s="194"/>
    </row>
    <row r="305">
      <c r="C305" s="194"/>
    </row>
    <row r="306">
      <c r="C306" s="194"/>
    </row>
    <row r="307">
      <c r="C307" s="194"/>
    </row>
    <row r="308">
      <c r="C308" s="194"/>
    </row>
    <row r="309">
      <c r="C309" s="194"/>
    </row>
    <row r="310">
      <c r="C310" s="194"/>
    </row>
    <row r="311">
      <c r="C311" s="194"/>
    </row>
    <row r="312">
      <c r="C312" s="194"/>
    </row>
    <row r="313">
      <c r="C313" s="194"/>
    </row>
    <row r="314">
      <c r="C314" s="194"/>
    </row>
    <row r="315">
      <c r="C315" s="194"/>
    </row>
    <row r="316">
      <c r="C316" s="194"/>
    </row>
    <row r="317">
      <c r="C317" s="194"/>
    </row>
    <row r="318">
      <c r="C318" s="194"/>
    </row>
    <row r="319">
      <c r="C319" s="194"/>
    </row>
    <row r="320">
      <c r="C320" s="194"/>
    </row>
    <row r="321">
      <c r="C321" s="194"/>
    </row>
    <row r="322">
      <c r="C322" s="194"/>
    </row>
    <row r="323">
      <c r="C323" s="194"/>
    </row>
    <row r="324">
      <c r="C324" s="194"/>
    </row>
    <row r="325">
      <c r="C325" s="194"/>
    </row>
    <row r="326">
      <c r="C326" s="194"/>
    </row>
    <row r="327">
      <c r="C327" s="194"/>
    </row>
    <row r="328">
      <c r="C328" s="194"/>
    </row>
    <row r="329">
      <c r="C329" s="194"/>
    </row>
    <row r="330">
      <c r="C330" s="194"/>
    </row>
    <row r="331">
      <c r="C331" s="194"/>
    </row>
    <row r="332">
      <c r="C332" s="194"/>
    </row>
    <row r="333">
      <c r="C333" s="194"/>
    </row>
    <row r="334">
      <c r="C334" s="194"/>
    </row>
    <row r="335">
      <c r="C335" s="194"/>
    </row>
    <row r="336">
      <c r="C336" s="194"/>
    </row>
    <row r="337">
      <c r="C337" s="194"/>
    </row>
    <row r="338">
      <c r="C338" s="194"/>
    </row>
    <row r="339">
      <c r="C339" s="194"/>
    </row>
    <row r="340">
      <c r="C340" s="194"/>
    </row>
    <row r="341">
      <c r="C341" s="194"/>
    </row>
    <row r="342">
      <c r="C342" s="194"/>
    </row>
    <row r="343">
      <c r="C343" s="194"/>
    </row>
    <row r="344">
      <c r="C344" s="194"/>
    </row>
    <row r="345">
      <c r="C345" s="194"/>
    </row>
    <row r="346">
      <c r="C346" s="194"/>
    </row>
    <row r="347">
      <c r="C347" s="194"/>
    </row>
    <row r="348">
      <c r="C348" s="194"/>
    </row>
    <row r="349">
      <c r="C349" s="194"/>
    </row>
    <row r="350">
      <c r="C350" s="194"/>
    </row>
    <row r="351">
      <c r="C351" s="194"/>
    </row>
    <row r="352">
      <c r="C352" s="194"/>
    </row>
    <row r="353">
      <c r="C353" s="194"/>
    </row>
    <row r="354">
      <c r="C354" s="194"/>
    </row>
    <row r="355">
      <c r="C355" s="194"/>
    </row>
    <row r="356">
      <c r="C356" s="194"/>
    </row>
    <row r="357">
      <c r="C357" s="194"/>
    </row>
    <row r="358">
      <c r="C358" s="194"/>
    </row>
    <row r="359">
      <c r="C359" s="194"/>
    </row>
    <row r="360">
      <c r="C360" s="194"/>
    </row>
    <row r="361">
      <c r="C361" s="194"/>
    </row>
    <row r="362">
      <c r="C362" s="194"/>
    </row>
    <row r="363">
      <c r="C363" s="194"/>
    </row>
    <row r="364">
      <c r="C364" s="194"/>
    </row>
    <row r="365">
      <c r="C365" s="194"/>
    </row>
    <row r="366">
      <c r="C366" s="194"/>
    </row>
    <row r="367">
      <c r="C367" s="194"/>
    </row>
    <row r="368">
      <c r="C368" s="194"/>
    </row>
    <row r="369">
      <c r="C369" s="194"/>
    </row>
    <row r="370">
      <c r="C370" s="194"/>
    </row>
    <row r="371">
      <c r="C371" s="194"/>
    </row>
    <row r="372">
      <c r="C372" s="194"/>
    </row>
    <row r="373">
      <c r="C373" s="194"/>
    </row>
    <row r="374">
      <c r="C374" s="194"/>
    </row>
    <row r="375">
      <c r="C375" s="194"/>
    </row>
    <row r="376">
      <c r="C376" s="194"/>
    </row>
    <row r="377">
      <c r="C377" s="194"/>
    </row>
    <row r="378">
      <c r="C378" s="194"/>
    </row>
    <row r="379">
      <c r="C379" s="194"/>
    </row>
    <row r="380">
      <c r="C380" s="194"/>
    </row>
    <row r="381">
      <c r="C381" s="194"/>
    </row>
    <row r="382">
      <c r="C382" s="194"/>
    </row>
    <row r="383">
      <c r="C383" s="194"/>
    </row>
    <row r="384">
      <c r="C384" s="194"/>
    </row>
    <row r="385">
      <c r="C385" s="194"/>
    </row>
    <row r="386">
      <c r="C386" s="194"/>
    </row>
    <row r="387">
      <c r="C387" s="194"/>
    </row>
    <row r="388">
      <c r="C388" s="194"/>
    </row>
    <row r="389">
      <c r="C389" s="194"/>
    </row>
    <row r="390">
      <c r="C390" s="194"/>
    </row>
    <row r="391">
      <c r="C391" s="194"/>
    </row>
    <row r="392">
      <c r="C392" s="194"/>
    </row>
    <row r="393">
      <c r="C393" s="194"/>
    </row>
    <row r="394">
      <c r="C394" s="194"/>
    </row>
    <row r="395">
      <c r="C395" s="194"/>
    </row>
    <row r="396">
      <c r="C396" s="194"/>
    </row>
    <row r="397">
      <c r="C397" s="194"/>
    </row>
    <row r="398">
      <c r="C398" s="194"/>
    </row>
    <row r="399">
      <c r="C399" s="194"/>
    </row>
    <row r="400">
      <c r="C400" s="194"/>
    </row>
    <row r="401">
      <c r="C401" s="194"/>
    </row>
    <row r="402">
      <c r="C402" s="194"/>
    </row>
    <row r="403">
      <c r="C403" s="194"/>
    </row>
    <row r="404">
      <c r="C404" s="194"/>
    </row>
    <row r="405">
      <c r="C405" s="194"/>
    </row>
    <row r="406">
      <c r="C406" s="194"/>
    </row>
    <row r="407">
      <c r="C407" s="194"/>
    </row>
    <row r="408">
      <c r="C408" s="194"/>
    </row>
    <row r="409">
      <c r="C409" s="194"/>
    </row>
    <row r="410">
      <c r="C410" s="194"/>
    </row>
    <row r="411">
      <c r="C411" s="194"/>
    </row>
    <row r="412">
      <c r="C412" s="194"/>
    </row>
    <row r="413">
      <c r="C413" s="194"/>
    </row>
    <row r="414">
      <c r="C414" s="194"/>
    </row>
    <row r="415">
      <c r="C415" s="194"/>
    </row>
    <row r="416">
      <c r="C416" s="194"/>
    </row>
    <row r="417">
      <c r="C417" s="194"/>
    </row>
    <row r="418">
      <c r="C418" s="194"/>
    </row>
    <row r="419">
      <c r="C419" s="194"/>
    </row>
    <row r="420">
      <c r="C420" s="194"/>
    </row>
    <row r="421">
      <c r="C421" s="194"/>
    </row>
    <row r="422">
      <c r="C422" s="194"/>
    </row>
    <row r="423">
      <c r="C423" s="194"/>
    </row>
    <row r="424">
      <c r="C424" s="194"/>
    </row>
    <row r="425">
      <c r="C425" s="194"/>
    </row>
    <row r="426">
      <c r="C426" s="194"/>
    </row>
    <row r="427">
      <c r="C427" s="194"/>
    </row>
    <row r="428">
      <c r="C428" s="194"/>
    </row>
    <row r="429">
      <c r="C429" s="194"/>
    </row>
    <row r="430">
      <c r="C430" s="194"/>
    </row>
    <row r="431">
      <c r="C431" s="194"/>
    </row>
    <row r="432">
      <c r="C432" s="194"/>
    </row>
    <row r="433">
      <c r="C433" s="194"/>
    </row>
    <row r="434">
      <c r="C434" s="194"/>
    </row>
    <row r="435">
      <c r="C435" s="194"/>
    </row>
    <row r="436">
      <c r="C436" s="194"/>
    </row>
    <row r="437">
      <c r="C437" s="194"/>
    </row>
    <row r="438">
      <c r="C438" s="194"/>
    </row>
    <row r="439">
      <c r="C439" s="194"/>
    </row>
    <row r="440">
      <c r="C440" s="194"/>
    </row>
    <row r="441">
      <c r="C441" s="194"/>
    </row>
    <row r="442">
      <c r="C442" s="194"/>
    </row>
    <row r="443">
      <c r="C443" s="194"/>
    </row>
    <row r="444">
      <c r="C444" s="194"/>
    </row>
    <row r="445">
      <c r="C445" s="194"/>
    </row>
    <row r="446">
      <c r="C446" s="194"/>
    </row>
    <row r="447">
      <c r="C447" s="194"/>
    </row>
    <row r="448">
      <c r="C448" s="194"/>
    </row>
    <row r="449">
      <c r="C449" s="194"/>
    </row>
    <row r="450">
      <c r="C450" s="194"/>
    </row>
    <row r="451">
      <c r="C451" s="194"/>
    </row>
    <row r="452">
      <c r="C452" s="194"/>
    </row>
    <row r="453">
      <c r="C453" s="194"/>
    </row>
    <row r="454">
      <c r="C454" s="194"/>
    </row>
    <row r="455">
      <c r="C455" s="194"/>
    </row>
    <row r="456">
      <c r="C456" s="194"/>
    </row>
    <row r="457">
      <c r="C457" s="194"/>
    </row>
    <row r="458">
      <c r="C458" s="194"/>
    </row>
    <row r="459">
      <c r="C459" s="194"/>
    </row>
    <row r="460">
      <c r="C460" s="194"/>
    </row>
    <row r="461">
      <c r="C461" s="194"/>
    </row>
    <row r="462">
      <c r="C462" s="194"/>
    </row>
    <row r="463">
      <c r="C463" s="194"/>
    </row>
    <row r="464">
      <c r="C464" s="194"/>
    </row>
    <row r="465">
      <c r="C465" s="194"/>
    </row>
    <row r="466">
      <c r="C466" s="194"/>
    </row>
    <row r="467">
      <c r="C467" s="194"/>
    </row>
    <row r="468">
      <c r="C468" s="194"/>
    </row>
    <row r="469">
      <c r="C469" s="194"/>
    </row>
    <row r="470">
      <c r="C470" s="194"/>
    </row>
    <row r="471">
      <c r="C471" s="194"/>
    </row>
    <row r="472">
      <c r="C472" s="194"/>
    </row>
    <row r="473">
      <c r="C473" s="194"/>
    </row>
    <row r="474">
      <c r="C474" s="194"/>
    </row>
    <row r="475">
      <c r="C475" s="194"/>
    </row>
    <row r="476">
      <c r="C476" s="194"/>
    </row>
    <row r="477">
      <c r="C477" s="194"/>
    </row>
    <row r="478">
      <c r="C478" s="194"/>
    </row>
    <row r="479">
      <c r="C479" s="194"/>
    </row>
    <row r="480">
      <c r="C480" s="194"/>
    </row>
    <row r="481">
      <c r="C481" s="194"/>
    </row>
    <row r="482">
      <c r="C482" s="194"/>
    </row>
    <row r="483">
      <c r="C483" s="194"/>
    </row>
    <row r="484">
      <c r="C484" s="194"/>
    </row>
    <row r="485">
      <c r="C485" s="194"/>
    </row>
    <row r="486">
      <c r="C486" s="194"/>
    </row>
    <row r="487">
      <c r="C487" s="194"/>
    </row>
    <row r="488">
      <c r="C488" s="194"/>
    </row>
    <row r="489">
      <c r="C489" s="194"/>
    </row>
    <row r="490">
      <c r="C490" s="194"/>
    </row>
    <row r="491">
      <c r="C491" s="194"/>
    </row>
    <row r="492">
      <c r="C492" s="194"/>
    </row>
    <row r="493">
      <c r="C493" s="194"/>
    </row>
    <row r="494">
      <c r="C494" s="194"/>
    </row>
    <row r="495">
      <c r="C495" s="194"/>
    </row>
    <row r="496">
      <c r="C496" s="194"/>
    </row>
    <row r="497">
      <c r="C497" s="194"/>
    </row>
    <row r="498">
      <c r="C498" s="194"/>
    </row>
    <row r="499">
      <c r="C499" s="194"/>
    </row>
    <row r="500">
      <c r="C500" s="194"/>
    </row>
    <row r="501">
      <c r="C501" s="194"/>
    </row>
    <row r="502">
      <c r="C502" s="194"/>
    </row>
    <row r="503">
      <c r="C503" s="194"/>
    </row>
    <row r="504">
      <c r="C504" s="194"/>
    </row>
    <row r="505">
      <c r="C505" s="194"/>
    </row>
    <row r="506">
      <c r="C506" s="194"/>
    </row>
    <row r="507">
      <c r="C507" s="194"/>
    </row>
    <row r="508">
      <c r="C508" s="194"/>
    </row>
    <row r="509">
      <c r="C509" s="194"/>
    </row>
    <row r="510">
      <c r="C510" s="194"/>
    </row>
    <row r="511">
      <c r="C511" s="194"/>
    </row>
    <row r="512">
      <c r="C512" s="194"/>
    </row>
    <row r="513">
      <c r="C513" s="194"/>
    </row>
    <row r="514">
      <c r="C514" s="194"/>
    </row>
    <row r="515">
      <c r="C515" s="194"/>
    </row>
    <row r="516">
      <c r="C516" s="194"/>
    </row>
    <row r="517">
      <c r="C517" s="194"/>
    </row>
    <row r="518">
      <c r="C518" s="194"/>
    </row>
    <row r="519">
      <c r="C519" s="194"/>
    </row>
    <row r="520">
      <c r="C520" s="194"/>
    </row>
    <row r="521">
      <c r="C521" s="194"/>
    </row>
    <row r="522">
      <c r="C522" s="194"/>
    </row>
    <row r="523">
      <c r="C523" s="194"/>
    </row>
    <row r="524">
      <c r="C524" s="194"/>
    </row>
    <row r="525">
      <c r="C525" s="194"/>
    </row>
    <row r="526">
      <c r="C526" s="194"/>
    </row>
    <row r="527">
      <c r="C527" s="194"/>
    </row>
    <row r="528">
      <c r="C528" s="194"/>
    </row>
    <row r="529">
      <c r="C529" s="194"/>
    </row>
    <row r="530">
      <c r="C530" s="194"/>
    </row>
    <row r="531">
      <c r="C531" s="194"/>
    </row>
    <row r="532">
      <c r="C532" s="194"/>
    </row>
    <row r="533">
      <c r="C533" s="194"/>
    </row>
    <row r="534">
      <c r="C534" s="194"/>
    </row>
    <row r="535">
      <c r="C535" s="194"/>
    </row>
    <row r="536">
      <c r="C536" s="194"/>
    </row>
    <row r="537">
      <c r="C537" s="194"/>
    </row>
    <row r="538">
      <c r="C538" s="194"/>
    </row>
    <row r="539">
      <c r="C539" s="194"/>
    </row>
    <row r="540">
      <c r="C540" s="194"/>
    </row>
    <row r="541">
      <c r="C541" s="194"/>
    </row>
    <row r="542">
      <c r="C542" s="194"/>
    </row>
    <row r="543">
      <c r="C543" s="194"/>
    </row>
    <row r="544">
      <c r="C544" s="194"/>
    </row>
    <row r="545">
      <c r="C545" s="194"/>
    </row>
    <row r="546">
      <c r="C546" s="194"/>
    </row>
    <row r="547">
      <c r="C547" s="194"/>
    </row>
    <row r="548">
      <c r="C548" s="194"/>
    </row>
    <row r="549">
      <c r="C549" s="194"/>
    </row>
    <row r="550">
      <c r="C550" s="194"/>
    </row>
    <row r="551">
      <c r="C551" s="194"/>
    </row>
    <row r="552">
      <c r="C552" s="194"/>
    </row>
    <row r="553">
      <c r="C553" s="194"/>
    </row>
    <row r="554">
      <c r="C554" s="194"/>
    </row>
    <row r="555">
      <c r="C555" s="194"/>
    </row>
    <row r="556">
      <c r="C556" s="194"/>
    </row>
    <row r="557">
      <c r="C557" s="194"/>
    </row>
    <row r="558">
      <c r="C558" s="194"/>
    </row>
    <row r="559">
      <c r="C559" s="194"/>
    </row>
    <row r="560">
      <c r="C560" s="194"/>
    </row>
    <row r="561">
      <c r="C561" s="194"/>
    </row>
    <row r="562">
      <c r="C562" s="194"/>
    </row>
    <row r="563">
      <c r="C563" s="194"/>
    </row>
    <row r="564">
      <c r="C564" s="194"/>
    </row>
    <row r="565">
      <c r="C565" s="194"/>
    </row>
    <row r="566">
      <c r="C566" s="194"/>
    </row>
    <row r="567">
      <c r="C567" s="194"/>
    </row>
    <row r="568">
      <c r="C568" s="194"/>
    </row>
    <row r="569">
      <c r="C569" s="194"/>
    </row>
    <row r="570">
      <c r="C570" s="194"/>
    </row>
    <row r="571">
      <c r="C571" s="194"/>
    </row>
    <row r="572">
      <c r="C572" s="194"/>
    </row>
    <row r="573">
      <c r="C573" s="194"/>
    </row>
    <row r="574">
      <c r="C574" s="194"/>
    </row>
    <row r="575">
      <c r="C575" s="194"/>
    </row>
    <row r="576">
      <c r="C576" s="194"/>
    </row>
    <row r="577">
      <c r="C577" s="194"/>
    </row>
    <row r="578">
      <c r="C578" s="194"/>
    </row>
    <row r="579">
      <c r="C579" s="194"/>
    </row>
    <row r="580">
      <c r="C580" s="194"/>
    </row>
    <row r="581">
      <c r="C581" s="194"/>
    </row>
    <row r="582">
      <c r="C582" s="194"/>
    </row>
    <row r="583">
      <c r="C583" s="194"/>
    </row>
    <row r="584">
      <c r="C584" s="194"/>
    </row>
    <row r="585">
      <c r="C585" s="194"/>
    </row>
    <row r="586">
      <c r="C586" s="194"/>
    </row>
    <row r="587">
      <c r="C587" s="194"/>
    </row>
    <row r="588">
      <c r="C588" s="194"/>
    </row>
    <row r="589">
      <c r="C589" s="194"/>
    </row>
    <row r="590">
      <c r="C590" s="194"/>
    </row>
    <row r="591">
      <c r="C591" s="194"/>
    </row>
    <row r="592">
      <c r="C592" s="194"/>
    </row>
    <row r="593">
      <c r="C593" s="194"/>
    </row>
    <row r="594">
      <c r="C594" s="194"/>
    </row>
    <row r="595">
      <c r="C595" s="194"/>
    </row>
    <row r="596">
      <c r="C596" s="194"/>
    </row>
    <row r="597">
      <c r="C597" s="194"/>
    </row>
    <row r="598">
      <c r="C598" s="194"/>
    </row>
    <row r="599">
      <c r="C599" s="194"/>
    </row>
    <row r="600">
      <c r="C600" s="194"/>
    </row>
    <row r="601">
      <c r="C601" s="194"/>
    </row>
    <row r="602">
      <c r="C602" s="194"/>
    </row>
    <row r="603">
      <c r="C603" s="194"/>
    </row>
    <row r="604">
      <c r="C604" s="194"/>
    </row>
    <row r="605">
      <c r="C605" s="194"/>
    </row>
    <row r="606">
      <c r="C606" s="194"/>
    </row>
    <row r="607">
      <c r="C607" s="194"/>
    </row>
    <row r="608">
      <c r="C608" s="194"/>
    </row>
    <row r="609">
      <c r="C609" s="194"/>
    </row>
    <row r="610">
      <c r="C610" s="194"/>
    </row>
    <row r="611">
      <c r="C611" s="194"/>
    </row>
    <row r="612">
      <c r="C612" s="194"/>
    </row>
    <row r="613">
      <c r="C613" s="194"/>
    </row>
    <row r="614">
      <c r="C614" s="194"/>
    </row>
    <row r="615">
      <c r="C615" s="194"/>
    </row>
    <row r="616">
      <c r="C616" s="194"/>
    </row>
    <row r="617">
      <c r="C617" s="194"/>
    </row>
    <row r="618">
      <c r="C618" s="194"/>
    </row>
    <row r="619">
      <c r="C619" s="194"/>
    </row>
    <row r="620">
      <c r="C620" s="194"/>
    </row>
    <row r="621">
      <c r="C621" s="194"/>
    </row>
    <row r="622">
      <c r="C622" s="194"/>
    </row>
    <row r="623">
      <c r="C623" s="194"/>
    </row>
    <row r="624">
      <c r="C624" s="194"/>
    </row>
    <row r="625">
      <c r="C625" s="194"/>
    </row>
    <row r="626">
      <c r="C626" s="194"/>
    </row>
    <row r="627">
      <c r="C627" s="194"/>
    </row>
    <row r="628">
      <c r="C628" s="194"/>
    </row>
    <row r="629">
      <c r="C629" s="194"/>
    </row>
    <row r="630">
      <c r="C630" s="194"/>
    </row>
    <row r="631">
      <c r="C631" s="194"/>
    </row>
    <row r="632">
      <c r="C632" s="194"/>
    </row>
    <row r="633">
      <c r="C633" s="194"/>
    </row>
    <row r="634">
      <c r="C634" s="194"/>
    </row>
    <row r="635">
      <c r="C635" s="194"/>
    </row>
    <row r="636">
      <c r="C636" s="194"/>
    </row>
    <row r="637">
      <c r="C637" s="194"/>
    </row>
    <row r="638">
      <c r="C638" s="194"/>
    </row>
    <row r="639">
      <c r="C639" s="194"/>
    </row>
    <row r="640">
      <c r="C640" s="194"/>
    </row>
    <row r="641">
      <c r="C641" s="194"/>
    </row>
    <row r="642">
      <c r="C642" s="194"/>
    </row>
    <row r="643">
      <c r="C643" s="194"/>
    </row>
    <row r="644">
      <c r="C644" s="194"/>
    </row>
    <row r="645">
      <c r="C645" s="194"/>
    </row>
    <row r="646">
      <c r="C646" s="194"/>
    </row>
    <row r="647">
      <c r="C647" s="194"/>
    </row>
    <row r="648">
      <c r="C648" s="194"/>
    </row>
    <row r="649">
      <c r="C649" s="194"/>
    </row>
    <row r="650">
      <c r="C650" s="194"/>
    </row>
    <row r="651">
      <c r="C651" s="194"/>
    </row>
    <row r="652">
      <c r="C652" s="194"/>
    </row>
    <row r="653">
      <c r="C653" s="194"/>
    </row>
    <row r="654">
      <c r="C654" s="194"/>
    </row>
    <row r="655">
      <c r="C655" s="194"/>
    </row>
    <row r="656">
      <c r="C656" s="194"/>
    </row>
    <row r="657">
      <c r="C657" s="194"/>
    </row>
    <row r="658">
      <c r="C658" s="194"/>
    </row>
    <row r="659">
      <c r="C659" s="194"/>
    </row>
    <row r="660">
      <c r="C660" s="194"/>
    </row>
    <row r="661">
      <c r="C661" s="194"/>
    </row>
    <row r="662">
      <c r="C662" s="194"/>
    </row>
    <row r="663">
      <c r="C663" s="194"/>
    </row>
    <row r="664">
      <c r="C664" s="194"/>
    </row>
    <row r="665">
      <c r="C665" s="194"/>
    </row>
    <row r="666">
      <c r="C666" s="194"/>
    </row>
    <row r="667">
      <c r="C667" s="194"/>
    </row>
    <row r="668">
      <c r="C668" s="194"/>
    </row>
    <row r="669">
      <c r="C669" s="194"/>
    </row>
    <row r="670">
      <c r="C670" s="194"/>
    </row>
    <row r="671">
      <c r="C671" s="194"/>
    </row>
    <row r="672">
      <c r="C672" s="194"/>
    </row>
    <row r="673">
      <c r="C673" s="194"/>
    </row>
    <row r="674">
      <c r="C674" s="194"/>
    </row>
    <row r="675">
      <c r="C675" s="194"/>
    </row>
    <row r="676">
      <c r="C676" s="194"/>
    </row>
    <row r="677">
      <c r="C677" s="194"/>
    </row>
    <row r="678">
      <c r="C678" s="194"/>
    </row>
    <row r="679">
      <c r="C679" s="194"/>
    </row>
    <row r="680">
      <c r="C680" s="194"/>
    </row>
    <row r="681">
      <c r="C681" s="194"/>
    </row>
    <row r="682">
      <c r="C682" s="194"/>
    </row>
    <row r="683">
      <c r="C683" s="194"/>
    </row>
    <row r="684">
      <c r="C684" s="194"/>
    </row>
    <row r="685">
      <c r="C685" s="194"/>
    </row>
    <row r="686">
      <c r="C686" s="194"/>
    </row>
    <row r="687">
      <c r="C687" s="194"/>
    </row>
    <row r="688">
      <c r="C688" s="194"/>
    </row>
    <row r="689">
      <c r="C689" s="194"/>
    </row>
    <row r="690">
      <c r="C690" s="194"/>
    </row>
    <row r="691">
      <c r="C691" s="194"/>
    </row>
    <row r="692">
      <c r="C692" s="194"/>
    </row>
    <row r="693">
      <c r="C693" s="194"/>
    </row>
    <row r="694">
      <c r="C694" s="194"/>
    </row>
    <row r="695">
      <c r="C695" s="194"/>
    </row>
    <row r="696">
      <c r="C696" s="194"/>
    </row>
    <row r="697">
      <c r="C697" s="194"/>
    </row>
    <row r="698">
      <c r="C698" s="194"/>
    </row>
    <row r="699">
      <c r="C699" s="194"/>
    </row>
    <row r="700">
      <c r="C700" s="194"/>
    </row>
    <row r="701">
      <c r="C701" s="194"/>
    </row>
    <row r="702">
      <c r="C702" s="194"/>
    </row>
    <row r="703">
      <c r="C703" s="194"/>
    </row>
    <row r="704">
      <c r="C704" s="194"/>
    </row>
    <row r="705">
      <c r="C705" s="194"/>
    </row>
    <row r="706">
      <c r="C706" s="194"/>
    </row>
    <row r="707">
      <c r="C707" s="194"/>
    </row>
    <row r="708">
      <c r="C708" s="194"/>
    </row>
    <row r="709">
      <c r="C709" s="194"/>
    </row>
    <row r="710">
      <c r="C710" s="194"/>
    </row>
    <row r="711">
      <c r="C711" s="194"/>
    </row>
    <row r="712">
      <c r="C712" s="194"/>
    </row>
    <row r="713">
      <c r="C713" s="194"/>
    </row>
    <row r="714">
      <c r="C714" s="194"/>
    </row>
    <row r="715">
      <c r="C715" s="194"/>
    </row>
    <row r="716">
      <c r="C716" s="194"/>
    </row>
    <row r="717">
      <c r="C717" s="194"/>
    </row>
    <row r="718">
      <c r="C718" s="194"/>
    </row>
    <row r="719">
      <c r="C719" s="194"/>
    </row>
    <row r="720">
      <c r="C720" s="194"/>
    </row>
    <row r="721">
      <c r="C721" s="194"/>
    </row>
    <row r="722">
      <c r="C722" s="194"/>
    </row>
    <row r="723">
      <c r="C723" s="194"/>
    </row>
    <row r="724">
      <c r="C724" s="194"/>
    </row>
    <row r="725">
      <c r="C725" s="194"/>
    </row>
    <row r="726">
      <c r="C726" s="194"/>
    </row>
    <row r="727">
      <c r="C727" s="194"/>
    </row>
    <row r="728">
      <c r="C728" s="194"/>
    </row>
    <row r="729">
      <c r="C729" s="194"/>
    </row>
    <row r="730">
      <c r="C730" s="194"/>
    </row>
    <row r="731">
      <c r="C731" s="194"/>
    </row>
    <row r="732">
      <c r="C732" s="194"/>
    </row>
    <row r="733">
      <c r="C733" s="194"/>
    </row>
    <row r="734">
      <c r="C734" s="194"/>
    </row>
    <row r="735">
      <c r="C735" s="194"/>
    </row>
    <row r="736">
      <c r="C736" s="194"/>
    </row>
    <row r="737">
      <c r="C737" s="194"/>
    </row>
    <row r="738">
      <c r="C738" s="194"/>
    </row>
    <row r="739">
      <c r="C739" s="194"/>
    </row>
    <row r="740">
      <c r="C740" s="194"/>
    </row>
    <row r="741">
      <c r="C741" s="194"/>
    </row>
    <row r="742">
      <c r="C742" s="194"/>
    </row>
    <row r="743">
      <c r="C743" s="194"/>
    </row>
    <row r="744">
      <c r="C744" s="194"/>
    </row>
    <row r="745">
      <c r="C745" s="194"/>
    </row>
    <row r="746">
      <c r="C746" s="194"/>
    </row>
    <row r="747">
      <c r="C747" s="194"/>
    </row>
    <row r="748">
      <c r="C748" s="194"/>
    </row>
    <row r="749">
      <c r="C749" s="194"/>
    </row>
    <row r="750">
      <c r="C750" s="194"/>
    </row>
    <row r="751">
      <c r="C751" s="194"/>
    </row>
    <row r="752">
      <c r="C752" s="194"/>
    </row>
    <row r="753">
      <c r="C753" s="194"/>
    </row>
    <row r="754">
      <c r="C754" s="194"/>
    </row>
    <row r="755">
      <c r="C755" s="194"/>
    </row>
    <row r="756">
      <c r="C756" s="194"/>
    </row>
    <row r="757">
      <c r="C757" s="194"/>
    </row>
    <row r="758">
      <c r="C758" s="194"/>
    </row>
    <row r="759">
      <c r="C759" s="194"/>
    </row>
    <row r="760">
      <c r="C760" s="194"/>
    </row>
    <row r="761">
      <c r="C761" s="194"/>
    </row>
    <row r="762">
      <c r="C762" s="194"/>
    </row>
    <row r="763">
      <c r="C763" s="194"/>
    </row>
    <row r="764">
      <c r="C764" s="194"/>
    </row>
    <row r="765">
      <c r="C765" s="194"/>
    </row>
    <row r="766">
      <c r="C766" s="194"/>
    </row>
    <row r="767">
      <c r="C767" s="194"/>
    </row>
    <row r="768">
      <c r="C768" s="194"/>
    </row>
    <row r="769">
      <c r="C769" s="194"/>
    </row>
    <row r="770">
      <c r="C770" s="194"/>
    </row>
    <row r="771">
      <c r="C771" s="194"/>
    </row>
    <row r="772">
      <c r="C772" s="194"/>
    </row>
    <row r="773">
      <c r="C773" s="194"/>
    </row>
    <row r="774">
      <c r="C774" s="194"/>
    </row>
    <row r="775">
      <c r="C775" s="194"/>
    </row>
    <row r="776">
      <c r="C776" s="194"/>
    </row>
    <row r="777">
      <c r="C777" s="194"/>
    </row>
    <row r="778">
      <c r="C778" s="194"/>
    </row>
    <row r="779">
      <c r="C779" s="194"/>
    </row>
    <row r="780">
      <c r="C780" s="194"/>
    </row>
    <row r="781">
      <c r="C781" s="194"/>
    </row>
    <row r="782">
      <c r="C782" s="194"/>
    </row>
    <row r="783">
      <c r="C783" s="194"/>
    </row>
    <row r="784">
      <c r="C784" s="194"/>
    </row>
    <row r="785">
      <c r="C785" s="194"/>
    </row>
    <row r="786">
      <c r="C786" s="194"/>
    </row>
    <row r="787">
      <c r="C787" s="194"/>
    </row>
    <row r="788">
      <c r="C788" s="194"/>
    </row>
    <row r="789">
      <c r="C789" s="194"/>
    </row>
    <row r="790">
      <c r="C790" s="194"/>
    </row>
    <row r="791">
      <c r="C791" s="194"/>
    </row>
    <row r="792">
      <c r="C792" s="194"/>
    </row>
    <row r="793">
      <c r="C793" s="194"/>
    </row>
    <row r="794">
      <c r="C794" s="194"/>
    </row>
    <row r="795">
      <c r="C795" s="194"/>
    </row>
    <row r="796">
      <c r="C796" s="194"/>
    </row>
    <row r="797">
      <c r="C797" s="194"/>
    </row>
    <row r="798">
      <c r="C798" s="194"/>
    </row>
    <row r="799">
      <c r="C799" s="194"/>
    </row>
    <row r="800">
      <c r="C800" s="194"/>
    </row>
    <row r="801">
      <c r="C801" s="194"/>
    </row>
    <row r="802">
      <c r="C802" s="194"/>
    </row>
    <row r="803">
      <c r="C803" s="194"/>
    </row>
    <row r="804">
      <c r="C804" s="194"/>
    </row>
    <row r="805">
      <c r="C805" s="194"/>
    </row>
    <row r="806">
      <c r="C806" s="194"/>
    </row>
    <row r="807">
      <c r="C807" s="194"/>
    </row>
    <row r="808">
      <c r="C808" s="194"/>
    </row>
    <row r="809">
      <c r="C809" s="194"/>
    </row>
    <row r="810">
      <c r="C810" s="194"/>
    </row>
    <row r="811">
      <c r="C811" s="194"/>
    </row>
    <row r="812">
      <c r="C812" s="194"/>
    </row>
    <row r="813">
      <c r="C813" s="194"/>
    </row>
    <row r="814">
      <c r="C814" s="194"/>
    </row>
    <row r="815">
      <c r="C815" s="194"/>
    </row>
    <row r="816">
      <c r="C816" s="194"/>
    </row>
    <row r="817">
      <c r="C817" s="194"/>
    </row>
    <row r="818">
      <c r="C818" s="194"/>
    </row>
    <row r="819">
      <c r="C819" s="194"/>
    </row>
    <row r="820">
      <c r="C820" s="194"/>
    </row>
    <row r="821">
      <c r="C821" s="194"/>
    </row>
    <row r="822">
      <c r="C822" s="194"/>
    </row>
    <row r="823">
      <c r="C823" s="194"/>
    </row>
    <row r="824">
      <c r="C824" s="194"/>
    </row>
    <row r="825">
      <c r="C825" s="194"/>
    </row>
    <row r="826">
      <c r="C826" s="194"/>
    </row>
    <row r="827">
      <c r="C827" s="194"/>
    </row>
    <row r="828">
      <c r="C828" s="194"/>
    </row>
    <row r="829">
      <c r="C829" s="194"/>
    </row>
    <row r="830">
      <c r="C830" s="194"/>
    </row>
    <row r="831">
      <c r="C831" s="194"/>
    </row>
    <row r="832">
      <c r="C832" s="194"/>
    </row>
    <row r="833">
      <c r="C833" s="194"/>
    </row>
    <row r="834">
      <c r="C834" s="194"/>
    </row>
    <row r="835">
      <c r="C835" s="194"/>
    </row>
    <row r="836">
      <c r="C836" s="194"/>
    </row>
    <row r="837">
      <c r="C837" s="194"/>
    </row>
    <row r="838">
      <c r="C838" s="194"/>
    </row>
    <row r="839">
      <c r="C839" s="194"/>
    </row>
    <row r="840">
      <c r="C840" s="194"/>
    </row>
    <row r="841">
      <c r="C841" s="194"/>
    </row>
    <row r="842">
      <c r="C842" s="194"/>
    </row>
    <row r="843">
      <c r="C843" s="194"/>
    </row>
    <row r="844">
      <c r="C844" s="194"/>
    </row>
    <row r="845">
      <c r="C845" s="194"/>
    </row>
    <row r="846">
      <c r="C846" s="194"/>
    </row>
    <row r="847">
      <c r="C847" s="194"/>
    </row>
    <row r="848">
      <c r="C848" s="194"/>
    </row>
    <row r="849">
      <c r="C849" s="194"/>
    </row>
    <row r="850">
      <c r="C850" s="194"/>
    </row>
    <row r="851">
      <c r="C851" s="194"/>
    </row>
    <row r="852">
      <c r="C852" s="194"/>
    </row>
    <row r="853">
      <c r="C853" s="194"/>
    </row>
    <row r="854">
      <c r="C854" s="194"/>
    </row>
    <row r="855">
      <c r="C855" s="194"/>
    </row>
    <row r="856">
      <c r="C856" s="194"/>
    </row>
    <row r="857">
      <c r="C857" s="194"/>
    </row>
    <row r="858">
      <c r="C858" s="194"/>
    </row>
    <row r="859">
      <c r="C859" s="194"/>
    </row>
    <row r="860">
      <c r="C860" s="194"/>
    </row>
    <row r="861">
      <c r="C861" s="194"/>
    </row>
    <row r="862">
      <c r="C862" s="194"/>
    </row>
    <row r="863">
      <c r="C863" s="194"/>
    </row>
    <row r="864">
      <c r="C864" s="194"/>
    </row>
    <row r="865">
      <c r="C865" s="194"/>
    </row>
    <row r="866">
      <c r="C866" s="194"/>
    </row>
    <row r="867">
      <c r="C867" s="194"/>
    </row>
    <row r="868">
      <c r="C868" s="194"/>
    </row>
    <row r="869">
      <c r="C869" s="194"/>
    </row>
    <row r="870">
      <c r="C870" s="194"/>
    </row>
    <row r="871">
      <c r="C871" s="194"/>
    </row>
    <row r="872">
      <c r="C872" s="194"/>
    </row>
    <row r="873">
      <c r="C873" s="194"/>
    </row>
    <row r="874">
      <c r="C874" s="194"/>
    </row>
    <row r="875">
      <c r="C875" s="194"/>
    </row>
    <row r="876">
      <c r="C876" s="194"/>
    </row>
    <row r="877">
      <c r="C877" s="194"/>
    </row>
    <row r="878">
      <c r="C878" s="194"/>
    </row>
    <row r="879">
      <c r="C879" s="194"/>
    </row>
    <row r="880">
      <c r="C880" s="194"/>
    </row>
    <row r="881">
      <c r="C881" s="194"/>
    </row>
    <row r="882">
      <c r="C882" s="194"/>
    </row>
    <row r="883">
      <c r="C883" s="194"/>
    </row>
    <row r="884">
      <c r="C884" s="194"/>
    </row>
    <row r="885">
      <c r="C885" s="194"/>
    </row>
    <row r="886">
      <c r="C886" s="194"/>
    </row>
    <row r="887">
      <c r="C887" s="194"/>
    </row>
    <row r="888">
      <c r="C888" s="194"/>
    </row>
    <row r="889">
      <c r="C889" s="194"/>
    </row>
    <row r="890">
      <c r="C890" s="194"/>
    </row>
    <row r="891">
      <c r="C891" s="194"/>
    </row>
    <row r="892">
      <c r="C892" s="194"/>
    </row>
    <row r="893">
      <c r="C893" s="194"/>
    </row>
    <row r="894">
      <c r="C894" s="194"/>
    </row>
    <row r="895">
      <c r="C895" s="194"/>
    </row>
    <row r="896">
      <c r="C896" s="194"/>
    </row>
    <row r="897">
      <c r="C897" s="194"/>
    </row>
    <row r="898">
      <c r="C898" s="194"/>
    </row>
    <row r="899">
      <c r="C899" s="194"/>
    </row>
    <row r="900">
      <c r="C900" s="194"/>
    </row>
    <row r="901">
      <c r="C901" s="194"/>
    </row>
    <row r="902">
      <c r="C902" s="194"/>
    </row>
    <row r="903">
      <c r="C903" s="194"/>
    </row>
    <row r="904">
      <c r="C904" s="194"/>
    </row>
    <row r="905">
      <c r="C905" s="194"/>
    </row>
    <row r="906">
      <c r="C906" s="194"/>
    </row>
    <row r="907">
      <c r="C907" s="194"/>
    </row>
    <row r="908">
      <c r="C908" s="194"/>
    </row>
    <row r="909">
      <c r="C909" s="194"/>
    </row>
    <row r="910">
      <c r="C910" s="194"/>
    </row>
    <row r="911">
      <c r="C911" s="194"/>
    </row>
    <row r="912">
      <c r="C912" s="194"/>
    </row>
    <row r="913">
      <c r="C913" s="194"/>
    </row>
    <row r="914">
      <c r="C914" s="194"/>
    </row>
    <row r="915">
      <c r="C915" s="194"/>
    </row>
    <row r="916">
      <c r="C916" s="194"/>
    </row>
    <row r="917">
      <c r="C917" s="194"/>
    </row>
    <row r="918">
      <c r="C918" s="194"/>
    </row>
    <row r="919">
      <c r="C919" s="194"/>
    </row>
    <row r="920">
      <c r="C920" s="194"/>
    </row>
    <row r="921">
      <c r="C921" s="194"/>
    </row>
    <row r="922">
      <c r="C922" s="194"/>
    </row>
    <row r="923">
      <c r="C923" s="194"/>
    </row>
    <row r="924">
      <c r="C924" s="194"/>
    </row>
    <row r="925">
      <c r="C925" s="194"/>
    </row>
    <row r="926">
      <c r="C926" s="194"/>
    </row>
    <row r="927">
      <c r="C927" s="194"/>
    </row>
    <row r="928">
      <c r="C928" s="194"/>
    </row>
    <row r="929">
      <c r="C929" s="194"/>
    </row>
    <row r="930">
      <c r="C930" s="194"/>
    </row>
    <row r="931">
      <c r="C931" s="194"/>
    </row>
    <row r="932">
      <c r="C932" s="194"/>
    </row>
    <row r="933">
      <c r="C933" s="194"/>
    </row>
    <row r="934">
      <c r="C934" s="194"/>
    </row>
    <row r="935">
      <c r="C935" s="194"/>
    </row>
    <row r="936">
      <c r="C936" s="194"/>
    </row>
    <row r="937">
      <c r="C937" s="194"/>
    </row>
    <row r="938">
      <c r="C938" s="194"/>
    </row>
    <row r="939">
      <c r="C939" s="194"/>
    </row>
    <row r="940">
      <c r="C940" s="194"/>
    </row>
    <row r="941">
      <c r="C941" s="194"/>
    </row>
    <row r="942">
      <c r="C942" s="194"/>
    </row>
    <row r="943">
      <c r="C943" s="194"/>
    </row>
    <row r="944">
      <c r="C944" s="194"/>
    </row>
    <row r="945">
      <c r="C945" s="194"/>
    </row>
    <row r="946">
      <c r="C946" s="194"/>
    </row>
    <row r="947">
      <c r="C947" s="194"/>
    </row>
    <row r="948">
      <c r="C948" s="194"/>
    </row>
    <row r="949">
      <c r="C949" s="194"/>
    </row>
    <row r="950">
      <c r="C950" s="194"/>
    </row>
    <row r="951">
      <c r="C951" s="194"/>
    </row>
    <row r="952">
      <c r="C952" s="194"/>
    </row>
    <row r="953">
      <c r="C953" s="194"/>
    </row>
    <row r="954">
      <c r="C954" s="194"/>
    </row>
    <row r="955">
      <c r="C955" s="194"/>
    </row>
    <row r="956">
      <c r="C956" s="194"/>
    </row>
    <row r="957">
      <c r="C957" s="194"/>
    </row>
    <row r="958">
      <c r="C958" s="194"/>
    </row>
    <row r="959">
      <c r="C959" s="194"/>
    </row>
    <row r="960">
      <c r="C960" s="194"/>
    </row>
    <row r="961">
      <c r="C961" s="194"/>
    </row>
    <row r="962">
      <c r="C962" s="194"/>
    </row>
    <row r="963">
      <c r="C963" s="194"/>
    </row>
    <row r="964">
      <c r="C964" s="194"/>
    </row>
    <row r="965">
      <c r="C965" s="194"/>
    </row>
    <row r="966">
      <c r="C966" s="194"/>
    </row>
    <row r="967">
      <c r="C967" s="194"/>
    </row>
    <row r="968">
      <c r="C968" s="194"/>
    </row>
    <row r="969">
      <c r="C969" s="194"/>
    </row>
    <row r="970">
      <c r="C970" s="194"/>
    </row>
    <row r="971">
      <c r="C971" s="194"/>
    </row>
    <row r="972">
      <c r="C972" s="194"/>
    </row>
    <row r="973">
      <c r="C973" s="194"/>
    </row>
    <row r="974">
      <c r="C974" s="194"/>
    </row>
    <row r="975">
      <c r="C975" s="194"/>
    </row>
    <row r="976">
      <c r="C976" s="194"/>
    </row>
    <row r="977">
      <c r="C977" s="194"/>
    </row>
    <row r="978">
      <c r="C978" s="194"/>
    </row>
    <row r="979">
      <c r="C979" s="194"/>
    </row>
    <row r="980">
      <c r="C980" s="194"/>
    </row>
    <row r="981">
      <c r="C981" s="194"/>
    </row>
    <row r="982">
      <c r="C982" s="194"/>
    </row>
    <row r="983">
      <c r="C983" s="194"/>
    </row>
    <row r="984">
      <c r="C984" s="194"/>
    </row>
    <row r="985">
      <c r="C985" s="194"/>
    </row>
    <row r="986">
      <c r="C986" s="194"/>
    </row>
    <row r="987">
      <c r="C987" s="194"/>
    </row>
    <row r="988">
      <c r="C988" s="194"/>
    </row>
    <row r="989">
      <c r="C989" s="194"/>
    </row>
    <row r="990">
      <c r="C990" s="194"/>
    </row>
    <row r="991">
      <c r="C991" s="194"/>
    </row>
    <row r="992">
      <c r="C992" s="194"/>
    </row>
    <row r="993">
      <c r="C993" s="194"/>
    </row>
    <row r="994">
      <c r="C994" s="194"/>
    </row>
    <row r="995">
      <c r="C995" s="194"/>
    </row>
    <row r="996">
      <c r="C996" s="194"/>
    </row>
    <row r="997">
      <c r="C997" s="194"/>
    </row>
    <row r="998">
      <c r="C998" s="194"/>
    </row>
    <row r="999">
      <c r="C999" s="194"/>
    </row>
    <row r="1000">
      <c r="C1000" s="194"/>
    </row>
    <row r="1001">
      <c r="C1001" s="194"/>
    </row>
    <row r="1002">
      <c r="C1002" s="194"/>
    </row>
    <row r="1003">
      <c r="C1003" s="194"/>
    </row>
    <row r="1004">
      <c r="C1004" s="194"/>
    </row>
    <row r="1005">
      <c r="C1005" s="194"/>
    </row>
    <row r="1006">
      <c r="C1006" s="194"/>
    </row>
    <row r="1007">
      <c r="C1007" s="194"/>
    </row>
    <row r="1008">
      <c r="C1008" s="194"/>
    </row>
    <row r="1009">
      <c r="C1009" s="194"/>
    </row>
    <row r="1010">
      <c r="C1010" s="194"/>
    </row>
    <row r="1011">
      <c r="C1011" s="194"/>
    </row>
    <row r="1012">
      <c r="C1012" s="194"/>
    </row>
    <row r="1013">
      <c r="C1013" s="194"/>
    </row>
    <row r="1014">
      <c r="C1014" s="194"/>
    </row>
    <row r="1015">
      <c r="C1015" s="194"/>
    </row>
    <row r="1016">
      <c r="C1016" s="194"/>
    </row>
    <row r="1017">
      <c r="C1017" s="194"/>
    </row>
    <row r="1018">
      <c r="C1018" s="194"/>
    </row>
    <row r="1019">
      <c r="C1019" s="194"/>
    </row>
    <row r="1020">
      <c r="C1020" s="194"/>
    </row>
    <row r="1021">
      <c r="C1021" s="194"/>
    </row>
    <row r="1022">
      <c r="C1022" s="194"/>
    </row>
    <row r="1023">
      <c r="C1023" s="194"/>
    </row>
    <row r="1024">
      <c r="C1024" s="194"/>
    </row>
    <row r="1025">
      <c r="C1025" s="194"/>
    </row>
    <row r="1026">
      <c r="C1026" s="194"/>
    </row>
    <row r="1027">
      <c r="C1027" s="194"/>
    </row>
    <row r="1028">
      <c r="C1028" s="194"/>
    </row>
    <row r="1029">
      <c r="C1029" s="194"/>
    </row>
    <row r="1030">
      <c r="C1030" s="194"/>
    </row>
    <row r="1031">
      <c r="C1031" s="194"/>
    </row>
    <row r="1032">
      <c r="C1032" s="194"/>
    </row>
    <row r="1033">
      <c r="C1033" s="194"/>
    </row>
    <row r="1034">
      <c r="C1034" s="194"/>
    </row>
    <row r="1035">
      <c r="C1035" s="194"/>
    </row>
    <row r="1036">
      <c r="C1036" s="194"/>
    </row>
    <row r="1037">
      <c r="C1037" s="194"/>
    </row>
    <row r="1038">
      <c r="C1038" s="194"/>
    </row>
    <row r="1039">
      <c r="C1039" s="194"/>
    </row>
    <row r="1040">
      <c r="C1040" s="194"/>
    </row>
    <row r="1041">
      <c r="C1041" s="194"/>
    </row>
    <row r="1042">
      <c r="C1042" s="194"/>
    </row>
    <row r="1043">
      <c r="C1043" s="194"/>
    </row>
    <row r="1044">
      <c r="C1044" s="194"/>
    </row>
    <row r="1045">
      <c r="C1045" s="194"/>
    </row>
    <row r="1046">
      <c r="C1046" s="194"/>
    </row>
    <row r="1047">
      <c r="C1047" s="194"/>
    </row>
    <row r="1048">
      <c r="C1048" s="194"/>
    </row>
    <row r="1049">
      <c r="C1049" s="194"/>
    </row>
    <row r="1050">
      <c r="C1050" s="194"/>
    </row>
    <row r="1051">
      <c r="C1051" s="194"/>
    </row>
    <row r="1052">
      <c r="C1052" s="194"/>
    </row>
    <row r="1053">
      <c r="C1053" s="194"/>
    </row>
    <row r="1054">
      <c r="C1054" s="194"/>
    </row>
    <row r="1055">
      <c r="C1055" s="194"/>
    </row>
    <row r="1056">
      <c r="C1056" s="194"/>
    </row>
    <row r="1057">
      <c r="C1057" s="194"/>
    </row>
    <row r="1058">
      <c r="C1058" s="194"/>
    </row>
    <row r="1059">
      <c r="C1059" s="194"/>
    </row>
    <row r="1060">
      <c r="C1060" s="194"/>
    </row>
    <row r="1061">
      <c r="C1061" s="194"/>
    </row>
    <row r="1062">
      <c r="C1062" s="194"/>
    </row>
    <row r="1063">
      <c r="C1063" s="194"/>
    </row>
    <row r="1064">
      <c r="C1064" s="194"/>
    </row>
    <row r="1065">
      <c r="C1065" s="194"/>
    </row>
    <row r="1066">
      <c r="C1066" s="194"/>
    </row>
    <row r="1067">
      <c r="C1067" s="194"/>
    </row>
    <row r="1068">
      <c r="C1068" s="194"/>
    </row>
    <row r="1069">
      <c r="C1069" s="194"/>
    </row>
    <row r="1070">
      <c r="C1070" s="194"/>
    </row>
    <row r="1071">
      <c r="C1071" s="194"/>
    </row>
  </sheetData>
  <mergeCells count="19">
    <mergeCell ref="F2:F3"/>
    <mergeCell ref="G2:G3"/>
    <mergeCell ref="H2:H3"/>
    <mergeCell ref="I2:I3"/>
    <mergeCell ref="J2:J3"/>
    <mergeCell ref="N2:N3"/>
    <mergeCell ref="O2:O3"/>
    <mergeCell ref="P2:P3"/>
    <mergeCell ref="Q2:Q3"/>
    <mergeCell ref="R2:R3"/>
    <mergeCell ref="S2:S3"/>
    <mergeCell ref="U2:U3"/>
    <mergeCell ref="C1:J1"/>
    <mergeCell ref="N1:U1"/>
    <mergeCell ref="A2:A3"/>
    <mergeCell ref="B2:B3"/>
    <mergeCell ref="C2:C3"/>
    <mergeCell ref="D2:D3"/>
    <mergeCell ref="E2:E3"/>
  </mergeCells>
  <conditionalFormatting sqref="J5:J113">
    <cfRule type="cellIs" dxfId="5" priority="1" operator="greaterThan">
      <formula>0</formula>
    </cfRule>
  </conditionalFormatting>
  <conditionalFormatting sqref="J5:J113">
    <cfRule type="cellIs" dxfId="6" priority="2" operator="lessThan">
      <formula>0</formula>
    </cfRule>
  </conditionalFormatting>
  <conditionalFormatting sqref="J5:J113">
    <cfRule type="notContainsBlanks" dxfId="11" priority="3">
      <formula>LEN(TRIM(J5))&gt;0</formula>
    </cfRule>
  </conditionalFormatting>
  <conditionalFormatting sqref="C5:G113 H5:I36 H38:I113">
    <cfRule type="notContainsBlanks" dxfId="4" priority="4">
      <formula>LEN(TRIM(C5))&gt;0</formula>
    </cfRule>
  </conditionalFormatting>
  <conditionalFormatting sqref="C5:G113 H5:I36 H38:I113">
    <cfRule type="cellIs" dxfId="9" priority="5" operator="greaterThan">
      <formula>0</formula>
    </cfRule>
  </conditionalFormatting>
  <conditionalFormatting sqref="C5:G113 H5:I36 H38:I113">
    <cfRule type="cellIs" dxfId="6" priority="6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75"/>
    <col customWidth="1" min="2" max="3" width="21.38"/>
    <col customWidth="1" min="4" max="4" width="25.38"/>
    <col customWidth="1" min="5" max="5" width="21.63"/>
    <col customWidth="1" min="6" max="6" width="31.25"/>
    <col customWidth="1" min="7" max="7" width="25.63"/>
    <col customWidth="1" min="8" max="8" width="33.25"/>
  </cols>
  <sheetData>
    <row r="1">
      <c r="A1" s="2" t="s">
        <v>1</v>
      </c>
    </row>
    <row r="2">
      <c r="A2" s="5" t="s">
        <v>3</v>
      </c>
      <c r="B2" s="8" t="s">
        <v>7</v>
      </c>
      <c r="C2" s="5" t="s">
        <v>9</v>
      </c>
      <c r="D2" s="11" t="s">
        <v>10</v>
      </c>
      <c r="E2" s="5" t="s">
        <v>12</v>
      </c>
      <c r="F2" s="11" t="s">
        <v>13</v>
      </c>
      <c r="G2" s="5" t="s">
        <v>15</v>
      </c>
      <c r="H2" s="14" t="s">
        <v>18</v>
      </c>
    </row>
    <row r="3">
      <c r="A3" s="26" t="str">
        <f>IFERROR(__xludf.DUMMYFUNCTION("UNIQUE(FILTER(SUMMARY!A2:A153,(SUMMARY!A2:A153&lt;&gt;"""")*(COUNTIF(LEGEND!B2:B13,SUMMARY!A2:A153)&gt;0)))"),"AUG")</f>
        <v>AUG</v>
      </c>
      <c r="B3" s="36">
        <f t="array" ref="B3">IFERROR(SUM(
  INDEX(SUMMARY!$C:$C,MATCH($A3,SUMMARY!$A:$A,0)+1):
  INDEX(SUMMARY!$C:$C,MATCH($A3&amp;"_TOTAL",SUMMARY!$A:$A,0)-1)
),0)</f>
        <v>1139465.57</v>
      </c>
      <c r="C3" s="51">
        <f t="array" ref="C3">IFERROR( AVERAGE(
  INDEX(SUMMARY!D:D,MATCH($A3,SUMMARY!$A:$A,0)+1):
  INDEX(SUMMARY!D:D,MATCH($A3&amp;"_TOTAL",SUMMARY!$A:$A,0)-1)
),0)</f>
        <v>17737.58198</v>
      </c>
      <c r="D3" s="64">
        <f t="array" ref="D3">IFERROR(SUM(
  INDEX(SUMMARY!E:E,MATCH($A3,SUMMARY!$A:$A,0)+1):
  INDEX(SUMMARY!E:E,MATCH($A3&amp;"_TOTAL",SUMMARY!$A:$A,0)-1)
),0)</f>
        <v>20209889639</v>
      </c>
      <c r="E3" s="51">
        <f t="array" ref="E3">IFERROR(AVERAGE(
  INDEX(SUMMARY!F:F,MATCH($A3,SUMMARY!$A:$A,0)+1):
  INDEX(SUMMARY!F:F,MATCH($A3&amp;"_TOTAL",SUMMARY!$A:$A,0)-1)
),0)</f>
        <v>17762.5</v>
      </c>
      <c r="F3" s="64">
        <f t="array" ref="F3">IFERROR(SUM(
  INDEX(SUMMARY!G:G,MATCH($A3,SUMMARY!$A:$A,0)+1):
  INDEX(SUMMARY!G:G,MATCH($A3&amp;"_TOTAL",SUMMARY!$A:$A,0)-1)
),0)</f>
        <v>20249998209</v>
      </c>
      <c r="G3" s="64">
        <f t="array" ref="G3">IFERROR(SUM(
  INDEX(SUMMARY!H:H,MATCH($A3,SUMMARY!$A:$A,0)+1):
  INDEX(SUMMARY!H:H,MATCH($A3&amp;"_TOTAL",SUMMARY!$A:$A,0)-1)
),0)</f>
        <v>14146922.75</v>
      </c>
      <c r="H3" s="73">
        <f t="array" ref="H3">IFERROR(SUM(
  INDEX(SUMMARY!J:J,MATCH($A3,SUMMARY!$A:$A,0)+1):
  INDEX(SUMMARY!J:J,MATCH($A3&amp;"_TOTAL",SUMMARY!$A:$A,0)-1)
),0)</f>
        <v>25961646.83</v>
      </c>
    </row>
    <row r="4">
      <c r="A4" s="26" t="str">
        <f>IFERROR(__xludf.DUMMYFUNCTION("""COMPUTED_VALUE"""),"SEP")</f>
        <v>SEP</v>
      </c>
      <c r="B4" s="36">
        <f t="array" ref="B4">IFERROR(SUM(
  INDEX(SUMMARY!$C:$C,MATCH($A4,SUMMARY!$A:$A,0)+1):
  INDEX(SUMMARY!$C:$C,MATCH($A4&amp;"_TOTAL",SUMMARY!$A:$A,0)-1)
),0)</f>
        <v>11639890.98</v>
      </c>
      <c r="C4" s="51">
        <f t="array" ref="C4">IFERROR( AVERAGE(
  INDEX(SUMMARY!D:D,MATCH($A4,SUMMARY!$A:$A,0)+1):
  INDEX(SUMMARY!D:D,MATCH($A4&amp;"_TOTAL",SUMMARY!$A:$A,0)-1)
),0)</f>
        <v>17635.51172</v>
      </c>
      <c r="D4" s="64">
        <f t="array" ref="D4">IFERROR(SUM(
  INDEX(SUMMARY!E:E,MATCH($A4,SUMMARY!$A:$A,0)+1):
  INDEX(SUMMARY!E:E,MATCH($A4&amp;"_TOTAL",SUMMARY!$A:$A,0)-1)
),0)</f>
        <v>205573414297</v>
      </c>
      <c r="E4" s="51">
        <f t="array" ref="E4">IFERROR(AVERAGE(
  INDEX(SUMMARY!F:F,MATCH($A4,SUMMARY!$A:$A,0)+1):
  INDEX(SUMMARY!F:F,MATCH($A4&amp;"_TOTAL",SUMMARY!$A:$A,0)-1)
),0)</f>
        <v>17663.64286</v>
      </c>
      <c r="F4" s="64">
        <f t="array" ref="F4">IFERROR(SUM(
  INDEX(SUMMARY!G:G,MATCH($A4,SUMMARY!$A:$A,0)+1):
  INDEX(SUMMARY!G:G,MATCH($A4&amp;"_TOTAL",SUMMARY!$A:$A,0)-1)
),0)</f>
        <v>205910516613</v>
      </c>
      <c r="G4" s="64">
        <f t="shared" ref="G4:G15" si="1">IFERROR(SUM(
  INDEX(#REF!,MATCH($K4,$A:$A,0)+1):
  INDEX(#REF!,MATCH($K4&amp;"_TOTAL",$A:$A,0)-1)
),0)</f>
        <v>0</v>
      </c>
      <c r="H4" s="73">
        <f t="array" ref="H4">IFERROR(SUM(
  INDEX(SUMMARY!J:J,MATCH($A4,SUMMARY!$A:$A,0)+1):
  INDEX(SUMMARY!J:J,MATCH($A4&amp;"_TOTAL",SUMMARY!$A:$A,0)-1)
),0)</f>
        <v>293647681.6</v>
      </c>
    </row>
    <row r="5">
      <c r="A5" s="26" t="str">
        <f>IFERROR(__xludf.DUMMYFUNCTION("""COMPUTED_VALUE"""),"OCT")</f>
        <v>OCT</v>
      </c>
      <c r="B5" s="36">
        <f t="array" ref="B5">IFERROR(SUM(
  INDEX(SUMMARY!$C:$C,MATCH($A5,SUMMARY!$A:$A,0)+1):
  INDEX(SUMMARY!$C:$C,MATCH($A5&amp;"_TOTAL",SUMMARY!$A:$A,0)-1)
),0)</f>
        <v>0</v>
      </c>
      <c r="C5" s="51">
        <f t="array" ref="C5">IFERROR( AVERAGE(
  INDEX(SUMMARY!D:D,MATCH($A5,SUMMARY!$A:$A,0)+1):
  INDEX(SUMMARY!D:D,MATCH($A5&amp;"_TOTAL",SUMMARY!$A:$A,0)-1)
),0)</f>
        <v>0</v>
      </c>
      <c r="D5" s="64">
        <f t="array" ref="D5">IFERROR(SUM(
  INDEX(SUMMARY!E:E,MATCH($A5,SUMMARY!$A:$A,0)+1):
  INDEX(SUMMARY!E:E,MATCH($A5&amp;"_TOTAL",SUMMARY!$A:$A,0)-1)
),0)</f>
        <v>0</v>
      </c>
      <c r="E5" s="51">
        <f t="array" ref="E5">IFERROR(AVERAGE(
  INDEX(SUMMARY!F:F,MATCH($A5,SUMMARY!$A:$A,0)+1):
  INDEX(SUMMARY!F:F,MATCH($A5&amp;"_TOTAL",SUMMARY!$A:$A,0)-1)
),0)</f>
        <v>0</v>
      </c>
      <c r="F5" s="64">
        <f t="array" ref="F5">IFERROR(SUM(
  INDEX(SUMMARY!G:G,MATCH($A5,SUMMARY!$A:$A,0)+1):
  INDEX(SUMMARY!G:G,MATCH($A5&amp;"_TOTAL",SUMMARY!$A:$A,0)-1)
),0)</f>
        <v>0</v>
      </c>
      <c r="G5" s="64">
        <f t="shared" si="1"/>
        <v>0</v>
      </c>
      <c r="H5" s="73">
        <f t="array" ref="H5">IFERROR(SUM(
  INDEX(SUMMARY!J:J,MATCH($A5,SUMMARY!$A:$A,0)+1):
  INDEX(SUMMARY!J:J,MATCH($A5&amp;"_TOTAL",SUMMARY!$A:$A,0)-1)
),0)</f>
        <v>0</v>
      </c>
    </row>
    <row r="6">
      <c r="A6" s="26" t="str">
        <f>IFERROR(__xludf.DUMMYFUNCTION("""COMPUTED_VALUE"""),"NOV")</f>
        <v>NOV</v>
      </c>
      <c r="B6" s="36">
        <f t="array" ref="B6">IFERROR(SUM(
  INDEX(SUMMARY!$C:$C,MATCH($A6,SUMMARY!$A:$A,0)+1):
  INDEX(SUMMARY!$C:$C,MATCH($A6&amp;"_TOTAL",SUMMARY!$A:$A,0)-1)
),0)</f>
        <v>0</v>
      </c>
      <c r="C6" s="51">
        <f t="array" ref="C6">IFERROR( AVERAGE(
  INDEX(SUMMARY!D:D,MATCH($A6,SUMMARY!$A:$A,0)+1):
  INDEX(SUMMARY!D:D,MATCH($A6&amp;"_TOTAL",SUMMARY!$A:$A,0)-1)
),0)</f>
        <v>0</v>
      </c>
      <c r="D6" s="64">
        <f t="array" ref="D6">IFERROR(SUM(
  INDEX(SUMMARY!E:E,MATCH($A6,SUMMARY!$A:$A,0)+1):
  INDEX(SUMMARY!E:E,MATCH($A6&amp;"_TOTAL",SUMMARY!$A:$A,0)-1)
),0)</f>
        <v>0</v>
      </c>
      <c r="E6" s="51">
        <f t="array" ref="E6">IFERROR(AVERAGE(
  INDEX(SUMMARY!F:F,MATCH($A6,SUMMARY!$A:$A,0)+1):
  INDEX(SUMMARY!F:F,MATCH($A6&amp;"_TOTAL",SUMMARY!$A:$A,0)-1)
),0)</f>
        <v>0</v>
      </c>
      <c r="F6" s="64">
        <f t="array" ref="F6">IFERROR(SUM(
  INDEX(SUMMARY!G:G,MATCH($A6,SUMMARY!$A:$A,0)+1):
  INDEX(SUMMARY!G:G,MATCH($A6&amp;"_TOTAL",SUMMARY!$A:$A,0)-1)
),0)</f>
        <v>0</v>
      </c>
      <c r="G6" s="64">
        <f t="shared" si="1"/>
        <v>0</v>
      </c>
      <c r="H6" s="73">
        <f t="array" ref="H6">IFERROR(SUM(
  INDEX(SUMMARY!J:J,MATCH($A6,SUMMARY!$A:$A,0)+1):
  INDEX(SUMMARY!J:J,MATCH($A6&amp;"_TOTAL",SUMMARY!$A:$A,0)-1)
),0)</f>
        <v>0</v>
      </c>
    </row>
    <row r="7">
      <c r="A7" s="26" t="str">
        <f>IFERROR(__xludf.DUMMYFUNCTION("""COMPUTED_VALUE"""),"DEC")</f>
        <v>DEC</v>
      </c>
      <c r="B7" s="36">
        <f t="array" ref="B7">IFERROR(SUM(
  INDEX(SUMMARY!$C:$C,MATCH($A7,SUMMARY!$A:$A,0)+1):
  INDEX(SUMMARY!$C:$C,MATCH($A7&amp;"_TOTAL",SUMMARY!$A:$A,0)-1)
),0)</f>
        <v>0</v>
      </c>
      <c r="C7" s="51">
        <f t="array" ref="C7">IFERROR( AVERAGE(
  INDEX(SUMMARY!D:D,MATCH($A7,SUMMARY!$A:$A,0)+1):
  INDEX(SUMMARY!D:D,MATCH($A7&amp;"_TOTAL",SUMMARY!$A:$A,0)-1)
),0)</f>
        <v>0</v>
      </c>
      <c r="D7" s="64">
        <f t="array" ref="D7">IFERROR(SUM(
  INDEX(SUMMARY!E:E,MATCH($A7,SUMMARY!$A:$A,0)+1):
  INDEX(SUMMARY!E:E,MATCH($A7&amp;"_TOTAL",SUMMARY!$A:$A,0)-1)
),0)</f>
        <v>0</v>
      </c>
      <c r="E7" s="51">
        <f t="array" ref="E7">IFERROR(AVERAGE(
  INDEX(SUMMARY!F:F,MATCH($A7,SUMMARY!$A:$A,0)+1):
  INDEX(SUMMARY!F:F,MATCH($A7&amp;"_TOTAL",SUMMARY!$A:$A,0)-1)
),0)</f>
        <v>0</v>
      </c>
      <c r="F7" s="64">
        <f t="array" ref="F7">IFERROR(SUM(
  INDEX(SUMMARY!G:G,MATCH($A7,SUMMARY!$A:$A,0)+1):
  INDEX(SUMMARY!G:G,MATCH($A7&amp;"_TOTAL",SUMMARY!$A:$A,0)-1)
),0)</f>
        <v>0</v>
      </c>
      <c r="G7" s="64">
        <f t="shared" si="1"/>
        <v>0</v>
      </c>
      <c r="H7" s="73">
        <f t="array" ref="H7">IFERROR(SUM(
  INDEX(SUMMARY!J:J,MATCH($A7,SUMMARY!$A:$A,0)+1):
  INDEX(SUMMARY!J:J,MATCH($A7&amp;"_TOTAL",SUMMARY!$A:$A,0)-1)
),0)</f>
        <v>0</v>
      </c>
    </row>
    <row r="8">
      <c r="A8" s="90"/>
      <c r="B8" s="36">
        <f t="array" ref="B8">IFERROR(SUM(
  INDEX(SUMMARY!$C:$C,MATCH($A8,SUMMARY!$A:$A,0)+1):
  INDEX(SUMMARY!$C:$C,MATCH($A8&amp;"_TOTAL",SUMMARY!$A:$A,0)-1)
),0)</f>
        <v>0</v>
      </c>
      <c r="C8" s="51">
        <f t="array" ref="C8">IFERROR( AVERAGE(
  INDEX(SUMMARY!D:D,MATCH($A8,SUMMARY!$A:$A,0)+1):
  INDEX(SUMMARY!D:D,MATCH($A8&amp;"_TOTAL",SUMMARY!$A:$A,0)-1)
),0)</f>
        <v>0</v>
      </c>
      <c r="D8" s="64">
        <f t="array" ref="D8">IFERROR(SUM(
  INDEX(SUMMARY!E:E,MATCH($A8,SUMMARY!$A:$A,0)+1):
  INDEX(SUMMARY!E:E,MATCH($A8&amp;"_TOTAL",SUMMARY!$A:$A,0)-1)
),0)</f>
        <v>0</v>
      </c>
      <c r="E8" s="51">
        <f t="array" ref="E8">IFERROR(AVERAGE(
  INDEX(SUMMARY!F:F,MATCH($A8,SUMMARY!$A:$A,0)+1):
  INDEX(SUMMARY!F:F,MATCH($A8&amp;"_TOTAL",SUMMARY!$A:$A,0)-1)
),0)</f>
        <v>0</v>
      </c>
      <c r="F8" s="64">
        <f t="array" ref="F8">IFERROR(SUM(
  INDEX(SUMMARY!G:G,MATCH($A8,SUMMARY!$A:$A,0)+1):
  INDEX(SUMMARY!G:G,MATCH($A8&amp;"_TOTAL",SUMMARY!$A:$A,0)-1)
),0)</f>
        <v>0</v>
      </c>
      <c r="G8" s="64">
        <f t="shared" si="1"/>
        <v>0</v>
      </c>
      <c r="H8" s="73">
        <f t="array" ref="H8">IFERROR(SUM(
  INDEX(SUMMARY!J:J,MATCH($A8,SUMMARY!$A:$A,0)+1):
  INDEX(SUMMARY!J:J,MATCH($A8&amp;"_TOTAL",SUMMARY!$A:$A,0)-1)
),0)</f>
        <v>0</v>
      </c>
    </row>
    <row r="9">
      <c r="A9" s="90"/>
      <c r="B9" s="36">
        <f t="array" ref="B9">IFERROR(SUM(
  INDEX(SUMMARY!$C:$C,MATCH($A9,SUMMARY!$A:$A,0)+1):
  INDEX(SUMMARY!$C:$C,MATCH($A9&amp;"_TOTAL",SUMMARY!$A:$A,0)-1)
),0)</f>
        <v>0</v>
      </c>
      <c r="C9" s="51">
        <f t="array" ref="C9">IFERROR( AVERAGE(
  INDEX(SUMMARY!D:D,MATCH($A9,SUMMARY!$A:$A,0)+1):
  INDEX(SUMMARY!D:D,MATCH($A9&amp;"_TOTAL",SUMMARY!$A:$A,0)-1)
),0)</f>
        <v>0</v>
      </c>
      <c r="D9" s="64">
        <f t="array" ref="D9">IFERROR(SUM(
  INDEX(SUMMARY!E:E,MATCH($A9,SUMMARY!$A:$A,0)+1):
  INDEX(SUMMARY!E:E,MATCH($A9&amp;"_TOTAL",SUMMARY!$A:$A,0)-1)
),0)</f>
        <v>0</v>
      </c>
      <c r="E9" s="51">
        <f t="array" ref="E9">IFERROR(AVERAGE(
  INDEX(SUMMARY!F:F,MATCH($A9,SUMMARY!$A:$A,0)+1):
  INDEX(SUMMARY!F:F,MATCH($A9&amp;"_TOTAL",SUMMARY!$A:$A,0)-1)
),0)</f>
        <v>0</v>
      </c>
      <c r="F9" s="64">
        <f t="array" ref="F9">IFERROR(SUM(
  INDEX(SUMMARY!G:G,MATCH($A9,SUMMARY!$A:$A,0)+1):
  INDEX(SUMMARY!G:G,MATCH($A9&amp;"_TOTAL",SUMMARY!$A:$A,0)-1)
),0)</f>
        <v>0</v>
      </c>
      <c r="G9" s="64">
        <f t="shared" si="1"/>
        <v>0</v>
      </c>
      <c r="H9" s="73">
        <f t="array" ref="H9">IFERROR(SUM(
  INDEX(SUMMARY!J:J,MATCH($A9,SUMMARY!$A:$A,0)+1):
  INDEX(SUMMARY!J:J,MATCH($A9&amp;"_TOTAL",SUMMARY!$A:$A,0)-1)
),0)</f>
        <v>0</v>
      </c>
    </row>
    <row r="10">
      <c r="A10" s="90"/>
      <c r="B10" s="36">
        <f t="array" ref="B10">IFERROR(SUM(
  INDEX(SUMMARY!$C:$C,MATCH($A10,SUMMARY!$A:$A,0)+1):
  INDEX(SUMMARY!$C:$C,MATCH($A10&amp;"_TOTAL",SUMMARY!$A:$A,0)-1)
),0)</f>
        <v>0</v>
      </c>
      <c r="C10" s="51">
        <f t="array" ref="C10">IFERROR( AVERAGE(
  INDEX(SUMMARY!D:D,MATCH($A10,SUMMARY!$A:$A,0)+1):
  INDEX(SUMMARY!D:D,MATCH($A10&amp;"_TOTAL",SUMMARY!$A:$A,0)-1)
),0)</f>
        <v>0</v>
      </c>
      <c r="D10" s="64">
        <f t="array" ref="D10">IFERROR(SUM(
  INDEX(SUMMARY!E:E,MATCH($A10,SUMMARY!$A:$A,0)+1):
  INDEX(SUMMARY!E:E,MATCH($A10&amp;"_TOTAL",SUMMARY!$A:$A,0)-1)
),0)</f>
        <v>0</v>
      </c>
      <c r="E10" s="51">
        <f t="array" ref="E10">IFERROR(AVERAGE(
  INDEX(SUMMARY!F:F,MATCH($A10,SUMMARY!$A:$A,0)+1):
  INDEX(SUMMARY!F:F,MATCH($A10&amp;"_TOTAL",SUMMARY!$A:$A,0)-1)
),0)</f>
        <v>0</v>
      </c>
      <c r="F10" s="64">
        <f t="array" ref="F10">IFERROR(SUM(
  INDEX(SUMMARY!G:G,MATCH($A10,SUMMARY!$A:$A,0)+1):
  INDEX(SUMMARY!G:G,MATCH($A10&amp;"_TOTAL",SUMMARY!$A:$A,0)-1)
),0)</f>
        <v>0</v>
      </c>
      <c r="G10" s="64">
        <f t="shared" si="1"/>
        <v>0</v>
      </c>
      <c r="H10" s="73">
        <f t="array" ref="H10">IFERROR(SUM(
  INDEX(SUMMARY!J:J,MATCH($A10,SUMMARY!$A:$A,0)+1):
  INDEX(SUMMARY!J:J,MATCH($A10&amp;"_TOTAL",SUMMARY!$A:$A,0)-1)
),0)</f>
        <v>0</v>
      </c>
    </row>
    <row r="11">
      <c r="A11" s="90"/>
      <c r="B11" s="36">
        <f t="array" ref="B11">IFERROR(SUM(
  INDEX(SUMMARY!$C:$C,MATCH($A11,SUMMARY!$A:$A,0)+1):
  INDEX(SUMMARY!$C:$C,MATCH($A11&amp;"_TOTAL",SUMMARY!$A:$A,0)-1)
),0)</f>
        <v>0</v>
      </c>
      <c r="C11" s="51">
        <f t="array" ref="C11">IFERROR( AVERAGE(
  INDEX(SUMMARY!D:D,MATCH($A11,SUMMARY!$A:$A,0)+1):
  INDEX(SUMMARY!D:D,MATCH($A11&amp;"_TOTAL",SUMMARY!$A:$A,0)-1)
),0)</f>
        <v>0</v>
      </c>
      <c r="D11" s="64">
        <f t="array" ref="D11">IFERROR(SUM(
  INDEX(SUMMARY!E:E,MATCH($A11,SUMMARY!$A:$A,0)+1):
  INDEX(SUMMARY!E:E,MATCH($A11&amp;"_TOTAL",SUMMARY!$A:$A,0)-1)
),0)</f>
        <v>0</v>
      </c>
      <c r="E11" s="51">
        <f t="array" ref="E11">IFERROR(AVERAGE(
  INDEX(SUMMARY!F:F,MATCH($A11,SUMMARY!$A:$A,0)+1):
  INDEX(SUMMARY!F:F,MATCH($A11&amp;"_TOTAL",SUMMARY!$A:$A,0)-1)
),0)</f>
        <v>0</v>
      </c>
      <c r="F11" s="64">
        <f t="array" ref="F11">IFERROR(SUM(
  INDEX(SUMMARY!G:G,MATCH($A11,SUMMARY!$A:$A,0)+1):
  INDEX(SUMMARY!G:G,MATCH($A11&amp;"_TOTAL",SUMMARY!$A:$A,0)-1)
),0)</f>
        <v>0</v>
      </c>
      <c r="G11" s="64">
        <f t="shared" si="1"/>
        <v>0</v>
      </c>
      <c r="H11" s="73">
        <f t="array" ref="H11">IFERROR(SUM(
  INDEX(SUMMARY!J:J,MATCH($A11,SUMMARY!$A:$A,0)+1):
  INDEX(SUMMARY!J:J,MATCH($A11&amp;"_TOTAL",SUMMARY!$A:$A,0)-1)
),0)</f>
        <v>0</v>
      </c>
    </row>
    <row r="12">
      <c r="A12" s="90"/>
      <c r="B12" s="36">
        <f t="array" ref="B12">IFERROR(SUM(
  INDEX(SUMMARY!$C:$C,MATCH($A12,SUMMARY!$A:$A,0)+1):
  INDEX(SUMMARY!$C:$C,MATCH($A12&amp;"_TOTAL",SUMMARY!$A:$A,0)-1)
),0)</f>
        <v>0</v>
      </c>
      <c r="C12" s="51">
        <f t="array" ref="C12">IFERROR( AVERAGE(
  INDEX(SUMMARY!D:D,MATCH($A12,SUMMARY!$A:$A,0)+1):
  INDEX(SUMMARY!D:D,MATCH($A12&amp;"_TOTAL",SUMMARY!$A:$A,0)-1)
),0)</f>
        <v>0</v>
      </c>
      <c r="D12" s="64">
        <f t="array" ref="D12">IFERROR(SUM(
  INDEX(SUMMARY!E:E,MATCH($A12,SUMMARY!$A:$A,0)+1):
  INDEX(SUMMARY!E:E,MATCH($A12&amp;"_TOTAL",SUMMARY!$A:$A,0)-1)
),0)</f>
        <v>0</v>
      </c>
      <c r="E12" s="51">
        <f t="array" ref="E12">IFERROR(AVERAGE(
  INDEX(SUMMARY!F:F,MATCH($A12,SUMMARY!$A:$A,0)+1):
  INDEX(SUMMARY!F:F,MATCH($A12&amp;"_TOTAL",SUMMARY!$A:$A,0)-1)
),0)</f>
        <v>0</v>
      </c>
      <c r="F12" s="64">
        <f t="array" ref="F12">IFERROR(SUM(
  INDEX(SUMMARY!G:G,MATCH($A12,SUMMARY!$A:$A,0)+1):
  INDEX(SUMMARY!G:G,MATCH($A12&amp;"_TOTAL",SUMMARY!$A:$A,0)-1)
),0)</f>
        <v>0</v>
      </c>
      <c r="G12" s="64">
        <f t="shared" si="1"/>
        <v>0</v>
      </c>
      <c r="H12" s="73">
        <f t="array" ref="H12">IFERROR(SUM(
  INDEX(SUMMARY!J:J,MATCH($A12,SUMMARY!$A:$A,0)+1):
  INDEX(SUMMARY!J:J,MATCH($A12&amp;"_TOTAL",SUMMARY!$A:$A,0)-1)
),0)</f>
        <v>0</v>
      </c>
    </row>
    <row r="13">
      <c r="A13" s="90"/>
      <c r="B13" s="36">
        <f t="array" ref="B13">IFERROR(SUM(
  INDEX(SUMMARY!$C:$C,MATCH($A13,SUMMARY!$A:$A,0)+1):
  INDEX(SUMMARY!$C:$C,MATCH($A13&amp;"_TOTAL",SUMMARY!$A:$A,0)-1)
),0)</f>
        <v>0</v>
      </c>
      <c r="C13" s="51">
        <f t="array" ref="C13">IFERROR( AVERAGE(
  INDEX(SUMMARY!D:D,MATCH($A13,SUMMARY!$A:$A,0)+1):
  INDEX(SUMMARY!D:D,MATCH($A13&amp;"_TOTAL",SUMMARY!$A:$A,0)-1)
),0)</f>
        <v>0</v>
      </c>
      <c r="D13" s="64">
        <f t="array" ref="D13">IFERROR(SUM(
  INDEX(SUMMARY!E:E,MATCH($A13,SUMMARY!$A:$A,0)+1):
  INDEX(SUMMARY!E:E,MATCH($A13&amp;"_TOTAL",SUMMARY!$A:$A,0)-1)
),0)</f>
        <v>0</v>
      </c>
      <c r="E13" s="51">
        <f t="array" ref="E13">IFERROR(AVERAGE(
  INDEX(SUMMARY!F:F,MATCH($A13,SUMMARY!$A:$A,0)+1):
  INDEX(SUMMARY!F:F,MATCH($A13&amp;"_TOTAL",SUMMARY!$A:$A,0)-1)
),0)</f>
        <v>0</v>
      </c>
      <c r="F13" s="64">
        <f t="array" ref="F13">IFERROR(SUM(
  INDEX(SUMMARY!G:G,MATCH($A13,SUMMARY!$A:$A,0)+1):
  INDEX(SUMMARY!G:G,MATCH($A13&amp;"_TOTAL",SUMMARY!$A:$A,0)-1)
),0)</f>
        <v>0</v>
      </c>
      <c r="G13" s="64">
        <f t="shared" si="1"/>
        <v>0</v>
      </c>
      <c r="H13" s="73">
        <f t="array" ref="H13">IFERROR(SUM(
  INDEX(SUMMARY!J:J,MATCH($A13,SUMMARY!$A:$A,0)+1):
  INDEX(SUMMARY!J:J,MATCH($A13&amp;"_TOTAL",SUMMARY!$A:$A,0)-1)
),0)</f>
        <v>0</v>
      </c>
    </row>
    <row r="14">
      <c r="A14" s="90"/>
      <c r="B14" s="36">
        <f t="array" ref="B14">IFERROR(SUM(
  INDEX(SUMMARY!$C:$C,MATCH($A14,SUMMARY!$A:$A,0)+1):
  INDEX(SUMMARY!$C:$C,MATCH($A14&amp;"_TOTAL",SUMMARY!$A:$A,0)-1)
),0)</f>
        <v>0</v>
      </c>
      <c r="C14" s="51">
        <f t="array" ref="C14">IFERROR( AVERAGE(
  INDEX(SUMMARY!D:D,MATCH($A14,SUMMARY!$A:$A,0)+1):
  INDEX(SUMMARY!D:D,MATCH($A14&amp;"_TOTAL",SUMMARY!$A:$A,0)-1)
),0)</f>
        <v>0</v>
      </c>
      <c r="D14" s="64">
        <f t="array" ref="D14">IFERROR(SUM(
  INDEX(SUMMARY!E:E,MATCH($A14,SUMMARY!$A:$A,0)+1):
  INDEX(SUMMARY!E:E,MATCH($A14&amp;"_TOTAL",SUMMARY!$A:$A,0)-1)
),0)</f>
        <v>0</v>
      </c>
      <c r="E14" s="51">
        <f t="array" ref="E14">IFERROR(AVERAGE(
  INDEX(SUMMARY!F:F,MATCH($A14,SUMMARY!$A:$A,0)+1):
  INDEX(SUMMARY!F:F,MATCH($A14&amp;"_TOTAL",SUMMARY!$A:$A,0)-1)
),0)</f>
        <v>0</v>
      </c>
      <c r="F14" s="64">
        <f t="array" ref="F14">IFERROR(SUM(
  INDEX(SUMMARY!G:G,MATCH($A14,SUMMARY!$A:$A,0)+1):
  INDEX(SUMMARY!G:G,MATCH($A14&amp;"_TOTAL",SUMMARY!$A:$A,0)-1)
),0)</f>
        <v>0</v>
      </c>
      <c r="G14" s="64">
        <f t="shared" si="1"/>
        <v>0</v>
      </c>
      <c r="H14" s="73">
        <f t="array" ref="H14">IFERROR(SUM(
  INDEX(SUMMARY!J:J,MATCH($A14,SUMMARY!$A:$A,0)+1):
  INDEX(SUMMARY!J:J,MATCH($A14&amp;"_TOTAL",SUMMARY!$A:$A,0)-1)
),0)</f>
        <v>0</v>
      </c>
    </row>
    <row r="15">
      <c r="A15" s="90"/>
      <c r="B15" s="36">
        <f t="array" ref="B15">IFERROR(SUM(
  INDEX(SUMMARY!$C:$C,MATCH($A15,SUMMARY!$A:$A,0)+1):
  INDEX(SUMMARY!$C:$C,MATCH($A15&amp;"_TOTAL",SUMMARY!$A:$A,0)-1)
),0)</f>
        <v>0</v>
      </c>
      <c r="C15" s="51">
        <f t="array" ref="C15">IFERROR( AVERAGE(
  INDEX(SUMMARY!D:D,MATCH($A15,SUMMARY!$A:$A,0)+1):
  INDEX(SUMMARY!D:D,MATCH($A15&amp;"_TOTAL",SUMMARY!$A:$A,0)-1)
),0)</f>
        <v>0</v>
      </c>
      <c r="D15" s="64">
        <f t="array" ref="D15">IFERROR(SUM(
  INDEX(SUMMARY!E:E,MATCH($A15,SUMMARY!$A:$A,0)+1):
  INDEX(SUMMARY!E:E,MATCH($A15&amp;"_TOTAL",SUMMARY!$A:$A,0)-1)
),0)</f>
        <v>0</v>
      </c>
      <c r="E15" s="51">
        <f t="array" ref="E15">IFERROR(AVERAGE(
  INDEX(SUMMARY!F:F,MATCH($A15,SUMMARY!$A:$A,0)+1):
  INDEX(SUMMARY!F:F,MATCH($A15&amp;"_TOTAL",SUMMARY!$A:$A,0)-1)
),0)</f>
        <v>0</v>
      </c>
      <c r="F15" s="64">
        <f t="array" ref="F15">IFERROR(SUM(
  INDEX(SUMMARY!G:G,MATCH($A15,SUMMARY!$A:$A,0)+1):
  INDEX(SUMMARY!G:G,MATCH($A15&amp;"_TOTAL",SUMMARY!$A:$A,0)-1)
),0)</f>
        <v>0</v>
      </c>
      <c r="G15" s="64">
        <f t="shared" si="1"/>
        <v>0</v>
      </c>
      <c r="H15" s="73">
        <f t="array" ref="H15">IFERROR(SUM(
  INDEX(SUMMARY!J:J,MATCH($A15,SUMMARY!$A:$A,0)+1):
  INDEX(SUMMARY!J:J,MATCH($A15&amp;"_TOTAL",SUMMARY!$A:$A,0)-1)
),0)</f>
        <v>0</v>
      </c>
    </row>
  </sheetData>
  <mergeCells count="1">
    <mergeCell ref="A1:H1"/>
  </mergeCells>
  <conditionalFormatting sqref="H3:H15">
    <cfRule type="cellIs" dxfId="0" priority="1" operator="greaterThan">
      <formula>0</formula>
    </cfRule>
  </conditionalFormatting>
  <conditionalFormatting sqref="H3:H15">
    <cfRule type="cellIs" dxfId="1" priority="2" operator="lessThan">
      <formula>0</formula>
    </cfRule>
  </conditionalFormatting>
  <conditionalFormatting sqref="H3:H15">
    <cfRule type="notContainsBlanks" dxfId="2" priority="3">
      <formula>LEN(TRIM(H3))&gt;0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21.38"/>
    <col customWidth="1" min="5" max="5" width="16.5"/>
    <col customWidth="1" min="6" max="6" width="26.0"/>
    <col customWidth="1" min="7" max="7" width="17.25"/>
    <col customWidth="1" min="8" max="8" width="14.5"/>
    <col customWidth="1" min="10" max="10" width="21.0"/>
    <col customWidth="1" min="11" max="11" width="27.88"/>
    <col customWidth="1" min="12" max="12" width="22.13"/>
    <col customWidth="1" min="13" max="13" width="19.38"/>
    <col customWidth="1" min="14" max="14" width="14.38"/>
    <col customWidth="1" min="15" max="15" width="18.38"/>
    <col customWidth="1" min="16" max="16" width="23.13"/>
    <col customWidth="1" min="17" max="17" width="23.38"/>
    <col customWidth="1" min="20" max="20" width="19.38"/>
    <col customWidth="1" min="21" max="21" width="16.25"/>
    <col customWidth="1" min="22" max="22" width="23.13"/>
    <col customWidth="1" min="24" max="24" width="41.5"/>
  </cols>
  <sheetData>
    <row r="1">
      <c r="A1" s="80" t="s">
        <v>2</v>
      </c>
      <c r="B1" s="80" t="s">
        <v>4</v>
      </c>
      <c r="C1" s="80" t="s">
        <v>42</v>
      </c>
      <c r="D1" s="81" t="s">
        <v>43</v>
      </c>
      <c r="E1" s="81" t="s">
        <v>44</v>
      </c>
      <c r="F1" s="81" t="s">
        <v>45</v>
      </c>
      <c r="G1" s="2" t="s">
        <v>46</v>
      </c>
      <c r="H1" s="82" t="s">
        <v>4</v>
      </c>
      <c r="I1" s="82" t="s">
        <v>42</v>
      </c>
      <c r="J1" s="84" t="s">
        <v>43</v>
      </c>
      <c r="K1" s="84" t="s">
        <v>45</v>
      </c>
      <c r="L1" s="84" t="s">
        <v>33</v>
      </c>
      <c r="M1" s="85" t="s">
        <v>47</v>
      </c>
      <c r="N1" s="82" t="s">
        <v>4</v>
      </c>
      <c r="O1" s="84" t="s">
        <v>43</v>
      </c>
      <c r="P1" s="84" t="s">
        <v>45</v>
      </c>
      <c r="Q1" s="84" t="s">
        <v>48</v>
      </c>
      <c r="R1" s="84" t="s">
        <v>49</v>
      </c>
      <c r="S1" s="84" t="s">
        <v>50</v>
      </c>
      <c r="T1" s="84" t="s">
        <v>51</v>
      </c>
      <c r="U1" s="84" t="s">
        <v>52</v>
      </c>
      <c r="V1" s="84" t="s">
        <v>53</v>
      </c>
    </row>
    <row r="2">
      <c r="A2" s="74" t="str">
        <f t="shared" ref="A2:A202" si="1">IF(ISBLANK(B2),"",TEXT(B2,"dddd"))</f>
        <v>Monday</v>
      </c>
      <c r="B2" s="49">
        <v>46244.0</v>
      </c>
      <c r="C2" s="86">
        <v>1.0</v>
      </c>
      <c r="D2" s="87">
        <v>27480.75</v>
      </c>
      <c r="E2" s="88">
        <v>17663.0</v>
      </c>
      <c r="F2" s="89">
        <f t="shared" ref="F2:F41" si="2">D2*E2</f>
        <v>485392487.3</v>
      </c>
      <c r="H2" s="91">
        <f t="array" ref="H2:H27">INDEX(UNIQUE(B2:C999), , 1)
</f>
        <v>46244</v>
      </c>
      <c r="I2" s="92">
        <f t="array" ref="I2:I27">INDEX(UNIQUE(B2:C999), , 2)
</f>
        <v>1</v>
      </c>
      <c r="J2" s="93">
        <f t="shared" ref="J2:J41" si="3">SUMIFS($D$2:$D999, $B$2:$B999, H2, $C$2:$C999, I2)</f>
        <v>55860.87</v>
      </c>
      <c r="K2" s="94">
        <f t="shared" ref="K2:K41" si="4">SUMIFS($F$2:$F999, $B$2:$B999, H2, $C$2:$C999, I2)</f>
        <v>986727307.1</v>
      </c>
      <c r="L2" s="95">
        <f t="shared" ref="L2:L41" si="5">IFERROR(K2/J2, 0)</f>
        <v>17664.0161</v>
      </c>
      <c r="N2" s="96">
        <f t="array" ref="N2:N10">UNIQUE(H2:H100)</f>
        <v>46244</v>
      </c>
      <c r="O2" s="97">
        <f t="shared" ref="O2:O41" si="6">SUMIF($H$2:$H999, N2, $J$2:$J999)</f>
        <v>169529.07</v>
      </c>
      <c r="P2" s="98">
        <f t="shared" ref="P2:P41" si="7">SUMIF($H$2:$H999, N2, $K$2:$K999)</f>
        <v>2994242932</v>
      </c>
      <c r="Q2" s="99">
        <f t="shared" ref="Q2:Q41" si="8">IF(N2="", "", IFERROR(P2/O2, "-"))
</f>
        <v>17662.12091</v>
      </c>
      <c r="R2" s="100">
        <v>0.07</v>
      </c>
      <c r="S2" s="101">
        <f t="shared" ref="S2:S41" si="9">O2*$R2%</f>
        <v>118.670349</v>
      </c>
      <c r="T2" s="101">
        <f t="shared" ref="T2:T41" si="10">O2-S2</f>
        <v>169410.3997</v>
      </c>
      <c r="U2" s="101">
        <f>IFERROR(ROUND(ABS(VALUE(T2)-VALUE(SUMMARY!C14)), 2), "-")</f>
        <v>160.95</v>
      </c>
      <c r="V2" s="98">
        <f t="shared" ref="V2:V41" si="11">IFERROR(ROUND(VALUE(U2)*VALUE(Q2), 2), "-")</f>
        <v>2842718.36</v>
      </c>
      <c r="X2" s="102" t="s">
        <v>54</v>
      </c>
    </row>
    <row r="3">
      <c r="A3" s="74" t="str">
        <f t="shared" si="1"/>
        <v>Monday</v>
      </c>
      <c r="B3" s="49">
        <v>46244.0</v>
      </c>
      <c r="C3" s="86">
        <v>1.0</v>
      </c>
      <c r="D3" s="103">
        <v>27480.75</v>
      </c>
      <c r="E3" s="88">
        <v>17665.0</v>
      </c>
      <c r="F3" s="89">
        <f t="shared" si="2"/>
        <v>485447448.8</v>
      </c>
      <c r="G3" s="104"/>
      <c r="H3" s="91">
        <v>46244.0</v>
      </c>
      <c r="I3" s="105">
        <v>2.0</v>
      </c>
      <c r="J3" s="93">
        <f t="shared" si="3"/>
        <v>53373.26</v>
      </c>
      <c r="K3" s="94">
        <f t="shared" si="4"/>
        <v>942838637.9</v>
      </c>
      <c r="L3" s="95">
        <f t="shared" si="5"/>
        <v>17665</v>
      </c>
      <c r="N3" s="96">
        <v>46245.0</v>
      </c>
      <c r="O3" s="97">
        <f t="shared" si="6"/>
        <v>110534.77</v>
      </c>
      <c r="P3" s="98">
        <f t="shared" si="7"/>
        <v>1957578144</v>
      </c>
      <c r="Q3" s="99">
        <f t="shared" si="8"/>
        <v>17710.06665</v>
      </c>
      <c r="R3" s="100">
        <v>0.07</v>
      </c>
      <c r="S3" s="101">
        <f t="shared" si="9"/>
        <v>77.374339</v>
      </c>
      <c r="T3" s="101">
        <f t="shared" si="10"/>
        <v>110457.3957</v>
      </c>
      <c r="U3" s="101">
        <f>IFERROR(ROUND(ABS(VALUE(T3)-VALUE(SUMMARY!C15)), 2), "-")</f>
        <v>2409.73</v>
      </c>
      <c r="V3" s="98">
        <f t="shared" si="11"/>
        <v>42676478.91</v>
      </c>
    </row>
    <row r="4">
      <c r="A4" s="74" t="str">
        <f t="shared" si="1"/>
        <v>Monday</v>
      </c>
      <c r="B4" s="49">
        <v>46244.0</v>
      </c>
      <c r="C4" s="106">
        <v>1.0</v>
      </c>
      <c r="D4" s="103">
        <v>899.37</v>
      </c>
      <c r="E4" s="88">
        <v>17665.0</v>
      </c>
      <c r="F4" s="89">
        <f t="shared" si="2"/>
        <v>15887371.05</v>
      </c>
      <c r="H4" s="91">
        <v>46244.0</v>
      </c>
      <c r="I4" s="105">
        <v>3.0</v>
      </c>
      <c r="J4" s="93">
        <f t="shared" si="3"/>
        <v>60294.94</v>
      </c>
      <c r="K4" s="94">
        <f t="shared" si="4"/>
        <v>1064676987</v>
      </c>
      <c r="L4" s="95">
        <f t="shared" si="5"/>
        <v>17657.81651</v>
      </c>
      <c r="N4" s="96">
        <v>46246.0</v>
      </c>
      <c r="O4" s="97">
        <f t="shared" si="6"/>
        <v>281056.05</v>
      </c>
      <c r="P4" s="98">
        <f t="shared" si="7"/>
        <v>4994470881</v>
      </c>
      <c r="Q4" s="99">
        <f t="shared" si="8"/>
        <v>17770.37314</v>
      </c>
      <c r="R4" s="100">
        <v>0.07</v>
      </c>
      <c r="S4" s="101">
        <f t="shared" si="9"/>
        <v>196.739235</v>
      </c>
      <c r="T4" s="101">
        <f t="shared" si="10"/>
        <v>280859.3108</v>
      </c>
      <c r="U4" s="101">
        <f>IFERROR(ROUND(ABS(VALUE(T4)-VALUE(SUMMARY!C16)), 2), "-")</f>
        <v>133.82</v>
      </c>
      <c r="V4" s="98">
        <f t="shared" si="11"/>
        <v>2378031.33</v>
      </c>
    </row>
    <row r="5">
      <c r="A5" s="74" t="str">
        <f t="shared" si="1"/>
        <v>Monday</v>
      </c>
      <c r="B5" s="49">
        <v>46244.0</v>
      </c>
      <c r="C5" s="106">
        <v>2.0</v>
      </c>
      <c r="D5" s="103">
        <v>3173.58</v>
      </c>
      <c r="E5" s="88">
        <v>17665.0</v>
      </c>
      <c r="F5" s="89">
        <f t="shared" si="2"/>
        <v>56061290.7</v>
      </c>
      <c r="H5" s="91">
        <v>46245.0</v>
      </c>
      <c r="I5" s="105">
        <v>1.0</v>
      </c>
      <c r="J5" s="93">
        <f t="shared" si="3"/>
        <v>53792.55</v>
      </c>
      <c r="K5" s="94">
        <f t="shared" si="4"/>
        <v>952462883.1</v>
      </c>
      <c r="L5" s="95">
        <f t="shared" si="5"/>
        <v>17706.22295</v>
      </c>
      <c r="N5" s="96">
        <v>46247.0</v>
      </c>
      <c r="O5" s="97">
        <f t="shared" si="6"/>
        <v>224750.43</v>
      </c>
      <c r="P5" s="98">
        <f t="shared" si="7"/>
        <v>3996285414</v>
      </c>
      <c r="Q5" s="99">
        <f t="shared" si="8"/>
        <v>17780.99118</v>
      </c>
      <c r="R5" s="100">
        <v>0.07</v>
      </c>
      <c r="S5" s="101">
        <f t="shared" si="9"/>
        <v>157.325301</v>
      </c>
      <c r="T5" s="101">
        <f t="shared" si="10"/>
        <v>224593.1047</v>
      </c>
      <c r="U5" s="101">
        <f>IFERROR(ROUND(ABS(VALUE(T5)-VALUE(SUMMARY!C17)), 2), "-")</f>
        <v>110.47</v>
      </c>
      <c r="V5" s="98">
        <f t="shared" si="11"/>
        <v>1964266.1</v>
      </c>
    </row>
    <row r="6">
      <c r="A6" s="74" t="str">
        <f t="shared" si="1"/>
        <v>Monday</v>
      </c>
      <c r="B6" s="49">
        <v>46244.0</v>
      </c>
      <c r="C6" s="106">
        <v>2.0</v>
      </c>
      <c r="D6" s="103">
        <v>49300.31</v>
      </c>
      <c r="E6" s="88">
        <v>17665.0</v>
      </c>
      <c r="F6" s="89">
        <f t="shared" si="2"/>
        <v>870889976.2</v>
      </c>
      <c r="H6" s="91">
        <v>46245.0</v>
      </c>
      <c r="I6" s="105">
        <v>2.0</v>
      </c>
      <c r="J6" s="93">
        <f t="shared" si="3"/>
        <v>56742.22</v>
      </c>
      <c r="K6" s="94">
        <f t="shared" si="4"/>
        <v>1005115261</v>
      </c>
      <c r="L6" s="95">
        <f t="shared" si="5"/>
        <v>17713.71055</v>
      </c>
      <c r="N6" s="96">
        <v>46248.0</v>
      </c>
      <c r="O6" s="97">
        <f t="shared" si="6"/>
        <v>168761.53</v>
      </c>
      <c r="P6" s="98">
        <f t="shared" si="7"/>
        <v>2992276608</v>
      </c>
      <c r="Q6" s="99">
        <f t="shared" si="8"/>
        <v>17730.79806</v>
      </c>
      <c r="R6" s="100">
        <v>0.07</v>
      </c>
      <c r="S6" s="101">
        <f t="shared" si="9"/>
        <v>118.133071</v>
      </c>
      <c r="T6" s="101">
        <f t="shared" si="10"/>
        <v>168643.3969</v>
      </c>
      <c r="U6" s="101"/>
      <c r="V6" s="98">
        <f t="shared" si="11"/>
        <v>0</v>
      </c>
    </row>
    <row r="7">
      <c r="A7" s="74" t="str">
        <f t="shared" si="1"/>
        <v>Monday</v>
      </c>
      <c r="B7" s="49">
        <v>46244.0</v>
      </c>
      <c r="C7" s="106">
        <v>2.0</v>
      </c>
      <c r="D7" s="103">
        <v>899.37</v>
      </c>
      <c r="E7" s="88">
        <v>17665.0</v>
      </c>
      <c r="F7" s="89">
        <f t="shared" si="2"/>
        <v>15887371.05</v>
      </c>
      <c r="H7" s="91">
        <v>46246.0</v>
      </c>
      <c r="I7" s="105">
        <v>1.0</v>
      </c>
      <c r="J7" s="93">
        <f t="shared" si="3"/>
        <v>56144.37</v>
      </c>
      <c r="K7" s="94">
        <f t="shared" si="4"/>
        <v>998144246.3</v>
      </c>
      <c r="L7" s="95">
        <f t="shared" si="5"/>
        <v>17778.17164</v>
      </c>
      <c r="N7" s="96">
        <v>46249.0</v>
      </c>
      <c r="O7" s="97">
        <f t="shared" si="6"/>
        <v>92083.22</v>
      </c>
      <c r="P7" s="98">
        <f t="shared" si="7"/>
        <v>1629862445</v>
      </c>
      <c r="Q7" s="99">
        <f t="shared" si="8"/>
        <v>17699.88544</v>
      </c>
      <c r="R7" s="100">
        <v>0.07</v>
      </c>
      <c r="S7" s="101">
        <f t="shared" si="9"/>
        <v>64.458254</v>
      </c>
      <c r="T7" s="101">
        <f t="shared" si="10"/>
        <v>92018.76175</v>
      </c>
      <c r="U7" s="101"/>
      <c r="V7" s="98">
        <f t="shared" si="11"/>
        <v>0</v>
      </c>
    </row>
    <row r="8">
      <c r="A8" s="74" t="str">
        <f t="shared" si="1"/>
        <v>Monday</v>
      </c>
      <c r="B8" s="49">
        <v>46244.0</v>
      </c>
      <c r="C8" s="106">
        <v>3.0</v>
      </c>
      <c r="D8" s="103">
        <v>1269.19</v>
      </c>
      <c r="E8" s="88">
        <v>17665.0</v>
      </c>
      <c r="F8" s="89">
        <f t="shared" si="2"/>
        <v>22420241.35</v>
      </c>
      <c r="H8" s="91">
        <v>46246.0</v>
      </c>
      <c r="I8" s="105">
        <v>2.0</v>
      </c>
      <c r="J8" s="93">
        <f t="shared" si="3"/>
        <v>56210.64</v>
      </c>
      <c r="K8" s="94">
        <f t="shared" si="4"/>
        <v>999249989.3</v>
      </c>
      <c r="L8" s="95">
        <f t="shared" si="5"/>
        <v>17776.88333</v>
      </c>
      <c r="N8" s="96">
        <v>46251.0</v>
      </c>
      <c r="O8" s="97">
        <f t="shared" si="6"/>
        <v>56108.35</v>
      </c>
      <c r="P8" s="98">
        <f t="shared" si="7"/>
        <v>994684225.7</v>
      </c>
      <c r="Q8" s="99">
        <f t="shared" si="8"/>
        <v>17727.91796</v>
      </c>
      <c r="R8" s="100">
        <v>0.0</v>
      </c>
      <c r="S8" s="101">
        <f t="shared" si="9"/>
        <v>0</v>
      </c>
      <c r="T8" s="101">
        <f t="shared" si="10"/>
        <v>56108.35</v>
      </c>
      <c r="U8" s="101"/>
      <c r="V8" s="98">
        <f t="shared" si="11"/>
        <v>0</v>
      </c>
    </row>
    <row r="9">
      <c r="A9" s="74" t="str">
        <f t="shared" si="1"/>
        <v>Monday</v>
      </c>
      <c r="B9" s="49">
        <v>46244.0</v>
      </c>
      <c r="C9" s="106">
        <v>3.0</v>
      </c>
      <c r="D9" s="103">
        <v>899.37</v>
      </c>
      <c r="E9" s="88">
        <v>17665.0</v>
      </c>
      <c r="F9" s="89">
        <f t="shared" si="2"/>
        <v>15887371.05</v>
      </c>
      <c r="H9" s="91">
        <v>46246.0</v>
      </c>
      <c r="I9" s="105">
        <v>3.0</v>
      </c>
      <c r="J9" s="93">
        <f t="shared" si="3"/>
        <v>56280.58</v>
      </c>
      <c r="K9" s="94">
        <f t="shared" si="4"/>
        <v>999430539.6</v>
      </c>
      <c r="L9" s="95">
        <f t="shared" si="5"/>
        <v>17758</v>
      </c>
      <c r="N9" s="96">
        <v>46252.0</v>
      </c>
      <c r="O9" s="97">
        <f t="shared" si="6"/>
        <v>27980.4</v>
      </c>
      <c r="P9" s="98">
        <f t="shared" si="7"/>
        <v>497211708</v>
      </c>
      <c r="Q9" s="99">
        <f t="shared" si="8"/>
        <v>17770</v>
      </c>
      <c r="R9" s="100">
        <v>0.0</v>
      </c>
      <c r="S9" s="101">
        <f t="shared" si="9"/>
        <v>0</v>
      </c>
      <c r="T9" s="101">
        <f t="shared" si="10"/>
        <v>27980.4</v>
      </c>
      <c r="U9" s="101"/>
      <c r="V9" s="98">
        <f t="shared" si="11"/>
        <v>0</v>
      </c>
    </row>
    <row r="10">
      <c r="A10" s="74" t="str">
        <f t="shared" si="1"/>
        <v>Monday</v>
      </c>
      <c r="B10" s="49">
        <v>46244.0</v>
      </c>
      <c r="C10" s="106">
        <v>3.0</v>
      </c>
      <c r="D10" s="103">
        <v>1166.22</v>
      </c>
      <c r="E10" s="88">
        <v>17665.0</v>
      </c>
      <c r="F10" s="89">
        <f t="shared" si="2"/>
        <v>20601276.3</v>
      </c>
      <c r="H10" s="91">
        <v>46246.0</v>
      </c>
      <c r="I10" s="105">
        <v>4.0</v>
      </c>
      <c r="J10" s="93">
        <f t="shared" si="3"/>
        <v>56109.89</v>
      </c>
      <c r="K10" s="94">
        <f t="shared" si="4"/>
        <v>996928882.6</v>
      </c>
      <c r="L10" s="95">
        <f t="shared" si="5"/>
        <v>17767.43606</v>
      </c>
      <c r="N10" s="96"/>
      <c r="O10" s="97">
        <f t="shared" si="6"/>
        <v>0</v>
      </c>
      <c r="P10" s="98">
        <f t="shared" si="7"/>
        <v>0</v>
      </c>
      <c r="Q10" s="99" t="str">
        <f t="shared" si="8"/>
        <v/>
      </c>
      <c r="R10" s="100">
        <v>0.0</v>
      </c>
      <c r="S10" s="101">
        <f t="shared" si="9"/>
        <v>0</v>
      </c>
      <c r="T10" s="101">
        <f t="shared" si="10"/>
        <v>0</v>
      </c>
      <c r="U10" s="101"/>
      <c r="V10" s="98">
        <f t="shared" si="11"/>
        <v>0</v>
      </c>
    </row>
    <row r="11">
      <c r="A11" s="74" t="str">
        <f t="shared" si="1"/>
        <v>Monday</v>
      </c>
      <c r="B11" s="49">
        <v>46244.0</v>
      </c>
      <c r="C11" s="106">
        <v>3.0</v>
      </c>
      <c r="D11" s="103">
        <v>19751.63</v>
      </c>
      <c r="E11" s="88">
        <v>17652.0</v>
      </c>
      <c r="F11" s="89">
        <f t="shared" si="2"/>
        <v>348655772.8</v>
      </c>
      <c r="H11" s="91">
        <v>46246.0</v>
      </c>
      <c r="I11" s="105">
        <v>5.0</v>
      </c>
      <c r="J11" s="93">
        <f t="shared" si="3"/>
        <v>56310.57</v>
      </c>
      <c r="K11" s="94">
        <f t="shared" si="4"/>
        <v>1000717223</v>
      </c>
      <c r="L11" s="95">
        <f t="shared" si="5"/>
        <v>17771.39217</v>
      </c>
      <c r="N11" s="108"/>
      <c r="O11" s="97">
        <f t="shared" si="6"/>
        <v>0</v>
      </c>
      <c r="P11" s="98">
        <f t="shared" si="7"/>
        <v>0</v>
      </c>
      <c r="Q11" s="99" t="str">
        <f t="shared" si="8"/>
        <v/>
      </c>
      <c r="R11" s="100">
        <v>0.0</v>
      </c>
      <c r="S11" s="101">
        <f t="shared" si="9"/>
        <v>0</v>
      </c>
      <c r="T11" s="101">
        <f t="shared" si="10"/>
        <v>0</v>
      </c>
      <c r="U11" s="101"/>
      <c r="V11" s="98">
        <f t="shared" si="11"/>
        <v>0</v>
      </c>
    </row>
    <row r="12">
      <c r="A12" s="74" t="str">
        <f t="shared" si="1"/>
        <v>Monday</v>
      </c>
      <c r="B12" s="49">
        <v>46244.0</v>
      </c>
      <c r="C12" s="106">
        <v>3.0</v>
      </c>
      <c r="D12" s="103">
        <v>1998.61</v>
      </c>
      <c r="E12" s="88">
        <v>17652.0</v>
      </c>
      <c r="F12" s="89">
        <f t="shared" si="2"/>
        <v>35279463.72</v>
      </c>
      <c r="H12" s="91">
        <v>46247.0</v>
      </c>
      <c r="I12" s="105">
        <v>1.0</v>
      </c>
      <c r="J12" s="93">
        <f t="shared" si="3"/>
        <v>56064.56</v>
      </c>
      <c r="K12" s="94">
        <f t="shared" si="4"/>
        <v>997949168</v>
      </c>
      <c r="L12" s="95">
        <f t="shared" si="5"/>
        <v>17800</v>
      </c>
      <c r="N12" s="108"/>
      <c r="O12" s="97">
        <f t="shared" si="6"/>
        <v>0</v>
      </c>
      <c r="P12" s="98">
        <f t="shared" si="7"/>
        <v>0</v>
      </c>
      <c r="Q12" s="99" t="str">
        <f t="shared" si="8"/>
        <v/>
      </c>
      <c r="R12" s="100">
        <v>0.0</v>
      </c>
      <c r="S12" s="101">
        <f t="shared" si="9"/>
        <v>0</v>
      </c>
      <c r="T12" s="101">
        <f t="shared" si="10"/>
        <v>0</v>
      </c>
      <c r="U12" s="101"/>
      <c r="V12" s="98">
        <f t="shared" si="11"/>
        <v>0</v>
      </c>
    </row>
    <row r="13">
      <c r="A13" s="74" t="str">
        <f t="shared" si="1"/>
        <v>Monday</v>
      </c>
      <c r="B13" s="49">
        <v>46244.0</v>
      </c>
      <c r="C13" s="106">
        <v>3.0</v>
      </c>
      <c r="D13" s="103">
        <v>1666.45</v>
      </c>
      <c r="E13" s="88">
        <v>17652.0</v>
      </c>
      <c r="F13" s="89">
        <f t="shared" si="2"/>
        <v>29416175.4</v>
      </c>
      <c r="H13" s="91">
        <v>46247.0</v>
      </c>
      <c r="I13" s="105">
        <v>2.0</v>
      </c>
      <c r="J13" s="93">
        <f t="shared" si="3"/>
        <v>55782.71</v>
      </c>
      <c r="K13" s="94">
        <f t="shared" si="4"/>
        <v>992262845.5</v>
      </c>
      <c r="L13" s="95">
        <f t="shared" si="5"/>
        <v>17788</v>
      </c>
      <c r="N13" s="108"/>
      <c r="O13" s="97">
        <f t="shared" si="6"/>
        <v>0</v>
      </c>
      <c r="P13" s="98">
        <f t="shared" si="7"/>
        <v>0</v>
      </c>
      <c r="Q13" s="99" t="str">
        <f t="shared" si="8"/>
        <v/>
      </c>
      <c r="R13" s="100">
        <v>0.0</v>
      </c>
      <c r="S13" s="101">
        <f t="shared" si="9"/>
        <v>0</v>
      </c>
      <c r="T13" s="101">
        <f t="shared" si="10"/>
        <v>0</v>
      </c>
      <c r="U13" s="101"/>
      <c r="V13" s="98">
        <f t="shared" si="11"/>
        <v>0</v>
      </c>
    </row>
    <row r="14">
      <c r="A14" s="74" t="str">
        <f t="shared" si="1"/>
        <v>Monday</v>
      </c>
      <c r="B14" s="49">
        <v>46244.0</v>
      </c>
      <c r="C14" s="106">
        <v>3.0</v>
      </c>
      <c r="D14" s="103">
        <v>898.48</v>
      </c>
      <c r="E14" s="88">
        <v>17655.0</v>
      </c>
      <c r="F14" s="89">
        <f t="shared" si="2"/>
        <v>15862664.4</v>
      </c>
      <c r="H14" s="91">
        <v>46247.0</v>
      </c>
      <c r="I14" s="105">
        <v>3.0</v>
      </c>
      <c r="J14" s="93">
        <f t="shared" si="3"/>
        <v>55960.8</v>
      </c>
      <c r="K14" s="94">
        <f t="shared" si="4"/>
        <v>994833129</v>
      </c>
      <c r="L14" s="95">
        <f t="shared" si="5"/>
        <v>17777.32143</v>
      </c>
      <c r="N14" s="108"/>
      <c r="O14" s="97">
        <f t="shared" si="6"/>
        <v>0</v>
      </c>
      <c r="P14" s="98">
        <f t="shared" si="7"/>
        <v>0</v>
      </c>
      <c r="Q14" s="99" t="str">
        <f t="shared" si="8"/>
        <v/>
      </c>
      <c r="R14" s="100">
        <v>0.0</v>
      </c>
      <c r="S14" s="101">
        <f t="shared" si="9"/>
        <v>0</v>
      </c>
      <c r="T14" s="101">
        <f t="shared" si="10"/>
        <v>0</v>
      </c>
      <c r="U14" s="101"/>
      <c r="V14" s="98">
        <f t="shared" si="11"/>
        <v>0</v>
      </c>
    </row>
    <row r="15">
      <c r="A15" s="74" t="str">
        <f t="shared" si="1"/>
        <v>Monday</v>
      </c>
      <c r="B15" s="49">
        <v>46244.0</v>
      </c>
      <c r="C15" s="106">
        <v>3.0</v>
      </c>
      <c r="D15" s="103">
        <v>849.41</v>
      </c>
      <c r="E15" s="88">
        <v>17655.0</v>
      </c>
      <c r="F15" s="89">
        <f t="shared" si="2"/>
        <v>14996333.55</v>
      </c>
      <c r="H15" s="91">
        <v>46247.0</v>
      </c>
      <c r="I15" s="105">
        <v>4.0</v>
      </c>
      <c r="J15" s="93">
        <f t="shared" si="3"/>
        <v>56942.36</v>
      </c>
      <c r="K15" s="94">
        <f t="shared" si="4"/>
        <v>1011240272</v>
      </c>
      <c r="L15" s="95">
        <f t="shared" si="5"/>
        <v>17759.01581</v>
      </c>
      <c r="N15" s="108"/>
      <c r="O15" s="97">
        <f t="shared" si="6"/>
        <v>0</v>
      </c>
      <c r="P15" s="98">
        <f t="shared" si="7"/>
        <v>0</v>
      </c>
      <c r="Q15" s="99" t="str">
        <f t="shared" si="8"/>
        <v/>
      </c>
      <c r="R15" s="100">
        <v>0.0</v>
      </c>
      <c r="S15" s="101">
        <f t="shared" si="9"/>
        <v>0</v>
      </c>
      <c r="T15" s="101">
        <f t="shared" si="10"/>
        <v>0</v>
      </c>
      <c r="U15" s="101"/>
      <c r="V15" s="98">
        <f t="shared" si="11"/>
        <v>0</v>
      </c>
    </row>
    <row r="16">
      <c r="A16" s="74" t="str">
        <f t="shared" si="1"/>
        <v>Monday</v>
      </c>
      <c r="B16" s="49">
        <v>46244.0</v>
      </c>
      <c r="C16" s="106">
        <v>3.0</v>
      </c>
      <c r="D16" s="103">
        <v>1131.65</v>
      </c>
      <c r="E16" s="88">
        <v>17655.0</v>
      </c>
      <c r="F16" s="89">
        <f t="shared" si="2"/>
        <v>19979280.75</v>
      </c>
      <c r="H16" s="91">
        <v>46248.0</v>
      </c>
      <c r="I16" s="105">
        <v>1.0</v>
      </c>
      <c r="J16" s="93">
        <f t="shared" si="3"/>
        <v>56774.58</v>
      </c>
      <c r="K16" s="94">
        <f t="shared" si="4"/>
        <v>1007200140</v>
      </c>
      <c r="L16" s="95">
        <f t="shared" si="5"/>
        <v>17740.33625</v>
      </c>
      <c r="N16" s="108"/>
      <c r="O16" s="97">
        <f t="shared" si="6"/>
        <v>0</v>
      </c>
      <c r="P16" s="98">
        <f t="shared" si="7"/>
        <v>0</v>
      </c>
      <c r="Q16" s="99" t="str">
        <f t="shared" si="8"/>
        <v/>
      </c>
      <c r="R16" s="100">
        <v>0.0</v>
      </c>
      <c r="S16" s="101">
        <f t="shared" si="9"/>
        <v>0</v>
      </c>
      <c r="T16" s="101">
        <f t="shared" si="10"/>
        <v>0</v>
      </c>
      <c r="U16" s="101"/>
      <c r="V16" s="98">
        <f t="shared" si="11"/>
        <v>0</v>
      </c>
    </row>
    <row r="17">
      <c r="A17" s="74" t="str">
        <f t="shared" si="1"/>
        <v>Monday</v>
      </c>
      <c r="B17" s="49">
        <v>46244.0</v>
      </c>
      <c r="C17" s="106">
        <v>3.0</v>
      </c>
      <c r="D17" s="103">
        <v>1132.03</v>
      </c>
      <c r="E17" s="88">
        <v>17655.0</v>
      </c>
      <c r="F17" s="89">
        <f t="shared" si="2"/>
        <v>19985989.65</v>
      </c>
      <c r="H17" s="91">
        <v>46248.0</v>
      </c>
      <c r="I17" s="105">
        <v>2.0</v>
      </c>
      <c r="J17" s="93">
        <f t="shared" si="3"/>
        <v>55504.17</v>
      </c>
      <c r="K17" s="94">
        <f t="shared" si="4"/>
        <v>984543560.7</v>
      </c>
      <c r="L17" s="95">
        <f t="shared" si="5"/>
        <v>17738.19085</v>
      </c>
      <c r="N17" s="108"/>
      <c r="O17" s="97">
        <f t="shared" si="6"/>
        <v>0</v>
      </c>
      <c r="P17" s="98">
        <f t="shared" si="7"/>
        <v>0</v>
      </c>
      <c r="Q17" s="99" t="str">
        <f t="shared" si="8"/>
        <v/>
      </c>
      <c r="R17" s="100">
        <v>0.0</v>
      </c>
      <c r="S17" s="101">
        <f t="shared" si="9"/>
        <v>0</v>
      </c>
      <c r="T17" s="101">
        <f t="shared" si="10"/>
        <v>0</v>
      </c>
      <c r="U17" s="101"/>
      <c r="V17" s="98">
        <f t="shared" si="11"/>
        <v>0</v>
      </c>
    </row>
    <row r="18">
      <c r="A18" s="74" t="str">
        <f t="shared" si="1"/>
        <v>Monday</v>
      </c>
      <c r="B18" s="49">
        <v>46244.0</v>
      </c>
      <c r="C18" s="106">
        <v>3.0</v>
      </c>
      <c r="D18" s="103">
        <v>3599.42</v>
      </c>
      <c r="E18" s="88">
        <v>17662.0</v>
      </c>
      <c r="F18" s="89">
        <f t="shared" si="2"/>
        <v>63572956.04</v>
      </c>
      <c r="H18" s="91">
        <v>46248.0</v>
      </c>
      <c r="I18" s="105">
        <v>3.0</v>
      </c>
      <c r="J18" s="93">
        <f t="shared" si="3"/>
        <v>56482.78</v>
      </c>
      <c r="K18" s="94">
        <f t="shared" si="4"/>
        <v>1000532908</v>
      </c>
      <c r="L18" s="95">
        <f t="shared" si="5"/>
        <v>17713.94587</v>
      </c>
      <c r="N18" s="108"/>
      <c r="O18" s="97">
        <f t="shared" si="6"/>
        <v>0</v>
      </c>
      <c r="P18" s="98">
        <f t="shared" si="7"/>
        <v>0</v>
      </c>
      <c r="Q18" s="99" t="str">
        <f t="shared" si="8"/>
        <v/>
      </c>
      <c r="R18" s="100">
        <v>0.0</v>
      </c>
      <c r="S18" s="101">
        <f t="shared" si="9"/>
        <v>0</v>
      </c>
      <c r="T18" s="101">
        <f t="shared" si="10"/>
        <v>0</v>
      </c>
      <c r="U18" s="101"/>
      <c r="V18" s="98">
        <f t="shared" si="11"/>
        <v>0</v>
      </c>
    </row>
    <row r="19">
      <c r="A19" s="74" t="str">
        <f t="shared" si="1"/>
        <v>Monday</v>
      </c>
      <c r="B19" s="49">
        <v>46244.0</v>
      </c>
      <c r="C19" s="106">
        <v>3.0</v>
      </c>
      <c r="D19" s="103">
        <v>999.3</v>
      </c>
      <c r="E19" s="88">
        <v>17662.0</v>
      </c>
      <c r="F19" s="89">
        <f t="shared" si="2"/>
        <v>17649636.6</v>
      </c>
      <c r="H19" s="91">
        <v>46249.0</v>
      </c>
      <c r="I19" s="105">
        <v>1.0</v>
      </c>
      <c r="J19" s="93">
        <f t="shared" si="3"/>
        <v>54951.44</v>
      </c>
      <c r="K19" s="94">
        <f t="shared" si="4"/>
        <v>973134210.8</v>
      </c>
      <c r="L19" s="95">
        <f t="shared" si="5"/>
        <v>17708.98471</v>
      </c>
      <c r="N19" s="108"/>
      <c r="O19" s="97">
        <f t="shared" si="6"/>
        <v>0</v>
      </c>
      <c r="P19" s="98">
        <f t="shared" si="7"/>
        <v>0</v>
      </c>
      <c r="Q19" s="99" t="str">
        <f t="shared" si="8"/>
        <v/>
      </c>
      <c r="R19" s="100">
        <v>0.0</v>
      </c>
      <c r="S19" s="101">
        <f t="shared" si="9"/>
        <v>0</v>
      </c>
      <c r="T19" s="101">
        <f t="shared" si="10"/>
        <v>0</v>
      </c>
      <c r="U19" s="101"/>
      <c r="V19" s="98">
        <f t="shared" si="11"/>
        <v>0</v>
      </c>
    </row>
    <row r="20">
      <c r="A20" s="74" t="str">
        <f t="shared" si="1"/>
        <v>Monday</v>
      </c>
      <c r="B20" s="49">
        <v>46244.0</v>
      </c>
      <c r="C20" s="106">
        <v>3.0</v>
      </c>
      <c r="D20" s="103">
        <v>3219.83</v>
      </c>
      <c r="E20" s="88">
        <v>17662.0</v>
      </c>
      <c r="F20" s="89">
        <f t="shared" si="2"/>
        <v>56868637.46</v>
      </c>
      <c r="H20" s="91">
        <v>46249.0</v>
      </c>
      <c r="I20" s="105">
        <v>2.0</v>
      </c>
      <c r="J20" s="93">
        <f t="shared" si="3"/>
        <v>37131.78</v>
      </c>
      <c r="K20" s="94">
        <f t="shared" si="4"/>
        <v>656728234.2</v>
      </c>
      <c r="L20" s="95">
        <f t="shared" si="5"/>
        <v>17686.4194</v>
      </c>
      <c r="N20" s="108"/>
      <c r="O20" s="97">
        <f t="shared" si="6"/>
        <v>0</v>
      </c>
      <c r="P20" s="98">
        <f t="shared" si="7"/>
        <v>0</v>
      </c>
      <c r="Q20" s="99" t="str">
        <f t="shared" si="8"/>
        <v/>
      </c>
      <c r="R20" s="100">
        <v>0.0</v>
      </c>
      <c r="S20" s="101">
        <f t="shared" si="9"/>
        <v>0</v>
      </c>
      <c r="T20" s="101">
        <f t="shared" si="10"/>
        <v>0</v>
      </c>
      <c r="U20" s="101"/>
      <c r="V20" s="98">
        <f t="shared" si="11"/>
        <v>0</v>
      </c>
    </row>
    <row r="21">
      <c r="A21" s="74" t="str">
        <f t="shared" si="1"/>
        <v>Monday</v>
      </c>
      <c r="B21" s="49">
        <v>46244.0</v>
      </c>
      <c r="C21" s="106">
        <v>3.0</v>
      </c>
      <c r="D21" s="103">
        <v>3998.64</v>
      </c>
      <c r="E21" s="88">
        <v>17662.0</v>
      </c>
      <c r="F21" s="89">
        <f t="shared" si="2"/>
        <v>70623979.68</v>
      </c>
      <c r="H21" s="91">
        <v>46251.0</v>
      </c>
      <c r="I21" s="105"/>
      <c r="J21" s="93">
        <f t="shared" si="3"/>
        <v>0</v>
      </c>
      <c r="K21" s="94">
        <f t="shared" si="4"/>
        <v>0</v>
      </c>
      <c r="L21" s="95">
        <f t="shared" si="5"/>
        <v>0</v>
      </c>
      <c r="N21" s="108"/>
      <c r="O21" s="97">
        <f t="shared" si="6"/>
        <v>0</v>
      </c>
      <c r="P21" s="98">
        <f t="shared" si="7"/>
        <v>0</v>
      </c>
      <c r="Q21" s="99" t="str">
        <f t="shared" si="8"/>
        <v/>
      </c>
      <c r="R21" s="100">
        <v>0.0</v>
      </c>
      <c r="S21" s="101">
        <f t="shared" si="9"/>
        <v>0</v>
      </c>
      <c r="T21" s="101">
        <f t="shared" si="10"/>
        <v>0</v>
      </c>
      <c r="U21" s="101"/>
      <c r="V21" s="98">
        <f t="shared" si="11"/>
        <v>0</v>
      </c>
    </row>
    <row r="22">
      <c r="A22" s="74" t="str">
        <f t="shared" si="1"/>
        <v>Monday</v>
      </c>
      <c r="B22" s="49">
        <v>46244.0</v>
      </c>
      <c r="C22" s="106">
        <v>3.0</v>
      </c>
      <c r="D22" s="103">
        <v>1226.6</v>
      </c>
      <c r="E22" s="88">
        <v>17662.0</v>
      </c>
      <c r="F22" s="89">
        <f t="shared" si="2"/>
        <v>21664209.2</v>
      </c>
      <c r="H22" s="91">
        <v>46251.0</v>
      </c>
      <c r="I22" s="105">
        <v>1.0</v>
      </c>
      <c r="J22" s="93">
        <f t="shared" si="3"/>
        <v>28788.08</v>
      </c>
      <c r="K22" s="94">
        <f t="shared" si="4"/>
        <v>510496840.5</v>
      </c>
      <c r="L22" s="95">
        <f t="shared" si="5"/>
        <v>17732.9242</v>
      </c>
      <c r="N22" s="108"/>
      <c r="O22" s="97">
        <f t="shared" si="6"/>
        <v>0</v>
      </c>
      <c r="P22" s="98">
        <f t="shared" si="7"/>
        <v>0</v>
      </c>
      <c r="Q22" s="99" t="str">
        <f t="shared" si="8"/>
        <v/>
      </c>
      <c r="R22" s="100">
        <v>0.0</v>
      </c>
      <c r="S22" s="101">
        <f t="shared" si="9"/>
        <v>0</v>
      </c>
      <c r="T22" s="101">
        <f t="shared" si="10"/>
        <v>0</v>
      </c>
      <c r="U22" s="101"/>
      <c r="V22" s="98">
        <f t="shared" si="11"/>
        <v>0</v>
      </c>
    </row>
    <row r="23">
      <c r="A23" s="74" t="str">
        <f t="shared" si="1"/>
        <v>Monday</v>
      </c>
      <c r="B23" s="49">
        <v>46244.0</v>
      </c>
      <c r="C23" s="106">
        <v>3.0</v>
      </c>
      <c r="D23" s="103">
        <v>2498.25</v>
      </c>
      <c r="E23" s="88">
        <v>17662.0</v>
      </c>
      <c r="F23" s="89">
        <f t="shared" si="2"/>
        <v>44124091.5</v>
      </c>
      <c r="H23" s="91">
        <v>46251.0</v>
      </c>
      <c r="I23" s="105">
        <v>2.0</v>
      </c>
      <c r="J23" s="93">
        <f t="shared" si="3"/>
        <v>27320.27</v>
      </c>
      <c r="K23" s="94">
        <f t="shared" si="4"/>
        <v>484187385.2</v>
      </c>
      <c r="L23" s="95">
        <f t="shared" si="5"/>
        <v>17722.64276</v>
      </c>
      <c r="N23" s="108"/>
      <c r="O23" s="97">
        <f t="shared" si="6"/>
        <v>0</v>
      </c>
      <c r="P23" s="98">
        <f t="shared" si="7"/>
        <v>0</v>
      </c>
      <c r="Q23" s="99" t="str">
        <f t="shared" si="8"/>
        <v/>
      </c>
      <c r="R23" s="100">
        <v>0.0</v>
      </c>
      <c r="S23" s="101">
        <f t="shared" si="9"/>
        <v>0</v>
      </c>
      <c r="T23" s="101">
        <f t="shared" si="10"/>
        <v>0</v>
      </c>
      <c r="U23" s="101"/>
      <c r="V23" s="98">
        <f t="shared" si="11"/>
        <v>0</v>
      </c>
    </row>
    <row r="24">
      <c r="A24" s="74" t="str">
        <f t="shared" si="1"/>
        <v>Monday</v>
      </c>
      <c r="B24" s="49">
        <v>46244.0</v>
      </c>
      <c r="C24" s="106">
        <v>3.0</v>
      </c>
      <c r="D24" s="103">
        <v>2428.3</v>
      </c>
      <c r="E24" s="88">
        <v>17662.0</v>
      </c>
      <c r="F24" s="89">
        <f t="shared" si="2"/>
        <v>42888634.6</v>
      </c>
      <c r="H24" s="91">
        <v>46252.0</v>
      </c>
      <c r="I24" s="105">
        <v>1.0</v>
      </c>
      <c r="J24" s="93">
        <f t="shared" si="3"/>
        <v>27980.4</v>
      </c>
      <c r="K24" s="94">
        <f t="shared" si="4"/>
        <v>497211708</v>
      </c>
      <c r="L24" s="95">
        <f t="shared" si="5"/>
        <v>17770</v>
      </c>
      <c r="N24" s="108"/>
      <c r="O24" s="97">
        <f t="shared" si="6"/>
        <v>0</v>
      </c>
      <c r="P24" s="98">
        <f t="shared" si="7"/>
        <v>0</v>
      </c>
      <c r="Q24" s="99" t="str">
        <f t="shared" si="8"/>
        <v/>
      </c>
      <c r="R24" s="100">
        <v>0.0</v>
      </c>
      <c r="S24" s="101">
        <f t="shared" si="9"/>
        <v>0</v>
      </c>
      <c r="T24" s="101">
        <f t="shared" si="10"/>
        <v>0</v>
      </c>
      <c r="U24" s="101"/>
      <c r="V24" s="98">
        <f t="shared" si="11"/>
        <v>0</v>
      </c>
    </row>
    <row r="25">
      <c r="A25" s="74" t="str">
        <f t="shared" si="1"/>
        <v>Monday</v>
      </c>
      <c r="B25" s="49">
        <v>46244.0</v>
      </c>
      <c r="C25" s="106">
        <v>3.0</v>
      </c>
      <c r="D25" s="103">
        <v>1732.79</v>
      </c>
      <c r="E25" s="88">
        <v>17662.0</v>
      </c>
      <c r="F25" s="89">
        <f t="shared" si="2"/>
        <v>30604536.98</v>
      </c>
      <c r="H25" s="91">
        <v>46252.0</v>
      </c>
      <c r="I25" s="105">
        <v>2.0</v>
      </c>
      <c r="J25" s="93">
        <f t="shared" si="3"/>
        <v>0</v>
      </c>
      <c r="K25" s="94">
        <f t="shared" si="4"/>
        <v>0</v>
      </c>
      <c r="L25" s="95">
        <f t="shared" si="5"/>
        <v>0</v>
      </c>
      <c r="N25" s="108"/>
      <c r="O25" s="97">
        <f t="shared" si="6"/>
        <v>0</v>
      </c>
      <c r="P25" s="98">
        <f t="shared" si="7"/>
        <v>0</v>
      </c>
      <c r="Q25" s="99" t="str">
        <f t="shared" si="8"/>
        <v/>
      </c>
      <c r="R25" s="100">
        <v>0.0</v>
      </c>
      <c r="S25" s="101">
        <f t="shared" si="9"/>
        <v>0</v>
      </c>
      <c r="T25" s="101">
        <f t="shared" si="10"/>
        <v>0</v>
      </c>
      <c r="U25" s="101"/>
      <c r="V25" s="98">
        <f t="shared" si="11"/>
        <v>0</v>
      </c>
    </row>
    <row r="26">
      <c r="A26" s="74" t="str">
        <f t="shared" si="1"/>
        <v>Monday</v>
      </c>
      <c r="B26" s="49">
        <v>46244.0</v>
      </c>
      <c r="C26" s="106">
        <v>3.0</v>
      </c>
      <c r="D26" s="103">
        <v>3504.55</v>
      </c>
      <c r="E26" s="88">
        <v>17662.0</v>
      </c>
      <c r="F26" s="89">
        <f t="shared" si="2"/>
        <v>61897362.1</v>
      </c>
      <c r="H26" s="91">
        <v>46252.0</v>
      </c>
      <c r="I26" s="105"/>
      <c r="J26" s="93">
        <f t="shared" si="3"/>
        <v>0</v>
      </c>
      <c r="K26" s="94">
        <f t="shared" si="4"/>
        <v>0</v>
      </c>
      <c r="L26" s="95">
        <f t="shared" si="5"/>
        <v>0</v>
      </c>
      <c r="N26" s="108"/>
      <c r="O26" s="97">
        <f t="shared" si="6"/>
        <v>0</v>
      </c>
      <c r="P26" s="98">
        <f t="shared" si="7"/>
        <v>0</v>
      </c>
      <c r="Q26" s="99" t="str">
        <f t="shared" si="8"/>
        <v/>
      </c>
      <c r="R26" s="100">
        <v>0.0</v>
      </c>
      <c r="S26" s="101">
        <f t="shared" si="9"/>
        <v>0</v>
      </c>
      <c r="T26" s="101">
        <f t="shared" si="10"/>
        <v>0</v>
      </c>
      <c r="U26" s="101"/>
      <c r="V26" s="98">
        <f t="shared" si="11"/>
        <v>0</v>
      </c>
    </row>
    <row r="27">
      <c r="A27" s="74" t="str">
        <f t="shared" si="1"/>
        <v>Monday</v>
      </c>
      <c r="B27" s="49">
        <v>46244.0</v>
      </c>
      <c r="C27" s="106">
        <v>3.0</v>
      </c>
      <c r="D27" s="103">
        <v>1998.6</v>
      </c>
      <c r="E27" s="88">
        <v>17662.0</v>
      </c>
      <c r="F27" s="89">
        <f t="shared" si="2"/>
        <v>35299273.2</v>
      </c>
      <c r="H27" s="91"/>
      <c r="I27" s="105"/>
      <c r="J27" s="93">
        <f t="shared" si="3"/>
        <v>0</v>
      </c>
      <c r="K27" s="94">
        <f t="shared" si="4"/>
        <v>0</v>
      </c>
      <c r="L27" s="95">
        <f t="shared" si="5"/>
        <v>0</v>
      </c>
      <c r="N27" s="108"/>
      <c r="O27" s="97">
        <f t="shared" si="6"/>
        <v>0</v>
      </c>
      <c r="P27" s="98">
        <f t="shared" si="7"/>
        <v>0</v>
      </c>
      <c r="Q27" s="99" t="str">
        <f t="shared" si="8"/>
        <v/>
      </c>
      <c r="R27" s="100">
        <v>0.0</v>
      </c>
      <c r="S27" s="101">
        <f t="shared" si="9"/>
        <v>0</v>
      </c>
      <c r="T27" s="101">
        <f t="shared" si="10"/>
        <v>0</v>
      </c>
      <c r="U27" s="101"/>
      <c r="V27" s="98">
        <f t="shared" si="11"/>
        <v>0</v>
      </c>
    </row>
    <row r="28">
      <c r="A28" s="74" t="str">
        <f t="shared" si="1"/>
        <v>Monday</v>
      </c>
      <c r="B28" s="49">
        <v>46244.0</v>
      </c>
      <c r="C28" s="106">
        <v>3.0</v>
      </c>
      <c r="D28" s="103">
        <v>4325.62</v>
      </c>
      <c r="E28" s="88">
        <v>17662.0</v>
      </c>
      <c r="F28" s="89">
        <f t="shared" si="2"/>
        <v>76399100.44</v>
      </c>
      <c r="G28" s="116">
        <f>sum(D2:D28)</f>
        <v>169529.07</v>
      </c>
      <c r="H28" s="91"/>
      <c r="I28" s="105"/>
      <c r="J28" s="93">
        <f t="shared" si="3"/>
        <v>0</v>
      </c>
      <c r="K28" s="94">
        <f t="shared" si="4"/>
        <v>0</v>
      </c>
      <c r="L28" s="95">
        <f t="shared" si="5"/>
        <v>0</v>
      </c>
      <c r="N28" s="108"/>
      <c r="O28" s="97">
        <f t="shared" si="6"/>
        <v>0</v>
      </c>
      <c r="P28" s="98">
        <f t="shared" si="7"/>
        <v>0</v>
      </c>
      <c r="Q28" s="99" t="str">
        <f t="shared" si="8"/>
        <v/>
      </c>
      <c r="R28" s="100">
        <v>0.0</v>
      </c>
      <c r="S28" s="101">
        <f t="shared" si="9"/>
        <v>0</v>
      </c>
      <c r="T28" s="101">
        <f t="shared" si="10"/>
        <v>0</v>
      </c>
      <c r="U28" s="101"/>
      <c r="V28" s="98">
        <f t="shared" si="11"/>
        <v>0</v>
      </c>
    </row>
    <row r="29">
      <c r="A29" s="74" t="str">
        <f t="shared" si="1"/>
        <v>Tuesday</v>
      </c>
      <c r="B29" s="49">
        <v>46245.0</v>
      </c>
      <c r="C29" s="106">
        <v>1.0</v>
      </c>
      <c r="D29" s="103">
        <v>0.01</v>
      </c>
      <c r="E29" s="88">
        <v>17829.0</v>
      </c>
      <c r="F29" s="89">
        <f t="shared" si="2"/>
        <v>178.29</v>
      </c>
      <c r="H29" s="91"/>
      <c r="I29" s="105"/>
      <c r="J29" s="93">
        <f t="shared" si="3"/>
        <v>0</v>
      </c>
      <c r="K29" s="94">
        <f t="shared" si="4"/>
        <v>0</v>
      </c>
      <c r="L29" s="95">
        <f t="shared" si="5"/>
        <v>0</v>
      </c>
      <c r="N29" s="108"/>
      <c r="O29" s="97">
        <f t="shared" si="6"/>
        <v>0</v>
      </c>
      <c r="P29" s="98">
        <f t="shared" si="7"/>
        <v>0</v>
      </c>
      <c r="Q29" s="99" t="str">
        <f t="shared" si="8"/>
        <v/>
      </c>
      <c r="R29" s="100">
        <v>0.0</v>
      </c>
      <c r="S29" s="101">
        <f t="shared" si="9"/>
        <v>0</v>
      </c>
      <c r="T29" s="101">
        <f t="shared" si="10"/>
        <v>0</v>
      </c>
      <c r="U29" s="101"/>
      <c r="V29" s="98">
        <f t="shared" si="11"/>
        <v>0</v>
      </c>
    </row>
    <row r="30">
      <c r="A30" s="74" t="str">
        <f t="shared" si="1"/>
        <v>Tuesday</v>
      </c>
      <c r="B30" s="49">
        <v>46245.0</v>
      </c>
      <c r="C30" s="106">
        <v>1.0</v>
      </c>
      <c r="D30" s="103">
        <v>2997.9</v>
      </c>
      <c r="E30" s="88">
        <v>17710.0</v>
      </c>
      <c r="F30" s="89">
        <f t="shared" si="2"/>
        <v>53092809</v>
      </c>
      <c r="H30" s="91"/>
      <c r="I30" s="105"/>
      <c r="J30" s="93">
        <f t="shared" si="3"/>
        <v>0</v>
      </c>
      <c r="K30" s="94">
        <f t="shared" si="4"/>
        <v>0</v>
      </c>
      <c r="L30" s="95">
        <f t="shared" si="5"/>
        <v>0</v>
      </c>
      <c r="N30" s="108"/>
      <c r="O30" s="97">
        <f t="shared" si="6"/>
        <v>0</v>
      </c>
      <c r="P30" s="98">
        <f t="shared" si="7"/>
        <v>0</v>
      </c>
      <c r="Q30" s="99" t="str">
        <f t="shared" si="8"/>
        <v/>
      </c>
      <c r="R30" s="100">
        <v>0.0</v>
      </c>
      <c r="S30" s="101">
        <f t="shared" si="9"/>
        <v>0</v>
      </c>
      <c r="T30" s="101">
        <f t="shared" si="10"/>
        <v>0</v>
      </c>
      <c r="U30" s="101"/>
      <c r="V30" s="98">
        <f t="shared" si="11"/>
        <v>0</v>
      </c>
    </row>
    <row r="31">
      <c r="A31" s="74" t="str">
        <f t="shared" si="1"/>
        <v>Tuesday</v>
      </c>
      <c r="B31" s="49">
        <v>46245.0</v>
      </c>
      <c r="C31" s="106">
        <v>1.0</v>
      </c>
      <c r="D31" s="103">
        <v>50794.64</v>
      </c>
      <c r="E31" s="88">
        <v>17706.0</v>
      </c>
      <c r="F31" s="89">
        <f t="shared" si="2"/>
        <v>899369895.8</v>
      </c>
      <c r="H31" s="91"/>
      <c r="I31" s="105"/>
      <c r="J31" s="93">
        <f t="shared" si="3"/>
        <v>0</v>
      </c>
      <c r="K31" s="94">
        <f t="shared" si="4"/>
        <v>0</v>
      </c>
      <c r="L31" s="95">
        <f t="shared" si="5"/>
        <v>0</v>
      </c>
      <c r="N31" s="108"/>
      <c r="O31" s="97">
        <f t="shared" si="6"/>
        <v>0</v>
      </c>
      <c r="P31" s="98">
        <f t="shared" si="7"/>
        <v>0</v>
      </c>
      <c r="Q31" s="99" t="str">
        <f t="shared" si="8"/>
        <v/>
      </c>
      <c r="R31" s="100">
        <v>0.0</v>
      </c>
      <c r="S31" s="101">
        <f t="shared" si="9"/>
        <v>0</v>
      </c>
      <c r="T31" s="101">
        <f t="shared" si="10"/>
        <v>0</v>
      </c>
      <c r="U31" s="101"/>
      <c r="V31" s="98">
        <f t="shared" si="11"/>
        <v>0</v>
      </c>
    </row>
    <row r="32">
      <c r="A32" s="74" t="str">
        <f t="shared" si="1"/>
        <v>Tuesday</v>
      </c>
      <c r="B32" s="49">
        <v>46245.0</v>
      </c>
      <c r="C32" s="106">
        <v>2.0</v>
      </c>
      <c r="D32" s="103">
        <v>4319.92</v>
      </c>
      <c r="E32" s="88">
        <v>17710.0</v>
      </c>
      <c r="F32" s="89">
        <f t="shared" si="2"/>
        <v>76505783.2</v>
      </c>
      <c r="H32" s="91"/>
      <c r="I32" s="105"/>
      <c r="J32" s="93">
        <f t="shared" si="3"/>
        <v>0</v>
      </c>
      <c r="K32" s="94">
        <f t="shared" si="4"/>
        <v>0</v>
      </c>
      <c r="L32" s="95">
        <f t="shared" si="5"/>
        <v>0</v>
      </c>
      <c r="N32" s="108"/>
      <c r="O32" s="97">
        <f t="shared" si="6"/>
        <v>0</v>
      </c>
      <c r="P32" s="98">
        <f t="shared" si="7"/>
        <v>0</v>
      </c>
      <c r="Q32" s="99" t="str">
        <f t="shared" si="8"/>
        <v/>
      </c>
      <c r="R32" s="100">
        <v>0.0</v>
      </c>
      <c r="S32" s="101">
        <f t="shared" si="9"/>
        <v>0</v>
      </c>
      <c r="T32" s="101">
        <f t="shared" si="10"/>
        <v>0</v>
      </c>
      <c r="U32" s="101"/>
      <c r="V32" s="98">
        <f t="shared" si="11"/>
        <v>0</v>
      </c>
    </row>
    <row r="33">
      <c r="A33" s="74" t="str">
        <f t="shared" si="1"/>
        <v>Tuesday</v>
      </c>
      <c r="B33" s="49">
        <v>46245.0</v>
      </c>
      <c r="C33" s="106">
        <v>2.0</v>
      </c>
      <c r="D33" s="103">
        <v>16925.81</v>
      </c>
      <c r="E33" s="88">
        <v>17712.0</v>
      </c>
      <c r="F33" s="89">
        <f t="shared" si="2"/>
        <v>299789946.7</v>
      </c>
      <c r="H33" s="91"/>
      <c r="I33" s="105"/>
      <c r="J33" s="93">
        <f t="shared" si="3"/>
        <v>0</v>
      </c>
      <c r="K33" s="94">
        <f t="shared" si="4"/>
        <v>0</v>
      </c>
      <c r="L33" s="95">
        <f t="shared" si="5"/>
        <v>0</v>
      </c>
      <c r="N33" s="108"/>
      <c r="O33" s="97">
        <f t="shared" si="6"/>
        <v>0</v>
      </c>
      <c r="P33" s="98">
        <f t="shared" si="7"/>
        <v>0</v>
      </c>
      <c r="Q33" s="99" t="str">
        <f t="shared" si="8"/>
        <v/>
      </c>
      <c r="R33" s="100">
        <v>0.0</v>
      </c>
      <c r="S33" s="101">
        <f t="shared" si="9"/>
        <v>0</v>
      </c>
      <c r="T33" s="101">
        <f t="shared" si="10"/>
        <v>0</v>
      </c>
      <c r="U33" s="101"/>
      <c r="V33" s="98">
        <f t="shared" si="11"/>
        <v>0</v>
      </c>
    </row>
    <row r="34">
      <c r="A34" s="74" t="str">
        <f t="shared" si="1"/>
        <v>Tuesday</v>
      </c>
      <c r="B34" s="49">
        <v>46245.0</v>
      </c>
      <c r="C34" s="106">
        <v>2.0</v>
      </c>
      <c r="D34" s="103">
        <v>21312.26</v>
      </c>
      <c r="E34" s="88">
        <v>17715.0</v>
      </c>
      <c r="F34" s="89">
        <f t="shared" si="2"/>
        <v>377546685.9</v>
      </c>
      <c r="H34" s="91"/>
      <c r="I34" s="105"/>
      <c r="J34" s="93">
        <f t="shared" si="3"/>
        <v>0</v>
      </c>
      <c r="K34" s="94">
        <f t="shared" si="4"/>
        <v>0</v>
      </c>
      <c r="L34" s="95">
        <f t="shared" si="5"/>
        <v>0</v>
      </c>
      <c r="N34" s="108"/>
      <c r="O34" s="97">
        <f t="shared" si="6"/>
        <v>0</v>
      </c>
      <c r="P34" s="98">
        <f t="shared" si="7"/>
        <v>0</v>
      </c>
      <c r="Q34" s="99" t="str">
        <f t="shared" si="8"/>
        <v/>
      </c>
      <c r="R34" s="100">
        <v>0.0</v>
      </c>
      <c r="S34" s="101">
        <f t="shared" si="9"/>
        <v>0</v>
      </c>
      <c r="T34" s="101">
        <f t="shared" si="10"/>
        <v>0</v>
      </c>
      <c r="U34" s="101"/>
      <c r="V34" s="98">
        <f t="shared" si="11"/>
        <v>0</v>
      </c>
    </row>
    <row r="35">
      <c r="A35" s="74" t="str">
        <f t="shared" si="1"/>
        <v>Tuesday</v>
      </c>
      <c r="B35" s="49">
        <v>46245.0</v>
      </c>
      <c r="C35" s="106">
        <v>2.0</v>
      </c>
      <c r="D35" s="103">
        <v>998.46</v>
      </c>
      <c r="E35" s="88">
        <v>17715.0</v>
      </c>
      <c r="F35" s="89">
        <f t="shared" si="2"/>
        <v>17687718.9</v>
      </c>
      <c r="H35" s="91"/>
      <c r="I35" s="105"/>
      <c r="J35" s="93">
        <f t="shared" si="3"/>
        <v>0</v>
      </c>
      <c r="K35" s="94">
        <f t="shared" si="4"/>
        <v>0</v>
      </c>
      <c r="L35" s="95">
        <f t="shared" si="5"/>
        <v>0</v>
      </c>
      <c r="N35" s="108"/>
      <c r="O35" s="97">
        <f t="shared" si="6"/>
        <v>0</v>
      </c>
      <c r="P35" s="98">
        <f t="shared" si="7"/>
        <v>0</v>
      </c>
      <c r="Q35" s="99" t="str">
        <f t="shared" si="8"/>
        <v/>
      </c>
      <c r="R35" s="100">
        <v>0.0</v>
      </c>
      <c r="S35" s="101">
        <f t="shared" si="9"/>
        <v>0</v>
      </c>
      <c r="T35" s="101">
        <f t="shared" si="10"/>
        <v>0</v>
      </c>
      <c r="U35" s="101"/>
      <c r="V35" s="98">
        <f t="shared" si="11"/>
        <v>0</v>
      </c>
    </row>
    <row r="36">
      <c r="A36" s="74" t="str">
        <f t="shared" si="1"/>
        <v>Tuesday</v>
      </c>
      <c r="B36" s="49">
        <v>46245.0</v>
      </c>
      <c r="C36" s="106">
        <v>2.0</v>
      </c>
      <c r="D36" s="103">
        <v>899.37</v>
      </c>
      <c r="E36" s="88">
        <v>17713.0</v>
      </c>
      <c r="F36" s="89">
        <f t="shared" si="2"/>
        <v>15930540.81</v>
      </c>
      <c r="H36" s="91"/>
      <c r="I36" s="105"/>
      <c r="J36" s="93">
        <f t="shared" si="3"/>
        <v>0</v>
      </c>
      <c r="K36" s="94">
        <f t="shared" si="4"/>
        <v>0</v>
      </c>
      <c r="L36" s="95">
        <f t="shared" si="5"/>
        <v>0</v>
      </c>
      <c r="N36" s="108"/>
      <c r="O36" s="97">
        <f t="shared" si="6"/>
        <v>0</v>
      </c>
      <c r="P36" s="98">
        <f t="shared" si="7"/>
        <v>0</v>
      </c>
      <c r="Q36" s="99" t="str">
        <f t="shared" si="8"/>
        <v/>
      </c>
      <c r="R36" s="100">
        <v>0.0</v>
      </c>
      <c r="S36" s="101">
        <f t="shared" si="9"/>
        <v>0</v>
      </c>
      <c r="T36" s="101">
        <f t="shared" si="10"/>
        <v>0</v>
      </c>
      <c r="U36" s="101"/>
      <c r="V36" s="98">
        <f t="shared" si="11"/>
        <v>0</v>
      </c>
    </row>
    <row r="37">
      <c r="A37" s="74" t="str">
        <f t="shared" si="1"/>
        <v>Tuesday</v>
      </c>
      <c r="B37" s="49">
        <v>46245.0</v>
      </c>
      <c r="C37" s="106">
        <v>2.0</v>
      </c>
      <c r="D37" s="103">
        <v>899.37</v>
      </c>
      <c r="E37" s="88">
        <v>17713.0</v>
      </c>
      <c r="F37" s="89">
        <f t="shared" si="2"/>
        <v>15930540.81</v>
      </c>
      <c r="H37" s="91"/>
      <c r="I37" s="105"/>
      <c r="J37" s="93">
        <f t="shared" si="3"/>
        <v>0</v>
      </c>
      <c r="K37" s="94">
        <f t="shared" si="4"/>
        <v>0</v>
      </c>
      <c r="L37" s="95">
        <f t="shared" si="5"/>
        <v>0</v>
      </c>
      <c r="N37" s="108"/>
      <c r="O37" s="97">
        <f t="shared" si="6"/>
        <v>0</v>
      </c>
      <c r="P37" s="98">
        <f t="shared" si="7"/>
        <v>0</v>
      </c>
      <c r="Q37" s="99" t="str">
        <f t="shared" si="8"/>
        <v/>
      </c>
      <c r="R37" s="100">
        <v>0.0</v>
      </c>
      <c r="S37" s="101">
        <f t="shared" si="9"/>
        <v>0</v>
      </c>
      <c r="T37" s="101">
        <f t="shared" si="10"/>
        <v>0</v>
      </c>
      <c r="U37" s="101"/>
      <c r="V37" s="98">
        <f t="shared" si="11"/>
        <v>0</v>
      </c>
    </row>
    <row r="38">
      <c r="A38" s="74" t="str">
        <f t="shared" si="1"/>
        <v>Tuesday</v>
      </c>
      <c r="B38" s="49">
        <v>46245.0</v>
      </c>
      <c r="C38" s="106">
        <v>2.0</v>
      </c>
      <c r="D38" s="103">
        <v>4991.51</v>
      </c>
      <c r="E38" s="88">
        <v>17713.0</v>
      </c>
      <c r="F38" s="89">
        <f t="shared" si="2"/>
        <v>88414616.63</v>
      </c>
      <c r="H38" s="91"/>
      <c r="I38" s="105"/>
      <c r="J38" s="93">
        <f t="shared" si="3"/>
        <v>0</v>
      </c>
      <c r="K38" s="94">
        <f t="shared" si="4"/>
        <v>0</v>
      </c>
      <c r="L38" s="95">
        <f t="shared" si="5"/>
        <v>0</v>
      </c>
      <c r="N38" s="108"/>
      <c r="O38" s="97">
        <f t="shared" si="6"/>
        <v>0</v>
      </c>
      <c r="P38" s="98">
        <f t="shared" si="7"/>
        <v>0</v>
      </c>
      <c r="Q38" s="99" t="str">
        <f t="shared" si="8"/>
        <v/>
      </c>
      <c r="R38" s="100">
        <v>0.0</v>
      </c>
      <c r="S38" s="101">
        <f t="shared" si="9"/>
        <v>0</v>
      </c>
      <c r="T38" s="101">
        <f t="shared" si="10"/>
        <v>0</v>
      </c>
      <c r="U38" s="101"/>
      <c r="V38" s="98">
        <f t="shared" si="11"/>
        <v>0</v>
      </c>
    </row>
    <row r="39">
      <c r="A39" s="74" t="str">
        <f t="shared" si="1"/>
        <v>Tuesday</v>
      </c>
      <c r="B39" s="49">
        <v>46245.0</v>
      </c>
      <c r="C39" s="106">
        <v>2.0</v>
      </c>
      <c r="D39" s="103">
        <v>4596.78</v>
      </c>
      <c r="E39" s="88">
        <v>17717.0</v>
      </c>
      <c r="F39" s="89">
        <f t="shared" si="2"/>
        <v>81441151.26</v>
      </c>
      <c r="H39" s="91"/>
      <c r="I39" s="105"/>
      <c r="J39" s="93">
        <f t="shared" si="3"/>
        <v>0</v>
      </c>
      <c r="K39" s="94">
        <f t="shared" si="4"/>
        <v>0</v>
      </c>
      <c r="L39" s="95">
        <f t="shared" si="5"/>
        <v>0</v>
      </c>
      <c r="N39" s="108"/>
      <c r="O39" s="97">
        <f t="shared" si="6"/>
        <v>0</v>
      </c>
      <c r="P39" s="98">
        <f t="shared" si="7"/>
        <v>0</v>
      </c>
      <c r="Q39" s="99" t="str">
        <f t="shared" si="8"/>
        <v/>
      </c>
      <c r="R39" s="100">
        <v>0.0</v>
      </c>
      <c r="S39" s="101">
        <f t="shared" si="9"/>
        <v>0</v>
      </c>
      <c r="T39" s="101">
        <f t="shared" si="10"/>
        <v>0</v>
      </c>
      <c r="U39" s="101"/>
      <c r="V39" s="98">
        <f t="shared" si="11"/>
        <v>0</v>
      </c>
    </row>
    <row r="40">
      <c r="A40" s="74" t="str">
        <f t="shared" si="1"/>
        <v>Tuesday</v>
      </c>
      <c r="B40" s="49">
        <v>46245.0</v>
      </c>
      <c r="C40" s="106">
        <v>2.0</v>
      </c>
      <c r="D40" s="103">
        <v>899.37</v>
      </c>
      <c r="E40" s="88">
        <v>17717.0</v>
      </c>
      <c r="F40" s="89">
        <f t="shared" si="2"/>
        <v>15934138.29</v>
      </c>
      <c r="H40" s="91"/>
      <c r="I40" s="105"/>
      <c r="J40" s="93">
        <f t="shared" si="3"/>
        <v>0</v>
      </c>
      <c r="K40" s="94">
        <f t="shared" si="4"/>
        <v>0</v>
      </c>
      <c r="L40" s="95">
        <f t="shared" si="5"/>
        <v>0</v>
      </c>
      <c r="N40" s="108"/>
      <c r="O40" s="97">
        <f t="shared" si="6"/>
        <v>0</v>
      </c>
      <c r="P40" s="98">
        <f t="shared" si="7"/>
        <v>0</v>
      </c>
      <c r="Q40" s="99" t="str">
        <f t="shared" si="8"/>
        <v/>
      </c>
      <c r="R40" s="100">
        <v>0.0</v>
      </c>
      <c r="S40" s="101">
        <f t="shared" si="9"/>
        <v>0</v>
      </c>
      <c r="T40" s="101">
        <f t="shared" si="10"/>
        <v>0</v>
      </c>
      <c r="U40" s="101"/>
      <c r="V40" s="98">
        <f t="shared" si="11"/>
        <v>0</v>
      </c>
    </row>
    <row r="41">
      <c r="A41" s="74" t="str">
        <f t="shared" si="1"/>
        <v>Tuesday</v>
      </c>
      <c r="B41" s="49">
        <v>46245.0</v>
      </c>
      <c r="C41" s="106">
        <v>2.0</v>
      </c>
      <c r="D41" s="103">
        <v>899.37</v>
      </c>
      <c r="E41" s="88">
        <v>17717.0</v>
      </c>
      <c r="F41" s="89">
        <f t="shared" si="2"/>
        <v>15934138.29</v>
      </c>
      <c r="H41" s="91"/>
      <c r="I41" s="105"/>
      <c r="J41" s="93">
        <f t="shared" si="3"/>
        <v>0</v>
      </c>
      <c r="K41" s="94">
        <f t="shared" si="4"/>
        <v>0</v>
      </c>
      <c r="L41" s="95">
        <f t="shared" si="5"/>
        <v>0</v>
      </c>
      <c r="N41" s="108"/>
      <c r="O41" s="97">
        <f t="shared" si="6"/>
        <v>0</v>
      </c>
      <c r="P41" s="98">
        <f t="shared" si="7"/>
        <v>0</v>
      </c>
      <c r="Q41" s="99" t="str">
        <f t="shared" si="8"/>
        <v/>
      </c>
      <c r="R41" s="100">
        <v>0.0</v>
      </c>
      <c r="S41" s="101">
        <f t="shared" si="9"/>
        <v>0</v>
      </c>
      <c r="T41" s="101">
        <f t="shared" si="10"/>
        <v>0</v>
      </c>
      <c r="U41" s="101"/>
      <c r="V41" s="98">
        <f t="shared" si="11"/>
        <v>0</v>
      </c>
    </row>
    <row r="42">
      <c r="A42" s="74" t="str">
        <f t="shared" si="1"/>
        <v>Wednesday</v>
      </c>
      <c r="B42" s="49">
        <v>46246.0</v>
      </c>
      <c r="C42" s="117">
        <v>1.0</v>
      </c>
      <c r="D42" s="118">
        <v>0.01</v>
      </c>
      <c r="E42" s="119">
        <v>17829.0</v>
      </c>
      <c r="F42" s="120">
        <f t="shared" ref="F42:F202" si="12">E42*D42</f>
        <v>178.29</v>
      </c>
    </row>
    <row r="43">
      <c r="A43" s="74" t="str">
        <f t="shared" si="1"/>
        <v>Wednesday</v>
      </c>
      <c r="B43" s="49">
        <v>46246.0</v>
      </c>
      <c r="C43" s="117">
        <v>1.0</v>
      </c>
      <c r="D43" s="121">
        <v>24982.5</v>
      </c>
      <c r="E43" s="122">
        <v>17771.0</v>
      </c>
      <c r="F43" s="120">
        <f t="shared" si="12"/>
        <v>443964007.5</v>
      </c>
    </row>
    <row r="44">
      <c r="A44" s="74" t="str">
        <f t="shared" si="1"/>
        <v>Wednesday</v>
      </c>
      <c r="B44" s="49">
        <v>46246.0</v>
      </c>
      <c r="C44" s="117">
        <v>1.0</v>
      </c>
      <c r="D44" s="121">
        <v>992.31</v>
      </c>
      <c r="E44" s="122">
        <v>17773.0</v>
      </c>
      <c r="F44" s="120">
        <f t="shared" si="12"/>
        <v>17636325.63</v>
      </c>
    </row>
    <row r="45">
      <c r="A45" s="74" t="str">
        <f t="shared" si="1"/>
        <v>Wednesday</v>
      </c>
      <c r="B45" s="49">
        <v>46246.0</v>
      </c>
      <c r="C45" s="117">
        <v>1.0</v>
      </c>
      <c r="D45" s="121">
        <v>6311.58</v>
      </c>
      <c r="E45" s="122">
        <v>17773.0</v>
      </c>
      <c r="F45" s="120">
        <f t="shared" si="12"/>
        <v>112175711.3</v>
      </c>
    </row>
    <row r="46">
      <c r="A46" s="74" t="str">
        <f t="shared" si="1"/>
        <v>Wednesday</v>
      </c>
      <c r="B46" s="49">
        <v>46246.0</v>
      </c>
      <c r="C46" s="117">
        <v>1.0</v>
      </c>
      <c r="D46" s="121">
        <v>5696.01</v>
      </c>
      <c r="E46" s="122">
        <v>17768.0</v>
      </c>
      <c r="F46" s="120">
        <f t="shared" si="12"/>
        <v>101206705.7</v>
      </c>
    </row>
    <row r="47">
      <c r="A47" s="74" t="str">
        <f t="shared" si="1"/>
        <v>Wednesday</v>
      </c>
      <c r="B47" s="49">
        <v>46246.0</v>
      </c>
      <c r="C47" s="117">
        <v>1.0</v>
      </c>
      <c r="D47" s="121">
        <v>1069.26</v>
      </c>
      <c r="E47" s="122">
        <v>17776.0</v>
      </c>
      <c r="F47" s="120">
        <f t="shared" si="12"/>
        <v>19007165.76</v>
      </c>
    </row>
    <row r="48">
      <c r="A48" s="74" t="str">
        <f t="shared" si="1"/>
        <v>Wednesday</v>
      </c>
      <c r="B48" s="49">
        <v>46246.0</v>
      </c>
      <c r="C48" s="117">
        <v>1.0</v>
      </c>
      <c r="D48" s="121">
        <v>1064.26</v>
      </c>
      <c r="E48" s="122">
        <v>17785.0</v>
      </c>
      <c r="F48" s="120">
        <f t="shared" si="12"/>
        <v>18927864.1</v>
      </c>
    </row>
    <row r="49">
      <c r="A49" s="74" t="str">
        <f t="shared" si="1"/>
        <v>Wednesday</v>
      </c>
      <c r="B49" s="49">
        <v>46246.0</v>
      </c>
      <c r="C49" s="117">
        <v>1.0</v>
      </c>
      <c r="D49" s="121">
        <v>9993.0</v>
      </c>
      <c r="E49" s="122">
        <v>17792.0</v>
      </c>
      <c r="F49" s="120">
        <f t="shared" si="12"/>
        <v>177795456</v>
      </c>
    </row>
    <row r="50">
      <c r="A50" s="74" t="str">
        <f t="shared" si="1"/>
        <v>Wednesday</v>
      </c>
      <c r="B50" s="49">
        <v>46246.0</v>
      </c>
      <c r="C50" s="117">
        <v>1.0</v>
      </c>
      <c r="D50" s="121">
        <v>907.52</v>
      </c>
      <c r="E50" s="122">
        <v>17800.0</v>
      </c>
      <c r="F50" s="120">
        <f t="shared" si="12"/>
        <v>16153856</v>
      </c>
    </row>
    <row r="51">
      <c r="A51" s="74" t="str">
        <f t="shared" si="1"/>
        <v>Wednesday</v>
      </c>
      <c r="B51" s="49">
        <v>46246.0</v>
      </c>
      <c r="C51" s="117">
        <v>1.0</v>
      </c>
      <c r="D51" s="121">
        <v>999.3</v>
      </c>
      <c r="E51" s="122">
        <v>17800.0</v>
      </c>
      <c r="F51" s="120">
        <f t="shared" si="12"/>
        <v>17787540</v>
      </c>
    </row>
    <row r="52">
      <c r="A52" s="74" t="str">
        <f t="shared" si="1"/>
        <v>Wednesday</v>
      </c>
      <c r="B52" s="49">
        <v>46246.0</v>
      </c>
      <c r="C52" s="117">
        <v>1.0</v>
      </c>
      <c r="D52" s="121">
        <v>2772.56</v>
      </c>
      <c r="E52" s="122">
        <v>17800.0</v>
      </c>
      <c r="F52" s="120">
        <f t="shared" si="12"/>
        <v>49351568</v>
      </c>
    </row>
    <row r="53">
      <c r="A53" s="74" t="str">
        <f t="shared" si="1"/>
        <v>Wednesday</v>
      </c>
      <c r="B53" s="49">
        <v>46246.0</v>
      </c>
      <c r="C53" s="117">
        <v>1.0</v>
      </c>
      <c r="D53" s="121">
        <v>1356.06</v>
      </c>
      <c r="E53" s="122">
        <v>17800.0</v>
      </c>
      <c r="F53" s="120">
        <f t="shared" si="12"/>
        <v>24137868</v>
      </c>
    </row>
    <row r="54">
      <c r="A54" s="74" t="str">
        <f t="shared" si="1"/>
        <v>Wednesday</v>
      </c>
      <c r="B54" s="49">
        <v>46246.0</v>
      </c>
      <c r="C54" s="117">
        <v>2.0</v>
      </c>
      <c r="D54" s="121">
        <v>27480.75</v>
      </c>
      <c r="E54" s="122">
        <v>17778.0</v>
      </c>
      <c r="F54" s="120">
        <f t="shared" si="12"/>
        <v>488552773.5</v>
      </c>
    </row>
    <row r="55">
      <c r="A55" s="74" t="str">
        <f t="shared" si="1"/>
        <v>Wednesday</v>
      </c>
      <c r="B55" s="49">
        <v>46246.0</v>
      </c>
      <c r="C55" s="117">
        <v>2.0</v>
      </c>
      <c r="D55" s="121">
        <v>2810.5</v>
      </c>
      <c r="E55" s="122">
        <v>17778.0</v>
      </c>
      <c r="F55" s="120">
        <f t="shared" si="12"/>
        <v>49965069</v>
      </c>
    </row>
    <row r="56">
      <c r="A56" s="74" t="str">
        <f t="shared" si="1"/>
        <v>Wednesday</v>
      </c>
      <c r="B56" s="49">
        <v>46246.0</v>
      </c>
      <c r="C56" s="117">
        <v>2.0</v>
      </c>
      <c r="D56" s="121">
        <v>4996.5</v>
      </c>
      <c r="E56" s="122">
        <v>17778.0</v>
      </c>
      <c r="F56" s="120">
        <f t="shared" si="12"/>
        <v>88827777</v>
      </c>
    </row>
    <row r="57">
      <c r="A57" s="74" t="str">
        <f t="shared" si="1"/>
        <v>Wednesday</v>
      </c>
      <c r="B57" s="49">
        <v>46246.0</v>
      </c>
      <c r="C57" s="117">
        <v>2.0</v>
      </c>
      <c r="D57" s="121">
        <v>9993.0</v>
      </c>
      <c r="E57" s="122">
        <v>17775.0</v>
      </c>
      <c r="F57" s="120">
        <f t="shared" si="12"/>
        <v>177625575</v>
      </c>
    </row>
    <row r="58">
      <c r="A58" s="74" t="str">
        <f t="shared" si="1"/>
        <v>Wednesday</v>
      </c>
      <c r="B58" s="49">
        <v>46246.0</v>
      </c>
      <c r="C58" s="117">
        <v>2.0</v>
      </c>
      <c r="D58" s="121">
        <v>3997.2</v>
      </c>
      <c r="E58" s="122">
        <v>17775.0</v>
      </c>
      <c r="F58" s="120">
        <f t="shared" si="12"/>
        <v>71050230</v>
      </c>
    </row>
    <row r="59">
      <c r="A59" s="74" t="str">
        <f t="shared" si="1"/>
        <v>Wednesday</v>
      </c>
      <c r="B59" s="49">
        <v>46246.0</v>
      </c>
      <c r="C59" s="117">
        <v>2.0</v>
      </c>
      <c r="D59" s="121">
        <v>1863.22</v>
      </c>
      <c r="E59" s="122">
        <v>17775.0</v>
      </c>
      <c r="F59" s="120">
        <f t="shared" si="12"/>
        <v>33118735.5</v>
      </c>
    </row>
    <row r="60">
      <c r="A60" s="74" t="str">
        <f t="shared" si="1"/>
        <v>Wednesday</v>
      </c>
      <c r="B60" s="49">
        <v>46246.0</v>
      </c>
      <c r="C60" s="117">
        <v>2.0</v>
      </c>
      <c r="D60" s="121">
        <v>5069.47</v>
      </c>
      <c r="E60" s="122">
        <v>17775.0</v>
      </c>
      <c r="F60" s="120">
        <f t="shared" si="12"/>
        <v>90109829.25</v>
      </c>
    </row>
    <row r="61">
      <c r="A61" s="74" t="str">
        <f t="shared" si="1"/>
        <v>Wednesday</v>
      </c>
      <c r="B61" s="49">
        <v>46246.0</v>
      </c>
      <c r="C61" s="117">
        <v>3.0</v>
      </c>
      <c r="D61" s="121">
        <v>27480.75</v>
      </c>
      <c r="E61" s="122">
        <v>17758.0</v>
      </c>
      <c r="F61" s="120">
        <f t="shared" si="12"/>
        <v>488003158.5</v>
      </c>
    </row>
    <row r="62">
      <c r="A62" s="74" t="str">
        <f t="shared" si="1"/>
        <v>Wednesday</v>
      </c>
      <c r="B62" s="49">
        <v>46246.0</v>
      </c>
      <c r="C62" s="117">
        <v>3.0</v>
      </c>
      <c r="D62" s="121">
        <v>28799.83</v>
      </c>
      <c r="E62" s="122">
        <v>17758.0</v>
      </c>
      <c r="F62" s="120">
        <f t="shared" si="12"/>
        <v>511427381.1</v>
      </c>
    </row>
    <row r="63">
      <c r="A63" s="74" t="str">
        <f t="shared" si="1"/>
        <v>Wednesday</v>
      </c>
      <c r="B63" s="49">
        <v>46246.0</v>
      </c>
      <c r="C63" s="117">
        <v>4.0</v>
      </c>
      <c r="D63" s="121">
        <v>1875.94</v>
      </c>
      <c r="E63" s="122">
        <v>17760.0</v>
      </c>
      <c r="F63" s="120">
        <f t="shared" si="12"/>
        <v>33316694.4</v>
      </c>
    </row>
    <row r="64">
      <c r="A64" s="74" t="str">
        <f t="shared" si="1"/>
        <v>Wednesday</v>
      </c>
      <c r="B64" s="49">
        <v>46246.0</v>
      </c>
      <c r="C64" s="117">
        <v>4.0</v>
      </c>
      <c r="D64" s="121">
        <v>21307.06</v>
      </c>
      <c r="E64" s="122">
        <v>17765.0</v>
      </c>
      <c r="F64" s="120">
        <f t="shared" si="12"/>
        <v>378519920.9</v>
      </c>
    </row>
    <row r="65">
      <c r="A65" s="74" t="str">
        <f t="shared" si="1"/>
        <v>Wednesday</v>
      </c>
      <c r="B65" s="49">
        <v>46246.0</v>
      </c>
      <c r="C65" s="117">
        <v>4.0</v>
      </c>
      <c r="D65" s="121">
        <v>1099.23</v>
      </c>
      <c r="E65" s="122">
        <v>17765.0</v>
      </c>
      <c r="F65" s="120">
        <f t="shared" si="12"/>
        <v>19527820.95</v>
      </c>
    </row>
    <row r="66">
      <c r="A66" s="74" t="str">
        <f t="shared" si="1"/>
        <v>Wednesday</v>
      </c>
      <c r="B66" s="49">
        <v>46246.0</v>
      </c>
      <c r="C66" s="117">
        <v>4.0</v>
      </c>
      <c r="D66" s="121">
        <v>849.41</v>
      </c>
      <c r="E66" s="122">
        <v>17770.0</v>
      </c>
      <c r="F66" s="120">
        <f t="shared" si="12"/>
        <v>15094015.7</v>
      </c>
    </row>
    <row r="67">
      <c r="A67" s="74" t="str">
        <f t="shared" si="1"/>
        <v>Wednesday</v>
      </c>
      <c r="B67" s="49">
        <v>46246.0</v>
      </c>
      <c r="C67" s="117">
        <v>4.0</v>
      </c>
      <c r="D67" s="121">
        <v>1066.52</v>
      </c>
      <c r="E67" s="122">
        <v>17772.0</v>
      </c>
      <c r="F67" s="120">
        <f t="shared" si="12"/>
        <v>18954193.44</v>
      </c>
    </row>
    <row r="68">
      <c r="A68" s="74" t="str">
        <f t="shared" si="1"/>
        <v>Wednesday</v>
      </c>
      <c r="B68" s="49">
        <v>46246.0</v>
      </c>
      <c r="C68" s="117">
        <v>4.0</v>
      </c>
      <c r="D68" s="121">
        <v>899.37</v>
      </c>
      <c r="E68" s="122">
        <v>17772.0</v>
      </c>
      <c r="F68" s="120">
        <f t="shared" si="12"/>
        <v>15983603.64</v>
      </c>
    </row>
    <row r="69">
      <c r="A69" s="74" t="str">
        <f t="shared" si="1"/>
        <v>Wednesday</v>
      </c>
      <c r="B69" s="49">
        <v>46246.0</v>
      </c>
      <c r="C69" s="117">
        <v>4.0</v>
      </c>
      <c r="D69" s="121">
        <v>899.37</v>
      </c>
      <c r="E69" s="122">
        <v>17772.0</v>
      </c>
      <c r="F69" s="120">
        <f t="shared" si="12"/>
        <v>15983603.64</v>
      </c>
    </row>
    <row r="70">
      <c r="A70" s="74" t="str">
        <f t="shared" si="1"/>
        <v>Wednesday</v>
      </c>
      <c r="B70" s="49">
        <v>46246.0</v>
      </c>
      <c r="C70" s="117">
        <v>4.0</v>
      </c>
      <c r="D70" s="121">
        <v>4896.57</v>
      </c>
      <c r="E70" s="122">
        <v>17772.0</v>
      </c>
      <c r="F70" s="120">
        <f t="shared" si="12"/>
        <v>87021842.04</v>
      </c>
    </row>
    <row r="71">
      <c r="A71" s="74" t="str">
        <f t="shared" si="1"/>
        <v>Wednesday</v>
      </c>
      <c r="B71" s="49">
        <v>46246.0</v>
      </c>
      <c r="C71" s="117">
        <v>4.0</v>
      </c>
      <c r="D71" s="121">
        <v>999.3</v>
      </c>
      <c r="E71" s="122">
        <v>17772.0</v>
      </c>
      <c r="F71" s="120">
        <f t="shared" si="12"/>
        <v>17759559.6</v>
      </c>
    </row>
    <row r="72">
      <c r="A72" s="74" t="str">
        <f t="shared" si="1"/>
        <v>Wednesday</v>
      </c>
      <c r="B72" s="49">
        <v>46246.0</v>
      </c>
      <c r="C72" s="117">
        <v>4.0</v>
      </c>
      <c r="D72" s="121">
        <v>2030.08</v>
      </c>
      <c r="E72" s="122">
        <v>17772.0</v>
      </c>
      <c r="F72" s="120">
        <f t="shared" si="12"/>
        <v>36078581.76</v>
      </c>
    </row>
    <row r="73">
      <c r="A73" s="74" t="str">
        <f t="shared" si="1"/>
        <v>Wednesday</v>
      </c>
      <c r="B73" s="49">
        <v>46246.0</v>
      </c>
      <c r="C73" s="117">
        <v>4.0</v>
      </c>
      <c r="D73" s="121">
        <v>851.09</v>
      </c>
      <c r="E73" s="122">
        <v>17775.0</v>
      </c>
      <c r="F73" s="120">
        <f t="shared" si="12"/>
        <v>15128124.75</v>
      </c>
    </row>
    <row r="74">
      <c r="A74" s="74" t="str">
        <f t="shared" si="1"/>
        <v>Wednesday</v>
      </c>
      <c r="B74" s="49">
        <v>46246.0</v>
      </c>
      <c r="C74" s="117">
        <v>4.0</v>
      </c>
      <c r="D74" s="121">
        <v>899.37</v>
      </c>
      <c r="E74" s="122">
        <v>17770.0</v>
      </c>
      <c r="F74" s="120">
        <f t="shared" si="12"/>
        <v>15981804.9</v>
      </c>
    </row>
    <row r="75">
      <c r="A75" s="74" t="str">
        <f t="shared" si="1"/>
        <v>Wednesday</v>
      </c>
      <c r="B75" s="49">
        <v>46246.0</v>
      </c>
      <c r="C75" s="117">
        <v>4.0</v>
      </c>
      <c r="D75" s="121">
        <v>899.37</v>
      </c>
      <c r="E75" s="122">
        <v>17770.0</v>
      </c>
      <c r="F75" s="120">
        <f t="shared" si="12"/>
        <v>15981804.9</v>
      </c>
    </row>
    <row r="76">
      <c r="A76" s="74" t="str">
        <f t="shared" si="1"/>
        <v>Wednesday</v>
      </c>
      <c r="B76" s="49">
        <v>46246.0</v>
      </c>
      <c r="C76" s="117">
        <v>4.0</v>
      </c>
      <c r="D76" s="121">
        <v>899.37</v>
      </c>
      <c r="E76" s="122">
        <v>17770.0</v>
      </c>
      <c r="F76" s="120">
        <f t="shared" si="12"/>
        <v>15981804.9</v>
      </c>
    </row>
    <row r="77">
      <c r="A77" s="74" t="str">
        <f t="shared" si="1"/>
        <v>Wednesday</v>
      </c>
      <c r="B77" s="49">
        <v>46246.0</v>
      </c>
      <c r="C77" s="117">
        <v>4.0</v>
      </c>
      <c r="D77" s="121">
        <v>1199.16</v>
      </c>
      <c r="E77" s="122">
        <v>17770.0</v>
      </c>
      <c r="F77" s="120">
        <f t="shared" si="12"/>
        <v>21309073.2</v>
      </c>
    </row>
    <row r="78">
      <c r="A78" s="74" t="str">
        <f t="shared" si="1"/>
        <v>Wednesday</v>
      </c>
      <c r="B78" s="49">
        <v>46246.0</v>
      </c>
      <c r="C78" s="117">
        <v>4.0</v>
      </c>
      <c r="D78" s="121">
        <v>4867.74</v>
      </c>
      <c r="E78" s="122">
        <v>17770.0</v>
      </c>
      <c r="F78" s="120">
        <f t="shared" si="12"/>
        <v>86499739.8</v>
      </c>
    </row>
    <row r="79">
      <c r="A79" s="74" t="str">
        <f t="shared" si="1"/>
        <v>Wednesday</v>
      </c>
      <c r="B79" s="49">
        <v>46246.0</v>
      </c>
      <c r="C79" s="117">
        <v>4.0</v>
      </c>
      <c r="D79" s="121">
        <v>843.52</v>
      </c>
      <c r="E79" s="122">
        <v>17770.0</v>
      </c>
      <c r="F79" s="120">
        <f t="shared" si="12"/>
        <v>14989350.4</v>
      </c>
    </row>
    <row r="80">
      <c r="A80" s="74" t="str">
        <f t="shared" si="1"/>
        <v>Wednesday</v>
      </c>
      <c r="B80" s="49">
        <v>46246.0</v>
      </c>
      <c r="C80" s="117">
        <v>4.0</v>
      </c>
      <c r="D80" s="121">
        <v>1406.2</v>
      </c>
      <c r="E80" s="122">
        <v>17766.0</v>
      </c>
      <c r="F80" s="120">
        <f t="shared" si="12"/>
        <v>24982549.2</v>
      </c>
    </row>
    <row r="81">
      <c r="A81" s="74" t="str">
        <f t="shared" si="1"/>
        <v>Wednesday</v>
      </c>
      <c r="B81" s="49">
        <v>46246.0</v>
      </c>
      <c r="C81" s="117">
        <v>4.0</v>
      </c>
      <c r="D81" s="121">
        <v>1538.93</v>
      </c>
      <c r="E81" s="122">
        <v>17766.0</v>
      </c>
      <c r="F81" s="120">
        <f t="shared" si="12"/>
        <v>27340630.38</v>
      </c>
    </row>
    <row r="82">
      <c r="A82" s="74" t="str">
        <f t="shared" si="1"/>
        <v>Wednesday</v>
      </c>
      <c r="B82" s="49">
        <v>46246.0</v>
      </c>
      <c r="C82" s="117">
        <v>4.0</v>
      </c>
      <c r="D82" s="121">
        <v>2478.1</v>
      </c>
      <c r="E82" s="122">
        <v>17766.0</v>
      </c>
      <c r="F82" s="120">
        <f t="shared" si="12"/>
        <v>44025924.6</v>
      </c>
    </row>
    <row r="83">
      <c r="A83" s="74" t="str">
        <f t="shared" si="1"/>
        <v>Wednesday</v>
      </c>
      <c r="B83" s="49">
        <v>46246.0</v>
      </c>
      <c r="C83" s="117">
        <v>4.0</v>
      </c>
      <c r="D83" s="121">
        <v>2065.51</v>
      </c>
      <c r="E83" s="122">
        <v>17766.0</v>
      </c>
      <c r="F83" s="120">
        <f t="shared" si="12"/>
        <v>36695850.66</v>
      </c>
    </row>
    <row r="84">
      <c r="A84" s="74" t="str">
        <f t="shared" si="1"/>
        <v>Wednesday</v>
      </c>
      <c r="B84" s="49">
        <v>46246.0</v>
      </c>
      <c r="C84" s="117">
        <v>4.0</v>
      </c>
      <c r="D84" s="121">
        <v>999.3</v>
      </c>
      <c r="E84" s="122">
        <v>17766.0</v>
      </c>
      <c r="F84" s="120">
        <f t="shared" si="12"/>
        <v>17753563.8</v>
      </c>
    </row>
    <row r="85">
      <c r="A85" s="74" t="str">
        <f t="shared" si="1"/>
        <v>Wednesday</v>
      </c>
      <c r="B85" s="49">
        <v>46246.0</v>
      </c>
      <c r="C85" s="117">
        <v>4.0</v>
      </c>
      <c r="D85" s="121">
        <v>1239.38</v>
      </c>
      <c r="E85" s="122">
        <v>17766.0</v>
      </c>
      <c r="F85" s="120">
        <f t="shared" si="12"/>
        <v>22018825.08</v>
      </c>
    </row>
    <row r="86">
      <c r="A86" s="74" t="str">
        <f t="shared" si="1"/>
        <v>Wednesday</v>
      </c>
      <c r="B86" s="49">
        <v>46246.0</v>
      </c>
      <c r="C86" s="117">
        <v>5.0</v>
      </c>
      <c r="D86" s="121">
        <v>3997.2</v>
      </c>
      <c r="E86" s="122">
        <v>17766.0</v>
      </c>
      <c r="F86" s="120">
        <f t="shared" si="12"/>
        <v>71014255.2</v>
      </c>
    </row>
    <row r="87">
      <c r="A87" s="74" t="str">
        <f t="shared" si="1"/>
        <v>Wednesday</v>
      </c>
      <c r="B87" s="49">
        <v>46246.0</v>
      </c>
      <c r="C87" s="117">
        <v>5.0</v>
      </c>
      <c r="D87" s="121">
        <v>50606.01</v>
      </c>
      <c r="E87" s="122">
        <v>17772.0</v>
      </c>
      <c r="F87" s="120">
        <f t="shared" si="12"/>
        <v>899370009.7</v>
      </c>
    </row>
    <row r="88">
      <c r="A88" s="74" t="str">
        <f t="shared" si="1"/>
        <v>Wednesday</v>
      </c>
      <c r="B88" s="49">
        <v>46246.0</v>
      </c>
      <c r="C88" s="117">
        <v>5.0</v>
      </c>
      <c r="D88" s="121">
        <v>843.43</v>
      </c>
      <c r="E88" s="122">
        <v>17766.0</v>
      </c>
      <c r="F88" s="120">
        <f t="shared" si="12"/>
        <v>14984377.38</v>
      </c>
    </row>
    <row r="89">
      <c r="A89" s="74" t="str">
        <f t="shared" si="1"/>
        <v>Wednesday</v>
      </c>
      <c r="B89" s="49">
        <v>46246.0</v>
      </c>
      <c r="C89" s="117">
        <v>5.0</v>
      </c>
      <c r="D89" s="121">
        <v>863.93</v>
      </c>
      <c r="E89" s="122">
        <v>17766.0</v>
      </c>
      <c r="F89" s="120">
        <f t="shared" si="12"/>
        <v>15348580.38</v>
      </c>
    </row>
    <row r="90">
      <c r="A90" s="74" t="str">
        <f t="shared" si="1"/>
        <v>Thursday</v>
      </c>
      <c r="B90" s="49">
        <v>46247.0</v>
      </c>
      <c r="C90" s="117">
        <v>1.0</v>
      </c>
      <c r="D90" s="121">
        <v>3397.62</v>
      </c>
      <c r="E90" s="122">
        <v>17800.0</v>
      </c>
      <c r="F90" s="120">
        <f t="shared" si="12"/>
        <v>60477636</v>
      </c>
    </row>
    <row r="91">
      <c r="A91" s="74" t="str">
        <f t="shared" si="1"/>
        <v>Thursday</v>
      </c>
      <c r="B91" s="49">
        <v>46247.0</v>
      </c>
      <c r="C91" s="117">
        <v>1.0</v>
      </c>
      <c r="D91" s="121">
        <v>29979.0</v>
      </c>
      <c r="E91" s="122">
        <v>17800.0</v>
      </c>
      <c r="F91" s="120">
        <f t="shared" si="12"/>
        <v>533626200</v>
      </c>
    </row>
    <row r="92">
      <c r="A92" s="74" t="str">
        <f t="shared" si="1"/>
        <v>Thursday</v>
      </c>
      <c r="B92" s="49">
        <v>46247.0</v>
      </c>
      <c r="C92" s="117">
        <v>1.0</v>
      </c>
      <c r="D92" s="121">
        <v>849.41</v>
      </c>
      <c r="E92" s="122">
        <v>17800.0</v>
      </c>
      <c r="F92" s="120">
        <f t="shared" si="12"/>
        <v>15119498</v>
      </c>
    </row>
    <row r="93">
      <c r="A93" s="74" t="str">
        <f t="shared" si="1"/>
        <v>Thursday</v>
      </c>
      <c r="B93" s="49">
        <v>46247.0</v>
      </c>
      <c r="C93" s="117">
        <v>1.0</v>
      </c>
      <c r="D93" s="121">
        <v>14512.65</v>
      </c>
      <c r="E93" s="122">
        <v>17800.0</v>
      </c>
      <c r="F93" s="120">
        <f t="shared" si="12"/>
        <v>258325170</v>
      </c>
    </row>
    <row r="94">
      <c r="A94" s="74" t="str">
        <f t="shared" si="1"/>
        <v>Thursday</v>
      </c>
      <c r="B94" s="49">
        <v>46247.0</v>
      </c>
      <c r="C94" s="117">
        <v>1.0</v>
      </c>
      <c r="D94" s="121">
        <v>5527.14</v>
      </c>
      <c r="E94" s="122">
        <v>17800.0</v>
      </c>
      <c r="F94" s="120">
        <f t="shared" si="12"/>
        <v>98383092</v>
      </c>
    </row>
    <row r="95">
      <c r="A95" s="74" t="str">
        <f t="shared" si="1"/>
        <v>Thursday</v>
      </c>
      <c r="B95" s="49">
        <v>46247.0</v>
      </c>
      <c r="C95" s="117">
        <v>1.0</v>
      </c>
      <c r="D95" s="121">
        <v>899.37</v>
      </c>
      <c r="E95" s="122">
        <v>17800.0</v>
      </c>
      <c r="F95" s="120">
        <f t="shared" si="12"/>
        <v>16008786</v>
      </c>
    </row>
    <row r="96">
      <c r="A96" s="74" t="str">
        <f t="shared" si="1"/>
        <v>Thursday</v>
      </c>
      <c r="B96" s="49">
        <v>46247.0</v>
      </c>
      <c r="C96" s="117">
        <v>1.0</v>
      </c>
      <c r="D96" s="121">
        <v>899.37</v>
      </c>
      <c r="E96" s="122">
        <v>17800.0</v>
      </c>
      <c r="F96" s="120">
        <f t="shared" si="12"/>
        <v>16008786</v>
      </c>
    </row>
    <row r="97">
      <c r="A97" s="74" t="str">
        <f t="shared" si="1"/>
        <v>Thursday</v>
      </c>
      <c r="B97" s="49">
        <v>46247.0</v>
      </c>
      <c r="C97" s="117">
        <v>2.0</v>
      </c>
      <c r="D97" s="121">
        <v>39793.91</v>
      </c>
      <c r="E97" s="122">
        <v>17788.0</v>
      </c>
      <c r="F97" s="120">
        <f t="shared" si="12"/>
        <v>707854071.1</v>
      </c>
    </row>
    <row r="98">
      <c r="A98" s="74" t="str">
        <f t="shared" si="1"/>
        <v>Thursday</v>
      </c>
      <c r="B98" s="49">
        <v>46247.0</v>
      </c>
      <c r="C98" s="117">
        <v>2.0</v>
      </c>
      <c r="D98" s="121">
        <v>14989.5</v>
      </c>
      <c r="E98" s="122">
        <v>17788.0</v>
      </c>
      <c r="F98" s="120">
        <f t="shared" si="12"/>
        <v>266633226</v>
      </c>
    </row>
    <row r="99">
      <c r="A99" s="74" t="str">
        <f t="shared" si="1"/>
        <v>Thursday</v>
      </c>
      <c r="B99" s="49">
        <v>46247.0</v>
      </c>
      <c r="C99" s="117">
        <v>2.0</v>
      </c>
      <c r="D99" s="121">
        <v>999.3</v>
      </c>
      <c r="E99" s="122">
        <v>17788.0</v>
      </c>
      <c r="F99" s="120">
        <f t="shared" si="12"/>
        <v>17775548.4</v>
      </c>
    </row>
    <row r="100">
      <c r="A100" s="74" t="str">
        <f t="shared" si="1"/>
        <v>Thursday</v>
      </c>
      <c r="B100" s="49">
        <v>46247.0</v>
      </c>
      <c r="C100" s="117">
        <v>3.0</v>
      </c>
      <c r="D100" s="121">
        <v>49965.0</v>
      </c>
      <c r="E100" s="122">
        <v>17777.0</v>
      </c>
      <c r="F100" s="120">
        <f t="shared" si="12"/>
        <v>888227805</v>
      </c>
    </row>
    <row r="101">
      <c r="A101" s="74" t="str">
        <f t="shared" si="1"/>
        <v>Thursday</v>
      </c>
      <c r="B101" s="49">
        <v>46247.0</v>
      </c>
      <c r="C101" s="117">
        <v>3.0</v>
      </c>
      <c r="D101" s="121">
        <v>2997.9</v>
      </c>
      <c r="E101" s="122">
        <v>17780.0</v>
      </c>
      <c r="F101" s="120">
        <f t="shared" si="12"/>
        <v>53302662</v>
      </c>
    </row>
    <row r="102">
      <c r="A102" s="74" t="str">
        <f t="shared" si="1"/>
        <v>Thursday</v>
      </c>
      <c r="B102" s="49">
        <v>46247.0</v>
      </c>
      <c r="C102" s="117">
        <v>3.0</v>
      </c>
      <c r="D102" s="121">
        <v>2997.9</v>
      </c>
      <c r="E102" s="122">
        <v>17780.0</v>
      </c>
      <c r="F102" s="120">
        <f t="shared" si="12"/>
        <v>53302662</v>
      </c>
    </row>
    <row r="103">
      <c r="A103" s="74" t="str">
        <f t="shared" si="1"/>
        <v>Thursday</v>
      </c>
      <c r="B103" s="49">
        <v>46247.0</v>
      </c>
      <c r="C103" s="117">
        <v>4.0</v>
      </c>
      <c r="D103" s="121">
        <v>16218.64</v>
      </c>
      <c r="E103" s="122">
        <v>17765.0</v>
      </c>
      <c r="F103" s="120">
        <f t="shared" si="12"/>
        <v>288124139.6</v>
      </c>
    </row>
    <row r="104">
      <c r="A104" s="74" t="str">
        <f t="shared" si="1"/>
        <v>Thursday</v>
      </c>
      <c r="B104" s="49">
        <v>46247.0</v>
      </c>
      <c r="C104" s="117">
        <v>4.0</v>
      </c>
      <c r="D104" s="121">
        <v>899.37</v>
      </c>
      <c r="E104" s="122">
        <v>17765.0</v>
      </c>
      <c r="F104" s="120">
        <f t="shared" si="12"/>
        <v>15977308.05</v>
      </c>
    </row>
    <row r="105">
      <c r="A105" s="74" t="str">
        <f t="shared" si="1"/>
        <v>Thursday</v>
      </c>
      <c r="B105" s="49">
        <v>46247.0</v>
      </c>
      <c r="C105" s="117">
        <v>4.0</v>
      </c>
      <c r="D105" s="121">
        <v>899.37</v>
      </c>
      <c r="E105" s="122">
        <v>17765.0</v>
      </c>
      <c r="F105" s="120">
        <f t="shared" si="12"/>
        <v>15977308.05</v>
      </c>
    </row>
    <row r="106">
      <c r="A106" s="74" t="str">
        <f t="shared" si="1"/>
        <v>Thursday</v>
      </c>
      <c r="B106" s="49">
        <v>46247.0</v>
      </c>
      <c r="C106" s="117">
        <v>4.0</v>
      </c>
      <c r="D106" s="121">
        <v>899.37</v>
      </c>
      <c r="E106" s="122">
        <v>17765.0</v>
      </c>
      <c r="F106" s="120">
        <f t="shared" si="12"/>
        <v>15977308.05</v>
      </c>
    </row>
    <row r="107">
      <c r="A107" s="74" t="str">
        <f t="shared" si="1"/>
        <v>Thursday</v>
      </c>
      <c r="B107" s="49">
        <v>46247.0</v>
      </c>
      <c r="C107" s="117">
        <v>4.0</v>
      </c>
      <c r="D107" s="121">
        <v>9713.2</v>
      </c>
      <c r="E107" s="122">
        <v>17765.0</v>
      </c>
      <c r="F107" s="120">
        <f t="shared" si="12"/>
        <v>172554998</v>
      </c>
    </row>
    <row r="108">
      <c r="A108" s="74" t="str">
        <f t="shared" si="1"/>
        <v>Thursday</v>
      </c>
      <c r="B108" s="49">
        <v>46247.0</v>
      </c>
      <c r="C108" s="117">
        <v>4.0</v>
      </c>
      <c r="D108" s="121">
        <v>2364.6</v>
      </c>
      <c r="E108" s="122">
        <v>17753.0</v>
      </c>
      <c r="F108" s="120">
        <f t="shared" si="12"/>
        <v>41978743.8</v>
      </c>
    </row>
    <row r="109">
      <c r="A109" s="74" t="str">
        <f t="shared" si="1"/>
        <v>Thursday</v>
      </c>
      <c r="B109" s="49">
        <v>46247.0</v>
      </c>
      <c r="C109" s="117">
        <v>4.0</v>
      </c>
      <c r="D109" s="121">
        <v>25612.83</v>
      </c>
      <c r="E109" s="122">
        <v>17753.0</v>
      </c>
      <c r="F109" s="120">
        <f t="shared" si="12"/>
        <v>454704571</v>
      </c>
    </row>
    <row r="110">
      <c r="A110" s="74" t="str">
        <f t="shared" si="1"/>
        <v>Thursday</v>
      </c>
      <c r="B110" s="49">
        <v>46247.0</v>
      </c>
      <c r="C110" s="117">
        <v>4.0</v>
      </c>
      <c r="D110" s="121">
        <v>334.98</v>
      </c>
      <c r="E110" s="122">
        <v>17750.0</v>
      </c>
      <c r="F110" s="120">
        <f t="shared" si="12"/>
        <v>5945895</v>
      </c>
    </row>
    <row r="111">
      <c r="A111" s="74" t="str">
        <f t="shared" si="1"/>
        <v>Friday</v>
      </c>
      <c r="B111" s="49">
        <v>46248.0</v>
      </c>
      <c r="C111" s="117">
        <v>1.0</v>
      </c>
      <c r="D111" s="121">
        <v>603.51</v>
      </c>
      <c r="E111" s="122">
        <v>17741.0</v>
      </c>
      <c r="F111" s="120">
        <f t="shared" si="12"/>
        <v>10706870.91</v>
      </c>
    </row>
    <row r="112">
      <c r="A112" s="74" t="str">
        <f t="shared" si="1"/>
        <v>Friday</v>
      </c>
      <c r="B112" s="49">
        <v>46248.0</v>
      </c>
      <c r="C112" s="117">
        <v>1.0</v>
      </c>
      <c r="D112" s="121">
        <v>19986.0</v>
      </c>
      <c r="E112" s="122">
        <v>17741.0</v>
      </c>
      <c r="F112" s="120">
        <f t="shared" si="12"/>
        <v>354571626</v>
      </c>
    </row>
    <row r="113">
      <c r="A113" s="74" t="str">
        <f t="shared" si="1"/>
        <v>Friday</v>
      </c>
      <c r="B113" s="49">
        <v>46248.0</v>
      </c>
      <c r="C113" s="117">
        <v>1.0</v>
      </c>
      <c r="D113" s="121">
        <v>1498.95</v>
      </c>
      <c r="E113" s="122">
        <v>17741.0</v>
      </c>
      <c r="F113" s="120">
        <f t="shared" si="12"/>
        <v>26592871.95</v>
      </c>
    </row>
    <row r="114">
      <c r="A114" s="74" t="str">
        <f t="shared" si="1"/>
        <v>Friday</v>
      </c>
      <c r="B114" s="49">
        <v>46248.0</v>
      </c>
      <c r="C114" s="117">
        <v>1.0</v>
      </c>
      <c r="D114" s="121">
        <v>29979.0</v>
      </c>
      <c r="E114" s="122">
        <v>17740.0</v>
      </c>
      <c r="F114" s="120">
        <f t="shared" si="12"/>
        <v>531827460</v>
      </c>
    </row>
    <row r="115">
      <c r="A115" s="74" t="str">
        <f t="shared" si="1"/>
        <v>Friday</v>
      </c>
      <c r="B115" s="49">
        <v>46248.0</v>
      </c>
      <c r="C115" s="117">
        <v>1.0</v>
      </c>
      <c r="D115" s="121">
        <v>849.41</v>
      </c>
      <c r="E115" s="122">
        <v>17740.0</v>
      </c>
      <c r="F115" s="120">
        <f t="shared" si="12"/>
        <v>15068533.4</v>
      </c>
    </row>
    <row r="116">
      <c r="A116" s="74" t="str">
        <f t="shared" si="1"/>
        <v>Friday</v>
      </c>
      <c r="B116" s="49">
        <v>46248.0</v>
      </c>
      <c r="C116" s="117">
        <v>1.0</v>
      </c>
      <c r="D116" s="121">
        <v>845.41</v>
      </c>
      <c r="E116" s="122">
        <v>17740.0</v>
      </c>
      <c r="F116" s="120">
        <f t="shared" si="12"/>
        <v>14997573.4</v>
      </c>
    </row>
    <row r="117">
      <c r="A117" s="74" t="str">
        <f t="shared" si="1"/>
        <v>Friday</v>
      </c>
      <c r="B117" s="49">
        <v>46248.0</v>
      </c>
      <c r="C117" s="117">
        <v>1.0</v>
      </c>
      <c r="D117" s="121">
        <v>1168.02</v>
      </c>
      <c r="E117" s="122">
        <v>17740.0</v>
      </c>
      <c r="F117" s="120">
        <f t="shared" si="12"/>
        <v>20720674.8</v>
      </c>
    </row>
    <row r="118">
      <c r="A118" s="74" t="str">
        <f t="shared" si="1"/>
        <v>Friday</v>
      </c>
      <c r="B118" s="49">
        <v>46248.0</v>
      </c>
      <c r="C118" s="117">
        <v>1.0</v>
      </c>
      <c r="D118" s="121">
        <v>844.95</v>
      </c>
      <c r="E118" s="122">
        <v>17740.0</v>
      </c>
      <c r="F118" s="120">
        <f t="shared" si="12"/>
        <v>14989413</v>
      </c>
    </row>
    <row r="119">
      <c r="A119" s="74" t="str">
        <f t="shared" si="1"/>
        <v>Friday</v>
      </c>
      <c r="B119" s="49">
        <v>46248.0</v>
      </c>
      <c r="C119" s="117">
        <v>1.0</v>
      </c>
      <c r="D119" s="121">
        <v>999.33</v>
      </c>
      <c r="E119" s="122">
        <v>17737.0</v>
      </c>
      <c r="F119" s="120">
        <f t="shared" si="12"/>
        <v>17725116.21</v>
      </c>
    </row>
    <row r="120">
      <c r="A120" s="74" t="str">
        <f t="shared" si="1"/>
        <v>Friday</v>
      </c>
      <c r="B120" s="49">
        <v>46248.0</v>
      </c>
      <c r="C120" s="117">
        <v>2.0</v>
      </c>
      <c r="D120" s="121">
        <v>899.37</v>
      </c>
      <c r="E120" s="122">
        <v>17737.0</v>
      </c>
      <c r="F120" s="120">
        <f t="shared" si="12"/>
        <v>15952125.69</v>
      </c>
    </row>
    <row r="121">
      <c r="A121" s="74" t="str">
        <f t="shared" si="1"/>
        <v>Friday</v>
      </c>
      <c r="B121" s="49">
        <v>46248.0</v>
      </c>
      <c r="C121" s="117">
        <v>2.0</v>
      </c>
      <c r="D121" s="121">
        <v>29510.72</v>
      </c>
      <c r="E121" s="122">
        <v>17740.0</v>
      </c>
      <c r="F121" s="120">
        <f t="shared" si="12"/>
        <v>523520172.8</v>
      </c>
    </row>
    <row r="122">
      <c r="A122" s="74" t="str">
        <f t="shared" si="1"/>
        <v>Friday</v>
      </c>
      <c r="B122" s="49">
        <v>46248.0</v>
      </c>
      <c r="C122" s="117">
        <v>2.0</v>
      </c>
      <c r="D122" s="121">
        <v>2414.31</v>
      </c>
      <c r="E122" s="122">
        <v>17740.0</v>
      </c>
      <c r="F122" s="120">
        <f t="shared" si="12"/>
        <v>42829859.4</v>
      </c>
    </row>
    <row r="123">
      <c r="A123" s="74" t="str">
        <f t="shared" si="1"/>
        <v>Friday</v>
      </c>
      <c r="B123" s="49">
        <v>46248.0</v>
      </c>
      <c r="C123" s="117">
        <v>2.0</v>
      </c>
      <c r="D123" s="121">
        <v>999.3</v>
      </c>
      <c r="E123" s="122">
        <v>17737.0</v>
      </c>
      <c r="F123" s="120">
        <f t="shared" si="12"/>
        <v>17724584.1</v>
      </c>
    </row>
    <row r="124">
      <c r="A124" s="74" t="str">
        <f t="shared" si="1"/>
        <v>Friday</v>
      </c>
      <c r="B124" s="49">
        <v>46248.0</v>
      </c>
      <c r="C124" s="117">
        <v>2.0</v>
      </c>
      <c r="D124" s="121">
        <v>1037.83</v>
      </c>
      <c r="E124" s="122">
        <v>17740.0</v>
      </c>
      <c r="F124" s="120">
        <f t="shared" si="12"/>
        <v>18411104.2</v>
      </c>
    </row>
    <row r="125">
      <c r="A125" s="74" t="str">
        <f t="shared" si="1"/>
        <v>Friday</v>
      </c>
      <c r="B125" s="49">
        <v>46248.0</v>
      </c>
      <c r="C125" s="117">
        <v>2.0</v>
      </c>
      <c r="D125" s="121">
        <v>849.41</v>
      </c>
      <c r="E125" s="122">
        <v>17745.0</v>
      </c>
      <c r="F125" s="120">
        <f t="shared" si="12"/>
        <v>15072780.45</v>
      </c>
    </row>
    <row r="126">
      <c r="A126" s="74" t="str">
        <f t="shared" si="1"/>
        <v>Friday</v>
      </c>
      <c r="B126" s="49">
        <v>46248.0</v>
      </c>
      <c r="C126" s="117">
        <v>2.0</v>
      </c>
      <c r="D126" s="121">
        <v>1998.6</v>
      </c>
      <c r="E126" s="122">
        <v>17735.0</v>
      </c>
      <c r="F126" s="120">
        <f t="shared" si="12"/>
        <v>35445171</v>
      </c>
    </row>
    <row r="127">
      <c r="A127" s="74" t="str">
        <f t="shared" si="1"/>
        <v>Friday</v>
      </c>
      <c r="B127" s="49">
        <v>46248.0</v>
      </c>
      <c r="C127" s="117">
        <v>2.0</v>
      </c>
      <c r="D127" s="121">
        <v>4991.51</v>
      </c>
      <c r="E127" s="122">
        <v>17735.0</v>
      </c>
      <c r="F127" s="120">
        <f t="shared" si="12"/>
        <v>88524429.85</v>
      </c>
    </row>
    <row r="128">
      <c r="A128" s="74" t="str">
        <f t="shared" si="1"/>
        <v>Friday</v>
      </c>
      <c r="B128" s="49">
        <v>46248.0</v>
      </c>
      <c r="C128" s="117">
        <v>2.0</v>
      </c>
      <c r="D128" s="121">
        <v>899.37</v>
      </c>
      <c r="E128" s="122">
        <v>17735.0</v>
      </c>
      <c r="F128" s="120">
        <f t="shared" si="12"/>
        <v>15950326.95</v>
      </c>
    </row>
    <row r="129">
      <c r="A129" s="74" t="str">
        <f t="shared" si="1"/>
        <v>Friday</v>
      </c>
      <c r="B129" s="49">
        <v>46248.0</v>
      </c>
      <c r="C129" s="117">
        <v>2.0</v>
      </c>
      <c r="D129" s="121">
        <v>5519.71</v>
      </c>
      <c r="E129" s="122">
        <v>17735.0</v>
      </c>
      <c r="F129" s="120">
        <f t="shared" si="12"/>
        <v>97892056.85</v>
      </c>
    </row>
    <row r="130">
      <c r="A130" s="74" t="str">
        <f t="shared" si="1"/>
        <v>Friday</v>
      </c>
      <c r="B130" s="49">
        <v>46248.0</v>
      </c>
      <c r="C130" s="117">
        <v>2.0</v>
      </c>
      <c r="D130" s="121">
        <v>1033.28</v>
      </c>
      <c r="E130" s="122">
        <v>17735.0</v>
      </c>
      <c r="F130" s="120">
        <f t="shared" si="12"/>
        <v>18325220.8</v>
      </c>
    </row>
    <row r="131">
      <c r="A131" s="74" t="str">
        <f t="shared" si="1"/>
        <v>Friday</v>
      </c>
      <c r="B131" s="49">
        <v>46248.0</v>
      </c>
      <c r="C131" s="117">
        <v>2.0</v>
      </c>
      <c r="D131" s="121">
        <v>849.41</v>
      </c>
      <c r="E131" s="122">
        <v>17735.0</v>
      </c>
      <c r="F131" s="120">
        <f t="shared" si="12"/>
        <v>15064286.35</v>
      </c>
    </row>
    <row r="132">
      <c r="A132" s="74" t="str">
        <f t="shared" si="1"/>
        <v>Friday</v>
      </c>
      <c r="B132" s="49">
        <v>46248.0</v>
      </c>
      <c r="C132" s="117">
        <v>2.0</v>
      </c>
      <c r="D132" s="121">
        <v>2997.9</v>
      </c>
      <c r="E132" s="122">
        <v>17735.0</v>
      </c>
      <c r="F132" s="120">
        <f t="shared" si="12"/>
        <v>53167756.5</v>
      </c>
    </row>
    <row r="133">
      <c r="A133" s="74" t="str">
        <f t="shared" si="1"/>
        <v>Friday</v>
      </c>
      <c r="B133" s="49">
        <v>46248.0</v>
      </c>
      <c r="C133" s="117">
        <v>2.0</v>
      </c>
      <c r="D133" s="121">
        <v>1503.45</v>
      </c>
      <c r="E133" s="122">
        <v>17735.0</v>
      </c>
      <c r="F133" s="120">
        <f t="shared" si="12"/>
        <v>26663685.75</v>
      </c>
    </row>
    <row r="134">
      <c r="A134" s="74" t="str">
        <f t="shared" si="1"/>
        <v>Friday</v>
      </c>
      <c r="B134" s="49">
        <v>46248.0</v>
      </c>
      <c r="C134" s="117">
        <v>3.0</v>
      </c>
      <c r="D134" s="121">
        <v>999.3</v>
      </c>
      <c r="E134" s="122">
        <v>17715.0</v>
      </c>
      <c r="F134" s="120">
        <f t="shared" si="12"/>
        <v>17702599.5</v>
      </c>
    </row>
    <row r="135">
      <c r="A135" s="74" t="str">
        <f t="shared" si="1"/>
        <v>Friday</v>
      </c>
      <c r="B135" s="49">
        <v>46248.0</v>
      </c>
      <c r="C135" s="117">
        <v>3.0</v>
      </c>
      <c r="D135" s="121">
        <v>4341.96</v>
      </c>
      <c r="E135" s="122">
        <v>17715.0</v>
      </c>
      <c r="F135" s="120">
        <f t="shared" si="12"/>
        <v>76917821.4</v>
      </c>
    </row>
    <row r="136">
      <c r="A136" s="74" t="str">
        <f t="shared" si="1"/>
        <v>Friday</v>
      </c>
      <c r="B136" s="49">
        <v>46248.0</v>
      </c>
      <c r="C136" s="117">
        <v>3.0</v>
      </c>
      <c r="D136" s="121">
        <v>7005.1</v>
      </c>
      <c r="E136" s="122">
        <v>17715.0</v>
      </c>
      <c r="F136" s="120">
        <f t="shared" si="12"/>
        <v>124095346.5</v>
      </c>
    </row>
    <row r="137">
      <c r="A137" s="74" t="str">
        <f t="shared" si="1"/>
        <v>Friday</v>
      </c>
      <c r="B137" s="49">
        <v>46248.0</v>
      </c>
      <c r="C137" s="117">
        <v>3.0</v>
      </c>
      <c r="D137" s="121">
        <v>2820.49</v>
      </c>
      <c r="E137" s="122">
        <v>17715.0</v>
      </c>
      <c r="F137" s="120">
        <f t="shared" si="12"/>
        <v>49964980.35</v>
      </c>
    </row>
    <row r="138">
      <c r="A138" s="74" t="str">
        <f t="shared" si="1"/>
        <v>Friday</v>
      </c>
      <c r="B138" s="49">
        <v>46248.0</v>
      </c>
      <c r="C138" s="117">
        <v>3.0</v>
      </c>
      <c r="D138" s="121">
        <v>15274.09</v>
      </c>
      <c r="E138" s="122">
        <v>17715.0</v>
      </c>
      <c r="F138" s="120">
        <f t="shared" si="12"/>
        <v>270580504.4</v>
      </c>
    </row>
    <row r="139">
      <c r="A139" s="74" t="str">
        <f t="shared" si="1"/>
        <v>Friday</v>
      </c>
      <c r="B139" s="49">
        <v>46248.0</v>
      </c>
      <c r="C139" s="117">
        <v>3.0</v>
      </c>
      <c r="D139" s="121">
        <v>3103.06</v>
      </c>
      <c r="E139" s="122">
        <v>17712.0</v>
      </c>
      <c r="F139" s="120">
        <f t="shared" si="12"/>
        <v>54961398.72</v>
      </c>
    </row>
    <row r="140">
      <c r="A140" s="74" t="str">
        <f t="shared" si="1"/>
        <v>Friday</v>
      </c>
      <c r="B140" s="49">
        <v>46248.0</v>
      </c>
      <c r="C140" s="117">
        <v>3.0</v>
      </c>
      <c r="D140" s="121">
        <v>5218.47</v>
      </c>
      <c r="E140" s="122">
        <v>17712.0</v>
      </c>
      <c r="F140" s="120">
        <f t="shared" si="12"/>
        <v>92429540.64</v>
      </c>
    </row>
    <row r="141">
      <c r="A141" s="74" t="str">
        <f t="shared" si="1"/>
        <v>Friday</v>
      </c>
      <c r="B141" s="49">
        <v>46248.0</v>
      </c>
      <c r="C141" s="117">
        <v>3.0</v>
      </c>
      <c r="D141" s="121">
        <v>6000.77</v>
      </c>
      <c r="E141" s="122">
        <v>17712.0</v>
      </c>
      <c r="F141" s="120">
        <f t="shared" si="12"/>
        <v>106285638.2</v>
      </c>
    </row>
    <row r="142">
      <c r="A142" s="74" t="str">
        <f t="shared" si="1"/>
        <v>Friday</v>
      </c>
      <c r="B142" s="49">
        <v>46248.0</v>
      </c>
      <c r="C142" s="117">
        <v>3.0</v>
      </c>
      <c r="D142" s="121">
        <v>3997.2</v>
      </c>
      <c r="E142" s="122">
        <v>17710.0</v>
      </c>
      <c r="F142" s="120">
        <f t="shared" si="12"/>
        <v>70790412</v>
      </c>
    </row>
    <row r="143">
      <c r="A143" s="74" t="str">
        <f t="shared" si="1"/>
        <v>Friday</v>
      </c>
      <c r="B143" s="49">
        <v>46248.0</v>
      </c>
      <c r="C143" s="117">
        <v>3.0</v>
      </c>
      <c r="D143" s="121">
        <v>2469.28</v>
      </c>
      <c r="E143" s="122">
        <v>17710.0</v>
      </c>
      <c r="F143" s="120">
        <f t="shared" si="12"/>
        <v>43730948.8</v>
      </c>
    </row>
    <row r="144">
      <c r="A144" s="74" t="str">
        <f t="shared" si="1"/>
        <v>Friday</v>
      </c>
      <c r="B144" s="49">
        <v>46248.0</v>
      </c>
      <c r="C144" s="117">
        <v>3.0</v>
      </c>
      <c r="D144" s="121">
        <v>3561.05</v>
      </c>
      <c r="E144" s="122">
        <v>17718.0</v>
      </c>
      <c r="F144" s="120">
        <f t="shared" si="12"/>
        <v>63094683.9</v>
      </c>
    </row>
    <row r="145">
      <c r="A145" s="74" t="str">
        <f t="shared" si="1"/>
        <v>Friday</v>
      </c>
      <c r="B145" s="49">
        <v>46248.0</v>
      </c>
      <c r="C145" s="117">
        <v>3.0</v>
      </c>
      <c r="D145" s="121">
        <v>1692.01</v>
      </c>
      <c r="E145" s="122">
        <v>17718.0</v>
      </c>
      <c r="F145" s="120">
        <f t="shared" si="12"/>
        <v>29979033.18</v>
      </c>
    </row>
    <row r="146">
      <c r="A146" s="74" t="str">
        <f t="shared" si="1"/>
        <v>Saturday</v>
      </c>
      <c r="B146" s="49">
        <v>46249.0</v>
      </c>
      <c r="C146" s="117">
        <v>1.0</v>
      </c>
      <c r="D146" s="121">
        <v>1633.86</v>
      </c>
      <c r="E146" s="122">
        <v>17716.0</v>
      </c>
      <c r="F146" s="120">
        <f t="shared" si="12"/>
        <v>28945463.76</v>
      </c>
    </row>
    <row r="147">
      <c r="A147" s="74" t="str">
        <f t="shared" si="1"/>
        <v>Saturday</v>
      </c>
      <c r="B147" s="49">
        <v>46249.0</v>
      </c>
      <c r="C147" s="117">
        <v>1.0</v>
      </c>
      <c r="D147" s="121">
        <v>2498.25</v>
      </c>
      <c r="E147" s="122">
        <v>17716.0</v>
      </c>
      <c r="F147" s="120">
        <f t="shared" si="12"/>
        <v>44258997</v>
      </c>
    </row>
    <row r="148">
      <c r="A148" s="74" t="str">
        <f t="shared" si="1"/>
        <v>Saturday</v>
      </c>
      <c r="B148" s="49">
        <v>46249.0</v>
      </c>
      <c r="C148" s="117">
        <v>1.0</v>
      </c>
      <c r="D148" s="121">
        <v>1884.68</v>
      </c>
      <c r="E148" s="122">
        <v>17716.0</v>
      </c>
      <c r="F148" s="120">
        <f t="shared" si="12"/>
        <v>33388990.88</v>
      </c>
    </row>
    <row r="149">
      <c r="A149" s="74" t="str">
        <f t="shared" si="1"/>
        <v>Saturday</v>
      </c>
      <c r="B149" s="49">
        <v>46249.0</v>
      </c>
      <c r="C149" s="117">
        <v>1.0</v>
      </c>
      <c r="D149" s="121">
        <v>1898.67</v>
      </c>
      <c r="E149" s="122">
        <v>17716.0</v>
      </c>
      <c r="F149" s="120">
        <f t="shared" si="12"/>
        <v>33636837.72</v>
      </c>
    </row>
    <row r="150">
      <c r="A150" s="74" t="str">
        <f t="shared" si="1"/>
        <v>Saturday</v>
      </c>
      <c r="B150" s="49">
        <v>46249.0</v>
      </c>
      <c r="C150" s="117">
        <v>1.0</v>
      </c>
      <c r="D150" s="121">
        <v>3409.62</v>
      </c>
      <c r="E150" s="122">
        <v>17716.0</v>
      </c>
      <c r="F150" s="120">
        <f t="shared" si="12"/>
        <v>60404827.92</v>
      </c>
    </row>
    <row r="151">
      <c r="A151" s="74" t="str">
        <f t="shared" si="1"/>
        <v>Saturday</v>
      </c>
      <c r="B151" s="49">
        <v>46249.0</v>
      </c>
      <c r="C151" s="117">
        <v>1.0</v>
      </c>
      <c r="D151" s="121">
        <v>1878.69</v>
      </c>
      <c r="E151" s="122">
        <v>17716.0</v>
      </c>
      <c r="F151" s="120">
        <f t="shared" si="12"/>
        <v>33282872.04</v>
      </c>
    </row>
    <row r="152">
      <c r="A152" s="74" t="str">
        <f t="shared" si="1"/>
        <v>Saturday</v>
      </c>
      <c r="B152" s="49">
        <v>46249.0</v>
      </c>
      <c r="C152" s="117">
        <v>1.0</v>
      </c>
      <c r="D152" s="121">
        <v>1983.62</v>
      </c>
      <c r="E152" s="122">
        <v>17713.0</v>
      </c>
      <c r="F152" s="120">
        <f t="shared" si="12"/>
        <v>35135861.06</v>
      </c>
    </row>
    <row r="153">
      <c r="A153" s="74" t="str">
        <f t="shared" si="1"/>
        <v>Saturday</v>
      </c>
      <c r="B153" s="49">
        <v>46249.0</v>
      </c>
      <c r="C153" s="117">
        <v>1.0</v>
      </c>
      <c r="D153" s="121">
        <v>1578.9</v>
      </c>
      <c r="E153" s="122">
        <v>17713.0</v>
      </c>
      <c r="F153" s="120">
        <f t="shared" si="12"/>
        <v>27967055.7</v>
      </c>
    </row>
    <row r="154">
      <c r="A154" s="74" t="str">
        <f t="shared" si="1"/>
        <v>Saturday</v>
      </c>
      <c r="B154" s="49">
        <v>46249.0</v>
      </c>
      <c r="C154" s="117">
        <v>1.0</v>
      </c>
      <c r="D154" s="121">
        <v>1498.95</v>
      </c>
      <c r="E154" s="122">
        <v>17705.0</v>
      </c>
      <c r="F154" s="120">
        <f t="shared" si="12"/>
        <v>26538909.75</v>
      </c>
    </row>
    <row r="155">
      <c r="A155" s="74" t="str">
        <f t="shared" si="1"/>
        <v>Saturday</v>
      </c>
      <c r="B155" s="49">
        <v>46249.0</v>
      </c>
      <c r="C155" s="117">
        <v>1.0</v>
      </c>
      <c r="D155" s="121">
        <v>1500.45</v>
      </c>
      <c r="E155" s="122">
        <v>17705.0</v>
      </c>
      <c r="F155" s="120">
        <f t="shared" si="12"/>
        <v>26565467.25</v>
      </c>
    </row>
    <row r="156">
      <c r="A156" s="74" t="str">
        <f t="shared" si="1"/>
        <v>Saturday</v>
      </c>
      <c r="B156" s="49">
        <v>46249.0</v>
      </c>
      <c r="C156" s="117">
        <v>1.0</v>
      </c>
      <c r="D156" s="121">
        <v>2315.38</v>
      </c>
      <c r="E156" s="122">
        <v>17702.0</v>
      </c>
      <c r="F156" s="120">
        <f t="shared" si="12"/>
        <v>40986856.76</v>
      </c>
    </row>
    <row r="157">
      <c r="A157" s="74" t="str">
        <f t="shared" si="1"/>
        <v>Saturday</v>
      </c>
      <c r="B157" s="49">
        <v>46249.0</v>
      </c>
      <c r="C157" s="117">
        <v>1.0</v>
      </c>
      <c r="D157" s="121">
        <v>3067.86</v>
      </c>
      <c r="E157" s="122">
        <v>17695.0</v>
      </c>
      <c r="F157" s="120">
        <f t="shared" si="12"/>
        <v>54285782.7</v>
      </c>
    </row>
    <row r="158">
      <c r="A158" s="74" t="str">
        <f t="shared" si="1"/>
        <v>Saturday</v>
      </c>
      <c r="B158" s="49">
        <v>46249.0</v>
      </c>
      <c r="C158" s="117">
        <v>1.0</v>
      </c>
      <c r="D158" s="121">
        <v>1413.02</v>
      </c>
      <c r="E158" s="122">
        <v>17695.0</v>
      </c>
      <c r="F158" s="120">
        <f t="shared" si="12"/>
        <v>25003388.9</v>
      </c>
    </row>
    <row r="159">
      <c r="A159" s="74" t="str">
        <f t="shared" si="1"/>
        <v>Saturday</v>
      </c>
      <c r="B159" s="49">
        <v>46249.0</v>
      </c>
      <c r="C159" s="117">
        <v>1.0</v>
      </c>
      <c r="D159" s="121">
        <v>2997.9</v>
      </c>
      <c r="E159" s="122">
        <v>17695.0</v>
      </c>
      <c r="F159" s="120">
        <f t="shared" si="12"/>
        <v>53047840.5</v>
      </c>
    </row>
    <row r="160">
      <c r="A160" s="74" t="str">
        <f t="shared" si="1"/>
        <v>Saturday</v>
      </c>
      <c r="B160" s="49">
        <v>46249.0</v>
      </c>
      <c r="C160" s="117">
        <v>1.0</v>
      </c>
      <c r="D160" s="121">
        <v>25391.59</v>
      </c>
      <c r="E160" s="122">
        <v>17710.0</v>
      </c>
      <c r="F160" s="120">
        <f t="shared" si="12"/>
        <v>449685058.9</v>
      </c>
    </row>
    <row r="161">
      <c r="A161" s="74" t="str">
        <f t="shared" si="1"/>
        <v>Saturday</v>
      </c>
      <c r="B161" s="49">
        <v>46249.0</v>
      </c>
      <c r="C161" s="117">
        <v>2.0</v>
      </c>
      <c r="D161" s="121">
        <v>28230.0</v>
      </c>
      <c r="E161" s="122">
        <v>17690.0</v>
      </c>
      <c r="F161" s="120">
        <f t="shared" si="12"/>
        <v>499388700</v>
      </c>
    </row>
    <row r="162">
      <c r="A162" s="74" t="str">
        <f t="shared" si="1"/>
        <v>Saturday</v>
      </c>
      <c r="B162" s="49">
        <v>46249.0</v>
      </c>
      <c r="C162" s="117">
        <v>2.0</v>
      </c>
      <c r="D162" s="121">
        <v>1781.76</v>
      </c>
      <c r="E162" s="122">
        <v>17681.0</v>
      </c>
      <c r="F162" s="120">
        <f t="shared" si="12"/>
        <v>31503298.56</v>
      </c>
    </row>
    <row r="163">
      <c r="A163" s="74" t="str">
        <f t="shared" si="1"/>
        <v>Saturday</v>
      </c>
      <c r="B163" s="49">
        <v>46249.0</v>
      </c>
      <c r="C163" s="117">
        <v>2.0</v>
      </c>
      <c r="D163" s="121">
        <v>4122.12</v>
      </c>
      <c r="E163" s="122">
        <v>17682.0</v>
      </c>
      <c r="F163" s="120">
        <f t="shared" si="12"/>
        <v>72887325.84</v>
      </c>
    </row>
    <row r="164">
      <c r="A164" s="74" t="str">
        <f t="shared" si="1"/>
        <v>Saturday</v>
      </c>
      <c r="B164" s="49">
        <v>46249.0</v>
      </c>
      <c r="C164" s="117">
        <v>2.0</v>
      </c>
      <c r="D164" s="121">
        <v>2997.9</v>
      </c>
      <c r="E164" s="122">
        <v>17662.0</v>
      </c>
      <c r="F164" s="120">
        <f t="shared" si="12"/>
        <v>52948909.8</v>
      </c>
    </row>
    <row r="165">
      <c r="A165" s="74" t="str">
        <f t="shared" si="1"/>
        <v>Monday</v>
      </c>
      <c r="B165" s="49">
        <v>46251.0</v>
      </c>
      <c r="C165" s="117"/>
      <c r="D165" s="121"/>
      <c r="E165" s="122"/>
      <c r="F165" s="120">
        <f t="shared" si="12"/>
        <v>0</v>
      </c>
    </row>
    <row r="166">
      <c r="A166" s="74" t="str">
        <f t="shared" si="1"/>
        <v>Monday</v>
      </c>
      <c r="B166" s="49">
        <v>46251.0</v>
      </c>
      <c r="C166" s="117">
        <v>1.0</v>
      </c>
      <c r="D166" s="121">
        <v>2848.01</v>
      </c>
      <c r="E166" s="122">
        <v>17717.0</v>
      </c>
      <c r="F166" s="120">
        <f t="shared" si="12"/>
        <v>50458193.17</v>
      </c>
    </row>
    <row r="167">
      <c r="A167" s="74" t="str">
        <f t="shared" si="1"/>
        <v>Monday</v>
      </c>
      <c r="B167" s="49">
        <v>46251.0</v>
      </c>
      <c r="C167" s="117">
        <v>1.0</v>
      </c>
      <c r="D167" s="121">
        <v>15006.74</v>
      </c>
      <c r="E167" s="122">
        <v>17735.0</v>
      </c>
      <c r="F167" s="120">
        <f t="shared" si="12"/>
        <v>266144533.9</v>
      </c>
    </row>
    <row r="168">
      <c r="A168" s="74" t="str">
        <f t="shared" si="1"/>
        <v>Monday</v>
      </c>
      <c r="B168" s="49">
        <v>46251.0</v>
      </c>
      <c r="C168" s="117">
        <v>1.0</v>
      </c>
      <c r="D168" s="121">
        <v>2997.9</v>
      </c>
      <c r="E168" s="122">
        <v>17735.0</v>
      </c>
      <c r="F168" s="120">
        <f t="shared" si="12"/>
        <v>53167756.5</v>
      </c>
    </row>
    <row r="169">
      <c r="A169" s="74" t="str">
        <f t="shared" si="1"/>
        <v>Monday</v>
      </c>
      <c r="B169" s="49">
        <v>46251.0</v>
      </c>
      <c r="C169" s="117">
        <v>1.0</v>
      </c>
      <c r="D169" s="121">
        <v>3997.2</v>
      </c>
      <c r="E169" s="122">
        <v>17735.0</v>
      </c>
      <c r="F169" s="120">
        <f t="shared" si="12"/>
        <v>70890342</v>
      </c>
    </row>
    <row r="170">
      <c r="A170" s="74" t="str">
        <f t="shared" si="1"/>
        <v>Monday</v>
      </c>
      <c r="B170" s="49">
        <v>46251.0</v>
      </c>
      <c r="C170" s="117">
        <v>1.0</v>
      </c>
      <c r="D170" s="121">
        <v>2243.63</v>
      </c>
      <c r="E170" s="122">
        <v>17735.0</v>
      </c>
      <c r="F170" s="120">
        <f t="shared" si="12"/>
        <v>39790778.05</v>
      </c>
    </row>
    <row r="171">
      <c r="A171" s="74" t="str">
        <f t="shared" si="1"/>
        <v>Monday</v>
      </c>
      <c r="B171" s="49">
        <v>46251.0</v>
      </c>
      <c r="C171" s="117">
        <v>1.0</v>
      </c>
      <c r="D171" s="121">
        <v>845.19</v>
      </c>
      <c r="E171" s="122">
        <v>17735.0</v>
      </c>
      <c r="F171" s="120">
        <f t="shared" si="12"/>
        <v>14989444.65</v>
      </c>
    </row>
    <row r="172">
      <c r="A172" s="74" t="str">
        <f t="shared" si="1"/>
        <v>Monday</v>
      </c>
      <c r="B172" s="49">
        <v>46251.0</v>
      </c>
      <c r="C172" s="117">
        <v>1.0</v>
      </c>
      <c r="D172" s="121">
        <v>849.41</v>
      </c>
      <c r="E172" s="122">
        <v>17725.0</v>
      </c>
      <c r="F172" s="120">
        <f t="shared" si="12"/>
        <v>15055792.25</v>
      </c>
    </row>
    <row r="173">
      <c r="A173" s="74" t="str">
        <f t="shared" si="1"/>
        <v>Monday</v>
      </c>
      <c r="B173" s="49">
        <v>46251.0</v>
      </c>
      <c r="C173" s="117">
        <v>2.0</v>
      </c>
      <c r="D173" s="121">
        <v>4166.02</v>
      </c>
      <c r="E173" s="122">
        <v>17724.0</v>
      </c>
      <c r="F173" s="120">
        <f t="shared" si="12"/>
        <v>73838538.48</v>
      </c>
    </row>
    <row r="174">
      <c r="A174" s="74" t="str">
        <f t="shared" si="1"/>
        <v>Monday</v>
      </c>
      <c r="B174" s="49">
        <v>46251.0</v>
      </c>
      <c r="C174" s="117">
        <v>2.0</v>
      </c>
      <c r="D174" s="121">
        <v>5807.06</v>
      </c>
      <c r="E174" s="122">
        <v>17722.0</v>
      </c>
      <c r="F174" s="120">
        <f t="shared" si="12"/>
        <v>102912717.3</v>
      </c>
    </row>
    <row r="175">
      <c r="A175" s="74" t="str">
        <f t="shared" si="1"/>
        <v>Monday</v>
      </c>
      <c r="B175" s="49">
        <v>46251.0</v>
      </c>
      <c r="C175" s="117">
        <v>2.0</v>
      </c>
      <c r="D175" s="121">
        <v>5995.8</v>
      </c>
      <c r="E175" s="122">
        <v>17722.0</v>
      </c>
      <c r="F175" s="120">
        <f t="shared" si="12"/>
        <v>106257567.6</v>
      </c>
    </row>
    <row r="176">
      <c r="A176" s="74" t="str">
        <f t="shared" si="1"/>
        <v>Monday</v>
      </c>
      <c r="B176" s="49">
        <v>46251.0</v>
      </c>
      <c r="C176" s="117">
        <v>2.0</v>
      </c>
      <c r="D176" s="121">
        <v>1998.6</v>
      </c>
      <c r="E176" s="122">
        <v>17722.0</v>
      </c>
      <c r="F176" s="120">
        <f t="shared" si="12"/>
        <v>35419189.2</v>
      </c>
    </row>
    <row r="177">
      <c r="A177" s="74" t="str">
        <f t="shared" si="1"/>
        <v>Monday</v>
      </c>
      <c r="B177" s="49">
        <v>46251.0</v>
      </c>
      <c r="C177" s="117">
        <v>2.0</v>
      </c>
      <c r="D177" s="121">
        <v>1998.6</v>
      </c>
      <c r="E177" s="122">
        <v>17722.0</v>
      </c>
      <c r="F177" s="120">
        <f t="shared" si="12"/>
        <v>35419189.2</v>
      </c>
    </row>
    <row r="178">
      <c r="A178" s="74" t="str">
        <f t="shared" si="1"/>
        <v>Monday</v>
      </c>
      <c r="B178" s="49">
        <v>46251.0</v>
      </c>
      <c r="C178" s="117">
        <v>2.0</v>
      </c>
      <c r="D178" s="121">
        <v>999.3</v>
      </c>
      <c r="E178" s="122">
        <v>17715.0</v>
      </c>
      <c r="F178" s="120">
        <f t="shared" si="12"/>
        <v>17702599.5</v>
      </c>
    </row>
    <row r="179">
      <c r="A179" s="74" t="str">
        <f t="shared" si="1"/>
        <v>Monday</v>
      </c>
      <c r="B179" s="49">
        <v>46251.0</v>
      </c>
      <c r="C179" s="117">
        <v>2.0</v>
      </c>
      <c r="D179" s="121">
        <v>1658.11</v>
      </c>
      <c r="E179" s="122">
        <v>17715.0</v>
      </c>
      <c r="F179" s="120">
        <f t="shared" si="12"/>
        <v>29373418.65</v>
      </c>
    </row>
    <row r="180">
      <c r="A180" s="74" t="str">
        <f t="shared" si="1"/>
        <v>Monday</v>
      </c>
      <c r="B180" s="49">
        <v>46251.0</v>
      </c>
      <c r="C180" s="117">
        <v>2.0</v>
      </c>
      <c r="D180" s="121">
        <v>849.47</v>
      </c>
      <c r="E180" s="122">
        <v>17715.0</v>
      </c>
      <c r="F180" s="120">
        <f t="shared" si="12"/>
        <v>15048361.05</v>
      </c>
    </row>
    <row r="181">
      <c r="A181" s="74" t="str">
        <f t="shared" si="1"/>
        <v>Monday</v>
      </c>
      <c r="B181" s="49">
        <v>46251.0</v>
      </c>
      <c r="C181" s="117">
        <v>2.0</v>
      </c>
      <c r="D181" s="121">
        <v>849.41</v>
      </c>
      <c r="E181" s="122">
        <v>17730.0</v>
      </c>
      <c r="F181" s="120">
        <f t="shared" si="12"/>
        <v>15060039.3</v>
      </c>
    </row>
    <row r="182">
      <c r="A182" s="74" t="str">
        <f t="shared" si="1"/>
        <v>Monday</v>
      </c>
      <c r="B182" s="49">
        <v>46251.0</v>
      </c>
      <c r="C182" s="117">
        <v>2.0</v>
      </c>
      <c r="D182" s="121">
        <v>1998.6</v>
      </c>
      <c r="E182" s="122">
        <v>17730.0</v>
      </c>
      <c r="F182" s="120">
        <f t="shared" si="12"/>
        <v>35435178</v>
      </c>
    </row>
    <row r="183">
      <c r="A183" s="74" t="str">
        <f t="shared" si="1"/>
        <v>Monday</v>
      </c>
      <c r="B183" s="49">
        <v>46251.0</v>
      </c>
      <c r="C183" s="117">
        <v>2.0</v>
      </c>
      <c r="D183" s="121">
        <v>999.3</v>
      </c>
      <c r="E183" s="122">
        <v>17733.0</v>
      </c>
      <c r="F183" s="120">
        <f t="shared" si="12"/>
        <v>17720586.9</v>
      </c>
    </row>
    <row r="184">
      <c r="A184" s="74" t="str">
        <f t="shared" si="1"/>
        <v>Monday</v>
      </c>
      <c r="B184" s="49">
        <v>46251.0</v>
      </c>
      <c r="C184" s="117"/>
      <c r="D184" s="121"/>
      <c r="E184" s="122"/>
      <c r="F184" s="120">
        <f t="shared" si="12"/>
        <v>0</v>
      </c>
    </row>
    <row r="185">
      <c r="A185" s="74" t="str">
        <f t="shared" si="1"/>
        <v>Tuesday</v>
      </c>
      <c r="B185" s="49">
        <v>46252.0</v>
      </c>
      <c r="C185" s="117">
        <v>1.0</v>
      </c>
      <c r="D185" s="121">
        <v>27980.4</v>
      </c>
      <c r="E185" s="122">
        <v>17770.0</v>
      </c>
      <c r="F185" s="120">
        <f t="shared" si="12"/>
        <v>497211708</v>
      </c>
    </row>
    <row r="186">
      <c r="A186" s="74" t="str">
        <f t="shared" si="1"/>
        <v>Tuesday</v>
      </c>
      <c r="B186" s="49">
        <v>46252.0</v>
      </c>
      <c r="C186" s="117">
        <v>2.0</v>
      </c>
      <c r="D186" s="121"/>
      <c r="E186" s="122">
        <v>17735.0</v>
      </c>
      <c r="F186" s="120">
        <f t="shared" si="12"/>
        <v>0</v>
      </c>
    </row>
    <row r="187">
      <c r="A187" s="74" t="str">
        <f t="shared" si="1"/>
        <v>Tuesday</v>
      </c>
      <c r="B187" s="49">
        <v>46252.0</v>
      </c>
      <c r="C187" s="117"/>
      <c r="D187" s="121"/>
      <c r="E187" s="122">
        <v>17735.0</v>
      </c>
      <c r="F187" s="120">
        <f t="shared" si="12"/>
        <v>0</v>
      </c>
    </row>
    <row r="188">
      <c r="A188" s="74" t="str">
        <f t="shared" si="1"/>
        <v>Tuesday</v>
      </c>
      <c r="B188" s="49">
        <v>46252.0</v>
      </c>
      <c r="C188" s="117"/>
      <c r="D188" s="121"/>
      <c r="E188" s="122">
        <v>17735.0</v>
      </c>
      <c r="F188" s="120">
        <f t="shared" si="12"/>
        <v>0</v>
      </c>
    </row>
    <row r="189">
      <c r="A189" s="74" t="str">
        <f t="shared" si="1"/>
        <v>Tuesday</v>
      </c>
      <c r="B189" s="49">
        <v>46252.0</v>
      </c>
      <c r="C189" s="117"/>
      <c r="D189" s="121"/>
      <c r="E189" s="122">
        <v>17735.0</v>
      </c>
      <c r="F189" s="120">
        <f t="shared" si="12"/>
        <v>0</v>
      </c>
    </row>
    <row r="190">
      <c r="A190" s="74" t="str">
        <f t="shared" si="1"/>
        <v>Tuesday</v>
      </c>
      <c r="B190" s="49">
        <v>46252.0</v>
      </c>
      <c r="C190" s="117"/>
      <c r="D190" s="121"/>
      <c r="E190" s="122">
        <v>17735.0</v>
      </c>
      <c r="F190" s="120">
        <f t="shared" si="12"/>
        <v>0</v>
      </c>
    </row>
    <row r="191">
      <c r="A191" s="74" t="str">
        <f t="shared" si="1"/>
        <v>Tuesday</v>
      </c>
      <c r="B191" s="49">
        <v>46252.0</v>
      </c>
      <c r="C191" s="117"/>
      <c r="D191" s="121"/>
      <c r="E191" s="122">
        <v>17725.0</v>
      </c>
      <c r="F191" s="120">
        <f t="shared" si="12"/>
        <v>0</v>
      </c>
    </row>
    <row r="192">
      <c r="A192" s="74" t="str">
        <f t="shared" si="1"/>
        <v>Tuesday</v>
      </c>
      <c r="B192" s="49">
        <v>46252.0</v>
      </c>
      <c r="C192" s="117"/>
      <c r="D192" s="121"/>
      <c r="E192" s="122">
        <v>17724.0</v>
      </c>
      <c r="F192" s="120">
        <f t="shared" si="12"/>
        <v>0</v>
      </c>
    </row>
    <row r="193">
      <c r="A193" s="74" t="str">
        <f t="shared" si="1"/>
        <v>Tuesday</v>
      </c>
      <c r="B193" s="49">
        <v>46252.0</v>
      </c>
      <c r="C193" s="117"/>
      <c r="D193" s="121"/>
      <c r="E193" s="122">
        <v>17722.0</v>
      </c>
      <c r="F193" s="120">
        <f t="shared" si="12"/>
        <v>0</v>
      </c>
    </row>
    <row r="194">
      <c r="A194" s="74" t="str">
        <f t="shared" si="1"/>
        <v>Tuesday</v>
      </c>
      <c r="B194" s="49">
        <v>46252.0</v>
      </c>
      <c r="C194" s="117"/>
      <c r="D194" s="121"/>
      <c r="E194" s="122">
        <v>17722.0</v>
      </c>
      <c r="F194" s="120">
        <f t="shared" si="12"/>
        <v>0</v>
      </c>
    </row>
    <row r="195">
      <c r="A195" s="74" t="str">
        <f t="shared" si="1"/>
        <v>Tuesday</v>
      </c>
      <c r="B195" s="49">
        <v>46252.0</v>
      </c>
      <c r="C195" s="117"/>
      <c r="D195" s="121"/>
      <c r="E195" s="122">
        <v>17722.0</v>
      </c>
      <c r="F195" s="120">
        <f t="shared" si="12"/>
        <v>0</v>
      </c>
    </row>
    <row r="196">
      <c r="A196" s="74" t="str">
        <f t="shared" si="1"/>
        <v>Tuesday</v>
      </c>
      <c r="B196" s="49">
        <v>46252.0</v>
      </c>
      <c r="C196" s="117"/>
      <c r="D196" s="121"/>
      <c r="E196" s="122">
        <v>17722.0</v>
      </c>
      <c r="F196" s="120">
        <f t="shared" si="12"/>
        <v>0</v>
      </c>
    </row>
    <row r="197">
      <c r="A197" s="74" t="str">
        <f t="shared" si="1"/>
        <v>Tuesday</v>
      </c>
      <c r="B197" s="49">
        <v>46252.0</v>
      </c>
      <c r="C197" s="117"/>
      <c r="D197" s="121"/>
      <c r="E197" s="122">
        <v>17715.0</v>
      </c>
      <c r="F197" s="120">
        <f t="shared" si="12"/>
        <v>0</v>
      </c>
    </row>
    <row r="198">
      <c r="A198" s="74" t="str">
        <f t="shared" si="1"/>
        <v>Tuesday</v>
      </c>
      <c r="B198" s="49">
        <v>46252.0</v>
      </c>
      <c r="C198" s="117"/>
      <c r="D198" s="121"/>
      <c r="E198" s="122">
        <v>17715.0</v>
      </c>
      <c r="F198" s="120">
        <f t="shared" si="12"/>
        <v>0</v>
      </c>
    </row>
    <row r="199">
      <c r="A199" s="74" t="str">
        <f t="shared" si="1"/>
        <v>Tuesday</v>
      </c>
      <c r="B199" s="49">
        <v>46252.0</v>
      </c>
      <c r="C199" s="117"/>
      <c r="D199" s="121"/>
      <c r="E199" s="122">
        <v>17715.0</v>
      </c>
      <c r="F199" s="120">
        <f t="shared" si="12"/>
        <v>0</v>
      </c>
    </row>
    <row r="200">
      <c r="A200" s="74" t="str">
        <f t="shared" si="1"/>
        <v>Tuesday</v>
      </c>
      <c r="B200" s="49">
        <v>46252.0</v>
      </c>
      <c r="C200" s="117"/>
      <c r="D200" s="121"/>
      <c r="E200" s="122">
        <v>17730.0</v>
      </c>
      <c r="F200" s="120">
        <f t="shared" si="12"/>
        <v>0</v>
      </c>
    </row>
    <row r="201">
      <c r="A201" s="74" t="str">
        <f t="shared" si="1"/>
        <v>Tuesday</v>
      </c>
      <c r="B201" s="49">
        <v>46252.0</v>
      </c>
      <c r="C201" s="117"/>
      <c r="D201" s="121"/>
      <c r="E201" s="122">
        <v>17730.0</v>
      </c>
      <c r="F201" s="120">
        <f t="shared" si="12"/>
        <v>0</v>
      </c>
    </row>
    <row r="202">
      <c r="A202" s="74" t="str">
        <f t="shared" si="1"/>
        <v>Tuesday</v>
      </c>
      <c r="B202" s="49">
        <v>46252.0</v>
      </c>
      <c r="C202" s="117"/>
      <c r="D202" s="121"/>
      <c r="E202" s="122">
        <v>17733.0</v>
      </c>
      <c r="F202" s="120">
        <f t="shared" si="12"/>
        <v>0</v>
      </c>
    </row>
    <row r="203">
      <c r="C203" s="104"/>
    </row>
    <row r="204">
      <c r="C204" s="104"/>
    </row>
    <row r="205">
      <c r="C205" s="104"/>
    </row>
    <row r="206">
      <c r="C206" s="104"/>
    </row>
    <row r="207">
      <c r="C207" s="104"/>
    </row>
    <row r="208">
      <c r="C208" s="104"/>
    </row>
    <row r="209">
      <c r="C209" s="104"/>
    </row>
    <row r="210">
      <c r="C210" s="104"/>
    </row>
    <row r="211">
      <c r="C211" s="104"/>
    </row>
    <row r="212">
      <c r="C212" s="104"/>
    </row>
    <row r="213">
      <c r="C213" s="104"/>
    </row>
    <row r="214">
      <c r="C214" s="104"/>
    </row>
    <row r="215">
      <c r="C215" s="104"/>
    </row>
    <row r="216">
      <c r="C216" s="104"/>
    </row>
    <row r="217">
      <c r="C217" s="104"/>
    </row>
    <row r="218">
      <c r="C218" s="104"/>
    </row>
    <row r="219">
      <c r="C219" s="104"/>
    </row>
    <row r="220">
      <c r="C220" s="104"/>
    </row>
    <row r="221">
      <c r="C221" s="104"/>
    </row>
    <row r="222">
      <c r="C222" s="104"/>
    </row>
    <row r="223">
      <c r="C223" s="104"/>
    </row>
    <row r="224">
      <c r="C224" s="104"/>
    </row>
    <row r="225">
      <c r="C225" s="104"/>
    </row>
    <row r="226">
      <c r="C226" s="104"/>
    </row>
    <row r="227">
      <c r="C227" s="104"/>
    </row>
    <row r="228">
      <c r="C228" s="104"/>
    </row>
    <row r="229">
      <c r="C229" s="104"/>
    </row>
    <row r="230">
      <c r="C230" s="104"/>
    </row>
    <row r="231">
      <c r="C231" s="104"/>
    </row>
    <row r="232">
      <c r="C232" s="104"/>
    </row>
    <row r="233">
      <c r="C233" s="104"/>
    </row>
    <row r="234">
      <c r="C234" s="104"/>
    </row>
    <row r="235">
      <c r="C235" s="104"/>
    </row>
    <row r="236">
      <c r="C236" s="104"/>
    </row>
    <row r="237">
      <c r="C237" s="104"/>
    </row>
    <row r="238">
      <c r="C238" s="104"/>
    </row>
    <row r="239">
      <c r="C239" s="104"/>
    </row>
    <row r="240">
      <c r="C240" s="104"/>
    </row>
    <row r="241">
      <c r="C241" s="104"/>
    </row>
    <row r="242">
      <c r="C242" s="104"/>
    </row>
    <row r="243">
      <c r="C243" s="104"/>
    </row>
    <row r="244">
      <c r="C244" s="104"/>
    </row>
    <row r="245">
      <c r="C245" s="104"/>
    </row>
    <row r="246">
      <c r="C246" s="104"/>
    </row>
    <row r="247">
      <c r="C247" s="104"/>
    </row>
    <row r="248">
      <c r="C248" s="104"/>
    </row>
    <row r="249">
      <c r="C249" s="104"/>
    </row>
    <row r="250">
      <c r="C250" s="104"/>
    </row>
    <row r="251">
      <c r="C251" s="104"/>
    </row>
    <row r="252">
      <c r="C252" s="104"/>
    </row>
    <row r="253">
      <c r="C253" s="104"/>
    </row>
    <row r="254">
      <c r="C254" s="104"/>
    </row>
    <row r="255">
      <c r="C255" s="104"/>
    </row>
    <row r="256">
      <c r="C256" s="104"/>
    </row>
    <row r="257">
      <c r="C257" s="104"/>
    </row>
    <row r="258">
      <c r="C258" s="104"/>
    </row>
    <row r="259">
      <c r="C259" s="104"/>
    </row>
    <row r="260">
      <c r="C260" s="104"/>
    </row>
    <row r="261">
      <c r="C261" s="104"/>
    </row>
    <row r="262">
      <c r="C262" s="104"/>
    </row>
    <row r="263">
      <c r="C263" s="104"/>
    </row>
    <row r="264">
      <c r="C264" s="104"/>
    </row>
    <row r="265">
      <c r="C265" s="104"/>
    </row>
    <row r="266">
      <c r="C266" s="104"/>
    </row>
    <row r="267">
      <c r="C267" s="104"/>
    </row>
    <row r="268">
      <c r="C268" s="104"/>
    </row>
    <row r="269">
      <c r="C269" s="104"/>
    </row>
    <row r="270">
      <c r="C270" s="104"/>
    </row>
    <row r="271">
      <c r="C271" s="104"/>
    </row>
    <row r="272">
      <c r="C272" s="104"/>
    </row>
    <row r="273">
      <c r="C273" s="104"/>
    </row>
    <row r="274">
      <c r="C274" s="104"/>
    </row>
    <row r="275">
      <c r="C275" s="104"/>
    </row>
    <row r="276">
      <c r="C276" s="104"/>
    </row>
    <row r="277">
      <c r="C277" s="104"/>
    </row>
    <row r="278">
      <c r="C278" s="104"/>
    </row>
    <row r="279">
      <c r="C279" s="104"/>
    </row>
    <row r="280">
      <c r="C280" s="104"/>
    </row>
    <row r="281">
      <c r="C281" s="104"/>
    </row>
    <row r="282">
      <c r="C282" s="104"/>
    </row>
    <row r="283">
      <c r="C283" s="104"/>
    </row>
    <row r="284">
      <c r="C284" s="104"/>
    </row>
    <row r="285">
      <c r="C285" s="104"/>
    </row>
    <row r="286">
      <c r="C286" s="104"/>
    </row>
    <row r="287">
      <c r="C287" s="104"/>
    </row>
    <row r="288">
      <c r="C288" s="104"/>
    </row>
    <row r="289">
      <c r="C289" s="104"/>
    </row>
    <row r="290">
      <c r="C290" s="104"/>
    </row>
    <row r="291">
      <c r="C291" s="104"/>
    </row>
    <row r="292">
      <c r="C292" s="104"/>
    </row>
    <row r="293">
      <c r="C293" s="104"/>
    </row>
    <row r="294">
      <c r="C294" s="104"/>
    </row>
    <row r="295">
      <c r="C295" s="104"/>
    </row>
    <row r="296">
      <c r="C296" s="104"/>
    </row>
    <row r="297">
      <c r="C297" s="104"/>
    </row>
    <row r="298">
      <c r="C298" s="104"/>
    </row>
    <row r="299">
      <c r="C299" s="104"/>
    </row>
    <row r="300">
      <c r="C300" s="104"/>
    </row>
    <row r="301">
      <c r="C301" s="104"/>
    </row>
    <row r="302">
      <c r="C302" s="104"/>
    </row>
    <row r="303">
      <c r="C303" s="104"/>
    </row>
    <row r="304">
      <c r="C304" s="104"/>
    </row>
    <row r="305">
      <c r="C305" s="104"/>
    </row>
    <row r="306">
      <c r="C306" s="104"/>
    </row>
    <row r="307">
      <c r="C307" s="104"/>
    </row>
    <row r="308">
      <c r="C308" s="104"/>
    </row>
    <row r="309">
      <c r="C309" s="104"/>
    </row>
    <row r="310">
      <c r="C310" s="104"/>
    </row>
    <row r="311">
      <c r="C311" s="104"/>
    </row>
    <row r="312">
      <c r="C312" s="104"/>
    </row>
    <row r="313">
      <c r="C313" s="104"/>
    </row>
    <row r="314">
      <c r="C314" s="104"/>
    </row>
    <row r="315">
      <c r="C315" s="104"/>
    </row>
    <row r="316">
      <c r="C316" s="104"/>
    </row>
    <row r="317">
      <c r="C317" s="104"/>
    </row>
    <row r="318">
      <c r="C318" s="104"/>
    </row>
    <row r="319">
      <c r="C319" s="104"/>
    </row>
    <row r="320">
      <c r="C320" s="104"/>
    </row>
    <row r="321">
      <c r="C321" s="104"/>
    </row>
    <row r="322">
      <c r="C322" s="104"/>
    </row>
    <row r="323">
      <c r="C323" s="104"/>
    </row>
    <row r="324">
      <c r="C324" s="104"/>
    </row>
    <row r="325">
      <c r="C325" s="104"/>
    </row>
    <row r="326">
      <c r="C326" s="104"/>
    </row>
    <row r="327">
      <c r="C327" s="104"/>
    </row>
    <row r="328">
      <c r="C328" s="104"/>
    </row>
    <row r="329">
      <c r="C329" s="104"/>
    </row>
    <row r="330">
      <c r="C330" s="104"/>
    </row>
    <row r="331">
      <c r="C331" s="104"/>
    </row>
    <row r="332">
      <c r="C332" s="104"/>
    </row>
    <row r="333">
      <c r="C333" s="104"/>
    </row>
    <row r="334">
      <c r="C334" s="104"/>
    </row>
    <row r="335">
      <c r="C335" s="104"/>
    </row>
    <row r="336">
      <c r="C336" s="104"/>
    </row>
    <row r="337">
      <c r="C337" s="104"/>
    </row>
    <row r="338">
      <c r="C338" s="104"/>
    </row>
    <row r="339">
      <c r="C339" s="104"/>
    </row>
    <row r="340">
      <c r="C340" s="104"/>
    </row>
    <row r="341">
      <c r="C341" s="104"/>
    </row>
    <row r="342">
      <c r="C342" s="104"/>
    </row>
    <row r="343">
      <c r="C343" s="104"/>
    </row>
    <row r="344">
      <c r="C344" s="104"/>
    </row>
    <row r="345">
      <c r="C345" s="104"/>
    </row>
    <row r="346">
      <c r="C346" s="104"/>
    </row>
    <row r="347">
      <c r="C347" s="104"/>
    </row>
    <row r="348">
      <c r="C348" s="104"/>
    </row>
    <row r="349">
      <c r="C349" s="104"/>
    </row>
    <row r="350">
      <c r="C350" s="104"/>
    </row>
    <row r="351">
      <c r="C351" s="104"/>
    </row>
    <row r="352">
      <c r="C352" s="104"/>
    </row>
    <row r="353">
      <c r="C353" s="104"/>
    </row>
    <row r="354">
      <c r="C354" s="104"/>
    </row>
    <row r="355">
      <c r="C355" s="104"/>
    </row>
    <row r="356">
      <c r="C356" s="104"/>
    </row>
    <row r="357">
      <c r="C357" s="104"/>
    </row>
    <row r="358">
      <c r="C358" s="104"/>
    </row>
    <row r="359">
      <c r="C359" s="104"/>
    </row>
    <row r="360">
      <c r="C360" s="104"/>
    </row>
    <row r="361">
      <c r="C361" s="104"/>
    </row>
    <row r="362">
      <c r="C362" s="104"/>
    </row>
    <row r="363">
      <c r="C363" s="104"/>
    </row>
    <row r="364">
      <c r="C364" s="104"/>
    </row>
    <row r="365">
      <c r="C365" s="104"/>
    </row>
    <row r="366">
      <c r="C366" s="104"/>
    </row>
    <row r="367">
      <c r="C367" s="104"/>
    </row>
    <row r="368">
      <c r="C368" s="104"/>
    </row>
    <row r="369">
      <c r="C369" s="104"/>
    </row>
    <row r="370">
      <c r="C370" s="104"/>
    </row>
    <row r="371">
      <c r="C371" s="104"/>
    </row>
    <row r="372">
      <c r="C372" s="104"/>
    </row>
    <row r="373">
      <c r="C373" s="104"/>
    </row>
    <row r="374">
      <c r="C374" s="104"/>
    </row>
    <row r="375">
      <c r="C375" s="104"/>
    </row>
    <row r="376">
      <c r="C376" s="104"/>
    </row>
    <row r="377">
      <c r="C377" s="104"/>
    </row>
    <row r="378">
      <c r="C378" s="104"/>
    </row>
    <row r="379">
      <c r="C379" s="104"/>
    </row>
    <row r="380">
      <c r="C380" s="104"/>
    </row>
    <row r="381">
      <c r="C381" s="104"/>
    </row>
    <row r="382">
      <c r="C382" s="104"/>
    </row>
    <row r="383">
      <c r="C383" s="104"/>
    </row>
    <row r="384">
      <c r="C384" s="104"/>
    </row>
    <row r="385">
      <c r="C385" s="104"/>
    </row>
    <row r="386">
      <c r="C386" s="104"/>
    </row>
    <row r="387">
      <c r="C387" s="104"/>
    </row>
    <row r="388">
      <c r="C388" s="104"/>
    </row>
    <row r="389">
      <c r="C389" s="104"/>
    </row>
    <row r="390">
      <c r="C390" s="104"/>
    </row>
    <row r="391">
      <c r="C391" s="104"/>
    </row>
    <row r="392">
      <c r="C392" s="104"/>
    </row>
    <row r="393">
      <c r="C393" s="104"/>
    </row>
    <row r="394">
      <c r="C394" s="104"/>
    </row>
    <row r="395">
      <c r="C395" s="104"/>
    </row>
    <row r="396">
      <c r="C396" s="104"/>
    </row>
    <row r="397">
      <c r="C397" s="104"/>
    </row>
    <row r="398">
      <c r="C398" s="104"/>
    </row>
    <row r="399">
      <c r="C399" s="104"/>
    </row>
    <row r="400">
      <c r="C400" s="104"/>
    </row>
    <row r="401">
      <c r="C401" s="104"/>
    </row>
    <row r="402">
      <c r="C402" s="104"/>
    </row>
    <row r="403">
      <c r="C403" s="104"/>
    </row>
    <row r="404">
      <c r="C404" s="104"/>
    </row>
    <row r="405">
      <c r="C405" s="104"/>
    </row>
    <row r="406">
      <c r="C406" s="104"/>
    </row>
    <row r="407">
      <c r="C407" s="104"/>
    </row>
    <row r="408">
      <c r="C408" s="104"/>
    </row>
    <row r="409">
      <c r="C409" s="104"/>
    </row>
    <row r="410">
      <c r="C410" s="104"/>
    </row>
    <row r="411">
      <c r="C411" s="104"/>
    </row>
    <row r="412">
      <c r="C412" s="104"/>
    </row>
    <row r="413">
      <c r="C413" s="104"/>
    </row>
    <row r="414">
      <c r="C414" s="104"/>
    </row>
    <row r="415">
      <c r="C415" s="104"/>
    </row>
    <row r="416">
      <c r="C416" s="104"/>
    </row>
    <row r="417">
      <c r="C417" s="104"/>
    </row>
    <row r="418">
      <c r="C418" s="104"/>
    </row>
    <row r="419">
      <c r="C419" s="104"/>
    </row>
    <row r="420">
      <c r="C420" s="104"/>
    </row>
    <row r="421">
      <c r="C421" s="104"/>
    </row>
    <row r="422">
      <c r="C422" s="104"/>
    </row>
    <row r="423">
      <c r="C423" s="104"/>
    </row>
    <row r="424">
      <c r="C424" s="104"/>
    </row>
    <row r="425">
      <c r="C425" s="104"/>
    </row>
    <row r="426">
      <c r="C426" s="104"/>
    </row>
    <row r="427">
      <c r="C427" s="104"/>
    </row>
    <row r="428">
      <c r="C428" s="104"/>
    </row>
    <row r="429">
      <c r="C429" s="104"/>
    </row>
    <row r="430">
      <c r="C430" s="104"/>
    </row>
    <row r="431">
      <c r="C431" s="104"/>
    </row>
    <row r="432">
      <c r="C432" s="104"/>
    </row>
    <row r="433">
      <c r="C433" s="104"/>
    </row>
    <row r="434">
      <c r="C434" s="104"/>
    </row>
    <row r="435">
      <c r="C435" s="104"/>
    </row>
    <row r="436">
      <c r="C436" s="104"/>
    </row>
    <row r="437">
      <c r="C437" s="104"/>
    </row>
    <row r="438">
      <c r="C438" s="104"/>
    </row>
    <row r="439">
      <c r="C439" s="104"/>
    </row>
    <row r="440">
      <c r="C440" s="104"/>
    </row>
    <row r="441">
      <c r="C441" s="104"/>
    </row>
    <row r="442">
      <c r="C442" s="104"/>
    </row>
    <row r="443">
      <c r="C443" s="104"/>
    </row>
    <row r="444">
      <c r="C444" s="104"/>
    </row>
    <row r="445">
      <c r="C445" s="104"/>
    </row>
    <row r="446">
      <c r="C446" s="104"/>
    </row>
    <row r="447">
      <c r="C447" s="104"/>
    </row>
    <row r="448">
      <c r="C448" s="104"/>
    </row>
    <row r="449">
      <c r="C449" s="104"/>
    </row>
    <row r="450">
      <c r="C450" s="104"/>
    </row>
    <row r="451">
      <c r="C451" s="104"/>
    </row>
    <row r="452">
      <c r="C452" s="104"/>
    </row>
    <row r="453">
      <c r="C453" s="104"/>
    </row>
    <row r="454">
      <c r="C454" s="104"/>
    </row>
    <row r="455">
      <c r="C455" s="104"/>
    </row>
    <row r="456">
      <c r="C456" s="104"/>
    </row>
    <row r="457">
      <c r="C457" s="104"/>
    </row>
    <row r="458">
      <c r="C458" s="104"/>
    </row>
    <row r="459">
      <c r="C459" s="104"/>
    </row>
    <row r="460">
      <c r="C460" s="104"/>
    </row>
    <row r="461">
      <c r="C461" s="104"/>
    </row>
    <row r="462">
      <c r="C462" s="104"/>
    </row>
    <row r="463">
      <c r="C463" s="104"/>
    </row>
    <row r="464">
      <c r="C464" s="104"/>
    </row>
    <row r="465">
      <c r="C465" s="104"/>
    </row>
    <row r="466">
      <c r="C466" s="104"/>
    </row>
    <row r="467">
      <c r="C467" s="104"/>
    </row>
    <row r="468">
      <c r="C468" s="104"/>
    </row>
    <row r="469">
      <c r="C469" s="104"/>
    </row>
    <row r="470">
      <c r="C470" s="104"/>
    </row>
    <row r="471">
      <c r="C471" s="104"/>
    </row>
    <row r="472">
      <c r="C472" s="104"/>
    </row>
    <row r="473">
      <c r="C473" s="104"/>
    </row>
    <row r="474">
      <c r="C474" s="104"/>
    </row>
    <row r="475">
      <c r="C475" s="104"/>
    </row>
    <row r="476">
      <c r="C476" s="104"/>
    </row>
    <row r="477">
      <c r="C477" s="104"/>
    </row>
    <row r="478">
      <c r="C478" s="104"/>
    </row>
    <row r="479">
      <c r="C479" s="104"/>
    </row>
    <row r="480">
      <c r="C480" s="104"/>
    </row>
    <row r="481">
      <c r="C481" s="104"/>
    </row>
    <row r="482">
      <c r="C482" s="104"/>
    </row>
    <row r="483">
      <c r="C483" s="104"/>
    </row>
    <row r="484">
      <c r="C484" s="104"/>
    </row>
    <row r="485">
      <c r="C485" s="104"/>
    </row>
    <row r="486">
      <c r="C486" s="104"/>
    </row>
    <row r="487">
      <c r="C487" s="104"/>
    </row>
    <row r="488">
      <c r="C488" s="104"/>
    </row>
    <row r="489">
      <c r="C489" s="104"/>
    </row>
    <row r="490">
      <c r="C490" s="104"/>
    </row>
    <row r="491">
      <c r="C491" s="104"/>
    </row>
    <row r="492">
      <c r="C492" s="104"/>
    </row>
    <row r="493">
      <c r="C493" s="104"/>
    </row>
    <row r="494">
      <c r="C494" s="104"/>
    </row>
    <row r="495">
      <c r="C495" s="104"/>
    </row>
    <row r="496">
      <c r="C496" s="104"/>
    </row>
    <row r="497">
      <c r="C497" s="104"/>
    </row>
    <row r="498">
      <c r="C498" s="104"/>
    </row>
    <row r="499">
      <c r="C499" s="104"/>
    </row>
    <row r="500">
      <c r="C500" s="104"/>
    </row>
    <row r="501">
      <c r="C501" s="104"/>
    </row>
    <row r="502">
      <c r="C502" s="104"/>
    </row>
    <row r="503">
      <c r="C503" s="104"/>
    </row>
    <row r="504">
      <c r="C504" s="104"/>
    </row>
    <row r="505">
      <c r="C505" s="104"/>
    </row>
    <row r="506">
      <c r="C506" s="104"/>
    </row>
    <row r="507">
      <c r="C507" s="104"/>
    </row>
    <row r="508">
      <c r="C508" s="104"/>
    </row>
    <row r="509">
      <c r="C509" s="104"/>
    </row>
    <row r="510">
      <c r="C510" s="104"/>
    </row>
    <row r="511">
      <c r="C511" s="104"/>
    </row>
    <row r="512">
      <c r="C512" s="104"/>
    </row>
    <row r="513">
      <c r="C513" s="104"/>
    </row>
    <row r="514">
      <c r="C514" s="104"/>
    </row>
    <row r="515">
      <c r="C515" s="104"/>
    </row>
    <row r="516">
      <c r="C516" s="104"/>
    </row>
    <row r="517">
      <c r="C517" s="104"/>
    </row>
    <row r="518">
      <c r="C518" s="104"/>
    </row>
    <row r="519">
      <c r="C519" s="104"/>
    </row>
    <row r="520">
      <c r="C520" s="104"/>
    </row>
    <row r="521">
      <c r="C521" s="104"/>
    </row>
    <row r="522">
      <c r="C522" s="104"/>
    </row>
    <row r="523">
      <c r="C523" s="104"/>
    </row>
    <row r="524">
      <c r="C524" s="104"/>
    </row>
    <row r="525">
      <c r="C525" s="104"/>
    </row>
    <row r="526">
      <c r="C526" s="104"/>
    </row>
    <row r="527">
      <c r="C527" s="104"/>
    </row>
    <row r="528">
      <c r="C528" s="104"/>
    </row>
    <row r="529">
      <c r="C529" s="104"/>
    </row>
    <row r="530">
      <c r="C530" s="104"/>
    </row>
    <row r="531">
      <c r="C531" s="104"/>
    </row>
    <row r="532">
      <c r="C532" s="104"/>
    </row>
    <row r="533">
      <c r="C533" s="104"/>
    </row>
    <row r="534">
      <c r="C534" s="104"/>
    </row>
    <row r="535">
      <c r="C535" s="104"/>
    </row>
    <row r="536">
      <c r="C536" s="104"/>
    </row>
    <row r="537">
      <c r="C537" s="104"/>
    </row>
    <row r="538">
      <c r="C538" s="104"/>
    </row>
    <row r="539">
      <c r="C539" s="104"/>
    </row>
    <row r="540">
      <c r="C540" s="104"/>
    </row>
    <row r="541">
      <c r="C541" s="104"/>
    </row>
    <row r="542">
      <c r="C542" s="104"/>
    </row>
    <row r="543">
      <c r="C543" s="104"/>
    </row>
    <row r="544">
      <c r="C544" s="104"/>
    </row>
    <row r="545">
      <c r="C545" s="104"/>
    </row>
    <row r="546">
      <c r="C546" s="104"/>
    </row>
    <row r="547">
      <c r="C547" s="104"/>
    </row>
    <row r="548">
      <c r="C548" s="104"/>
    </row>
    <row r="549">
      <c r="C549" s="104"/>
    </row>
    <row r="550">
      <c r="C550" s="104"/>
    </row>
    <row r="551">
      <c r="C551" s="104"/>
    </row>
    <row r="552">
      <c r="C552" s="104"/>
    </row>
    <row r="553">
      <c r="C553" s="104"/>
    </row>
    <row r="554">
      <c r="C554" s="104"/>
    </row>
    <row r="555">
      <c r="C555" s="104"/>
    </row>
    <row r="556">
      <c r="C556" s="104"/>
    </row>
    <row r="557">
      <c r="C557" s="104"/>
    </row>
    <row r="558">
      <c r="C558" s="104"/>
    </row>
    <row r="559">
      <c r="C559" s="104"/>
    </row>
    <row r="560">
      <c r="C560" s="104"/>
    </row>
    <row r="561">
      <c r="C561" s="104"/>
    </row>
    <row r="562">
      <c r="C562" s="104"/>
    </row>
    <row r="563">
      <c r="C563" s="104"/>
    </row>
    <row r="564">
      <c r="C564" s="104"/>
    </row>
    <row r="565">
      <c r="C565" s="104"/>
    </row>
    <row r="566">
      <c r="C566" s="104"/>
    </row>
    <row r="567">
      <c r="C567" s="104"/>
    </row>
    <row r="568">
      <c r="C568" s="104"/>
    </row>
    <row r="569">
      <c r="C569" s="104"/>
    </row>
    <row r="570">
      <c r="C570" s="104"/>
    </row>
    <row r="571">
      <c r="C571" s="104"/>
    </row>
    <row r="572">
      <c r="C572" s="104"/>
    </row>
    <row r="573">
      <c r="C573" s="104"/>
    </row>
    <row r="574">
      <c r="C574" s="104"/>
    </row>
    <row r="575">
      <c r="C575" s="104"/>
    </row>
    <row r="576">
      <c r="C576" s="104"/>
    </row>
    <row r="577">
      <c r="C577" s="104"/>
    </row>
    <row r="578">
      <c r="C578" s="104"/>
    </row>
    <row r="579">
      <c r="C579" s="104"/>
    </row>
    <row r="580">
      <c r="C580" s="104"/>
    </row>
    <row r="581">
      <c r="C581" s="104"/>
    </row>
    <row r="582">
      <c r="C582" s="104"/>
    </row>
    <row r="583">
      <c r="C583" s="104"/>
    </row>
    <row r="584">
      <c r="C584" s="104"/>
    </row>
    <row r="585">
      <c r="C585" s="104"/>
    </row>
    <row r="586">
      <c r="C586" s="104"/>
    </row>
    <row r="587">
      <c r="C587" s="104"/>
    </row>
    <row r="588">
      <c r="C588" s="104"/>
    </row>
    <row r="589">
      <c r="C589" s="104"/>
    </row>
    <row r="590">
      <c r="C590" s="104"/>
    </row>
    <row r="591">
      <c r="C591" s="104"/>
    </row>
    <row r="592">
      <c r="C592" s="104"/>
    </row>
    <row r="593">
      <c r="C593" s="104"/>
    </row>
    <row r="594">
      <c r="C594" s="104"/>
    </row>
    <row r="595">
      <c r="C595" s="104"/>
    </row>
    <row r="596">
      <c r="C596" s="104"/>
    </row>
    <row r="597">
      <c r="C597" s="104"/>
    </row>
    <row r="598">
      <c r="C598" s="104"/>
    </row>
    <row r="599">
      <c r="C599" s="104"/>
    </row>
    <row r="600">
      <c r="C600" s="104"/>
    </row>
    <row r="601">
      <c r="C601" s="104"/>
    </row>
    <row r="602">
      <c r="C602" s="104"/>
    </row>
    <row r="603">
      <c r="C603" s="104"/>
    </row>
    <row r="604">
      <c r="C604" s="104"/>
    </row>
    <row r="605">
      <c r="C605" s="104"/>
    </row>
    <row r="606">
      <c r="C606" s="104"/>
    </row>
    <row r="607">
      <c r="C607" s="104"/>
    </row>
    <row r="608">
      <c r="C608" s="104"/>
    </row>
    <row r="609">
      <c r="C609" s="104"/>
    </row>
    <row r="610">
      <c r="C610" s="104"/>
    </row>
    <row r="611">
      <c r="C611" s="104"/>
    </row>
    <row r="612">
      <c r="C612" s="104"/>
    </row>
    <row r="613">
      <c r="C613" s="104"/>
    </row>
    <row r="614">
      <c r="C614" s="104"/>
    </row>
    <row r="615">
      <c r="C615" s="104"/>
    </row>
    <row r="616">
      <c r="C616" s="104"/>
    </row>
    <row r="617">
      <c r="C617" s="104"/>
    </row>
    <row r="618">
      <c r="C618" s="104"/>
    </row>
    <row r="619">
      <c r="C619" s="104"/>
    </row>
    <row r="620">
      <c r="C620" s="104"/>
    </row>
    <row r="621">
      <c r="C621" s="104"/>
    </row>
    <row r="622">
      <c r="C622" s="104"/>
    </row>
    <row r="623">
      <c r="C623" s="104"/>
    </row>
    <row r="624">
      <c r="C624" s="104"/>
    </row>
    <row r="625">
      <c r="C625" s="104"/>
    </row>
    <row r="626">
      <c r="C626" s="104"/>
    </row>
    <row r="627">
      <c r="C627" s="104"/>
    </row>
    <row r="628">
      <c r="C628" s="104"/>
    </row>
    <row r="629">
      <c r="C629" s="104"/>
    </row>
    <row r="630">
      <c r="C630" s="104"/>
    </row>
    <row r="631">
      <c r="C631" s="104"/>
    </row>
    <row r="632">
      <c r="C632" s="104"/>
    </row>
    <row r="633">
      <c r="C633" s="104"/>
    </row>
    <row r="634">
      <c r="C634" s="104"/>
    </row>
    <row r="635">
      <c r="C635" s="104"/>
    </row>
    <row r="636">
      <c r="C636" s="104"/>
    </row>
    <row r="637">
      <c r="C637" s="104"/>
    </row>
    <row r="638">
      <c r="C638" s="104"/>
    </row>
    <row r="639">
      <c r="C639" s="104"/>
    </row>
    <row r="640">
      <c r="C640" s="104"/>
    </row>
    <row r="641">
      <c r="C641" s="104"/>
    </row>
    <row r="642">
      <c r="C642" s="104"/>
    </row>
    <row r="643">
      <c r="C643" s="104"/>
    </row>
    <row r="644">
      <c r="C644" s="104"/>
    </row>
    <row r="645">
      <c r="C645" s="104"/>
    </row>
    <row r="646">
      <c r="C646" s="104"/>
    </row>
    <row r="647">
      <c r="C647" s="104"/>
    </row>
    <row r="648">
      <c r="C648" s="104"/>
    </row>
    <row r="649">
      <c r="C649" s="104"/>
    </row>
    <row r="650">
      <c r="C650" s="104"/>
    </row>
    <row r="651">
      <c r="C651" s="104"/>
    </row>
    <row r="652">
      <c r="C652" s="104"/>
    </row>
    <row r="653">
      <c r="C653" s="104"/>
    </row>
    <row r="654">
      <c r="C654" s="104"/>
    </row>
    <row r="655">
      <c r="C655" s="104"/>
    </row>
    <row r="656">
      <c r="C656" s="104"/>
    </row>
    <row r="657">
      <c r="C657" s="104"/>
    </row>
    <row r="658">
      <c r="C658" s="104"/>
    </row>
    <row r="659">
      <c r="C659" s="104"/>
    </row>
    <row r="660">
      <c r="C660" s="104"/>
    </row>
    <row r="661">
      <c r="C661" s="104"/>
    </row>
    <row r="662">
      <c r="C662" s="104"/>
    </row>
    <row r="663">
      <c r="C663" s="104"/>
    </row>
    <row r="664">
      <c r="C664" s="104"/>
    </row>
    <row r="665">
      <c r="C665" s="104"/>
    </row>
    <row r="666">
      <c r="C666" s="104"/>
    </row>
    <row r="667">
      <c r="C667" s="104"/>
    </row>
    <row r="668">
      <c r="C668" s="104"/>
    </row>
    <row r="669">
      <c r="C669" s="104"/>
    </row>
    <row r="670">
      <c r="C670" s="104"/>
    </row>
    <row r="671">
      <c r="C671" s="104"/>
    </row>
    <row r="672">
      <c r="C672" s="104"/>
    </row>
    <row r="673">
      <c r="C673" s="104"/>
    </row>
    <row r="674">
      <c r="C674" s="104"/>
    </row>
    <row r="675">
      <c r="C675" s="104"/>
    </row>
    <row r="676">
      <c r="C676" s="104"/>
    </row>
    <row r="677">
      <c r="C677" s="104"/>
    </row>
    <row r="678">
      <c r="C678" s="104"/>
    </row>
    <row r="679">
      <c r="C679" s="104"/>
    </row>
    <row r="680">
      <c r="C680" s="104"/>
    </row>
    <row r="681">
      <c r="C681" s="104"/>
    </row>
    <row r="682">
      <c r="C682" s="104"/>
    </row>
    <row r="683">
      <c r="C683" s="104"/>
    </row>
    <row r="684">
      <c r="C684" s="104"/>
    </row>
    <row r="685">
      <c r="C685" s="104"/>
    </row>
    <row r="686">
      <c r="C686" s="104"/>
    </row>
    <row r="687">
      <c r="C687" s="104"/>
    </row>
    <row r="688">
      <c r="C688" s="104"/>
    </row>
    <row r="689">
      <c r="C689" s="104"/>
    </row>
    <row r="690">
      <c r="C690" s="104"/>
    </row>
    <row r="691">
      <c r="C691" s="104"/>
    </row>
    <row r="692">
      <c r="C692" s="104"/>
    </row>
    <row r="693">
      <c r="C693" s="104"/>
    </row>
    <row r="694">
      <c r="C694" s="104"/>
    </row>
    <row r="695">
      <c r="C695" s="104"/>
    </row>
    <row r="696">
      <c r="C696" s="104"/>
    </row>
    <row r="697">
      <c r="C697" s="104"/>
    </row>
    <row r="698">
      <c r="C698" s="104"/>
    </row>
    <row r="699">
      <c r="C699" s="104"/>
    </row>
    <row r="700">
      <c r="C700" s="104"/>
    </row>
    <row r="701">
      <c r="C701" s="104"/>
    </row>
    <row r="702">
      <c r="C702" s="104"/>
    </row>
    <row r="703">
      <c r="C703" s="104"/>
    </row>
    <row r="704">
      <c r="C704" s="104"/>
    </row>
    <row r="705">
      <c r="C705" s="104"/>
    </row>
    <row r="706">
      <c r="C706" s="104"/>
    </row>
    <row r="707">
      <c r="C707" s="104"/>
    </row>
    <row r="708">
      <c r="C708" s="104"/>
    </row>
    <row r="709">
      <c r="C709" s="104"/>
    </row>
    <row r="710">
      <c r="C710" s="104"/>
    </row>
    <row r="711">
      <c r="C711" s="104"/>
    </row>
    <row r="712">
      <c r="C712" s="104"/>
    </row>
    <row r="713">
      <c r="C713" s="104"/>
    </row>
    <row r="714">
      <c r="C714" s="104"/>
    </row>
    <row r="715">
      <c r="C715" s="104"/>
    </row>
    <row r="716">
      <c r="C716" s="104"/>
    </row>
    <row r="717">
      <c r="C717" s="104"/>
    </row>
    <row r="718">
      <c r="C718" s="104"/>
    </row>
    <row r="719">
      <c r="C719" s="104"/>
    </row>
    <row r="720">
      <c r="C720" s="104"/>
    </row>
    <row r="721">
      <c r="C721" s="104"/>
    </row>
    <row r="722">
      <c r="C722" s="104"/>
    </row>
    <row r="723">
      <c r="C723" s="104"/>
    </row>
    <row r="724">
      <c r="C724" s="104"/>
    </row>
    <row r="725">
      <c r="C725" s="104"/>
    </row>
    <row r="726">
      <c r="C726" s="104"/>
    </row>
    <row r="727">
      <c r="C727" s="104"/>
    </row>
    <row r="728">
      <c r="C728" s="104"/>
    </row>
    <row r="729">
      <c r="C729" s="104"/>
    </row>
    <row r="730">
      <c r="C730" s="104"/>
    </row>
    <row r="731">
      <c r="C731" s="104"/>
    </row>
    <row r="732">
      <c r="C732" s="104"/>
    </row>
    <row r="733">
      <c r="C733" s="104"/>
    </row>
    <row r="734">
      <c r="C734" s="104"/>
    </row>
    <row r="735">
      <c r="C735" s="104"/>
    </row>
    <row r="736">
      <c r="C736" s="104"/>
    </row>
    <row r="737">
      <c r="C737" s="104"/>
    </row>
    <row r="738">
      <c r="C738" s="104"/>
    </row>
    <row r="739">
      <c r="C739" s="104"/>
    </row>
    <row r="740">
      <c r="C740" s="104"/>
    </row>
    <row r="741">
      <c r="C741" s="104"/>
    </row>
    <row r="742">
      <c r="C742" s="104"/>
    </row>
    <row r="743">
      <c r="C743" s="104"/>
    </row>
    <row r="744">
      <c r="C744" s="104"/>
    </row>
    <row r="745">
      <c r="C745" s="104"/>
    </row>
    <row r="746">
      <c r="C746" s="104"/>
    </row>
    <row r="747">
      <c r="C747" s="104"/>
    </row>
    <row r="748">
      <c r="C748" s="104"/>
    </row>
    <row r="749">
      <c r="C749" s="104"/>
    </row>
    <row r="750">
      <c r="C750" s="104"/>
    </row>
    <row r="751">
      <c r="C751" s="104"/>
    </row>
    <row r="752">
      <c r="C752" s="104"/>
    </row>
    <row r="753">
      <c r="C753" s="104"/>
    </row>
    <row r="754">
      <c r="C754" s="104"/>
    </row>
    <row r="755">
      <c r="C755" s="104"/>
    </row>
    <row r="756">
      <c r="C756" s="104"/>
    </row>
    <row r="757">
      <c r="C757" s="104"/>
    </row>
    <row r="758">
      <c r="C758" s="104"/>
    </row>
    <row r="759">
      <c r="C759" s="104"/>
    </row>
    <row r="760">
      <c r="C760" s="104"/>
    </row>
    <row r="761">
      <c r="C761" s="104"/>
    </row>
    <row r="762">
      <c r="C762" s="104"/>
    </row>
    <row r="763">
      <c r="C763" s="104"/>
    </row>
    <row r="764">
      <c r="C764" s="104"/>
    </row>
    <row r="765">
      <c r="C765" s="104"/>
    </row>
    <row r="766">
      <c r="C766" s="104"/>
    </row>
    <row r="767">
      <c r="C767" s="104"/>
    </row>
    <row r="768">
      <c r="C768" s="104"/>
    </row>
    <row r="769">
      <c r="C769" s="104"/>
    </row>
    <row r="770">
      <c r="C770" s="104"/>
    </row>
    <row r="771">
      <c r="C771" s="104"/>
    </row>
    <row r="772">
      <c r="C772" s="104"/>
    </row>
    <row r="773">
      <c r="C773" s="104"/>
    </row>
    <row r="774">
      <c r="C774" s="104"/>
    </row>
    <row r="775">
      <c r="C775" s="104"/>
    </row>
    <row r="776">
      <c r="C776" s="104"/>
    </row>
    <row r="777">
      <c r="C777" s="104"/>
    </row>
    <row r="778">
      <c r="C778" s="104"/>
    </row>
    <row r="779">
      <c r="C779" s="104"/>
    </row>
    <row r="780">
      <c r="C780" s="104"/>
    </row>
    <row r="781">
      <c r="C781" s="104"/>
    </row>
    <row r="782">
      <c r="C782" s="104"/>
    </row>
    <row r="783">
      <c r="C783" s="104"/>
    </row>
    <row r="784">
      <c r="C784" s="104"/>
    </row>
    <row r="785">
      <c r="C785" s="104"/>
    </row>
    <row r="786">
      <c r="C786" s="104"/>
    </row>
    <row r="787">
      <c r="C787" s="104"/>
    </row>
    <row r="788">
      <c r="C788" s="104"/>
    </row>
    <row r="789">
      <c r="C789" s="104"/>
    </row>
    <row r="790">
      <c r="C790" s="104"/>
    </row>
    <row r="791">
      <c r="C791" s="104"/>
    </row>
    <row r="792">
      <c r="C792" s="104"/>
    </row>
    <row r="793">
      <c r="C793" s="104"/>
    </row>
    <row r="794">
      <c r="C794" s="104"/>
    </row>
    <row r="795">
      <c r="C795" s="104"/>
    </row>
    <row r="796">
      <c r="C796" s="104"/>
    </row>
    <row r="797">
      <c r="C797" s="104"/>
    </row>
    <row r="798">
      <c r="C798" s="104"/>
    </row>
    <row r="799">
      <c r="C799" s="104"/>
    </row>
    <row r="800">
      <c r="C800" s="104"/>
    </row>
    <row r="801">
      <c r="C801" s="104"/>
    </row>
    <row r="802">
      <c r="C802" s="104"/>
    </row>
    <row r="803">
      <c r="C803" s="104"/>
    </row>
    <row r="804">
      <c r="C804" s="104"/>
    </row>
    <row r="805">
      <c r="C805" s="104"/>
    </row>
    <row r="806">
      <c r="C806" s="104"/>
    </row>
    <row r="807">
      <c r="C807" s="104"/>
    </row>
    <row r="808">
      <c r="C808" s="104"/>
    </row>
    <row r="809">
      <c r="C809" s="104"/>
    </row>
    <row r="810">
      <c r="C810" s="104"/>
    </row>
    <row r="811">
      <c r="C811" s="104"/>
    </row>
    <row r="812">
      <c r="C812" s="104"/>
    </row>
    <row r="813">
      <c r="C813" s="104"/>
    </row>
    <row r="814">
      <c r="C814" s="104"/>
    </row>
    <row r="815">
      <c r="C815" s="104"/>
    </row>
    <row r="816">
      <c r="C816" s="104"/>
    </row>
    <row r="817">
      <c r="C817" s="104"/>
    </row>
    <row r="818">
      <c r="C818" s="104"/>
    </row>
    <row r="819">
      <c r="C819" s="104"/>
    </row>
    <row r="820">
      <c r="C820" s="104"/>
    </row>
    <row r="821">
      <c r="C821" s="104"/>
    </row>
    <row r="822">
      <c r="C822" s="104"/>
    </row>
    <row r="823">
      <c r="C823" s="104"/>
    </row>
    <row r="824">
      <c r="C824" s="104"/>
    </row>
    <row r="825">
      <c r="C825" s="104"/>
    </row>
    <row r="826">
      <c r="C826" s="104"/>
    </row>
    <row r="827">
      <c r="C827" s="104"/>
    </row>
    <row r="828">
      <c r="C828" s="104"/>
    </row>
    <row r="829">
      <c r="C829" s="104"/>
    </row>
    <row r="830">
      <c r="C830" s="104"/>
    </row>
    <row r="831">
      <c r="C831" s="104"/>
    </row>
    <row r="832">
      <c r="C832" s="104"/>
    </row>
    <row r="833">
      <c r="C833" s="104"/>
    </row>
    <row r="834">
      <c r="C834" s="104"/>
    </row>
    <row r="835">
      <c r="C835" s="104"/>
    </row>
    <row r="836">
      <c r="C836" s="104"/>
    </row>
    <row r="837">
      <c r="C837" s="104"/>
    </row>
    <row r="838">
      <c r="C838" s="104"/>
    </row>
    <row r="839">
      <c r="C839" s="104"/>
    </row>
    <row r="840">
      <c r="C840" s="104"/>
    </row>
    <row r="841">
      <c r="C841" s="104"/>
    </row>
    <row r="842">
      <c r="C842" s="104"/>
    </row>
    <row r="843">
      <c r="C843" s="104"/>
    </row>
    <row r="844">
      <c r="C844" s="104"/>
    </row>
    <row r="845">
      <c r="C845" s="104"/>
    </row>
    <row r="846">
      <c r="C846" s="104"/>
    </row>
    <row r="847">
      <c r="C847" s="104"/>
    </row>
    <row r="848">
      <c r="C848" s="104"/>
    </row>
    <row r="849">
      <c r="C849" s="104"/>
    </row>
    <row r="850">
      <c r="C850" s="104"/>
    </row>
    <row r="851">
      <c r="C851" s="104"/>
    </row>
    <row r="852">
      <c r="C852" s="104"/>
    </row>
    <row r="853">
      <c r="C853" s="104"/>
    </row>
    <row r="854">
      <c r="C854" s="104"/>
    </row>
    <row r="855">
      <c r="C855" s="104"/>
    </row>
    <row r="856">
      <c r="C856" s="104"/>
    </row>
    <row r="857">
      <c r="C857" s="104"/>
    </row>
    <row r="858">
      <c r="C858" s="104"/>
    </row>
    <row r="859">
      <c r="C859" s="104"/>
    </row>
    <row r="860">
      <c r="C860" s="104"/>
    </row>
    <row r="861">
      <c r="C861" s="104"/>
    </row>
    <row r="862">
      <c r="C862" s="104"/>
    </row>
    <row r="863">
      <c r="C863" s="104"/>
    </row>
    <row r="864">
      <c r="C864" s="104"/>
    </row>
    <row r="865">
      <c r="C865" s="104"/>
    </row>
    <row r="866">
      <c r="C866" s="104"/>
    </row>
    <row r="867">
      <c r="C867" s="104"/>
    </row>
    <row r="868">
      <c r="C868" s="104"/>
    </row>
    <row r="869">
      <c r="C869" s="104"/>
    </row>
    <row r="870">
      <c r="C870" s="104"/>
    </row>
    <row r="871">
      <c r="C871" s="104"/>
    </row>
    <row r="872">
      <c r="C872" s="104"/>
    </row>
    <row r="873">
      <c r="C873" s="104"/>
    </row>
    <row r="874">
      <c r="C874" s="104"/>
    </row>
    <row r="875">
      <c r="C875" s="104"/>
    </row>
    <row r="876">
      <c r="C876" s="104"/>
    </row>
    <row r="877">
      <c r="C877" s="104"/>
    </row>
    <row r="878">
      <c r="C878" s="104"/>
    </row>
    <row r="879">
      <c r="C879" s="104"/>
    </row>
    <row r="880">
      <c r="C880" s="104"/>
    </row>
    <row r="881">
      <c r="C881" s="104"/>
    </row>
    <row r="882">
      <c r="C882" s="104"/>
    </row>
    <row r="883">
      <c r="C883" s="104"/>
    </row>
    <row r="884">
      <c r="C884" s="104"/>
    </row>
    <row r="885">
      <c r="C885" s="104"/>
    </row>
    <row r="886">
      <c r="C886" s="104"/>
    </row>
    <row r="887">
      <c r="C887" s="104"/>
    </row>
    <row r="888">
      <c r="C888" s="104"/>
    </row>
    <row r="889">
      <c r="C889" s="104"/>
    </row>
    <row r="890">
      <c r="C890" s="104"/>
    </row>
    <row r="891">
      <c r="C891" s="104"/>
    </row>
    <row r="892">
      <c r="C892" s="104"/>
    </row>
    <row r="893">
      <c r="C893" s="104"/>
    </row>
    <row r="894">
      <c r="C894" s="104"/>
    </row>
    <row r="895">
      <c r="C895" s="104"/>
    </row>
    <row r="896">
      <c r="C896" s="104"/>
    </row>
    <row r="897">
      <c r="C897" s="104"/>
    </row>
    <row r="898">
      <c r="C898" s="104"/>
    </row>
    <row r="899">
      <c r="C899" s="104"/>
    </row>
    <row r="900">
      <c r="C900" s="104"/>
    </row>
    <row r="901">
      <c r="C901" s="104"/>
    </row>
    <row r="902">
      <c r="C902" s="104"/>
    </row>
    <row r="903">
      <c r="C903" s="104"/>
    </row>
    <row r="904">
      <c r="C904" s="104"/>
    </row>
    <row r="905">
      <c r="C905" s="104"/>
    </row>
    <row r="906">
      <c r="C906" s="104"/>
    </row>
    <row r="907">
      <c r="C907" s="104"/>
    </row>
    <row r="908">
      <c r="C908" s="104"/>
    </row>
    <row r="909">
      <c r="C909" s="104"/>
    </row>
    <row r="910">
      <c r="C910" s="104"/>
    </row>
    <row r="911">
      <c r="C911" s="104"/>
    </row>
    <row r="912">
      <c r="C912" s="104"/>
    </row>
    <row r="913">
      <c r="C913" s="104"/>
    </row>
    <row r="914">
      <c r="C914" s="104"/>
    </row>
    <row r="915">
      <c r="C915" s="104"/>
    </row>
    <row r="916">
      <c r="C916" s="104"/>
    </row>
    <row r="917">
      <c r="C917" s="104"/>
    </row>
    <row r="918">
      <c r="C918" s="104"/>
    </row>
    <row r="919">
      <c r="C919" s="104"/>
    </row>
    <row r="920">
      <c r="C920" s="104"/>
    </row>
    <row r="921">
      <c r="C921" s="104"/>
    </row>
    <row r="922">
      <c r="C922" s="104"/>
    </row>
    <row r="923">
      <c r="C923" s="104"/>
    </row>
    <row r="924">
      <c r="C924" s="104"/>
    </row>
    <row r="925">
      <c r="C925" s="104"/>
    </row>
    <row r="926">
      <c r="C926" s="104"/>
    </row>
    <row r="927">
      <c r="C927" s="104"/>
    </row>
    <row r="928">
      <c r="C928" s="104"/>
    </row>
    <row r="929">
      <c r="C929" s="104"/>
    </row>
    <row r="930">
      <c r="C930" s="104"/>
    </row>
    <row r="931">
      <c r="C931" s="104"/>
    </row>
    <row r="932">
      <c r="C932" s="104"/>
    </row>
    <row r="933">
      <c r="C933" s="104"/>
    </row>
    <row r="934">
      <c r="C934" s="104"/>
    </row>
    <row r="935">
      <c r="C935" s="104"/>
    </row>
    <row r="936">
      <c r="C936" s="104"/>
    </row>
    <row r="937">
      <c r="C937" s="104"/>
    </row>
    <row r="938">
      <c r="C938" s="104"/>
    </row>
    <row r="939">
      <c r="C939" s="104"/>
    </row>
    <row r="940">
      <c r="C940" s="104"/>
    </row>
    <row r="941">
      <c r="C941" s="104"/>
    </row>
    <row r="942">
      <c r="C942" s="104"/>
    </row>
    <row r="943">
      <c r="C943" s="104"/>
    </row>
    <row r="944">
      <c r="C944" s="104"/>
    </row>
    <row r="945">
      <c r="C945" s="104"/>
    </row>
    <row r="946">
      <c r="C946" s="104"/>
    </row>
    <row r="947">
      <c r="C947" s="104"/>
    </row>
    <row r="948">
      <c r="C948" s="104"/>
    </row>
    <row r="949">
      <c r="C949" s="104"/>
    </row>
    <row r="950">
      <c r="C950" s="104"/>
    </row>
    <row r="951">
      <c r="C951" s="104"/>
    </row>
    <row r="952">
      <c r="C952" s="104"/>
    </row>
    <row r="953">
      <c r="C953" s="104"/>
    </row>
    <row r="954">
      <c r="C954" s="104"/>
    </row>
    <row r="955">
      <c r="C955" s="104"/>
    </row>
    <row r="956">
      <c r="C956" s="104"/>
    </row>
    <row r="957">
      <c r="C957" s="104"/>
    </row>
    <row r="958">
      <c r="C958" s="104"/>
    </row>
    <row r="959">
      <c r="C959" s="104"/>
    </row>
    <row r="960">
      <c r="C960" s="104"/>
    </row>
    <row r="961">
      <c r="C961" s="104"/>
    </row>
    <row r="962">
      <c r="C962" s="104"/>
    </row>
    <row r="963">
      <c r="C963" s="104"/>
    </row>
    <row r="964">
      <c r="C964" s="104"/>
    </row>
    <row r="965">
      <c r="C965" s="104"/>
    </row>
    <row r="966">
      <c r="C966" s="104"/>
    </row>
    <row r="967">
      <c r="C967" s="104"/>
    </row>
    <row r="968">
      <c r="C968" s="104"/>
    </row>
    <row r="969">
      <c r="C969" s="104"/>
    </row>
    <row r="970">
      <c r="C970" s="104"/>
    </row>
    <row r="971">
      <c r="C971" s="104"/>
    </row>
    <row r="972">
      <c r="C972" s="104"/>
    </row>
    <row r="973">
      <c r="C973" s="104"/>
    </row>
    <row r="974">
      <c r="C974" s="104"/>
    </row>
    <row r="975">
      <c r="C975" s="104"/>
    </row>
    <row r="976">
      <c r="C976" s="104"/>
    </row>
    <row r="977">
      <c r="C977" s="104"/>
    </row>
    <row r="978">
      <c r="C978" s="104"/>
    </row>
    <row r="979">
      <c r="C979" s="104"/>
    </row>
    <row r="980">
      <c r="C980" s="104"/>
    </row>
    <row r="981">
      <c r="C981" s="104"/>
    </row>
    <row r="982">
      <c r="C982" s="104"/>
    </row>
    <row r="983">
      <c r="C983" s="104"/>
    </row>
    <row r="984">
      <c r="C984" s="104"/>
    </row>
    <row r="985">
      <c r="C985" s="104"/>
    </row>
    <row r="986">
      <c r="C986" s="104"/>
    </row>
    <row r="987">
      <c r="C987" s="104"/>
    </row>
    <row r="988">
      <c r="C988" s="104"/>
    </row>
    <row r="989">
      <c r="C989" s="104"/>
    </row>
    <row r="990">
      <c r="C990" s="104"/>
    </row>
    <row r="991">
      <c r="C991" s="104"/>
    </row>
    <row r="992">
      <c r="C992" s="104"/>
    </row>
    <row r="993">
      <c r="C993" s="104"/>
    </row>
    <row r="994">
      <c r="C994" s="104"/>
    </row>
    <row r="995">
      <c r="C995" s="104"/>
    </row>
    <row r="996">
      <c r="C996" s="104"/>
    </row>
    <row r="997">
      <c r="C997" s="104"/>
    </row>
    <row r="998">
      <c r="C998" s="104"/>
    </row>
    <row r="999">
      <c r="C999" s="104"/>
    </row>
  </sheetData>
  <mergeCells count="1">
    <mergeCell ref="X2:X5"/>
  </mergeCells>
  <dataValidations>
    <dataValidation type="list" allowBlank="1" showErrorMessage="1" sqref="R2:R41">
      <formula1>LEGEND!$A$3:$A$5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3" width="15.75"/>
    <col customWidth="1" min="4" max="4" width="17.13"/>
    <col customWidth="1" min="5" max="5" width="19.88"/>
    <col customWidth="1" min="6" max="6" width="22.88"/>
    <col customWidth="1" min="7" max="7" width="13.38"/>
    <col customWidth="1" min="8" max="8" width="23.25"/>
    <col customWidth="1" min="9" max="9" width="12.13"/>
    <col customWidth="1" min="10" max="12" width="20.13"/>
    <col customWidth="1" min="13" max="13" width="17.5"/>
    <col customWidth="1" min="14" max="14" width="22.88"/>
    <col customWidth="1" min="15" max="15" width="7.0"/>
    <col customWidth="1" min="16" max="16" width="48.75"/>
    <col customWidth="1" min="17" max="17" width="16.25"/>
  </cols>
  <sheetData>
    <row r="1">
      <c r="A1" s="124" t="s">
        <v>56</v>
      </c>
      <c r="B1" s="125"/>
      <c r="C1" s="126"/>
      <c r="D1" s="4" t="s">
        <v>6</v>
      </c>
      <c r="E1" s="10"/>
      <c r="F1" s="10"/>
      <c r="G1" s="10"/>
      <c r="H1" s="10"/>
      <c r="I1" s="10"/>
      <c r="J1" s="10"/>
      <c r="K1" s="10"/>
      <c r="L1" s="10"/>
      <c r="M1" s="15" t="s">
        <v>57</v>
      </c>
      <c r="O1" s="13"/>
      <c r="P1" s="15" t="s">
        <v>58</v>
      </c>
      <c r="Q1" s="42"/>
    </row>
    <row r="2">
      <c r="A2" s="82" t="s">
        <v>2</v>
      </c>
      <c r="B2" s="82" t="s">
        <v>4</v>
      </c>
      <c r="C2" s="82" t="s">
        <v>42</v>
      </c>
      <c r="D2" s="8" t="s">
        <v>7</v>
      </c>
      <c r="E2" s="11" t="s">
        <v>31</v>
      </c>
      <c r="F2" s="11" t="s">
        <v>10</v>
      </c>
      <c r="G2" s="11" t="s">
        <v>35</v>
      </c>
      <c r="H2" s="11" t="s">
        <v>13</v>
      </c>
      <c r="I2" s="5" t="s">
        <v>59</v>
      </c>
      <c r="J2" s="5" t="s">
        <v>60</v>
      </c>
      <c r="K2" s="127"/>
      <c r="L2" s="127" t="s">
        <v>18</v>
      </c>
      <c r="M2" s="128" t="s">
        <v>27</v>
      </c>
      <c r="N2" s="129" t="s">
        <v>61</v>
      </c>
      <c r="O2" s="130"/>
      <c r="P2" s="130"/>
      <c r="Q2" s="42"/>
    </row>
    <row r="3">
      <c r="A3" s="74" t="str">
        <f t="shared" ref="A3:A25" si="1">IF(ISBLANK(B3),"",TEXT(B3,"dddd"))</f>
        <v>Monday</v>
      </c>
      <c r="B3" s="49">
        <v>46244.0</v>
      </c>
      <c r="C3" s="86">
        <v>1.0</v>
      </c>
      <c r="D3" s="103">
        <v>56529.11</v>
      </c>
      <c r="E3" s="131">
        <f>IFERROR(__xludf.DUMMYFUNCTION("IFNA(FILTER(BUY_AUG!$L$2:$L$200, BUY_AUG!$H$2:$H$200=B3, BUY_AUG!$I$2:$I$200=C3), ""-"")"),17664.016100178887)</f>
        <v>17664.0161</v>
      </c>
      <c r="F3" s="132">
        <f t="shared" ref="F3:F25" si="2">IFERROR(VALUE(E3)*VALUE(D3), "-")</f>
        <v>998531109.2</v>
      </c>
      <c r="G3" s="133">
        <v>17690.0</v>
      </c>
      <c r="H3" s="134">
        <f t="shared" ref="H3:H25" si="3">IFERROR(VALUE(G3)*VALUE(D3), "-")</f>
        <v>999999955.9</v>
      </c>
      <c r="I3" s="100">
        <v>0.07</v>
      </c>
      <c r="J3" s="135">
        <f t="shared" ref="J3:J25" si="4">IF(OR(I3="-", F3="-", I3="", F3=""), "-", VALUE(I3)%*VALUE(F3))</f>
        <v>698971.7764</v>
      </c>
      <c r="K3" s="136">
        <f t="shared" ref="K3:K25" si="5">IF(OR(H3="-", F3="-", H3="", F3=""), "-", VALUE(H3)-VALUE(F3))</f>
        <v>1468846.731</v>
      </c>
      <c r="L3" s="137">
        <f t="shared" ref="L3:L25" si="6">IF(OR(H3="-", F3="-", J3="-", H3="", F3="", J3=""), "-", VALUE(H3)-VALUE(F3)-VALUE(J3))</f>
        <v>769874.9548</v>
      </c>
      <c r="M3" s="138">
        <f t="array" ref="M3:M11">UNIQUE(B3:B100)</f>
        <v>46244</v>
      </c>
      <c r="N3" s="139">
        <f t="shared" ref="N3:N25" si="7">SUMIF(B2:B99, M3, L2:L99)</f>
        <v>2887033.591</v>
      </c>
      <c r="O3" s="140"/>
      <c r="P3" s="141"/>
      <c r="Q3" s="42"/>
    </row>
    <row r="4">
      <c r="A4" s="74" t="str">
        <f t="shared" si="1"/>
        <v>Monday</v>
      </c>
      <c r="B4" s="49">
        <v>46244.0</v>
      </c>
      <c r="C4" s="86">
        <v>2.0</v>
      </c>
      <c r="D4" s="103">
        <v>56513.13</v>
      </c>
      <c r="E4" s="131">
        <f>IFERROR(__xludf.DUMMYFUNCTION("IFNA(FILTER(BUY_AUG!$L$2:$L$200, BUY_AUG!$H$2:$H$200=B4, BUY_AUG!$I$2:$I$200=C4), ""-"")"),17665.0)</f>
        <v>17665</v>
      </c>
      <c r="F4" s="132">
        <f t="shared" si="2"/>
        <v>998304441.5</v>
      </c>
      <c r="G4" s="133">
        <v>17695.0</v>
      </c>
      <c r="H4" s="134">
        <f t="shared" si="3"/>
        <v>999999835.4</v>
      </c>
      <c r="I4" s="100">
        <v>0.07</v>
      </c>
      <c r="J4" s="135">
        <f t="shared" si="4"/>
        <v>698813.109</v>
      </c>
      <c r="K4" s="136">
        <f t="shared" si="5"/>
        <v>1695393.9</v>
      </c>
      <c r="L4" s="137">
        <f t="shared" si="6"/>
        <v>996580.791</v>
      </c>
      <c r="M4" s="138">
        <v>46245.0</v>
      </c>
      <c r="N4" s="139">
        <f t="shared" si="7"/>
        <v>-271803.3848</v>
      </c>
      <c r="O4" s="140"/>
      <c r="P4" s="141"/>
      <c r="Q4" s="13"/>
    </row>
    <row r="5">
      <c r="A5" s="74" t="str">
        <f t="shared" si="1"/>
        <v>Monday</v>
      </c>
      <c r="B5" s="49">
        <v>46244.0</v>
      </c>
      <c r="C5" s="86">
        <v>3.0</v>
      </c>
      <c r="D5" s="103">
        <v>56529.11</v>
      </c>
      <c r="E5" s="131">
        <f>IFERROR(__xludf.DUMMYFUNCTION("IFNA(FILTER(BUY_AUG!$L$2:$L$200, BUY_AUG!$H$2:$H$200=B5, BUY_AUG!$I$2:$I$200=C5), ""-"")"),17657.816505497805)</f>
        <v>17657.81651</v>
      </c>
      <c r="F5" s="132">
        <f t="shared" si="2"/>
        <v>998180651.6</v>
      </c>
      <c r="G5" s="133">
        <v>17690.0</v>
      </c>
      <c r="H5" s="134">
        <f t="shared" si="3"/>
        <v>999999955.9</v>
      </c>
      <c r="I5" s="100">
        <v>0.07</v>
      </c>
      <c r="J5" s="135">
        <f t="shared" si="4"/>
        <v>698726.4561</v>
      </c>
      <c r="K5" s="136">
        <f t="shared" si="5"/>
        <v>1819304.301</v>
      </c>
      <c r="L5" s="137">
        <f t="shared" si="6"/>
        <v>1120577.845</v>
      </c>
      <c r="M5" s="138">
        <v>46246.0</v>
      </c>
      <c r="N5" s="139">
        <f t="shared" si="7"/>
        <v>7911026.963</v>
      </c>
      <c r="O5" s="140"/>
      <c r="P5" s="141"/>
      <c r="Q5" s="13"/>
    </row>
    <row r="6">
      <c r="A6" s="74" t="str">
        <f t="shared" si="1"/>
        <v>Tuesday</v>
      </c>
      <c r="B6" s="49">
        <v>46245.0</v>
      </c>
      <c r="C6" s="86">
        <v>1.0</v>
      </c>
      <c r="D6" s="103">
        <v>56529.11</v>
      </c>
      <c r="E6" s="131">
        <f>IFERROR(__xludf.DUMMYFUNCTION("IFNA(FILTER(BUY_AUG!$L$2:$L$200, BUY_AUG!$H$2:$H$200=B6, BUY_AUG!$I$2:$I$200=C6), ""-"")"),17706.222945928384)</f>
        <v>17706.22295</v>
      </c>
      <c r="F6" s="132">
        <f t="shared" si="2"/>
        <v>1000917025</v>
      </c>
      <c r="G6" s="133">
        <v>17690.0</v>
      </c>
      <c r="H6" s="134">
        <f t="shared" si="3"/>
        <v>999999955.9</v>
      </c>
      <c r="I6" s="100">
        <v>0.07</v>
      </c>
      <c r="J6" s="135">
        <f t="shared" si="4"/>
        <v>700641.9172</v>
      </c>
      <c r="K6" s="136">
        <f t="shared" si="5"/>
        <v>-917068.6949</v>
      </c>
      <c r="L6" s="137">
        <f t="shared" si="6"/>
        <v>-1617710.612</v>
      </c>
      <c r="M6" s="138">
        <v>46247.0</v>
      </c>
      <c r="N6" s="139">
        <f t="shared" si="7"/>
        <v>5661500.752</v>
      </c>
      <c r="O6" s="140"/>
      <c r="P6" s="141"/>
    </row>
    <row r="7">
      <c r="A7" s="74" t="str">
        <f t="shared" si="1"/>
        <v>Tuesday</v>
      </c>
      <c r="B7" s="49">
        <v>46245.0</v>
      </c>
      <c r="C7" s="86">
        <v>2.0</v>
      </c>
      <c r="D7" s="103">
        <v>56338.02</v>
      </c>
      <c r="E7" s="131">
        <f>IFERROR(__xludf.DUMMYFUNCTION("IFNA(FILTER(BUY_AUG!$L$2:$L$200, BUY_AUG!$H$2:$H$200=B7, BUY_AUG!$I$2:$I$200=C7), ""-"")"),17713.710545868656)</f>
        <v>17713.71055</v>
      </c>
      <c r="F7" s="132">
        <f t="shared" si="2"/>
        <v>997955379</v>
      </c>
      <c r="G7" s="133">
        <v>17750.0</v>
      </c>
      <c r="H7" s="134">
        <f t="shared" si="3"/>
        <v>999999855</v>
      </c>
      <c r="I7" s="100">
        <v>0.07</v>
      </c>
      <c r="J7" s="135">
        <f t="shared" si="4"/>
        <v>698568.7653</v>
      </c>
      <c r="K7" s="136">
        <f t="shared" si="5"/>
        <v>2044475.993</v>
      </c>
      <c r="L7" s="137">
        <f t="shared" si="6"/>
        <v>1345907.227</v>
      </c>
      <c r="M7" s="138">
        <v>46248.0</v>
      </c>
      <c r="N7" s="139">
        <f t="shared" si="7"/>
        <v>5641891.734</v>
      </c>
      <c r="O7" s="140"/>
      <c r="P7" s="141"/>
    </row>
    <row r="8">
      <c r="A8" s="74" t="str">
        <f t="shared" si="1"/>
        <v>Wednesday</v>
      </c>
      <c r="B8" s="49">
        <v>46246.0</v>
      </c>
      <c r="C8" s="106">
        <v>1.0</v>
      </c>
      <c r="D8" s="87">
        <v>56100.98</v>
      </c>
      <c r="E8" s="131">
        <f>IFERROR(__xludf.DUMMYFUNCTION("IFNA(FILTER(BUY_AUG!$L$2:$L$200, BUY_AUG!$H$2:$H$200=B8, BUY_AUG!$I$2:$I$200=C8), ""-"")"),17778.171636799914)</f>
        <v>17778.17164</v>
      </c>
      <c r="F8" s="132">
        <f t="shared" si="2"/>
        <v>997372851.4</v>
      </c>
      <c r="G8" s="145">
        <v>17825.0</v>
      </c>
      <c r="H8" s="134">
        <f t="shared" si="3"/>
        <v>999999968.5</v>
      </c>
      <c r="I8" s="100">
        <v>0.07</v>
      </c>
      <c r="J8" s="135">
        <f t="shared" si="4"/>
        <v>698160.996</v>
      </c>
      <c r="K8" s="136">
        <f t="shared" si="5"/>
        <v>2627117.067</v>
      </c>
      <c r="L8" s="137">
        <f t="shared" si="6"/>
        <v>1928956.071</v>
      </c>
      <c r="M8" s="146">
        <v>46249.0</v>
      </c>
      <c r="N8" s="139">
        <f t="shared" si="7"/>
        <v>2720945.67</v>
      </c>
    </row>
    <row r="9">
      <c r="A9" s="74" t="str">
        <f t="shared" si="1"/>
        <v>Wednesday</v>
      </c>
      <c r="B9" s="49">
        <v>46246.0</v>
      </c>
      <c r="C9" s="106">
        <v>2.0</v>
      </c>
      <c r="D9" s="87">
        <v>56100.98</v>
      </c>
      <c r="E9" s="131">
        <f>IFERROR(__xludf.DUMMYFUNCTION("IFNA(FILTER(BUY_AUG!$L$2:$L$200, BUY_AUG!$H$2:$H$200=B9, BUY_AUG!$I$2:$I$200=C9), ""-"")"),17776.883331162924)</f>
        <v>17776.88333</v>
      </c>
      <c r="F9" s="132">
        <f t="shared" si="2"/>
        <v>997300576.2</v>
      </c>
      <c r="G9" s="145">
        <v>17825.0</v>
      </c>
      <c r="H9" s="134">
        <f t="shared" si="3"/>
        <v>999999968.5</v>
      </c>
      <c r="I9" s="100">
        <v>0.07</v>
      </c>
      <c r="J9" s="135">
        <f t="shared" si="4"/>
        <v>698110.4034</v>
      </c>
      <c r="K9" s="136">
        <f t="shared" si="5"/>
        <v>2699392.276</v>
      </c>
      <c r="L9" s="137">
        <f t="shared" si="6"/>
        <v>2001281.873</v>
      </c>
      <c r="M9" s="146">
        <v>46251.0</v>
      </c>
      <c r="N9" s="139">
        <f t="shared" si="7"/>
        <v>917765.1177</v>
      </c>
    </row>
    <row r="10">
      <c r="A10" s="74" t="str">
        <f t="shared" si="1"/>
        <v>Wednesday</v>
      </c>
      <c r="B10" s="49">
        <v>46246.0</v>
      </c>
      <c r="C10" s="106">
        <v>3.0</v>
      </c>
      <c r="D10" s="87">
        <v>56179.77</v>
      </c>
      <c r="E10" s="131">
        <f>IFERROR(__xludf.DUMMYFUNCTION("IFNA(FILTER(BUY_AUG!$L$2:$L$200, BUY_AUG!$H$2:$H$200=B10, BUY_AUG!$I$2:$I$200=C10), ""-"")"),17758.0)</f>
        <v>17758</v>
      </c>
      <c r="F10" s="132">
        <f t="shared" si="2"/>
        <v>997640355.7</v>
      </c>
      <c r="G10" s="145">
        <v>17800.0</v>
      </c>
      <c r="H10" s="134">
        <f t="shared" si="3"/>
        <v>999999906</v>
      </c>
      <c r="I10" s="100">
        <v>0.07</v>
      </c>
      <c r="J10" s="135">
        <f t="shared" si="4"/>
        <v>698348.249</v>
      </c>
      <c r="K10" s="136">
        <f t="shared" si="5"/>
        <v>2359550.34</v>
      </c>
      <c r="L10" s="137">
        <f t="shared" si="6"/>
        <v>1661202.091</v>
      </c>
      <c r="M10" s="146">
        <v>46252.0</v>
      </c>
      <c r="N10" s="139">
        <f t="shared" si="7"/>
        <v>493286.3827</v>
      </c>
    </row>
    <row r="11">
      <c r="A11" s="74" t="str">
        <f t="shared" si="1"/>
        <v>Wednesday</v>
      </c>
      <c r="B11" s="49">
        <v>46246.0</v>
      </c>
      <c r="C11" s="106">
        <v>4.0</v>
      </c>
      <c r="D11" s="87">
        <v>56179.77</v>
      </c>
      <c r="E11" s="131">
        <f>IFERROR(__xludf.DUMMYFUNCTION("IFNA(FILTER(BUY_AUG!$L$2:$L$200, BUY_AUG!$H$2:$H$200=B11, BUY_AUG!$I$2:$I$200=C11), ""-"")"),17767.436055212365)</f>
        <v>17767.43606</v>
      </c>
      <c r="F11" s="132">
        <f t="shared" si="2"/>
        <v>998170471.1</v>
      </c>
      <c r="G11" s="145">
        <v>17800.0</v>
      </c>
      <c r="H11" s="134">
        <f t="shared" si="3"/>
        <v>999999906</v>
      </c>
      <c r="I11" s="100">
        <v>0.07</v>
      </c>
      <c r="J11" s="135">
        <f t="shared" si="4"/>
        <v>698719.3298</v>
      </c>
      <c r="K11" s="136">
        <f t="shared" si="5"/>
        <v>1829434.928</v>
      </c>
      <c r="L11" s="137">
        <f t="shared" si="6"/>
        <v>1130715.599</v>
      </c>
      <c r="M11" s="147"/>
      <c r="N11" s="139">
        <f t="shared" si="7"/>
        <v>0</v>
      </c>
    </row>
    <row r="12">
      <c r="A12" s="74" t="str">
        <f t="shared" si="1"/>
        <v>Wednesday</v>
      </c>
      <c r="B12" s="49">
        <v>46246.0</v>
      </c>
      <c r="C12" s="106">
        <v>5.0</v>
      </c>
      <c r="D12" s="87">
        <v>56163.99</v>
      </c>
      <c r="E12" s="131">
        <f>IFERROR(__xludf.DUMMYFUNCTION("IFNA(FILTER(BUY_AUG!$L$2:$L$200, BUY_AUG!$H$2:$H$200=B12, BUY_AUG!$I$2:$I$200=C12), ""-"")"),17771.392168113376)</f>
        <v>17771.39217</v>
      </c>
      <c r="F12" s="132">
        <f t="shared" si="2"/>
        <v>998112292</v>
      </c>
      <c r="G12" s="145">
        <v>17805.0</v>
      </c>
      <c r="H12" s="134">
        <f t="shared" si="3"/>
        <v>999999842</v>
      </c>
      <c r="I12" s="100">
        <v>0.07</v>
      </c>
      <c r="J12" s="135">
        <f t="shared" si="4"/>
        <v>698678.6044</v>
      </c>
      <c r="K12" s="136">
        <f t="shared" si="5"/>
        <v>1887549.934</v>
      </c>
      <c r="L12" s="137">
        <f t="shared" si="6"/>
        <v>1188871.33</v>
      </c>
      <c r="M12" s="147"/>
      <c r="N12" s="139">
        <f t="shared" si="7"/>
        <v>0</v>
      </c>
    </row>
    <row r="13">
      <c r="A13" s="74" t="str">
        <f t="shared" si="1"/>
        <v>Thursday</v>
      </c>
      <c r="B13" s="49">
        <v>46247.0</v>
      </c>
      <c r="C13" s="106">
        <v>1.0</v>
      </c>
      <c r="D13" s="87">
        <v>56116.72</v>
      </c>
      <c r="E13" s="131">
        <f>IFERROR(__xludf.DUMMYFUNCTION("IFNA(FILTER(BUY_AUG!$L$2:$L$200, BUY_AUG!$H$2:$H$200=B13, BUY_AUG!$I$2:$I$200=C13), ""-"")"),17799.999999999996)</f>
        <v>17800</v>
      </c>
      <c r="F13" s="132">
        <f t="shared" si="2"/>
        <v>998877616</v>
      </c>
      <c r="G13" s="145">
        <v>17820.0</v>
      </c>
      <c r="H13" s="134">
        <f t="shared" si="3"/>
        <v>999999950.4</v>
      </c>
      <c r="I13" s="100">
        <v>0.07</v>
      </c>
      <c r="J13" s="135">
        <f t="shared" si="4"/>
        <v>699214.3312</v>
      </c>
      <c r="K13" s="136">
        <f t="shared" si="5"/>
        <v>1122334.4</v>
      </c>
      <c r="L13" s="137">
        <f t="shared" si="6"/>
        <v>423120.0688</v>
      </c>
      <c r="M13" s="149"/>
      <c r="N13" s="139">
        <f t="shared" si="7"/>
        <v>0</v>
      </c>
    </row>
    <row r="14">
      <c r="A14" s="74" t="str">
        <f t="shared" si="1"/>
        <v>Thursday</v>
      </c>
      <c r="B14" s="49">
        <v>46247.0</v>
      </c>
      <c r="C14" s="106">
        <v>2.0</v>
      </c>
      <c r="D14" s="87">
        <v>56116.72</v>
      </c>
      <c r="E14" s="131">
        <f>IFERROR(__xludf.DUMMYFUNCTION("IFNA(FILTER(BUY_AUG!$L$2:$L$200, BUY_AUG!$H$2:$H$200=B14, BUY_AUG!$I$2:$I$200=C14), ""-"")"),17788.0)</f>
        <v>17788</v>
      </c>
      <c r="F14" s="132">
        <f t="shared" si="2"/>
        <v>998204215.4</v>
      </c>
      <c r="G14" s="145">
        <v>17820.0</v>
      </c>
      <c r="H14" s="134">
        <f t="shared" si="3"/>
        <v>999999950.4</v>
      </c>
      <c r="I14" s="100">
        <v>0.07</v>
      </c>
      <c r="J14" s="135">
        <f t="shared" si="4"/>
        <v>698742.9508</v>
      </c>
      <c r="K14" s="136">
        <f t="shared" si="5"/>
        <v>1795735.04</v>
      </c>
      <c r="L14" s="137">
        <f t="shared" si="6"/>
        <v>1096992.089</v>
      </c>
      <c r="M14" s="149"/>
      <c r="N14" s="139">
        <f t="shared" si="7"/>
        <v>0</v>
      </c>
    </row>
    <row r="15">
      <c r="A15" s="74" t="str">
        <f t="shared" si="1"/>
        <v>Thursday</v>
      </c>
      <c r="B15" s="49">
        <v>46247.0</v>
      </c>
      <c r="C15" s="106">
        <v>3.0</v>
      </c>
      <c r="D15" s="87">
        <v>56116.72</v>
      </c>
      <c r="E15" s="131">
        <f>IFERROR(__xludf.DUMMYFUNCTION("IFNA(FILTER(BUY_AUG!$L$2:$L$200, BUY_AUG!$H$2:$H$200=B15, BUY_AUG!$I$2:$I$200=C15), ""-"")"),17777.321428571428)</f>
        <v>17777.32143</v>
      </c>
      <c r="F15" s="132">
        <f t="shared" si="2"/>
        <v>997604969</v>
      </c>
      <c r="G15" s="145">
        <v>17820.0</v>
      </c>
      <c r="H15" s="134">
        <f t="shared" si="3"/>
        <v>999999950.4</v>
      </c>
      <c r="I15" s="100">
        <v>0.07</v>
      </c>
      <c r="J15" s="135">
        <f t="shared" si="4"/>
        <v>698323.4783</v>
      </c>
      <c r="K15" s="136">
        <f t="shared" si="5"/>
        <v>2394981.443</v>
      </c>
      <c r="L15" s="137">
        <f t="shared" si="6"/>
        <v>1696657.965</v>
      </c>
      <c r="M15" s="149"/>
      <c r="N15" s="139">
        <f t="shared" si="7"/>
        <v>0</v>
      </c>
    </row>
    <row r="16">
      <c r="A16" s="74" t="str">
        <f t="shared" si="1"/>
        <v>Thursday</v>
      </c>
      <c r="B16" s="49">
        <v>46247.0</v>
      </c>
      <c r="C16" s="106">
        <v>4.0</v>
      </c>
      <c r="D16" s="87">
        <v>56132.47</v>
      </c>
      <c r="E16" s="131">
        <f>IFERROR(__xludf.DUMMYFUNCTION("IFNA(FILTER(BUY_AUG!$L$2:$L$200, BUY_AUG!$H$2:$H$200=B16, BUY_AUG!$I$2:$I$200=C16), ""-"")"),17759.01581072509)</f>
        <v>17759.01581</v>
      </c>
      <c r="F16" s="132">
        <f t="shared" si="2"/>
        <v>996857422.2</v>
      </c>
      <c r="G16" s="145">
        <v>17815.0</v>
      </c>
      <c r="H16" s="134">
        <f t="shared" si="3"/>
        <v>999999953.1</v>
      </c>
      <c r="I16" s="100">
        <v>0.07</v>
      </c>
      <c r="J16" s="135">
        <f t="shared" si="4"/>
        <v>697800.1956</v>
      </c>
      <c r="K16" s="136">
        <f t="shared" si="5"/>
        <v>3142530.825</v>
      </c>
      <c r="L16" s="137">
        <f t="shared" si="6"/>
        <v>2444730.629</v>
      </c>
      <c r="M16" s="149"/>
      <c r="N16" s="139">
        <f t="shared" si="7"/>
        <v>0</v>
      </c>
    </row>
    <row r="17">
      <c r="A17" s="74" t="str">
        <f t="shared" si="1"/>
        <v>Friday</v>
      </c>
      <c r="B17" s="49">
        <v>46248.0</v>
      </c>
      <c r="C17" s="106">
        <v>1.0</v>
      </c>
      <c r="D17" s="87">
        <v>56242.96</v>
      </c>
      <c r="E17" s="131">
        <f>IFERROR(__xludf.DUMMYFUNCTION("IFNA(FILTER(BUY_AUG!L16:L120, BUY_AUG!H16:H120=B17, BUY_AUG!I16:I120=C17), ""-"")"),17740.336250307795)</f>
        <v>17740.33625</v>
      </c>
      <c r="F17" s="132">
        <f t="shared" si="2"/>
        <v>997769022.1</v>
      </c>
      <c r="G17" s="145">
        <v>17780.0</v>
      </c>
      <c r="H17" s="134">
        <f t="shared" si="3"/>
        <v>999999828.8</v>
      </c>
      <c r="I17" s="100">
        <v>0.07</v>
      </c>
      <c r="J17" s="135">
        <f t="shared" si="4"/>
        <v>698438.3155</v>
      </c>
      <c r="K17" s="136">
        <f t="shared" si="5"/>
        <v>2230806.687</v>
      </c>
      <c r="L17" s="137">
        <f t="shared" si="6"/>
        <v>1532368.372</v>
      </c>
      <c r="M17" s="149"/>
      <c r="N17" s="139">
        <f t="shared" si="7"/>
        <v>0</v>
      </c>
    </row>
    <row r="18">
      <c r="A18" s="74" t="str">
        <f t="shared" si="1"/>
        <v>Friday</v>
      </c>
      <c r="B18" s="49">
        <v>46248.0</v>
      </c>
      <c r="C18" s="106">
        <v>2.0</v>
      </c>
      <c r="D18" s="87">
        <v>56258.79</v>
      </c>
      <c r="E18" s="131">
        <f>IFERROR(__xludf.DUMMYFUNCTION("IFNA(FILTER(BUY_AUG!L17:L121, BUY_AUG!H17:H121=B18, BUY_AUG!I17:I121=C18), ""-"")"),17738.190854669116)</f>
        <v>17738.19085</v>
      </c>
      <c r="F18" s="132">
        <f t="shared" si="2"/>
        <v>997929154.3</v>
      </c>
      <c r="G18" s="145">
        <v>17775.0</v>
      </c>
      <c r="H18" s="134">
        <f t="shared" si="3"/>
        <v>999999992.3</v>
      </c>
      <c r="I18" s="100">
        <v>0.07</v>
      </c>
      <c r="J18" s="135">
        <f t="shared" si="4"/>
        <v>698550.408</v>
      </c>
      <c r="K18" s="136">
        <f t="shared" si="5"/>
        <v>2070837.977</v>
      </c>
      <c r="L18" s="137">
        <f t="shared" si="6"/>
        <v>1372287.569</v>
      </c>
      <c r="M18" s="149"/>
      <c r="N18" s="139">
        <f t="shared" si="7"/>
        <v>0</v>
      </c>
    </row>
    <row r="19">
      <c r="A19" s="74" t="str">
        <f t="shared" si="1"/>
        <v>Friday</v>
      </c>
      <c r="B19" s="49">
        <v>46248.0</v>
      </c>
      <c r="C19" s="106">
        <v>3.0</v>
      </c>
      <c r="D19" s="87">
        <v>56258.79</v>
      </c>
      <c r="E19" s="131">
        <f>IFERROR(__xludf.DUMMYFUNCTION("IFNA(FILTER(BUY_AUG!L18:L122, BUY_AUG!H18:H122=B19, BUY_AUG!I18:I122=C19), ""-"")"),17713.945871290325)</f>
        <v>17713.94587</v>
      </c>
      <c r="F19" s="132">
        <f t="shared" si="2"/>
        <v>996565160.8</v>
      </c>
      <c r="G19" s="145">
        <v>17775.0</v>
      </c>
      <c r="H19" s="134">
        <f t="shared" si="3"/>
        <v>999999992.3</v>
      </c>
      <c r="I19" s="100">
        <v>0.07</v>
      </c>
      <c r="J19" s="135">
        <f t="shared" si="4"/>
        <v>697595.6126</v>
      </c>
      <c r="K19" s="136">
        <f t="shared" si="5"/>
        <v>3434831.406</v>
      </c>
      <c r="L19" s="137">
        <f t="shared" si="6"/>
        <v>2737235.793</v>
      </c>
      <c r="M19" s="149"/>
      <c r="N19" s="139">
        <f t="shared" si="7"/>
        <v>0</v>
      </c>
    </row>
    <row r="20">
      <c r="A20" s="74" t="str">
        <f t="shared" si="1"/>
        <v>Saturday</v>
      </c>
      <c r="B20" s="49">
        <v>46249.0</v>
      </c>
      <c r="C20" s="106">
        <v>1.0</v>
      </c>
      <c r="D20" s="87">
        <v>56338.02</v>
      </c>
      <c r="E20" s="131">
        <f>IFERROR(__xludf.DUMMYFUNCTION("IFNA(FILTER(BUY_AUG!L19:L123, BUY_AUG!H19:H123=B20, BUY_AUG!I19:I123=C20), ""-"")"),17708.98471159263)</f>
        <v>17708.98471</v>
      </c>
      <c r="F20" s="132">
        <f t="shared" si="2"/>
        <v>997689134.9</v>
      </c>
      <c r="G20" s="145">
        <v>17750.0</v>
      </c>
      <c r="H20" s="134">
        <f t="shared" si="3"/>
        <v>999999855</v>
      </c>
      <c r="I20" s="100">
        <v>0.07</v>
      </c>
      <c r="J20" s="135">
        <f t="shared" si="4"/>
        <v>698382.3944</v>
      </c>
      <c r="K20" s="136">
        <f t="shared" si="5"/>
        <v>2310720.139</v>
      </c>
      <c r="L20" s="137">
        <f t="shared" si="6"/>
        <v>1612337.744</v>
      </c>
      <c r="M20" s="149"/>
      <c r="N20" s="139">
        <f t="shared" si="7"/>
        <v>0</v>
      </c>
    </row>
    <row r="21">
      <c r="A21" s="74" t="str">
        <f t="shared" si="1"/>
        <v>Saturday</v>
      </c>
      <c r="B21" s="49">
        <v>46249.0</v>
      </c>
      <c r="C21" s="106">
        <v>2.0</v>
      </c>
      <c r="D21" s="87">
        <v>42313.11</v>
      </c>
      <c r="E21" s="131">
        <f>IFERROR(__xludf.DUMMYFUNCTION("IFNA(FILTER(BUY_AUG!L20:L124, BUY_AUG!H20:H124=B21, BUY_AUG!I20:I124=C21), ""-"")"),17686.41940138609)</f>
        <v>17686.4194</v>
      </c>
      <c r="F21" s="132">
        <f t="shared" si="2"/>
        <v>748367409.6</v>
      </c>
      <c r="G21" s="145">
        <v>17725.0</v>
      </c>
      <c r="H21" s="134">
        <f t="shared" si="3"/>
        <v>749999874.8</v>
      </c>
      <c r="I21" s="100">
        <v>0.07</v>
      </c>
      <c r="J21" s="135">
        <f t="shared" si="4"/>
        <v>523857.1867</v>
      </c>
      <c r="K21" s="136">
        <f t="shared" si="5"/>
        <v>1632465.113</v>
      </c>
      <c r="L21" s="137">
        <f t="shared" si="6"/>
        <v>1108607.926</v>
      </c>
      <c r="M21" s="149"/>
      <c r="N21" s="139">
        <f t="shared" si="7"/>
        <v>0</v>
      </c>
    </row>
    <row r="22">
      <c r="A22" s="74" t="str">
        <f t="shared" si="1"/>
        <v>Monday</v>
      </c>
      <c r="B22" s="49">
        <v>46251.0</v>
      </c>
      <c r="C22" s="106">
        <v>1.0</v>
      </c>
      <c r="D22" s="87">
        <v>28176.95</v>
      </c>
      <c r="E22" s="131">
        <f>IFERROR(__xludf.DUMMYFUNCTION("IFNA(FILTER(BUY_AUG!L21:L125, BUY_AUG!H21:H125=B22, BUY_AUG!I21:I125=C22), ""-"")"),17732.924200571902)</f>
        <v>17732.9242</v>
      </c>
      <c r="F22" s="132">
        <f t="shared" si="2"/>
        <v>499659718.6</v>
      </c>
      <c r="G22" s="145">
        <v>17745.0</v>
      </c>
      <c r="H22" s="134">
        <f t="shared" si="3"/>
        <v>499999977.8</v>
      </c>
      <c r="I22" s="100">
        <v>0.07</v>
      </c>
      <c r="J22" s="135">
        <f t="shared" si="4"/>
        <v>349761.803</v>
      </c>
      <c r="K22" s="136">
        <f t="shared" si="5"/>
        <v>340259.1967</v>
      </c>
      <c r="L22" s="137">
        <f t="shared" si="6"/>
        <v>-9502.606292</v>
      </c>
      <c r="M22" s="149"/>
      <c r="N22" s="139">
        <f t="shared" si="7"/>
        <v>0</v>
      </c>
    </row>
    <row r="23">
      <c r="A23" s="74" t="str">
        <f t="shared" si="1"/>
        <v>Monday</v>
      </c>
      <c r="B23" s="49">
        <v>46251.0</v>
      </c>
      <c r="C23" s="106">
        <v>2.0</v>
      </c>
      <c r="D23" s="87">
        <v>28140.47</v>
      </c>
      <c r="E23" s="131">
        <f>IFERROR(__xludf.DUMMYFUNCTION("IFNA(FILTER(BUY_AUG!L22:L126, BUY_AUG!H22:H126=B23, BUY_AUG!I22:I126=C23), ""-"")"),17722.642755726793)</f>
        <v>17722.64276</v>
      </c>
      <c r="F23" s="132">
        <f t="shared" si="2"/>
        <v>498723496.8</v>
      </c>
      <c r="G23" s="145">
        <v>17768.0</v>
      </c>
      <c r="H23" s="134">
        <f t="shared" si="3"/>
        <v>499999871</v>
      </c>
      <c r="I23" s="100">
        <v>0.07</v>
      </c>
      <c r="J23" s="135">
        <f t="shared" si="4"/>
        <v>349106.4478</v>
      </c>
      <c r="K23" s="136">
        <f t="shared" si="5"/>
        <v>1276374.172</v>
      </c>
      <c r="L23" s="137">
        <f t="shared" si="6"/>
        <v>927267.724</v>
      </c>
      <c r="M23" s="149"/>
      <c r="N23" s="139">
        <f t="shared" si="7"/>
        <v>0</v>
      </c>
    </row>
    <row r="24">
      <c r="A24" s="74" t="str">
        <f t="shared" si="1"/>
        <v>Tuesday</v>
      </c>
      <c r="B24" s="49">
        <v>46252.0</v>
      </c>
      <c r="C24" s="150">
        <v>1.0</v>
      </c>
      <c r="D24" s="87">
        <v>28089.88</v>
      </c>
      <c r="E24" s="131">
        <f>IFERROR(__xludf.DUMMYFUNCTION("IFNA(FILTER(BUY_AUG!L23:L127, BUY_AUG!H23:H127=B24, BUY_AUG!I23:I127=C24), ""-"")"),17770.0)</f>
        <v>17770</v>
      </c>
      <c r="F24" s="132">
        <f t="shared" si="2"/>
        <v>499157167.6</v>
      </c>
      <c r="G24" s="145">
        <v>17800.0</v>
      </c>
      <c r="H24" s="134">
        <f t="shared" si="3"/>
        <v>499999864</v>
      </c>
      <c r="I24" s="151">
        <v>0.07</v>
      </c>
      <c r="J24" s="135">
        <f t="shared" si="4"/>
        <v>349410.0173</v>
      </c>
      <c r="K24" s="152">
        <f t="shared" si="5"/>
        <v>842696.4</v>
      </c>
      <c r="L24" s="153">
        <f t="shared" si="6"/>
        <v>493286.3827</v>
      </c>
      <c r="M24" s="154"/>
      <c r="N24" s="139">
        <f t="shared" si="7"/>
        <v>0</v>
      </c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</row>
    <row r="25">
      <c r="A25" s="74" t="str">
        <f t="shared" si="1"/>
        <v>Monday</v>
      </c>
      <c r="B25" s="155">
        <v>46251.0</v>
      </c>
      <c r="C25" s="150">
        <v>2.0</v>
      </c>
      <c r="D25" s="103"/>
      <c r="E25" s="131" t="str">
        <f>IFERROR(__xludf.DUMMYFUNCTION("IFNA(FILTER(BUY_AUG!L24:L128, BUY_AUG!H24:H128=B25, BUY_AUG!I24:I128=C25), ""-"")"),"-")</f>
        <v>-</v>
      </c>
      <c r="F25" s="132" t="str">
        <f t="shared" si="2"/>
        <v>-</v>
      </c>
      <c r="G25" s="145">
        <v>17800.0</v>
      </c>
      <c r="H25" s="134">
        <f t="shared" si="3"/>
        <v>0</v>
      </c>
      <c r="I25" s="151">
        <v>0.07</v>
      </c>
      <c r="J25" s="135" t="str">
        <f t="shared" si="4"/>
        <v>-</v>
      </c>
      <c r="K25" s="152" t="str">
        <f t="shared" si="5"/>
        <v>-</v>
      </c>
      <c r="L25" s="156" t="str">
        <f t="shared" si="6"/>
        <v>-</v>
      </c>
      <c r="M25" s="154"/>
      <c r="N25" s="139">
        <f t="shared" si="7"/>
        <v>0</v>
      </c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</row>
    <row r="26">
      <c r="C26" s="104"/>
      <c r="K26" s="157"/>
      <c r="L26" s="157"/>
      <c r="M26" s="158"/>
    </row>
    <row r="27">
      <c r="C27" s="104"/>
      <c r="K27" s="157"/>
      <c r="L27" s="157"/>
      <c r="M27" s="158"/>
    </row>
    <row r="28">
      <c r="C28" s="104"/>
      <c r="K28" s="157"/>
      <c r="L28" s="157"/>
      <c r="M28" s="158"/>
    </row>
    <row r="29">
      <c r="C29" s="104"/>
      <c r="K29" s="157"/>
      <c r="L29" s="157"/>
      <c r="M29" s="158"/>
    </row>
    <row r="30">
      <c r="C30" s="104"/>
      <c r="K30" s="157"/>
      <c r="L30" s="157"/>
      <c r="M30" s="158"/>
    </row>
    <row r="31">
      <c r="C31" s="104"/>
      <c r="K31" s="157"/>
      <c r="L31" s="157"/>
      <c r="M31" s="158"/>
    </row>
    <row r="32">
      <c r="C32" s="104"/>
      <c r="K32" s="157"/>
      <c r="L32" s="157"/>
      <c r="M32" s="158"/>
    </row>
    <row r="33">
      <c r="C33" s="104"/>
      <c r="K33" s="157"/>
      <c r="L33" s="157"/>
      <c r="M33" s="158"/>
    </row>
    <row r="34">
      <c r="C34" s="104"/>
      <c r="K34" s="157"/>
      <c r="L34" s="157"/>
      <c r="M34" s="158"/>
    </row>
    <row r="35">
      <c r="C35" s="104"/>
      <c r="K35" s="157"/>
      <c r="L35" s="157"/>
      <c r="M35" s="158"/>
    </row>
    <row r="36">
      <c r="C36" s="104"/>
      <c r="K36" s="157"/>
      <c r="L36" s="157"/>
      <c r="M36" s="158"/>
    </row>
    <row r="37">
      <c r="C37" s="104"/>
      <c r="K37" s="157"/>
      <c r="L37" s="157"/>
      <c r="M37" s="158"/>
    </row>
    <row r="38">
      <c r="C38" s="104"/>
      <c r="K38" s="157"/>
      <c r="L38" s="157"/>
      <c r="M38" s="158"/>
    </row>
    <row r="39">
      <c r="C39" s="104"/>
      <c r="K39" s="157"/>
      <c r="L39" s="157"/>
      <c r="M39" s="158"/>
    </row>
    <row r="40">
      <c r="C40" s="104"/>
      <c r="K40" s="157"/>
      <c r="L40" s="157"/>
      <c r="M40" s="158"/>
    </row>
    <row r="41">
      <c r="C41" s="104"/>
      <c r="K41" s="157"/>
      <c r="L41" s="157"/>
      <c r="M41" s="158"/>
    </row>
    <row r="42">
      <c r="C42" s="104"/>
      <c r="K42" s="157"/>
      <c r="L42" s="157"/>
      <c r="M42" s="158"/>
    </row>
    <row r="43">
      <c r="C43" s="104"/>
      <c r="K43" s="157"/>
      <c r="L43" s="157"/>
      <c r="M43" s="158"/>
    </row>
    <row r="44">
      <c r="C44" s="104"/>
      <c r="K44" s="157"/>
      <c r="L44" s="157"/>
      <c r="M44" s="158"/>
    </row>
    <row r="45">
      <c r="C45" s="104"/>
      <c r="K45" s="157"/>
      <c r="L45" s="157"/>
      <c r="M45" s="158"/>
    </row>
    <row r="46">
      <c r="C46" s="104"/>
      <c r="K46" s="157"/>
      <c r="L46" s="157"/>
      <c r="M46" s="158"/>
    </row>
    <row r="47">
      <c r="C47" s="104"/>
      <c r="K47" s="157"/>
      <c r="L47" s="157"/>
      <c r="M47" s="158"/>
    </row>
    <row r="48">
      <c r="C48" s="104"/>
      <c r="K48" s="157"/>
      <c r="L48" s="157"/>
      <c r="M48" s="158"/>
    </row>
    <row r="49">
      <c r="C49" s="104"/>
      <c r="K49" s="157"/>
      <c r="L49" s="157"/>
      <c r="M49" s="158"/>
    </row>
    <row r="50">
      <c r="C50" s="104"/>
      <c r="K50" s="157"/>
      <c r="L50" s="157"/>
      <c r="M50" s="158"/>
    </row>
    <row r="51">
      <c r="C51" s="104"/>
      <c r="K51" s="157"/>
      <c r="L51" s="157"/>
      <c r="M51" s="158"/>
    </row>
    <row r="52">
      <c r="C52" s="104"/>
      <c r="K52" s="157"/>
      <c r="L52" s="157"/>
      <c r="M52" s="158"/>
    </row>
    <row r="53">
      <c r="C53" s="104"/>
      <c r="K53" s="157"/>
      <c r="L53" s="157"/>
      <c r="M53" s="158"/>
    </row>
    <row r="54">
      <c r="C54" s="104"/>
      <c r="K54" s="157"/>
      <c r="L54" s="157"/>
      <c r="M54" s="158"/>
    </row>
    <row r="55">
      <c r="C55" s="104"/>
      <c r="K55" s="157"/>
      <c r="L55" s="157"/>
      <c r="M55" s="158"/>
    </row>
    <row r="56">
      <c r="C56" s="104"/>
      <c r="K56" s="157"/>
      <c r="L56" s="157"/>
      <c r="M56" s="158"/>
    </row>
    <row r="57">
      <c r="C57" s="104"/>
      <c r="K57" s="157"/>
      <c r="L57" s="157"/>
      <c r="M57" s="158"/>
    </row>
    <row r="58">
      <c r="C58" s="104"/>
      <c r="K58" s="157"/>
      <c r="L58" s="157"/>
      <c r="M58" s="158"/>
    </row>
    <row r="59">
      <c r="C59" s="104"/>
      <c r="K59" s="157"/>
      <c r="L59" s="157"/>
      <c r="M59" s="158"/>
    </row>
    <row r="60">
      <c r="C60" s="104"/>
      <c r="K60" s="157"/>
      <c r="L60" s="157"/>
      <c r="M60" s="158"/>
    </row>
    <row r="61">
      <c r="C61" s="104"/>
      <c r="K61" s="157"/>
      <c r="L61" s="157"/>
      <c r="M61" s="158"/>
    </row>
    <row r="62">
      <c r="C62" s="104"/>
      <c r="K62" s="157"/>
      <c r="L62" s="157"/>
      <c r="M62" s="158"/>
    </row>
    <row r="63">
      <c r="C63" s="104"/>
      <c r="K63" s="157"/>
      <c r="L63" s="157"/>
      <c r="M63" s="158"/>
    </row>
    <row r="64">
      <c r="C64" s="104"/>
      <c r="K64" s="157"/>
      <c r="L64" s="157"/>
      <c r="M64" s="158"/>
    </row>
    <row r="65">
      <c r="C65" s="104"/>
      <c r="K65" s="157"/>
      <c r="L65" s="157"/>
      <c r="M65" s="158"/>
    </row>
    <row r="66">
      <c r="C66" s="104"/>
      <c r="K66" s="157"/>
      <c r="L66" s="157"/>
      <c r="M66" s="158"/>
    </row>
    <row r="67">
      <c r="C67" s="104"/>
      <c r="K67" s="157"/>
      <c r="L67" s="157"/>
      <c r="M67" s="158"/>
    </row>
    <row r="68">
      <c r="C68" s="104"/>
      <c r="K68" s="157"/>
      <c r="L68" s="157"/>
      <c r="M68" s="158"/>
    </row>
    <row r="69">
      <c r="C69" s="104"/>
      <c r="K69" s="157"/>
      <c r="L69" s="157"/>
      <c r="M69" s="158"/>
    </row>
    <row r="70">
      <c r="C70" s="104"/>
      <c r="K70" s="157"/>
      <c r="L70" s="157"/>
      <c r="M70" s="158"/>
    </row>
    <row r="71">
      <c r="C71" s="104"/>
      <c r="K71" s="157"/>
      <c r="L71" s="157"/>
      <c r="M71" s="158"/>
    </row>
    <row r="72">
      <c r="C72" s="104"/>
      <c r="K72" s="157"/>
      <c r="L72" s="157"/>
      <c r="M72" s="158"/>
    </row>
    <row r="73">
      <c r="C73" s="104"/>
      <c r="K73" s="157"/>
      <c r="L73" s="157"/>
      <c r="M73" s="158"/>
    </row>
    <row r="74">
      <c r="C74" s="104"/>
      <c r="K74" s="157"/>
      <c r="L74" s="157"/>
      <c r="M74" s="158"/>
    </row>
    <row r="75">
      <c r="C75" s="104"/>
      <c r="K75" s="157"/>
      <c r="L75" s="157"/>
      <c r="M75" s="158"/>
    </row>
    <row r="76">
      <c r="C76" s="104"/>
      <c r="K76" s="157"/>
      <c r="L76" s="157"/>
      <c r="M76" s="158"/>
    </row>
    <row r="77">
      <c r="C77" s="104"/>
      <c r="K77" s="157"/>
      <c r="L77" s="157"/>
      <c r="M77" s="158"/>
    </row>
    <row r="78">
      <c r="C78" s="104"/>
      <c r="K78" s="157"/>
      <c r="L78" s="157"/>
      <c r="M78" s="158"/>
    </row>
    <row r="79">
      <c r="C79" s="104"/>
      <c r="K79" s="157"/>
      <c r="L79" s="157"/>
      <c r="M79" s="158"/>
    </row>
    <row r="80">
      <c r="C80" s="104"/>
      <c r="K80" s="157"/>
      <c r="L80" s="157"/>
      <c r="M80" s="158"/>
    </row>
    <row r="81">
      <c r="C81" s="104"/>
      <c r="K81" s="157"/>
      <c r="L81" s="157"/>
      <c r="M81" s="158"/>
    </row>
    <row r="82">
      <c r="C82" s="104"/>
      <c r="K82" s="157"/>
      <c r="L82" s="157"/>
      <c r="M82" s="158"/>
    </row>
    <row r="83">
      <c r="C83" s="104"/>
      <c r="K83" s="157"/>
      <c r="L83" s="157"/>
      <c r="M83" s="158"/>
    </row>
    <row r="84">
      <c r="C84" s="104"/>
      <c r="K84" s="157"/>
      <c r="L84" s="157"/>
      <c r="M84" s="158"/>
    </row>
    <row r="85">
      <c r="C85" s="104"/>
      <c r="K85" s="157"/>
      <c r="L85" s="157"/>
      <c r="M85" s="158"/>
    </row>
    <row r="86">
      <c r="C86" s="104"/>
      <c r="K86" s="157"/>
      <c r="L86" s="157"/>
      <c r="M86" s="158"/>
    </row>
    <row r="87">
      <c r="C87" s="104"/>
      <c r="K87" s="157"/>
      <c r="L87" s="157"/>
      <c r="M87" s="158"/>
    </row>
    <row r="88">
      <c r="C88" s="104"/>
      <c r="K88" s="157"/>
      <c r="L88" s="157"/>
      <c r="M88" s="158"/>
    </row>
    <row r="89">
      <c r="C89" s="104"/>
      <c r="K89" s="157"/>
      <c r="L89" s="157"/>
      <c r="M89" s="158"/>
    </row>
    <row r="90">
      <c r="C90" s="104"/>
      <c r="K90" s="157"/>
      <c r="L90" s="157"/>
      <c r="M90" s="158"/>
    </row>
    <row r="91">
      <c r="C91" s="104"/>
      <c r="K91" s="157"/>
      <c r="L91" s="157"/>
      <c r="M91" s="158"/>
    </row>
    <row r="92">
      <c r="C92" s="104"/>
      <c r="K92" s="157"/>
      <c r="L92" s="157"/>
      <c r="M92" s="158"/>
    </row>
    <row r="93">
      <c r="C93" s="104"/>
      <c r="K93" s="157"/>
      <c r="L93" s="157"/>
      <c r="M93" s="158"/>
    </row>
    <row r="94">
      <c r="C94" s="104"/>
      <c r="K94" s="157"/>
      <c r="L94" s="157"/>
      <c r="M94" s="158"/>
    </row>
    <row r="95">
      <c r="C95" s="104"/>
      <c r="K95" s="157"/>
      <c r="L95" s="157"/>
      <c r="M95" s="158"/>
    </row>
    <row r="96">
      <c r="C96" s="104"/>
      <c r="K96" s="157"/>
      <c r="L96" s="157"/>
      <c r="M96" s="158"/>
    </row>
    <row r="97">
      <c r="C97" s="104"/>
      <c r="K97" s="157"/>
      <c r="L97" s="157"/>
      <c r="M97" s="158"/>
    </row>
    <row r="98">
      <c r="C98" s="104"/>
      <c r="K98" s="157"/>
      <c r="L98" s="157"/>
      <c r="M98" s="158"/>
    </row>
    <row r="99">
      <c r="C99" s="104"/>
      <c r="K99" s="157"/>
      <c r="L99" s="157"/>
      <c r="M99" s="158"/>
    </row>
    <row r="100">
      <c r="C100" s="104"/>
      <c r="M100" s="158"/>
    </row>
    <row r="101">
      <c r="C101" s="104"/>
      <c r="M101" s="158"/>
    </row>
    <row r="102">
      <c r="C102" s="104"/>
      <c r="M102" s="158"/>
    </row>
    <row r="103">
      <c r="C103" s="104"/>
      <c r="M103" s="158"/>
    </row>
    <row r="104">
      <c r="C104" s="104"/>
      <c r="M104" s="158"/>
    </row>
    <row r="105">
      <c r="C105" s="104"/>
      <c r="M105" s="158"/>
    </row>
    <row r="106">
      <c r="C106" s="104"/>
      <c r="M106" s="158"/>
    </row>
    <row r="107">
      <c r="C107" s="104"/>
      <c r="M107" s="158"/>
    </row>
    <row r="108">
      <c r="C108" s="104"/>
      <c r="M108" s="158"/>
    </row>
    <row r="109">
      <c r="C109" s="104"/>
      <c r="M109" s="158"/>
    </row>
    <row r="110">
      <c r="C110" s="104"/>
      <c r="M110" s="158"/>
    </row>
    <row r="111">
      <c r="C111" s="104"/>
      <c r="M111" s="158"/>
    </row>
    <row r="112">
      <c r="C112" s="104"/>
      <c r="M112" s="158"/>
    </row>
    <row r="113">
      <c r="C113" s="104"/>
      <c r="M113" s="158"/>
    </row>
    <row r="114">
      <c r="C114" s="104"/>
      <c r="M114" s="158"/>
    </row>
    <row r="115">
      <c r="C115" s="104"/>
      <c r="M115" s="158"/>
    </row>
    <row r="116">
      <c r="C116" s="104"/>
      <c r="M116" s="158"/>
    </row>
    <row r="117">
      <c r="C117" s="104"/>
      <c r="M117" s="158"/>
    </row>
    <row r="118">
      <c r="C118" s="104"/>
      <c r="M118" s="158"/>
    </row>
    <row r="119">
      <c r="C119" s="104"/>
      <c r="M119" s="158"/>
    </row>
    <row r="120">
      <c r="C120" s="104"/>
      <c r="M120" s="158"/>
    </row>
    <row r="121">
      <c r="C121" s="104"/>
      <c r="M121" s="158"/>
    </row>
    <row r="122">
      <c r="C122" s="104"/>
      <c r="M122" s="158"/>
    </row>
    <row r="123">
      <c r="C123" s="104"/>
      <c r="M123" s="158"/>
    </row>
    <row r="124">
      <c r="C124" s="104"/>
      <c r="M124" s="158"/>
    </row>
    <row r="125">
      <c r="C125" s="104"/>
      <c r="M125" s="158"/>
    </row>
    <row r="126">
      <c r="C126" s="104"/>
      <c r="M126" s="158"/>
    </row>
    <row r="127">
      <c r="C127" s="104"/>
      <c r="M127" s="158"/>
    </row>
    <row r="128">
      <c r="C128" s="104"/>
      <c r="M128" s="158"/>
    </row>
    <row r="129">
      <c r="C129" s="104"/>
      <c r="M129" s="158"/>
    </row>
    <row r="130">
      <c r="C130" s="104"/>
      <c r="M130" s="158"/>
    </row>
    <row r="131">
      <c r="C131" s="104"/>
      <c r="M131" s="158"/>
    </row>
    <row r="132">
      <c r="C132" s="104"/>
      <c r="M132" s="158"/>
    </row>
    <row r="133">
      <c r="C133" s="104"/>
      <c r="M133" s="158"/>
    </row>
    <row r="134">
      <c r="C134" s="104"/>
      <c r="M134" s="158"/>
    </row>
    <row r="135">
      <c r="C135" s="104"/>
      <c r="M135" s="158"/>
    </row>
    <row r="136">
      <c r="C136" s="104"/>
      <c r="M136" s="158"/>
    </row>
    <row r="137">
      <c r="C137" s="104"/>
      <c r="M137" s="158"/>
    </row>
    <row r="138">
      <c r="C138" s="104"/>
      <c r="M138" s="158"/>
    </row>
    <row r="139">
      <c r="C139" s="104"/>
      <c r="M139" s="158"/>
    </row>
    <row r="140">
      <c r="C140" s="104"/>
      <c r="M140" s="158"/>
    </row>
    <row r="141">
      <c r="C141" s="104"/>
      <c r="M141" s="158"/>
    </row>
    <row r="142">
      <c r="C142" s="104"/>
      <c r="M142" s="158"/>
    </row>
    <row r="143">
      <c r="C143" s="104"/>
      <c r="M143" s="158"/>
    </row>
    <row r="144">
      <c r="C144" s="104"/>
      <c r="M144" s="158"/>
    </row>
    <row r="145">
      <c r="C145" s="104"/>
      <c r="M145" s="158"/>
    </row>
    <row r="146">
      <c r="C146" s="104"/>
      <c r="M146" s="158"/>
    </row>
    <row r="147">
      <c r="C147" s="104"/>
      <c r="M147" s="158"/>
    </row>
    <row r="148">
      <c r="C148" s="104"/>
      <c r="M148" s="158"/>
    </row>
    <row r="149">
      <c r="C149" s="104"/>
      <c r="M149" s="158"/>
    </row>
    <row r="150">
      <c r="C150" s="104"/>
      <c r="M150" s="158"/>
    </row>
    <row r="151">
      <c r="C151" s="104"/>
      <c r="M151" s="158"/>
    </row>
    <row r="152">
      <c r="C152" s="104"/>
      <c r="M152" s="158"/>
    </row>
    <row r="153">
      <c r="C153" s="104"/>
      <c r="M153" s="158"/>
    </row>
    <row r="154">
      <c r="C154" s="104"/>
      <c r="M154" s="158"/>
    </row>
    <row r="155">
      <c r="C155" s="104"/>
      <c r="M155" s="158"/>
    </row>
    <row r="156">
      <c r="C156" s="104"/>
      <c r="M156" s="158"/>
    </row>
    <row r="157">
      <c r="C157" s="104"/>
      <c r="M157" s="158"/>
    </row>
    <row r="158">
      <c r="C158" s="104"/>
      <c r="M158" s="158"/>
    </row>
    <row r="159">
      <c r="C159" s="104"/>
      <c r="M159" s="158"/>
    </row>
    <row r="160">
      <c r="C160" s="104"/>
      <c r="M160" s="158"/>
    </row>
    <row r="161">
      <c r="C161" s="104"/>
      <c r="M161" s="158"/>
    </row>
    <row r="162">
      <c r="C162" s="104"/>
      <c r="M162" s="158"/>
    </row>
    <row r="163">
      <c r="C163" s="104"/>
      <c r="M163" s="158"/>
    </row>
    <row r="164">
      <c r="C164" s="104"/>
      <c r="M164" s="158"/>
    </row>
    <row r="165">
      <c r="C165" s="104"/>
      <c r="M165" s="158"/>
    </row>
    <row r="166">
      <c r="C166" s="104"/>
      <c r="M166" s="158"/>
    </row>
    <row r="167">
      <c r="C167" s="104"/>
      <c r="M167" s="158"/>
    </row>
    <row r="168">
      <c r="C168" s="104"/>
      <c r="M168" s="158"/>
    </row>
    <row r="169">
      <c r="C169" s="104"/>
      <c r="M169" s="158"/>
    </row>
    <row r="170">
      <c r="C170" s="104"/>
      <c r="M170" s="158"/>
    </row>
    <row r="171">
      <c r="C171" s="104"/>
      <c r="M171" s="158"/>
    </row>
    <row r="172">
      <c r="C172" s="104"/>
      <c r="M172" s="158"/>
    </row>
    <row r="173">
      <c r="C173" s="104"/>
      <c r="M173" s="158"/>
    </row>
    <row r="174">
      <c r="C174" s="104"/>
      <c r="M174" s="158"/>
    </row>
    <row r="175">
      <c r="C175" s="104"/>
      <c r="M175" s="158"/>
    </row>
    <row r="176">
      <c r="C176" s="104"/>
      <c r="M176" s="158"/>
    </row>
    <row r="177">
      <c r="C177" s="104"/>
      <c r="M177" s="158"/>
    </row>
    <row r="178">
      <c r="C178" s="104"/>
      <c r="M178" s="158"/>
    </row>
    <row r="179">
      <c r="C179" s="104"/>
      <c r="M179" s="158"/>
    </row>
    <row r="180">
      <c r="C180" s="104"/>
      <c r="M180" s="158"/>
    </row>
    <row r="181">
      <c r="C181" s="104"/>
      <c r="M181" s="158"/>
    </row>
    <row r="182">
      <c r="C182" s="104"/>
      <c r="M182" s="158"/>
    </row>
    <row r="183">
      <c r="C183" s="104"/>
      <c r="M183" s="158"/>
    </row>
    <row r="184">
      <c r="C184" s="104"/>
      <c r="M184" s="158"/>
    </row>
    <row r="185">
      <c r="C185" s="104"/>
      <c r="M185" s="158"/>
    </row>
    <row r="186">
      <c r="C186" s="104"/>
      <c r="M186" s="158"/>
    </row>
    <row r="187">
      <c r="C187" s="104"/>
      <c r="M187" s="158"/>
    </row>
    <row r="188">
      <c r="C188" s="104"/>
      <c r="M188" s="158"/>
    </row>
    <row r="189">
      <c r="C189" s="104"/>
      <c r="M189" s="158"/>
    </row>
    <row r="190">
      <c r="C190" s="104"/>
      <c r="M190" s="158"/>
    </row>
    <row r="191">
      <c r="C191" s="104"/>
      <c r="M191" s="158"/>
    </row>
    <row r="192">
      <c r="C192" s="104"/>
      <c r="M192" s="158"/>
    </row>
    <row r="193">
      <c r="C193" s="104"/>
      <c r="M193" s="158"/>
    </row>
    <row r="194">
      <c r="C194" s="104"/>
      <c r="M194" s="158"/>
    </row>
    <row r="195">
      <c r="C195" s="104"/>
      <c r="M195" s="158"/>
    </row>
    <row r="196">
      <c r="C196" s="104"/>
      <c r="M196" s="158"/>
    </row>
    <row r="197">
      <c r="C197" s="104"/>
      <c r="M197" s="158"/>
    </row>
    <row r="198">
      <c r="C198" s="104"/>
      <c r="M198" s="158"/>
    </row>
    <row r="199">
      <c r="C199" s="104"/>
      <c r="M199" s="158"/>
    </row>
    <row r="200">
      <c r="C200" s="104"/>
      <c r="M200" s="158"/>
    </row>
    <row r="201">
      <c r="C201" s="104"/>
      <c r="M201" s="158"/>
    </row>
    <row r="202">
      <c r="C202" s="104"/>
      <c r="M202" s="158"/>
    </row>
    <row r="203">
      <c r="C203" s="104"/>
      <c r="M203" s="158"/>
    </row>
    <row r="204">
      <c r="C204" s="104"/>
      <c r="M204" s="158"/>
    </row>
    <row r="205">
      <c r="C205" s="104"/>
      <c r="M205" s="158"/>
    </row>
    <row r="206">
      <c r="C206" s="104"/>
      <c r="M206" s="158"/>
    </row>
    <row r="207">
      <c r="C207" s="104"/>
      <c r="M207" s="158"/>
    </row>
    <row r="208">
      <c r="C208" s="104"/>
      <c r="M208" s="158"/>
    </row>
    <row r="209">
      <c r="C209" s="104"/>
      <c r="M209" s="158"/>
    </row>
    <row r="210">
      <c r="C210" s="104"/>
      <c r="M210" s="158"/>
    </row>
    <row r="211">
      <c r="C211" s="104"/>
      <c r="M211" s="158"/>
    </row>
    <row r="212">
      <c r="C212" s="104"/>
      <c r="M212" s="158"/>
    </row>
    <row r="213">
      <c r="C213" s="104"/>
      <c r="M213" s="158"/>
    </row>
    <row r="214">
      <c r="C214" s="104"/>
      <c r="M214" s="158"/>
    </row>
    <row r="215">
      <c r="C215" s="104"/>
      <c r="M215" s="158"/>
    </row>
    <row r="216">
      <c r="C216" s="104"/>
      <c r="M216" s="158"/>
    </row>
    <row r="217">
      <c r="C217" s="104"/>
      <c r="M217" s="158"/>
    </row>
    <row r="218">
      <c r="C218" s="104"/>
      <c r="M218" s="158"/>
    </row>
    <row r="219">
      <c r="C219" s="104"/>
      <c r="M219" s="158"/>
    </row>
    <row r="220">
      <c r="C220" s="104"/>
      <c r="M220" s="158"/>
    </row>
    <row r="221">
      <c r="C221" s="104"/>
      <c r="M221" s="158"/>
    </row>
    <row r="222">
      <c r="C222" s="104"/>
      <c r="M222" s="158"/>
    </row>
    <row r="223">
      <c r="C223" s="104"/>
      <c r="M223" s="158"/>
    </row>
    <row r="224">
      <c r="C224" s="104"/>
      <c r="M224" s="158"/>
    </row>
    <row r="225">
      <c r="C225" s="104"/>
      <c r="M225" s="158"/>
    </row>
    <row r="226">
      <c r="C226" s="104"/>
      <c r="M226" s="158"/>
    </row>
    <row r="227">
      <c r="C227" s="104"/>
      <c r="M227" s="158"/>
    </row>
    <row r="228">
      <c r="C228" s="104"/>
      <c r="M228" s="158"/>
    </row>
    <row r="229">
      <c r="C229" s="104"/>
      <c r="M229" s="158"/>
    </row>
    <row r="230">
      <c r="C230" s="104"/>
      <c r="M230" s="158"/>
    </row>
    <row r="231">
      <c r="C231" s="104"/>
      <c r="M231" s="158"/>
    </row>
    <row r="232">
      <c r="C232" s="104"/>
      <c r="M232" s="158"/>
    </row>
    <row r="233">
      <c r="C233" s="104"/>
      <c r="M233" s="158"/>
    </row>
    <row r="234">
      <c r="C234" s="104"/>
      <c r="M234" s="158"/>
    </row>
    <row r="235">
      <c r="C235" s="104"/>
      <c r="M235" s="158"/>
    </row>
    <row r="236">
      <c r="C236" s="104"/>
      <c r="M236" s="158"/>
    </row>
    <row r="237">
      <c r="C237" s="104"/>
      <c r="M237" s="158"/>
    </row>
    <row r="238">
      <c r="C238" s="104"/>
      <c r="M238" s="158"/>
    </row>
    <row r="239">
      <c r="C239" s="104"/>
      <c r="M239" s="158"/>
    </row>
    <row r="240">
      <c r="C240" s="104"/>
      <c r="M240" s="158"/>
    </row>
    <row r="241">
      <c r="C241" s="104"/>
      <c r="M241" s="158"/>
    </row>
    <row r="242">
      <c r="C242" s="104"/>
      <c r="M242" s="158"/>
    </row>
    <row r="243">
      <c r="C243" s="104"/>
      <c r="M243" s="158"/>
    </row>
    <row r="244">
      <c r="C244" s="104"/>
      <c r="M244" s="158"/>
    </row>
    <row r="245">
      <c r="C245" s="104"/>
      <c r="M245" s="158"/>
    </row>
    <row r="246">
      <c r="C246" s="104"/>
      <c r="M246" s="158"/>
    </row>
    <row r="247">
      <c r="C247" s="104"/>
      <c r="M247" s="158"/>
    </row>
    <row r="248">
      <c r="C248" s="104"/>
      <c r="M248" s="158"/>
    </row>
    <row r="249">
      <c r="C249" s="104"/>
      <c r="M249" s="158"/>
    </row>
    <row r="250">
      <c r="C250" s="104"/>
      <c r="M250" s="158"/>
    </row>
    <row r="251">
      <c r="C251" s="104"/>
      <c r="M251" s="158"/>
    </row>
    <row r="252">
      <c r="C252" s="104"/>
      <c r="M252" s="158"/>
    </row>
    <row r="253">
      <c r="C253" s="104"/>
      <c r="M253" s="158"/>
    </row>
    <row r="254">
      <c r="C254" s="104"/>
      <c r="M254" s="158"/>
    </row>
    <row r="255">
      <c r="C255" s="104"/>
      <c r="M255" s="158"/>
    </row>
    <row r="256">
      <c r="C256" s="104"/>
      <c r="M256" s="158"/>
    </row>
    <row r="257">
      <c r="C257" s="104"/>
      <c r="M257" s="158"/>
    </row>
    <row r="258">
      <c r="C258" s="104"/>
      <c r="M258" s="158"/>
    </row>
    <row r="259">
      <c r="C259" s="104"/>
      <c r="M259" s="158"/>
    </row>
    <row r="260">
      <c r="C260" s="104"/>
      <c r="M260" s="158"/>
    </row>
    <row r="261">
      <c r="C261" s="104"/>
      <c r="M261" s="158"/>
    </row>
    <row r="262">
      <c r="C262" s="104"/>
      <c r="M262" s="158"/>
    </row>
    <row r="263">
      <c r="C263" s="104"/>
      <c r="M263" s="158"/>
    </row>
    <row r="264">
      <c r="C264" s="104"/>
      <c r="M264" s="158"/>
    </row>
    <row r="265">
      <c r="C265" s="104"/>
      <c r="M265" s="158"/>
    </row>
    <row r="266">
      <c r="C266" s="104"/>
      <c r="M266" s="158"/>
    </row>
    <row r="267">
      <c r="C267" s="104"/>
      <c r="M267" s="158"/>
    </row>
    <row r="268">
      <c r="C268" s="104"/>
      <c r="M268" s="158"/>
    </row>
    <row r="269">
      <c r="C269" s="104"/>
      <c r="M269" s="158"/>
    </row>
    <row r="270">
      <c r="C270" s="104"/>
      <c r="M270" s="158"/>
    </row>
    <row r="271">
      <c r="C271" s="104"/>
      <c r="M271" s="158"/>
    </row>
    <row r="272">
      <c r="C272" s="104"/>
      <c r="M272" s="158"/>
    </row>
    <row r="273">
      <c r="C273" s="104"/>
      <c r="M273" s="158"/>
    </row>
    <row r="274">
      <c r="C274" s="104"/>
      <c r="M274" s="158"/>
    </row>
    <row r="275">
      <c r="C275" s="104"/>
      <c r="M275" s="158"/>
    </row>
    <row r="276">
      <c r="C276" s="104"/>
      <c r="M276" s="158"/>
    </row>
    <row r="277">
      <c r="C277" s="104"/>
      <c r="M277" s="158"/>
    </row>
    <row r="278">
      <c r="C278" s="104"/>
      <c r="M278" s="158"/>
    </row>
    <row r="279">
      <c r="C279" s="104"/>
      <c r="M279" s="158"/>
    </row>
    <row r="280">
      <c r="C280" s="104"/>
      <c r="M280" s="158"/>
    </row>
    <row r="281">
      <c r="C281" s="104"/>
      <c r="M281" s="158"/>
    </row>
    <row r="282">
      <c r="C282" s="104"/>
      <c r="M282" s="158"/>
    </row>
    <row r="283">
      <c r="C283" s="104"/>
      <c r="M283" s="158"/>
    </row>
    <row r="284">
      <c r="C284" s="104"/>
      <c r="M284" s="158"/>
    </row>
    <row r="285">
      <c r="C285" s="104"/>
      <c r="M285" s="158"/>
    </row>
    <row r="286">
      <c r="C286" s="104"/>
      <c r="M286" s="158"/>
    </row>
    <row r="287">
      <c r="C287" s="104"/>
      <c r="M287" s="158"/>
    </row>
    <row r="288">
      <c r="C288" s="104"/>
      <c r="M288" s="158"/>
    </row>
    <row r="289">
      <c r="C289" s="104"/>
      <c r="M289" s="158"/>
    </row>
    <row r="290">
      <c r="C290" s="104"/>
      <c r="M290" s="158"/>
    </row>
    <row r="291">
      <c r="C291" s="104"/>
      <c r="M291" s="158"/>
    </row>
    <row r="292">
      <c r="C292" s="104"/>
      <c r="M292" s="158"/>
    </row>
    <row r="293">
      <c r="C293" s="104"/>
      <c r="M293" s="158"/>
    </row>
    <row r="294">
      <c r="C294" s="104"/>
      <c r="M294" s="158"/>
    </row>
    <row r="295">
      <c r="C295" s="104"/>
      <c r="M295" s="158"/>
    </row>
    <row r="296">
      <c r="C296" s="104"/>
      <c r="M296" s="158"/>
    </row>
    <row r="297">
      <c r="C297" s="104"/>
      <c r="M297" s="158"/>
    </row>
    <row r="298">
      <c r="C298" s="104"/>
      <c r="M298" s="158"/>
    </row>
    <row r="299">
      <c r="C299" s="104"/>
      <c r="M299" s="158"/>
    </row>
    <row r="300">
      <c r="C300" s="104"/>
      <c r="M300" s="158"/>
    </row>
    <row r="301">
      <c r="C301" s="104"/>
      <c r="M301" s="158"/>
    </row>
    <row r="302">
      <c r="C302" s="104"/>
      <c r="M302" s="158"/>
    </row>
    <row r="303">
      <c r="C303" s="104"/>
      <c r="M303" s="158"/>
    </row>
    <row r="304">
      <c r="C304" s="104"/>
      <c r="M304" s="158"/>
    </row>
    <row r="305">
      <c r="C305" s="104"/>
      <c r="M305" s="158"/>
    </row>
    <row r="306">
      <c r="C306" s="104"/>
      <c r="M306" s="158"/>
    </row>
    <row r="307">
      <c r="C307" s="104"/>
      <c r="M307" s="158"/>
    </row>
    <row r="308">
      <c r="C308" s="104"/>
      <c r="M308" s="158"/>
    </row>
    <row r="309">
      <c r="C309" s="104"/>
      <c r="M309" s="158"/>
    </row>
    <row r="310">
      <c r="C310" s="104"/>
      <c r="M310" s="158"/>
    </row>
    <row r="311">
      <c r="C311" s="104"/>
      <c r="M311" s="158"/>
    </row>
    <row r="312">
      <c r="C312" s="104"/>
      <c r="M312" s="158"/>
    </row>
    <row r="313">
      <c r="C313" s="104"/>
      <c r="M313" s="158"/>
    </row>
    <row r="314">
      <c r="C314" s="104"/>
      <c r="M314" s="158"/>
    </row>
    <row r="315">
      <c r="C315" s="104"/>
      <c r="M315" s="158"/>
    </row>
    <row r="316">
      <c r="C316" s="104"/>
      <c r="M316" s="158"/>
    </row>
    <row r="317">
      <c r="C317" s="104"/>
      <c r="M317" s="158"/>
    </row>
    <row r="318">
      <c r="C318" s="104"/>
      <c r="M318" s="158"/>
    </row>
    <row r="319">
      <c r="C319" s="104"/>
      <c r="M319" s="158"/>
    </row>
    <row r="320">
      <c r="C320" s="104"/>
      <c r="M320" s="158"/>
    </row>
    <row r="321">
      <c r="C321" s="104"/>
      <c r="M321" s="158"/>
    </row>
    <row r="322">
      <c r="C322" s="104"/>
      <c r="M322" s="158"/>
    </row>
    <row r="323">
      <c r="C323" s="104"/>
      <c r="M323" s="158"/>
    </row>
    <row r="324">
      <c r="C324" s="104"/>
      <c r="M324" s="158"/>
    </row>
    <row r="325">
      <c r="C325" s="104"/>
      <c r="M325" s="158"/>
    </row>
    <row r="326">
      <c r="C326" s="104"/>
      <c r="M326" s="158"/>
    </row>
    <row r="327">
      <c r="C327" s="104"/>
      <c r="M327" s="158"/>
    </row>
    <row r="328">
      <c r="C328" s="104"/>
      <c r="M328" s="158"/>
    </row>
    <row r="329">
      <c r="C329" s="104"/>
      <c r="M329" s="158"/>
    </row>
    <row r="330">
      <c r="C330" s="104"/>
      <c r="M330" s="158"/>
    </row>
    <row r="331">
      <c r="C331" s="104"/>
      <c r="M331" s="158"/>
    </row>
    <row r="332">
      <c r="C332" s="104"/>
      <c r="M332" s="158"/>
    </row>
    <row r="333">
      <c r="C333" s="104"/>
      <c r="M333" s="158"/>
    </row>
    <row r="334">
      <c r="C334" s="104"/>
      <c r="M334" s="158"/>
    </row>
    <row r="335">
      <c r="C335" s="104"/>
      <c r="M335" s="158"/>
    </row>
    <row r="336">
      <c r="C336" s="104"/>
      <c r="M336" s="158"/>
    </row>
    <row r="337">
      <c r="C337" s="104"/>
      <c r="M337" s="158"/>
    </row>
    <row r="338">
      <c r="C338" s="104"/>
      <c r="M338" s="158"/>
    </row>
    <row r="339">
      <c r="C339" s="104"/>
      <c r="M339" s="158"/>
    </row>
    <row r="340">
      <c r="C340" s="104"/>
      <c r="M340" s="158"/>
    </row>
    <row r="341">
      <c r="C341" s="104"/>
      <c r="M341" s="158"/>
    </row>
    <row r="342">
      <c r="C342" s="104"/>
      <c r="M342" s="158"/>
    </row>
    <row r="343">
      <c r="C343" s="104"/>
      <c r="M343" s="158"/>
    </row>
    <row r="344">
      <c r="C344" s="104"/>
      <c r="M344" s="158"/>
    </row>
    <row r="345">
      <c r="C345" s="104"/>
      <c r="M345" s="158"/>
    </row>
    <row r="346">
      <c r="C346" s="104"/>
      <c r="M346" s="158"/>
    </row>
    <row r="347">
      <c r="C347" s="104"/>
      <c r="M347" s="158"/>
    </row>
    <row r="348">
      <c r="C348" s="104"/>
      <c r="M348" s="158"/>
    </row>
    <row r="349">
      <c r="C349" s="104"/>
      <c r="M349" s="158"/>
    </row>
    <row r="350">
      <c r="C350" s="104"/>
      <c r="M350" s="158"/>
    </row>
    <row r="351">
      <c r="C351" s="104"/>
      <c r="M351" s="158"/>
    </row>
    <row r="352">
      <c r="C352" s="104"/>
      <c r="M352" s="158"/>
    </row>
    <row r="353">
      <c r="C353" s="104"/>
      <c r="M353" s="158"/>
    </row>
    <row r="354">
      <c r="C354" s="104"/>
      <c r="M354" s="158"/>
    </row>
    <row r="355">
      <c r="C355" s="104"/>
      <c r="M355" s="158"/>
    </row>
    <row r="356">
      <c r="C356" s="104"/>
      <c r="M356" s="158"/>
    </row>
    <row r="357">
      <c r="C357" s="104"/>
      <c r="M357" s="158"/>
    </row>
    <row r="358">
      <c r="C358" s="104"/>
      <c r="M358" s="158"/>
    </row>
    <row r="359">
      <c r="C359" s="104"/>
      <c r="M359" s="158"/>
    </row>
    <row r="360">
      <c r="C360" s="104"/>
      <c r="M360" s="158"/>
    </row>
    <row r="361">
      <c r="C361" s="104"/>
      <c r="M361" s="158"/>
    </row>
    <row r="362">
      <c r="C362" s="104"/>
      <c r="M362" s="158"/>
    </row>
    <row r="363">
      <c r="C363" s="104"/>
      <c r="M363" s="158"/>
    </row>
    <row r="364">
      <c r="C364" s="104"/>
      <c r="M364" s="158"/>
    </row>
    <row r="365">
      <c r="C365" s="104"/>
      <c r="M365" s="158"/>
    </row>
    <row r="366">
      <c r="C366" s="104"/>
      <c r="M366" s="158"/>
    </row>
    <row r="367">
      <c r="C367" s="104"/>
      <c r="M367" s="158"/>
    </row>
    <row r="368">
      <c r="C368" s="104"/>
      <c r="M368" s="158"/>
    </row>
    <row r="369">
      <c r="C369" s="104"/>
      <c r="M369" s="158"/>
    </row>
    <row r="370">
      <c r="C370" s="104"/>
      <c r="M370" s="158"/>
    </row>
    <row r="371">
      <c r="C371" s="104"/>
      <c r="M371" s="158"/>
    </row>
    <row r="372">
      <c r="C372" s="104"/>
      <c r="M372" s="158"/>
    </row>
    <row r="373">
      <c r="C373" s="104"/>
      <c r="M373" s="158"/>
    </row>
    <row r="374">
      <c r="C374" s="104"/>
      <c r="M374" s="158"/>
    </row>
    <row r="375">
      <c r="C375" s="104"/>
      <c r="M375" s="158"/>
    </row>
    <row r="376">
      <c r="C376" s="104"/>
      <c r="M376" s="158"/>
    </row>
    <row r="377">
      <c r="C377" s="104"/>
      <c r="M377" s="158"/>
    </row>
    <row r="378">
      <c r="C378" s="104"/>
      <c r="M378" s="158"/>
    </row>
    <row r="379">
      <c r="C379" s="104"/>
      <c r="M379" s="158"/>
    </row>
    <row r="380">
      <c r="C380" s="104"/>
      <c r="M380" s="158"/>
    </row>
    <row r="381">
      <c r="C381" s="104"/>
      <c r="M381" s="158"/>
    </row>
    <row r="382">
      <c r="C382" s="104"/>
      <c r="M382" s="158"/>
    </row>
    <row r="383">
      <c r="C383" s="104"/>
      <c r="M383" s="158"/>
    </row>
    <row r="384">
      <c r="C384" s="104"/>
      <c r="M384" s="158"/>
    </row>
    <row r="385">
      <c r="C385" s="104"/>
      <c r="M385" s="158"/>
    </row>
    <row r="386">
      <c r="C386" s="104"/>
      <c r="M386" s="158"/>
    </row>
    <row r="387">
      <c r="C387" s="104"/>
      <c r="M387" s="158"/>
    </row>
    <row r="388">
      <c r="C388" s="104"/>
      <c r="M388" s="158"/>
    </row>
    <row r="389">
      <c r="C389" s="104"/>
      <c r="M389" s="158"/>
    </row>
    <row r="390">
      <c r="C390" s="104"/>
      <c r="M390" s="158"/>
    </row>
    <row r="391">
      <c r="C391" s="104"/>
      <c r="M391" s="158"/>
    </row>
    <row r="392">
      <c r="C392" s="104"/>
      <c r="M392" s="158"/>
    </row>
    <row r="393">
      <c r="C393" s="104"/>
      <c r="M393" s="158"/>
    </row>
    <row r="394">
      <c r="C394" s="104"/>
      <c r="M394" s="158"/>
    </row>
    <row r="395">
      <c r="C395" s="104"/>
      <c r="M395" s="158"/>
    </row>
    <row r="396">
      <c r="C396" s="104"/>
      <c r="M396" s="158"/>
    </row>
    <row r="397">
      <c r="C397" s="104"/>
      <c r="M397" s="158"/>
    </row>
    <row r="398">
      <c r="C398" s="104"/>
      <c r="M398" s="158"/>
    </row>
    <row r="399">
      <c r="C399" s="104"/>
      <c r="M399" s="158"/>
    </row>
    <row r="400">
      <c r="C400" s="104"/>
      <c r="M400" s="158"/>
    </row>
    <row r="401">
      <c r="C401" s="104"/>
      <c r="M401" s="158"/>
    </row>
    <row r="402">
      <c r="C402" s="104"/>
      <c r="M402" s="158"/>
    </row>
    <row r="403">
      <c r="C403" s="104"/>
      <c r="M403" s="158"/>
    </row>
    <row r="404">
      <c r="C404" s="104"/>
      <c r="M404" s="158"/>
    </row>
    <row r="405">
      <c r="C405" s="104"/>
      <c r="M405" s="158"/>
    </row>
    <row r="406">
      <c r="C406" s="104"/>
      <c r="M406" s="158"/>
    </row>
    <row r="407">
      <c r="C407" s="104"/>
      <c r="M407" s="158"/>
    </row>
    <row r="408">
      <c r="C408" s="104"/>
      <c r="M408" s="158"/>
    </row>
    <row r="409">
      <c r="C409" s="104"/>
      <c r="M409" s="158"/>
    </row>
    <row r="410">
      <c r="C410" s="104"/>
      <c r="M410" s="158"/>
    </row>
    <row r="411">
      <c r="C411" s="104"/>
      <c r="M411" s="158"/>
    </row>
    <row r="412">
      <c r="C412" s="104"/>
      <c r="M412" s="158"/>
    </row>
    <row r="413">
      <c r="C413" s="104"/>
      <c r="M413" s="158"/>
    </row>
    <row r="414">
      <c r="C414" s="104"/>
      <c r="M414" s="158"/>
    </row>
    <row r="415">
      <c r="C415" s="104"/>
      <c r="M415" s="158"/>
    </row>
    <row r="416">
      <c r="C416" s="104"/>
      <c r="M416" s="158"/>
    </row>
    <row r="417">
      <c r="C417" s="104"/>
      <c r="M417" s="158"/>
    </row>
    <row r="418">
      <c r="C418" s="104"/>
      <c r="M418" s="158"/>
    </row>
    <row r="419">
      <c r="C419" s="104"/>
      <c r="M419" s="158"/>
    </row>
    <row r="420">
      <c r="C420" s="104"/>
      <c r="M420" s="158"/>
    </row>
    <row r="421">
      <c r="C421" s="104"/>
      <c r="M421" s="158"/>
    </row>
    <row r="422">
      <c r="C422" s="104"/>
      <c r="M422" s="158"/>
    </row>
    <row r="423">
      <c r="C423" s="104"/>
      <c r="M423" s="158"/>
    </row>
    <row r="424">
      <c r="C424" s="104"/>
      <c r="M424" s="158"/>
    </row>
    <row r="425">
      <c r="C425" s="104"/>
      <c r="M425" s="158"/>
    </row>
    <row r="426">
      <c r="C426" s="104"/>
      <c r="M426" s="158"/>
    </row>
    <row r="427">
      <c r="C427" s="104"/>
      <c r="M427" s="158"/>
    </row>
    <row r="428">
      <c r="C428" s="104"/>
      <c r="M428" s="158"/>
    </row>
    <row r="429">
      <c r="C429" s="104"/>
      <c r="M429" s="158"/>
    </row>
    <row r="430">
      <c r="C430" s="104"/>
      <c r="M430" s="158"/>
    </row>
    <row r="431">
      <c r="C431" s="104"/>
      <c r="M431" s="158"/>
    </row>
    <row r="432">
      <c r="C432" s="104"/>
      <c r="M432" s="158"/>
    </row>
    <row r="433">
      <c r="C433" s="104"/>
      <c r="M433" s="158"/>
    </row>
    <row r="434">
      <c r="C434" s="104"/>
      <c r="M434" s="158"/>
    </row>
    <row r="435">
      <c r="C435" s="104"/>
      <c r="M435" s="158"/>
    </row>
    <row r="436">
      <c r="C436" s="104"/>
      <c r="M436" s="158"/>
    </row>
    <row r="437">
      <c r="C437" s="104"/>
      <c r="M437" s="158"/>
    </row>
    <row r="438">
      <c r="C438" s="104"/>
      <c r="M438" s="158"/>
    </row>
    <row r="439">
      <c r="C439" s="104"/>
      <c r="M439" s="158"/>
    </row>
    <row r="440">
      <c r="C440" s="104"/>
      <c r="M440" s="158"/>
    </row>
    <row r="441">
      <c r="C441" s="104"/>
      <c r="M441" s="158"/>
    </row>
    <row r="442">
      <c r="C442" s="104"/>
      <c r="M442" s="158"/>
    </row>
    <row r="443">
      <c r="C443" s="104"/>
      <c r="M443" s="158"/>
    </row>
    <row r="444">
      <c r="C444" s="104"/>
      <c r="M444" s="158"/>
    </row>
    <row r="445">
      <c r="C445" s="104"/>
      <c r="M445" s="158"/>
    </row>
    <row r="446">
      <c r="C446" s="104"/>
      <c r="M446" s="158"/>
    </row>
    <row r="447">
      <c r="C447" s="104"/>
      <c r="M447" s="158"/>
    </row>
    <row r="448">
      <c r="C448" s="104"/>
      <c r="M448" s="158"/>
    </row>
    <row r="449">
      <c r="C449" s="104"/>
      <c r="M449" s="158"/>
    </row>
    <row r="450">
      <c r="C450" s="104"/>
      <c r="M450" s="158"/>
    </row>
    <row r="451">
      <c r="C451" s="104"/>
      <c r="M451" s="158"/>
    </row>
    <row r="452">
      <c r="C452" s="104"/>
      <c r="M452" s="158"/>
    </row>
    <row r="453">
      <c r="C453" s="104"/>
      <c r="M453" s="158"/>
    </row>
    <row r="454">
      <c r="C454" s="104"/>
      <c r="M454" s="158"/>
    </row>
    <row r="455">
      <c r="C455" s="104"/>
      <c r="M455" s="158"/>
    </row>
    <row r="456">
      <c r="C456" s="104"/>
      <c r="M456" s="158"/>
    </row>
    <row r="457">
      <c r="C457" s="104"/>
      <c r="M457" s="158"/>
    </row>
    <row r="458">
      <c r="C458" s="104"/>
      <c r="M458" s="158"/>
    </row>
    <row r="459">
      <c r="C459" s="104"/>
      <c r="M459" s="158"/>
    </row>
    <row r="460">
      <c r="C460" s="104"/>
      <c r="M460" s="158"/>
    </row>
    <row r="461">
      <c r="C461" s="104"/>
      <c r="M461" s="158"/>
    </row>
    <row r="462">
      <c r="C462" s="104"/>
      <c r="M462" s="158"/>
    </row>
    <row r="463">
      <c r="C463" s="104"/>
      <c r="M463" s="158"/>
    </row>
    <row r="464">
      <c r="C464" s="104"/>
      <c r="M464" s="158"/>
    </row>
    <row r="465">
      <c r="C465" s="104"/>
      <c r="M465" s="158"/>
    </row>
    <row r="466">
      <c r="C466" s="104"/>
      <c r="M466" s="158"/>
    </row>
    <row r="467">
      <c r="C467" s="104"/>
      <c r="M467" s="158"/>
    </row>
    <row r="468">
      <c r="C468" s="104"/>
      <c r="M468" s="158"/>
    </row>
    <row r="469">
      <c r="C469" s="104"/>
      <c r="M469" s="158"/>
    </row>
    <row r="470">
      <c r="C470" s="104"/>
      <c r="M470" s="158"/>
    </row>
    <row r="471">
      <c r="C471" s="104"/>
      <c r="M471" s="158"/>
    </row>
    <row r="472">
      <c r="C472" s="104"/>
      <c r="M472" s="158"/>
    </row>
    <row r="473">
      <c r="C473" s="104"/>
      <c r="M473" s="158"/>
    </row>
    <row r="474">
      <c r="C474" s="104"/>
      <c r="M474" s="158"/>
    </row>
    <row r="475">
      <c r="C475" s="104"/>
      <c r="M475" s="158"/>
    </row>
    <row r="476">
      <c r="C476" s="104"/>
      <c r="M476" s="158"/>
    </row>
    <row r="477">
      <c r="C477" s="104"/>
      <c r="M477" s="158"/>
    </row>
    <row r="478">
      <c r="C478" s="104"/>
      <c r="M478" s="158"/>
    </row>
    <row r="479">
      <c r="C479" s="104"/>
      <c r="M479" s="158"/>
    </row>
    <row r="480">
      <c r="C480" s="104"/>
      <c r="M480" s="158"/>
    </row>
    <row r="481">
      <c r="C481" s="104"/>
      <c r="M481" s="158"/>
    </row>
    <row r="482">
      <c r="C482" s="104"/>
      <c r="M482" s="158"/>
    </row>
    <row r="483">
      <c r="C483" s="104"/>
      <c r="M483" s="158"/>
    </row>
    <row r="484">
      <c r="C484" s="104"/>
      <c r="M484" s="158"/>
    </row>
    <row r="485">
      <c r="C485" s="104"/>
      <c r="M485" s="158"/>
    </row>
    <row r="486">
      <c r="C486" s="104"/>
      <c r="M486" s="158"/>
    </row>
    <row r="487">
      <c r="C487" s="104"/>
      <c r="M487" s="158"/>
    </row>
    <row r="488">
      <c r="C488" s="104"/>
      <c r="M488" s="158"/>
    </row>
    <row r="489">
      <c r="C489" s="104"/>
      <c r="M489" s="158"/>
    </row>
    <row r="490">
      <c r="C490" s="104"/>
      <c r="M490" s="158"/>
    </row>
    <row r="491">
      <c r="C491" s="104"/>
      <c r="M491" s="158"/>
    </row>
    <row r="492">
      <c r="C492" s="104"/>
      <c r="M492" s="158"/>
    </row>
    <row r="493">
      <c r="C493" s="104"/>
      <c r="M493" s="158"/>
    </row>
    <row r="494">
      <c r="C494" s="104"/>
      <c r="M494" s="158"/>
    </row>
    <row r="495">
      <c r="C495" s="104"/>
      <c r="M495" s="158"/>
    </row>
    <row r="496">
      <c r="C496" s="104"/>
      <c r="M496" s="158"/>
    </row>
    <row r="497">
      <c r="C497" s="104"/>
      <c r="M497" s="158"/>
    </row>
    <row r="498">
      <c r="C498" s="104"/>
      <c r="M498" s="158"/>
    </row>
    <row r="499">
      <c r="C499" s="104"/>
      <c r="M499" s="158"/>
    </row>
    <row r="500">
      <c r="C500" s="104"/>
      <c r="M500" s="158"/>
    </row>
    <row r="501">
      <c r="C501" s="104"/>
      <c r="M501" s="158"/>
    </row>
    <row r="502">
      <c r="C502" s="104"/>
      <c r="M502" s="158"/>
    </row>
    <row r="503">
      <c r="C503" s="104"/>
      <c r="M503" s="158"/>
    </row>
    <row r="504">
      <c r="C504" s="104"/>
      <c r="M504" s="158"/>
    </row>
    <row r="505">
      <c r="C505" s="104"/>
      <c r="M505" s="158"/>
    </row>
    <row r="506">
      <c r="C506" s="104"/>
      <c r="M506" s="158"/>
    </row>
    <row r="507">
      <c r="C507" s="104"/>
      <c r="M507" s="158"/>
    </row>
    <row r="508">
      <c r="C508" s="104"/>
      <c r="M508" s="158"/>
    </row>
    <row r="509">
      <c r="C509" s="104"/>
      <c r="M509" s="158"/>
    </row>
    <row r="510">
      <c r="C510" s="104"/>
      <c r="M510" s="158"/>
    </row>
    <row r="511">
      <c r="C511" s="104"/>
      <c r="M511" s="158"/>
    </row>
    <row r="512">
      <c r="C512" s="104"/>
      <c r="M512" s="158"/>
    </row>
    <row r="513">
      <c r="C513" s="104"/>
      <c r="M513" s="158"/>
    </row>
    <row r="514">
      <c r="C514" s="104"/>
      <c r="M514" s="158"/>
    </row>
    <row r="515">
      <c r="C515" s="104"/>
      <c r="M515" s="158"/>
    </row>
    <row r="516">
      <c r="C516" s="104"/>
      <c r="M516" s="158"/>
    </row>
    <row r="517">
      <c r="C517" s="104"/>
      <c r="M517" s="158"/>
    </row>
    <row r="518">
      <c r="C518" s="104"/>
      <c r="M518" s="158"/>
    </row>
    <row r="519">
      <c r="C519" s="104"/>
      <c r="M519" s="158"/>
    </row>
    <row r="520">
      <c r="C520" s="104"/>
      <c r="M520" s="158"/>
    </row>
    <row r="521">
      <c r="C521" s="104"/>
      <c r="M521" s="158"/>
    </row>
    <row r="522">
      <c r="C522" s="104"/>
      <c r="M522" s="158"/>
    </row>
    <row r="523">
      <c r="C523" s="104"/>
      <c r="M523" s="158"/>
    </row>
    <row r="524">
      <c r="C524" s="104"/>
      <c r="M524" s="158"/>
    </row>
    <row r="525">
      <c r="C525" s="104"/>
      <c r="M525" s="158"/>
    </row>
    <row r="526">
      <c r="C526" s="104"/>
      <c r="M526" s="158"/>
    </row>
    <row r="527">
      <c r="C527" s="104"/>
      <c r="M527" s="158"/>
    </row>
    <row r="528">
      <c r="C528" s="104"/>
      <c r="M528" s="158"/>
    </row>
    <row r="529">
      <c r="C529" s="104"/>
      <c r="M529" s="158"/>
    </row>
    <row r="530">
      <c r="C530" s="104"/>
      <c r="M530" s="158"/>
    </row>
    <row r="531">
      <c r="C531" s="104"/>
      <c r="M531" s="158"/>
    </row>
    <row r="532">
      <c r="C532" s="104"/>
      <c r="M532" s="158"/>
    </row>
    <row r="533">
      <c r="C533" s="104"/>
      <c r="M533" s="158"/>
    </row>
    <row r="534">
      <c r="C534" s="104"/>
      <c r="M534" s="158"/>
    </row>
    <row r="535">
      <c r="C535" s="104"/>
      <c r="M535" s="158"/>
    </row>
    <row r="536">
      <c r="C536" s="104"/>
      <c r="M536" s="158"/>
    </row>
    <row r="537">
      <c r="C537" s="104"/>
      <c r="M537" s="158"/>
    </row>
    <row r="538">
      <c r="C538" s="104"/>
      <c r="M538" s="158"/>
    </row>
    <row r="539">
      <c r="C539" s="104"/>
      <c r="M539" s="158"/>
    </row>
    <row r="540">
      <c r="C540" s="104"/>
      <c r="M540" s="158"/>
    </row>
    <row r="541">
      <c r="C541" s="104"/>
      <c r="M541" s="158"/>
    </row>
    <row r="542">
      <c r="C542" s="104"/>
      <c r="M542" s="158"/>
    </row>
    <row r="543">
      <c r="C543" s="104"/>
      <c r="M543" s="158"/>
    </row>
    <row r="544">
      <c r="C544" s="104"/>
      <c r="M544" s="158"/>
    </row>
    <row r="545">
      <c r="C545" s="104"/>
      <c r="M545" s="158"/>
    </row>
    <row r="546">
      <c r="C546" s="104"/>
      <c r="M546" s="158"/>
    </row>
    <row r="547">
      <c r="C547" s="104"/>
      <c r="M547" s="158"/>
    </row>
    <row r="548">
      <c r="C548" s="104"/>
      <c r="M548" s="158"/>
    </row>
    <row r="549">
      <c r="C549" s="104"/>
      <c r="M549" s="158"/>
    </row>
    <row r="550">
      <c r="C550" s="104"/>
      <c r="M550" s="158"/>
    </row>
    <row r="551">
      <c r="C551" s="104"/>
      <c r="M551" s="158"/>
    </row>
    <row r="552">
      <c r="C552" s="104"/>
      <c r="M552" s="158"/>
    </row>
    <row r="553">
      <c r="C553" s="104"/>
      <c r="M553" s="158"/>
    </row>
    <row r="554">
      <c r="C554" s="104"/>
      <c r="M554" s="158"/>
    </row>
    <row r="555">
      <c r="C555" s="104"/>
      <c r="M555" s="158"/>
    </row>
    <row r="556">
      <c r="C556" s="104"/>
      <c r="M556" s="158"/>
    </row>
    <row r="557">
      <c r="C557" s="104"/>
      <c r="M557" s="158"/>
    </row>
    <row r="558">
      <c r="C558" s="104"/>
      <c r="M558" s="158"/>
    </row>
    <row r="559">
      <c r="C559" s="104"/>
      <c r="M559" s="158"/>
    </row>
    <row r="560">
      <c r="C560" s="104"/>
      <c r="M560" s="158"/>
    </row>
    <row r="561">
      <c r="C561" s="104"/>
      <c r="M561" s="158"/>
    </row>
    <row r="562">
      <c r="C562" s="104"/>
      <c r="M562" s="158"/>
    </row>
    <row r="563">
      <c r="C563" s="104"/>
      <c r="M563" s="158"/>
    </row>
    <row r="564">
      <c r="C564" s="104"/>
      <c r="M564" s="158"/>
    </row>
    <row r="565">
      <c r="C565" s="104"/>
      <c r="M565" s="158"/>
    </row>
    <row r="566">
      <c r="C566" s="104"/>
      <c r="M566" s="158"/>
    </row>
    <row r="567">
      <c r="C567" s="104"/>
      <c r="M567" s="158"/>
    </row>
    <row r="568">
      <c r="C568" s="104"/>
      <c r="M568" s="158"/>
    </row>
    <row r="569">
      <c r="C569" s="104"/>
      <c r="M569" s="158"/>
    </row>
    <row r="570">
      <c r="C570" s="104"/>
      <c r="M570" s="158"/>
    </row>
    <row r="571">
      <c r="C571" s="104"/>
      <c r="M571" s="158"/>
    </row>
    <row r="572">
      <c r="C572" s="104"/>
      <c r="M572" s="158"/>
    </row>
    <row r="573">
      <c r="C573" s="104"/>
      <c r="M573" s="158"/>
    </row>
    <row r="574">
      <c r="C574" s="104"/>
      <c r="M574" s="158"/>
    </row>
    <row r="575">
      <c r="C575" s="104"/>
      <c r="M575" s="158"/>
    </row>
    <row r="576">
      <c r="C576" s="104"/>
      <c r="M576" s="158"/>
    </row>
    <row r="577">
      <c r="C577" s="104"/>
      <c r="M577" s="158"/>
    </row>
    <row r="578">
      <c r="C578" s="104"/>
      <c r="M578" s="158"/>
    </row>
    <row r="579">
      <c r="C579" s="104"/>
      <c r="M579" s="158"/>
    </row>
    <row r="580">
      <c r="C580" s="104"/>
      <c r="M580" s="158"/>
    </row>
    <row r="581">
      <c r="C581" s="104"/>
      <c r="M581" s="158"/>
    </row>
    <row r="582">
      <c r="C582" s="104"/>
      <c r="M582" s="158"/>
    </row>
    <row r="583">
      <c r="C583" s="104"/>
      <c r="M583" s="158"/>
    </row>
    <row r="584">
      <c r="C584" s="104"/>
      <c r="M584" s="158"/>
    </row>
    <row r="585">
      <c r="C585" s="104"/>
      <c r="M585" s="158"/>
    </row>
    <row r="586">
      <c r="C586" s="104"/>
      <c r="M586" s="158"/>
    </row>
    <row r="587">
      <c r="C587" s="104"/>
      <c r="M587" s="158"/>
    </row>
    <row r="588">
      <c r="C588" s="104"/>
      <c r="M588" s="158"/>
    </row>
    <row r="589">
      <c r="C589" s="104"/>
      <c r="M589" s="158"/>
    </row>
    <row r="590">
      <c r="C590" s="104"/>
      <c r="M590" s="158"/>
    </row>
    <row r="591">
      <c r="C591" s="104"/>
      <c r="M591" s="158"/>
    </row>
    <row r="592">
      <c r="C592" s="104"/>
      <c r="M592" s="158"/>
    </row>
    <row r="593">
      <c r="C593" s="104"/>
      <c r="M593" s="158"/>
    </row>
    <row r="594">
      <c r="C594" s="104"/>
      <c r="M594" s="158"/>
    </row>
    <row r="595">
      <c r="C595" s="104"/>
      <c r="M595" s="158"/>
    </row>
    <row r="596">
      <c r="C596" s="104"/>
      <c r="M596" s="158"/>
    </row>
    <row r="597">
      <c r="C597" s="104"/>
      <c r="M597" s="158"/>
    </row>
    <row r="598">
      <c r="C598" s="104"/>
      <c r="M598" s="158"/>
    </row>
    <row r="599">
      <c r="C599" s="104"/>
      <c r="M599" s="158"/>
    </row>
    <row r="600">
      <c r="C600" s="104"/>
      <c r="M600" s="158"/>
    </row>
    <row r="601">
      <c r="C601" s="104"/>
      <c r="M601" s="158"/>
    </row>
    <row r="602">
      <c r="C602" s="104"/>
      <c r="M602" s="158"/>
    </row>
    <row r="603">
      <c r="C603" s="104"/>
      <c r="M603" s="158"/>
    </row>
    <row r="604">
      <c r="C604" s="104"/>
      <c r="M604" s="158"/>
    </row>
    <row r="605">
      <c r="C605" s="104"/>
      <c r="M605" s="158"/>
    </row>
    <row r="606">
      <c r="C606" s="104"/>
      <c r="M606" s="158"/>
    </row>
    <row r="607">
      <c r="C607" s="104"/>
      <c r="M607" s="158"/>
    </row>
    <row r="608">
      <c r="C608" s="104"/>
      <c r="M608" s="158"/>
    </row>
    <row r="609">
      <c r="C609" s="104"/>
      <c r="M609" s="158"/>
    </row>
    <row r="610">
      <c r="C610" s="104"/>
      <c r="M610" s="158"/>
    </row>
    <row r="611">
      <c r="C611" s="104"/>
      <c r="M611" s="158"/>
    </row>
    <row r="612">
      <c r="C612" s="104"/>
      <c r="M612" s="158"/>
    </row>
    <row r="613">
      <c r="C613" s="104"/>
      <c r="M613" s="158"/>
    </row>
    <row r="614">
      <c r="C614" s="104"/>
      <c r="M614" s="158"/>
    </row>
    <row r="615">
      <c r="C615" s="104"/>
      <c r="M615" s="158"/>
    </row>
    <row r="616">
      <c r="C616" s="104"/>
      <c r="M616" s="158"/>
    </row>
    <row r="617">
      <c r="C617" s="104"/>
      <c r="M617" s="158"/>
    </row>
    <row r="618">
      <c r="C618" s="104"/>
      <c r="M618" s="158"/>
    </row>
    <row r="619">
      <c r="C619" s="104"/>
      <c r="M619" s="158"/>
    </row>
    <row r="620">
      <c r="C620" s="104"/>
      <c r="M620" s="158"/>
    </row>
    <row r="621">
      <c r="C621" s="104"/>
      <c r="M621" s="158"/>
    </row>
    <row r="622">
      <c r="C622" s="104"/>
      <c r="M622" s="158"/>
    </row>
    <row r="623">
      <c r="C623" s="104"/>
      <c r="M623" s="158"/>
    </row>
    <row r="624">
      <c r="C624" s="104"/>
      <c r="M624" s="158"/>
    </row>
    <row r="625">
      <c r="C625" s="104"/>
      <c r="M625" s="158"/>
    </row>
    <row r="626">
      <c r="C626" s="104"/>
      <c r="M626" s="158"/>
    </row>
    <row r="627">
      <c r="C627" s="104"/>
      <c r="M627" s="158"/>
    </row>
    <row r="628">
      <c r="C628" s="104"/>
      <c r="M628" s="158"/>
    </row>
    <row r="629">
      <c r="C629" s="104"/>
      <c r="M629" s="158"/>
    </row>
    <row r="630">
      <c r="C630" s="104"/>
      <c r="M630" s="158"/>
    </row>
    <row r="631">
      <c r="C631" s="104"/>
      <c r="M631" s="158"/>
    </row>
    <row r="632">
      <c r="C632" s="104"/>
      <c r="M632" s="158"/>
    </row>
    <row r="633">
      <c r="C633" s="104"/>
      <c r="M633" s="158"/>
    </row>
    <row r="634">
      <c r="C634" s="104"/>
      <c r="M634" s="158"/>
    </row>
    <row r="635">
      <c r="C635" s="104"/>
      <c r="M635" s="158"/>
    </row>
    <row r="636">
      <c r="C636" s="104"/>
      <c r="M636" s="158"/>
    </row>
    <row r="637">
      <c r="C637" s="104"/>
      <c r="M637" s="158"/>
    </row>
    <row r="638">
      <c r="C638" s="104"/>
      <c r="M638" s="158"/>
    </row>
    <row r="639">
      <c r="C639" s="104"/>
      <c r="M639" s="158"/>
    </row>
    <row r="640">
      <c r="C640" s="104"/>
      <c r="M640" s="158"/>
    </row>
    <row r="641">
      <c r="C641" s="104"/>
      <c r="M641" s="158"/>
    </row>
    <row r="642">
      <c r="C642" s="104"/>
      <c r="M642" s="158"/>
    </row>
    <row r="643">
      <c r="C643" s="104"/>
      <c r="M643" s="158"/>
    </row>
    <row r="644">
      <c r="C644" s="104"/>
      <c r="M644" s="158"/>
    </row>
    <row r="645">
      <c r="C645" s="104"/>
      <c r="M645" s="158"/>
    </row>
    <row r="646">
      <c r="C646" s="104"/>
      <c r="M646" s="158"/>
    </row>
    <row r="647">
      <c r="C647" s="104"/>
      <c r="M647" s="158"/>
    </row>
    <row r="648">
      <c r="C648" s="104"/>
      <c r="M648" s="158"/>
    </row>
    <row r="649">
      <c r="C649" s="104"/>
      <c r="M649" s="158"/>
    </row>
    <row r="650">
      <c r="C650" s="104"/>
      <c r="M650" s="158"/>
    </row>
    <row r="651">
      <c r="C651" s="104"/>
      <c r="M651" s="158"/>
    </row>
    <row r="652">
      <c r="C652" s="104"/>
      <c r="M652" s="158"/>
    </row>
    <row r="653">
      <c r="C653" s="104"/>
      <c r="M653" s="158"/>
    </row>
    <row r="654">
      <c r="C654" s="104"/>
      <c r="M654" s="158"/>
    </row>
    <row r="655">
      <c r="C655" s="104"/>
      <c r="M655" s="158"/>
    </row>
    <row r="656">
      <c r="C656" s="104"/>
      <c r="M656" s="158"/>
    </row>
    <row r="657">
      <c r="C657" s="104"/>
      <c r="M657" s="158"/>
    </row>
    <row r="658">
      <c r="C658" s="104"/>
      <c r="M658" s="158"/>
    </row>
    <row r="659">
      <c r="C659" s="104"/>
      <c r="M659" s="158"/>
    </row>
    <row r="660">
      <c r="C660" s="104"/>
      <c r="M660" s="158"/>
    </row>
    <row r="661">
      <c r="C661" s="104"/>
      <c r="M661" s="158"/>
    </row>
    <row r="662">
      <c r="C662" s="104"/>
      <c r="M662" s="158"/>
    </row>
    <row r="663">
      <c r="C663" s="104"/>
      <c r="M663" s="158"/>
    </row>
    <row r="664">
      <c r="C664" s="104"/>
      <c r="M664" s="158"/>
    </row>
    <row r="665">
      <c r="C665" s="104"/>
      <c r="M665" s="158"/>
    </row>
    <row r="666">
      <c r="C666" s="104"/>
      <c r="M666" s="158"/>
    </row>
    <row r="667">
      <c r="C667" s="104"/>
      <c r="M667" s="158"/>
    </row>
    <row r="668">
      <c r="C668" s="104"/>
      <c r="M668" s="158"/>
    </row>
    <row r="669">
      <c r="C669" s="104"/>
      <c r="M669" s="158"/>
    </row>
    <row r="670">
      <c r="C670" s="104"/>
      <c r="M670" s="158"/>
    </row>
    <row r="671">
      <c r="C671" s="104"/>
      <c r="M671" s="158"/>
    </row>
    <row r="672">
      <c r="C672" s="104"/>
      <c r="M672" s="158"/>
    </row>
    <row r="673">
      <c r="C673" s="104"/>
      <c r="M673" s="158"/>
    </row>
    <row r="674">
      <c r="C674" s="104"/>
      <c r="M674" s="158"/>
    </row>
    <row r="675">
      <c r="C675" s="104"/>
      <c r="M675" s="158"/>
    </row>
    <row r="676">
      <c r="C676" s="104"/>
      <c r="M676" s="158"/>
    </row>
    <row r="677">
      <c r="C677" s="104"/>
      <c r="M677" s="158"/>
    </row>
    <row r="678">
      <c r="C678" s="104"/>
      <c r="M678" s="158"/>
    </row>
    <row r="679">
      <c r="C679" s="104"/>
      <c r="M679" s="158"/>
    </row>
    <row r="680">
      <c r="C680" s="104"/>
      <c r="M680" s="158"/>
    </row>
    <row r="681">
      <c r="C681" s="104"/>
      <c r="M681" s="158"/>
    </row>
    <row r="682">
      <c r="C682" s="104"/>
      <c r="M682" s="158"/>
    </row>
    <row r="683">
      <c r="C683" s="104"/>
      <c r="M683" s="158"/>
    </row>
    <row r="684">
      <c r="C684" s="104"/>
      <c r="M684" s="158"/>
    </row>
    <row r="685">
      <c r="C685" s="104"/>
      <c r="M685" s="158"/>
    </row>
    <row r="686">
      <c r="C686" s="104"/>
      <c r="M686" s="158"/>
    </row>
    <row r="687">
      <c r="C687" s="104"/>
      <c r="M687" s="158"/>
    </row>
    <row r="688">
      <c r="C688" s="104"/>
      <c r="M688" s="158"/>
    </row>
    <row r="689">
      <c r="C689" s="104"/>
      <c r="M689" s="158"/>
    </row>
    <row r="690">
      <c r="C690" s="104"/>
      <c r="M690" s="158"/>
    </row>
    <row r="691">
      <c r="C691" s="104"/>
      <c r="M691" s="158"/>
    </row>
    <row r="692">
      <c r="C692" s="104"/>
      <c r="M692" s="158"/>
    </row>
    <row r="693">
      <c r="C693" s="104"/>
      <c r="M693" s="158"/>
    </row>
    <row r="694">
      <c r="C694" s="104"/>
      <c r="M694" s="158"/>
    </row>
    <row r="695">
      <c r="C695" s="104"/>
      <c r="M695" s="158"/>
    </row>
    <row r="696">
      <c r="C696" s="104"/>
      <c r="M696" s="158"/>
    </row>
    <row r="697">
      <c r="C697" s="104"/>
      <c r="M697" s="158"/>
    </row>
    <row r="698">
      <c r="C698" s="104"/>
      <c r="M698" s="158"/>
    </row>
    <row r="699">
      <c r="C699" s="104"/>
      <c r="M699" s="158"/>
    </row>
    <row r="700">
      <c r="C700" s="104"/>
      <c r="M700" s="158"/>
    </row>
    <row r="701">
      <c r="C701" s="104"/>
      <c r="M701" s="158"/>
    </row>
    <row r="702">
      <c r="C702" s="104"/>
      <c r="M702" s="158"/>
    </row>
    <row r="703">
      <c r="C703" s="104"/>
      <c r="M703" s="158"/>
    </row>
    <row r="704">
      <c r="C704" s="104"/>
      <c r="M704" s="158"/>
    </row>
    <row r="705">
      <c r="C705" s="104"/>
      <c r="M705" s="158"/>
    </row>
    <row r="706">
      <c r="C706" s="104"/>
      <c r="M706" s="158"/>
    </row>
    <row r="707">
      <c r="C707" s="104"/>
      <c r="M707" s="158"/>
    </row>
    <row r="708">
      <c r="C708" s="104"/>
      <c r="M708" s="158"/>
    </row>
    <row r="709">
      <c r="C709" s="104"/>
      <c r="M709" s="158"/>
    </row>
    <row r="710">
      <c r="C710" s="104"/>
      <c r="M710" s="158"/>
    </row>
    <row r="711">
      <c r="C711" s="104"/>
      <c r="M711" s="158"/>
    </row>
    <row r="712">
      <c r="C712" s="104"/>
      <c r="M712" s="158"/>
    </row>
    <row r="713">
      <c r="C713" s="104"/>
      <c r="M713" s="158"/>
    </row>
    <row r="714">
      <c r="C714" s="104"/>
      <c r="M714" s="158"/>
    </row>
    <row r="715">
      <c r="C715" s="104"/>
      <c r="M715" s="158"/>
    </row>
    <row r="716">
      <c r="C716" s="104"/>
      <c r="M716" s="158"/>
    </row>
    <row r="717">
      <c r="C717" s="104"/>
      <c r="M717" s="158"/>
    </row>
    <row r="718">
      <c r="C718" s="104"/>
      <c r="M718" s="158"/>
    </row>
    <row r="719">
      <c r="C719" s="104"/>
      <c r="M719" s="158"/>
    </row>
    <row r="720">
      <c r="C720" s="104"/>
      <c r="M720" s="158"/>
    </row>
    <row r="721">
      <c r="C721" s="104"/>
      <c r="M721" s="158"/>
    </row>
    <row r="722">
      <c r="C722" s="104"/>
      <c r="M722" s="158"/>
    </row>
    <row r="723">
      <c r="C723" s="104"/>
      <c r="M723" s="158"/>
    </row>
    <row r="724">
      <c r="C724" s="104"/>
      <c r="M724" s="158"/>
    </row>
    <row r="725">
      <c r="C725" s="104"/>
      <c r="M725" s="158"/>
    </row>
    <row r="726">
      <c r="C726" s="104"/>
      <c r="M726" s="158"/>
    </row>
    <row r="727">
      <c r="C727" s="104"/>
      <c r="M727" s="158"/>
    </row>
    <row r="728">
      <c r="C728" s="104"/>
      <c r="M728" s="158"/>
    </row>
    <row r="729">
      <c r="C729" s="104"/>
      <c r="M729" s="158"/>
    </row>
    <row r="730">
      <c r="C730" s="104"/>
      <c r="M730" s="158"/>
    </row>
    <row r="731">
      <c r="C731" s="104"/>
      <c r="M731" s="158"/>
    </row>
    <row r="732">
      <c r="C732" s="104"/>
      <c r="M732" s="158"/>
    </row>
    <row r="733">
      <c r="C733" s="104"/>
      <c r="M733" s="158"/>
    </row>
    <row r="734">
      <c r="C734" s="104"/>
      <c r="M734" s="158"/>
    </row>
    <row r="735">
      <c r="C735" s="104"/>
      <c r="M735" s="158"/>
    </row>
    <row r="736">
      <c r="C736" s="104"/>
      <c r="M736" s="158"/>
    </row>
    <row r="737">
      <c r="C737" s="104"/>
      <c r="M737" s="158"/>
    </row>
    <row r="738">
      <c r="C738" s="104"/>
      <c r="M738" s="158"/>
    </row>
    <row r="739">
      <c r="C739" s="104"/>
      <c r="M739" s="158"/>
    </row>
    <row r="740">
      <c r="C740" s="104"/>
      <c r="M740" s="158"/>
    </row>
    <row r="741">
      <c r="C741" s="104"/>
      <c r="M741" s="158"/>
    </row>
    <row r="742">
      <c r="C742" s="104"/>
      <c r="M742" s="158"/>
    </row>
    <row r="743">
      <c r="C743" s="104"/>
      <c r="M743" s="158"/>
    </row>
    <row r="744">
      <c r="C744" s="104"/>
      <c r="M744" s="158"/>
    </row>
    <row r="745">
      <c r="C745" s="104"/>
      <c r="M745" s="158"/>
    </row>
    <row r="746">
      <c r="C746" s="104"/>
      <c r="M746" s="158"/>
    </row>
    <row r="747">
      <c r="C747" s="104"/>
      <c r="M747" s="158"/>
    </row>
    <row r="748">
      <c r="C748" s="104"/>
      <c r="M748" s="158"/>
    </row>
    <row r="749">
      <c r="C749" s="104"/>
      <c r="M749" s="158"/>
    </row>
    <row r="750">
      <c r="C750" s="104"/>
      <c r="M750" s="158"/>
    </row>
    <row r="751">
      <c r="C751" s="104"/>
      <c r="M751" s="158"/>
    </row>
    <row r="752">
      <c r="C752" s="104"/>
      <c r="M752" s="158"/>
    </row>
    <row r="753">
      <c r="C753" s="104"/>
      <c r="M753" s="158"/>
    </row>
    <row r="754">
      <c r="C754" s="104"/>
      <c r="M754" s="158"/>
    </row>
    <row r="755">
      <c r="C755" s="104"/>
      <c r="M755" s="158"/>
    </row>
    <row r="756">
      <c r="C756" s="104"/>
      <c r="M756" s="158"/>
    </row>
    <row r="757">
      <c r="C757" s="104"/>
      <c r="M757" s="158"/>
    </row>
    <row r="758">
      <c r="C758" s="104"/>
      <c r="M758" s="158"/>
    </row>
    <row r="759">
      <c r="C759" s="104"/>
      <c r="M759" s="158"/>
    </row>
    <row r="760">
      <c r="C760" s="104"/>
      <c r="M760" s="158"/>
    </row>
    <row r="761">
      <c r="C761" s="104"/>
      <c r="M761" s="158"/>
    </row>
    <row r="762">
      <c r="C762" s="104"/>
      <c r="M762" s="158"/>
    </row>
    <row r="763">
      <c r="C763" s="104"/>
      <c r="M763" s="158"/>
    </row>
    <row r="764">
      <c r="C764" s="104"/>
      <c r="M764" s="158"/>
    </row>
    <row r="765">
      <c r="C765" s="104"/>
      <c r="M765" s="158"/>
    </row>
    <row r="766">
      <c r="C766" s="104"/>
      <c r="M766" s="158"/>
    </row>
    <row r="767">
      <c r="C767" s="104"/>
      <c r="M767" s="158"/>
    </row>
    <row r="768">
      <c r="C768" s="104"/>
      <c r="M768" s="158"/>
    </row>
    <row r="769">
      <c r="C769" s="104"/>
      <c r="M769" s="158"/>
    </row>
    <row r="770">
      <c r="C770" s="104"/>
      <c r="M770" s="158"/>
    </row>
    <row r="771">
      <c r="C771" s="104"/>
      <c r="M771" s="158"/>
    </row>
    <row r="772">
      <c r="C772" s="104"/>
      <c r="M772" s="158"/>
    </row>
    <row r="773">
      <c r="C773" s="104"/>
      <c r="M773" s="158"/>
    </row>
    <row r="774">
      <c r="C774" s="104"/>
      <c r="M774" s="158"/>
    </row>
    <row r="775">
      <c r="C775" s="104"/>
      <c r="M775" s="158"/>
    </row>
    <row r="776">
      <c r="C776" s="104"/>
      <c r="M776" s="158"/>
    </row>
    <row r="777">
      <c r="C777" s="104"/>
      <c r="M777" s="158"/>
    </row>
    <row r="778">
      <c r="C778" s="104"/>
      <c r="M778" s="158"/>
    </row>
    <row r="779">
      <c r="C779" s="104"/>
      <c r="M779" s="158"/>
    </row>
    <row r="780">
      <c r="C780" s="104"/>
      <c r="M780" s="158"/>
    </row>
    <row r="781">
      <c r="C781" s="104"/>
      <c r="M781" s="158"/>
    </row>
    <row r="782">
      <c r="C782" s="104"/>
      <c r="M782" s="158"/>
    </row>
    <row r="783">
      <c r="C783" s="104"/>
      <c r="M783" s="158"/>
    </row>
    <row r="784">
      <c r="C784" s="104"/>
      <c r="M784" s="158"/>
    </row>
    <row r="785">
      <c r="C785" s="104"/>
      <c r="M785" s="158"/>
    </row>
    <row r="786">
      <c r="C786" s="104"/>
      <c r="M786" s="158"/>
    </row>
    <row r="787">
      <c r="C787" s="104"/>
      <c r="M787" s="158"/>
    </row>
    <row r="788">
      <c r="C788" s="104"/>
      <c r="M788" s="158"/>
    </row>
    <row r="789">
      <c r="C789" s="104"/>
      <c r="M789" s="158"/>
    </row>
    <row r="790">
      <c r="C790" s="104"/>
      <c r="M790" s="158"/>
    </row>
    <row r="791">
      <c r="C791" s="104"/>
      <c r="M791" s="158"/>
    </row>
    <row r="792">
      <c r="C792" s="104"/>
      <c r="M792" s="158"/>
    </row>
    <row r="793">
      <c r="C793" s="104"/>
      <c r="M793" s="158"/>
    </row>
    <row r="794">
      <c r="C794" s="104"/>
      <c r="M794" s="158"/>
    </row>
    <row r="795">
      <c r="C795" s="104"/>
      <c r="M795" s="158"/>
    </row>
    <row r="796">
      <c r="C796" s="104"/>
      <c r="M796" s="158"/>
    </row>
    <row r="797">
      <c r="C797" s="104"/>
      <c r="M797" s="158"/>
    </row>
    <row r="798">
      <c r="C798" s="104"/>
      <c r="M798" s="158"/>
    </row>
    <row r="799">
      <c r="C799" s="104"/>
      <c r="M799" s="158"/>
    </row>
    <row r="800">
      <c r="C800" s="104"/>
      <c r="M800" s="158"/>
    </row>
    <row r="801">
      <c r="C801" s="104"/>
      <c r="M801" s="158"/>
    </row>
    <row r="802">
      <c r="C802" s="104"/>
      <c r="M802" s="158"/>
    </row>
    <row r="803">
      <c r="C803" s="104"/>
      <c r="M803" s="158"/>
    </row>
    <row r="804">
      <c r="C804" s="104"/>
      <c r="M804" s="158"/>
    </row>
    <row r="805">
      <c r="C805" s="104"/>
      <c r="M805" s="158"/>
    </row>
    <row r="806">
      <c r="C806" s="104"/>
      <c r="M806" s="158"/>
    </row>
    <row r="807">
      <c r="C807" s="104"/>
      <c r="M807" s="158"/>
    </row>
    <row r="808">
      <c r="C808" s="104"/>
      <c r="M808" s="158"/>
    </row>
    <row r="809">
      <c r="C809" s="104"/>
      <c r="M809" s="158"/>
    </row>
    <row r="810">
      <c r="C810" s="104"/>
      <c r="M810" s="158"/>
    </row>
    <row r="811">
      <c r="C811" s="104"/>
      <c r="M811" s="158"/>
    </row>
    <row r="812">
      <c r="C812" s="104"/>
      <c r="M812" s="158"/>
    </row>
    <row r="813">
      <c r="C813" s="104"/>
      <c r="M813" s="158"/>
    </row>
    <row r="814">
      <c r="C814" s="104"/>
      <c r="M814" s="158"/>
    </row>
    <row r="815">
      <c r="C815" s="104"/>
      <c r="M815" s="158"/>
    </row>
    <row r="816">
      <c r="C816" s="104"/>
      <c r="M816" s="158"/>
    </row>
    <row r="817">
      <c r="C817" s="104"/>
      <c r="M817" s="158"/>
    </row>
    <row r="818">
      <c r="C818" s="104"/>
      <c r="M818" s="158"/>
    </row>
    <row r="819">
      <c r="C819" s="104"/>
      <c r="M819" s="158"/>
    </row>
    <row r="820">
      <c r="C820" s="104"/>
      <c r="M820" s="158"/>
    </row>
    <row r="821">
      <c r="C821" s="104"/>
      <c r="M821" s="158"/>
    </row>
    <row r="822">
      <c r="C822" s="104"/>
      <c r="M822" s="158"/>
    </row>
    <row r="823">
      <c r="C823" s="104"/>
      <c r="M823" s="158"/>
    </row>
    <row r="824">
      <c r="C824" s="104"/>
      <c r="M824" s="158"/>
    </row>
    <row r="825">
      <c r="C825" s="104"/>
      <c r="M825" s="158"/>
    </row>
    <row r="826">
      <c r="C826" s="104"/>
      <c r="M826" s="158"/>
    </row>
    <row r="827">
      <c r="C827" s="104"/>
      <c r="M827" s="158"/>
    </row>
    <row r="828">
      <c r="C828" s="104"/>
      <c r="M828" s="158"/>
    </row>
    <row r="829">
      <c r="C829" s="104"/>
      <c r="M829" s="158"/>
    </row>
    <row r="830">
      <c r="C830" s="104"/>
      <c r="M830" s="158"/>
    </row>
    <row r="831">
      <c r="C831" s="104"/>
      <c r="M831" s="158"/>
    </row>
    <row r="832">
      <c r="C832" s="104"/>
      <c r="M832" s="158"/>
    </row>
    <row r="833">
      <c r="C833" s="104"/>
      <c r="M833" s="158"/>
    </row>
    <row r="834">
      <c r="C834" s="104"/>
      <c r="M834" s="158"/>
    </row>
    <row r="835">
      <c r="C835" s="104"/>
      <c r="M835" s="158"/>
    </row>
    <row r="836">
      <c r="C836" s="104"/>
      <c r="M836" s="158"/>
    </row>
    <row r="837">
      <c r="C837" s="104"/>
      <c r="M837" s="158"/>
    </row>
    <row r="838">
      <c r="C838" s="104"/>
      <c r="M838" s="158"/>
    </row>
    <row r="839">
      <c r="C839" s="104"/>
      <c r="M839" s="158"/>
    </row>
    <row r="840">
      <c r="C840" s="104"/>
      <c r="M840" s="158"/>
    </row>
    <row r="841">
      <c r="C841" s="104"/>
      <c r="M841" s="158"/>
    </row>
    <row r="842">
      <c r="C842" s="104"/>
      <c r="M842" s="158"/>
    </row>
    <row r="843">
      <c r="C843" s="104"/>
      <c r="M843" s="158"/>
    </row>
    <row r="844">
      <c r="C844" s="104"/>
      <c r="M844" s="158"/>
    </row>
    <row r="845">
      <c r="C845" s="104"/>
      <c r="M845" s="158"/>
    </row>
    <row r="846">
      <c r="C846" s="104"/>
      <c r="M846" s="158"/>
    </row>
    <row r="847">
      <c r="C847" s="104"/>
      <c r="M847" s="158"/>
    </row>
    <row r="848">
      <c r="C848" s="104"/>
      <c r="M848" s="158"/>
    </row>
    <row r="849">
      <c r="C849" s="104"/>
      <c r="M849" s="158"/>
    </row>
    <row r="850">
      <c r="C850" s="104"/>
      <c r="M850" s="158"/>
    </row>
    <row r="851">
      <c r="C851" s="104"/>
      <c r="M851" s="158"/>
    </row>
    <row r="852">
      <c r="C852" s="104"/>
      <c r="M852" s="158"/>
    </row>
    <row r="853">
      <c r="C853" s="104"/>
      <c r="M853" s="158"/>
    </row>
    <row r="854">
      <c r="C854" s="104"/>
      <c r="M854" s="158"/>
    </row>
    <row r="855">
      <c r="C855" s="104"/>
      <c r="M855" s="158"/>
    </row>
    <row r="856">
      <c r="C856" s="104"/>
      <c r="M856" s="158"/>
    </row>
    <row r="857">
      <c r="C857" s="104"/>
      <c r="M857" s="158"/>
    </row>
    <row r="858">
      <c r="C858" s="104"/>
      <c r="M858" s="158"/>
    </row>
    <row r="859">
      <c r="C859" s="104"/>
      <c r="M859" s="158"/>
    </row>
    <row r="860">
      <c r="C860" s="104"/>
      <c r="M860" s="158"/>
    </row>
    <row r="861">
      <c r="C861" s="104"/>
      <c r="M861" s="158"/>
    </row>
    <row r="862">
      <c r="C862" s="104"/>
      <c r="M862" s="158"/>
    </row>
    <row r="863">
      <c r="C863" s="104"/>
      <c r="M863" s="158"/>
    </row>
    <row r="864">
      <c r="C864" s="104"/>
      <c r="M864" s="158"/>
    </row>
    <row r="865">
      <c r="C865" s="104"/>
      <c r="M865" s="158"/>
    </row>
    <row r="866">
      <c r="C866" s="104"/>
      <c r="M866" s="158"/>
    </row>
    <row r="867">
      <c r="C867" s="104"/>
      <c r="M867" s="158"/>
    </row>
    <row r="868">
      <c r="C868" s="104"/>
      <c r="M868" s="158"/>
    </row>
    <row r="869">
      <c r="C869" s="104"/>
      <c r="M869" s="158"/>
    </row>
    <row r="870">
      <c r="C870" s="104"/>
      <c r="M870" s="158"/>
    </row>
    <row r="871">
      <c r="C871" s="104"/>
      <c r="M871" s="158"/>
    </row>
    <row r="872">
      <c r="C872" s="104"/>
      <c r="M872" s="158"/>
    </row>
    <row r="873">
      <c r="C873" s="104"/>
      <c r="M873" s="158"/>
    </row>
    <row r="874">
      <c r="C874" s="104"/>
      <c r="M874" s="158"/>
    </row>
    <row r="875">
      <c r="C875" s="104"/>
      <c r="M875" s="158"/>
    </row>
    <row r="876">
      <c r="C876" s="104"/>
      <c r="M876" s="158"/>
    </row>
    <row r="877">
      <c r="C877" s="104"/>
      <c r="M877" s="158"/>
    </row>
    <row r="878">
      <c r="C878" s="104"/>
      <c r="M878" s="158"/>
    </row>
    <row r="879">
      <c r="C879" s="104"/>
      <c r="M879" s="158"/>
    </row>
    <row r="880">
      <c r="C880" s="104"/>
      <c r="M880" s="158"/>
    </row>
    <row r="881">
      <c r="C881" s="104"/>
      <c r="M881" s="158"/>
    </row>
    <row r="882">
      <c r="C882" s="104"/>
      <c r="M882" s="158"/>
    </row>
    <row r="883">
      <c r="C883" s="104"/>
      <c r="M883" s="158"/>
    </row>
    <row r="884">
      <c r="C884" s="104"/>
      <c r="M884" s="158"/>
    </row>
    <row r="885">
      <c r="C885" s="104"/>
      <c r="M885" s="158"/>
    </row>
    <row r="886">
      <c r="C886" s="104"/>
      <c r="M886" s="158"/>
    </row>
    <row r="887">
      <c r="C887" s="104"/>
      <c r="M887" s="158"/>
    </row>
    <row r="888">
      <c r="C888" s="104"/>
      <c r="M888" s="158"/>
    </row>
    <row r="889">
      <c r="C889" s="104"/>
      <c r="M889" s="158"/>
    </row>
    <row r="890">
      <c r="C890" s="104"/>
      <c r="M890" s="158"/>
    </row>
    <row r="891">
      <c r="C891" s="104"/>
      <c r="M891" s="158"/>
    </row>
    <row r="892">
      <c r="C892" s="104"/>
      <c r="M892" s="158"/>
    </row>
    <row r="893">
      <c r="C893" s="104"/>
      <c r="M893" s="158"/>
    </row>
    <row r="894">
      <c r="C894" s="104"/>
      <c r="M894" s="158"/>
    </row>
    <row r="895">
      <c r="C895" s="104"/>
      <c r="M895" s="158"/>
    </row>
    <row r="896">
      <c r="C896" s="104"/>
      <c r="M896" s="158"/>
    </row>
    <row r="897">
      <c r="C897" s="104"/>
      <c r="M897" s="158"/>
    </row>
    <row r="898">
      <c r="C898" s="104"/>
      <c r="M898" s="158"/>
    </row>
    <row r="899">
      <c r="C899" s="104"/>
      <c r="M899" s="158"/>
    </row>
    <row r="900">
      <c r="C900" s="104"/>
      <c r="M900" s="158"/>
    </row>
    <row r="901">
      <c r="C901" s="104"/>
      <c r="M901" s="158"/>
    </row>
    <row r="902">
      <c r="C902" s="104"/>
      <c r="M902" s="158"/>
    </row>
    <row r="903">
      <c r="C903" s="104"/>
      <c r="M903" s="158"/>
    </row>
    <row r="904">
      <c r="C904" s="104"/>
      <c r="M904" s="158"/>
    </row>
    <row r="905">
      <c r="C905" s="104"/>
      <c r="M905" s="158"/>
    </row>
    <row r="906">
      <c r="C906" s="104"/>
      <c r="M906" s="158"/>
    </row>
    <row r="907">
      <c r="C907" s="104"/>
      <c r="M907" s="158"/>
    </row>
    <row r="908">
      <c r="C908" s="104"/>
      <c r="M908" s="158"/>
    </row>
    <row r="909">
      <c r="C909" s="104"/>
      <c r="M909" s="158"/>
    </row>
    <row r="910">
      <c r="C910" s="104"/>
      <c r="M910" s="158"/>
    </row>
    <row r="911">
      <c r="C911" s="104"/>
      <c r="M911" s="158"/>
    </row>
    <row r="912">
      <c r="C912" s="104"/>
      <c r="M912" s="158"/>
    </row>
    <row r="913">
      <c r="C913" s="104"/>
      <c r="M913" s="158"/>
    </row>
    <row r="914">
      <c r="C914" s="104"/>
      <c r="M914" s="158"/>
    </row>
    <row r="915">
      <c r="C915" s="104"/>
      <c r="M915" s="158"/>
    </row>
    <row r="916">
      <c r="C916" s="104"/>
      <c r="M916" s="158"/>
    </row>
    <row r="917">
      <c r="C917" s="104"/>
      <c r="M917" s="158"/>
    </row>
    <row r="918">
      <c r="C918" s="104"/>
      <c r="M918" s="158"/>
    </row>
    <row r="919">
      <c r="C919" s="104"/>
      <c r="M919" s="158"/>
    </row>
    <row r="920">
      <c r="C920" s="104"/>
      <c r="M920" s="158"/>
    </row>
    <row r="921">
      <c r="C921" s="104"/>
      <c r="M921" s="158"/>
    </row>
    <row r="922">
      <c r="C922" s="104"/>
      <c r="M922" s="158"/>
    </row>
    <row r="923">
      <c r="C923" s="104"/>
      <c r="M923" s="158"/>
    </row>
    <row r="924">
      <c r="C924" s="104"/>
      <c r="M924" s="158"/>
    </row>
    <row r="925">
      <c r="C925" s="104"/>
      <c r="M925" s="158"/>
    </row>
    <row r="926">
      <c r="C926" s="104"/>
      <c r="M926" s="158"/>
    </row>
    <row r="927">
      <c r="C927" s="104"/>
      <c r="M927" s="158"/>
    </row>
    <row r="928">
      <c r="C928" s="104"/>
      <c r="M928" s="158"/>
    </row>
    <row r="929">
      <c r="C929" s="104"/>
      <c r="M929" s="158"/>
    </row>
    <row r="930">
      <c r="C930" s="104"/>
      <c r="M930" s="158"/>
    </row>
    <row r="931">
      <c r="C931" s="104"/>
      <c r="M931" s="158"/>
    </row>
    <row r="932">
      <c r="C932" s="104"/>
      <c r="M932" s="158"/>
    </row>
    <row r="933">
      <c r="C933" s="104"/>
      <c r="M933" s="158"/>
    </row>
    <row r="934">
      <c r="C934" s="104"/>
      <c r="M934" s="158"/>
    </row>
    <row r="935">
      <c r="C935" s="104"/>
      <c r="M935" s="158"/>
    </row>
    <row r="936">
      <c r="C936" s="104"/>
      <c r="M936" s="158"/>
    </row>
    <row r="937">
      <c r="C937" s="104"/>
      <c r="M937" s="158"/>
    </row>
    <row r="938">
      <c r="C938" s="104"/>
      <c r="M938" s="158"/>
    </row>
    <row r="939">
      <c r="C939" s="104"/>
      <c r="M939" s="158"/>
    </row>
    <row r="940">
      <c r="C940" s="104"/>
      <c r="M940" s="158"/>
    </row>
    <row r="941">
      <c r="C941" s="104"/>
      <c r="M941" s="158"/>
    </row>
    <row r="942">
      <c r="C942" s="104"/>
      <c r="M942" s="158"/>
    </row>
    <row r="943">
      <c r="C943" s="104"/>
      <c r="M943" s="158"/>
    </row>
    <row r="944">
      <c r="C944" s="104"/>
      <c r="M944" s="158"/>
    </row>
    <row r="945">
      <c r="C945" s="104"/>
      <c r="M945" s="158"/>
    </row>
    <row r="946">
      <c r="C946" s="104"/>
      <c r="M946" s="158"/>
    </row>
    <row r="947">
      <c r="C947" s="104"/>
      <c r="M947" s="158"/>
    </row>
    <row r="948">
      <c r="C948" s="104"/>
      <c r="M948" s="158"/>
    </row>
    <row r="949">
      <c r="C949" s="104"/>
      <c r="M949" s="158"/>
    </row>
    <row r="950">
      <c r="C950" s="104"/>
      <c r="M950" s="158"/>
    </row>
    <row r="951">
      <c r="C951" s="104"/>
      <c r="M951" s="158"/>
    </row>
    <row r="952">
      <c r="C952" s="104"/>
      <c r="M952" s="158"/>
    </row>
    <row r="953">
      <c r="C953" s="104"/>
      <c r="M953" s="158"/>
    </row>
    <row r="954">
      <c r="C954" s="104"/>
      <c r="M954" s="158"/>
    </row>
    <row r="955">
      <c r="C955" s="104"/>
      <c r="M955" s="158"/>
    </row>
    <row r="956">
      <c r="C956" s="104"/>
      <c r="M956" s="158"/>
    </row>
    <row r="957">
      <c r="C957" s="104"/>
      <c r="M957" s="158"/>
    </row>
    <row r="958">
      <c r="C958" s="104"/>
      <c r="M958" s="158"/>
    </row>
    <row r="959">
      <c r="C959" s="104"/>
      <c r="M959" s="158"/>
    </row>
    <row r="960">
      <c r="C960" s="104"/>
      <c r="M960" s="158"/>
    </row>
    <row r="961">
      <c r="C961" s="104"/>
      <c r="M961" s="158"/>
    </row>
    <row r="962">
      <c r="C962" s="104"/>
      <c r="M962" s="158"/>
    </row>
    <row r="963">
      <c r="C963" s="104"/>
      <c r="M963" s="158"/>
    </row>
    <row r="964">
      <c r="C964" s="104"/>
      <c r="M964" s="158"/>
    </row>
    <row r="965">
      <c r="C965" s="104"/>
      <c r="M965" s="158"/>
    </row>
    <row r="966">
      <c r="C966" s="104"/>
      <c r="M966" s="158"/>
    </row>
    <row r="967">
      <c r="C967" s="104"/>
      <c r="M967" s="158"/>
    </row>
    <row r="968">
      <c r="C968" s="104"/>
      <c r="M968" s="158"/>
    </row>
    <row r="969">
      <c r="C969" s="104"/>
      <c r="M969" s="158"/>
    </row>
    <row r="970">
      <c r="C970" s="104"/>
      <c r="M970" s="158"/>
    </row>
    <row r="971">
      <c r="C971" s="104"/>
      <c r="M971" s="158"/>
    </row>
    <row r="972">
      <c r="C972" s="104"/>
      <c r="M972" s="158"/>
    </row>
    <row r="973">
      <c r="C973" s="104"/>
      <c r="M973" s="158"/>
    </row>
    <row r="974">
      <c r="C974" s="104"/>
      <c r="M974" s="158"/>
    </row>
    <row r="975">
      <c r="C975" s="104"/>
      <c r="M975" s="158"/>
    </row>
    <row r="976">
      <c r="C976" s="104"/>
      <c r="M976" s="158"/>
    </row>
    <row r="977">
      <c r="C977" s="104"/>
      <c r="M977" s="158"/>
    </row>
    <row r="978">
      <c r="C978" s="104"/>
      <c r="M978" s="158"/>
    </row>
    <row r="979">
      <c r="C979" s="104"/>
      <c r="M979" s="158"/>
    </row>
    <row r="980">
      <c r="C980" s="104"/>
      <c r="M980" s="158"/>
    </row>
    <row r="981">
      <c r="C981" s="104"/>
      <c r="M981" s="158"/>
    </row>
    <row r="982">
      <c r="C982" s="104"/>
      <c r="M982" s="158"/>
    </row>
    <row r="983">
      <c r="C983" s="104"/>
      <c r="M983" s="158"/>
    </row>
    <row r="984">
      <c r="C984" s="104"/>
      <c r="M984" s="158"/>
    </row>
    <row r="985">
      <c r="C985" s="104"/>
      <c r="M985" s="158"/>
    </row>
    <row r="986">
      <c r="C986" s="104"/>
      <c r="M986" s="158"/>
    </row>
    <row r="987">
      <c r="C987" s="104"/>
      <c r="M987" s="158"/>
    </row>
    <row r="988">
      <c r="C988" s="104"/>
      <c r="M988" s="158"/>
    </row>
    <row r="989">
      <c r="C989" s="104"/>
      <c r="M989" s="158"/>
    </row>
    <row r="990">
      <c r="C990" s="104"/>
      <c r="M990" s="158"/>
    </row>
    <row r="991">
      <c r="C991" s="104"/>
      <c r="M991" s="158"/>
    </row>
    <row r="992">
      <c r="C992" s="104"/>
      <c r="M992" s="158"/>
    </row>
    <row r="993">
      <c r="C993" s="104"/>
      <c r="M993" s="158"/>
    </row>
    <row r="994">
      <c r="C994" s="104"/>
      <c r="M994" s="158"/>
    </row>
    <row r="995">
      <c r="C995" s="104"/>
      <c r="M995" s="158"/>
    </row>
    <row r="996">
      <c r="C996" s="104"/>
      <c r="M996" s="158"/>
    </row>
    <row r="997">
      <c r="C997" s="104"/>
      <c r="M997" s="158"/>
    </row>
    <row r="998">
      <c r="C998" s="104"/>
      <c r="M998" s="158"/>
    </row>
    <row r="999">
      <c r="C999" s="104"/>
      <c r="M999" s="158"/>
    </row>
  </sheetData>
  <mergeCells count="2">
    <mergeCell ref="D1:L1"/>
    <mergeCell ref="M1:N1"/>
  </mergeCells>
  <conditionalFormatting sqref="N3:N23">
    <cfRule type="cellIs" dxfId="5" priority="1" operator="greaterThan">
      <formula>0</formula>
    </cfRule>
  </conditionalFormatting>
  <conditionalFormatting sqref="N3:N23">
    <cfRule type="cellIs" dxfId="6" priority="2" operator="lessThan">
      <formula>0</formula>
    </cfRule>
  </conditionalFormatting>
  <conditionalFormatting sqref="K3:K23">
    <cfRule type="cellIs" dxfId="7" priority="3" operator="greaterThan">
      <formula>0</formula>
    </cfRule>
  </conditionalFormatting>
  <conditionalFormatting sqref="K3:K23">
    <cfRule type="cellIs" dxfId="8" priority="4" operator="lessThan">
      <formula>0</formula>
    </cfRule>
  </conditionalFormatting>
  <conditionalFormatting sqref="K3:K23">
    <cfRule type="notContainsBlanks" dxfId="4" priority="5">
      <formula>LEN(TRIM(K3))&gt;0</formula>
    </cfRule>
  </conditionalFormatting>
  <conditionalFormatting sqref="L3:L99">
    <cfRule type="cellIs" dxfId="6" priority="6" operator="lessThan">
      <formula>0</formula>
    </cfRule>
  </conditionalFormatting>
  <conditionalFormatting sqref="L3:L99">
    <cfRule type="cellIs" dxfId="9" priority="7" operator="greaterThan">
      <formula>0</formula>
    </cfRule>
  </conditionalFormatting>
  <conditionalFormatting sqref="L3:L99">
    <cfRule type="notContainsBlanks" dxfId="4" priority="8">
      <formula>LEN(TRIM(L3))&gt;0</formula>
    </cfRule>
  </conditionalFormatting>
  <conditionalFormatting sqref="K3:L99">
    <cfRule type="containsBlanks" dxfId="10" priority="9">
      <formula>LEN(TRIM(K3))=0</formula>
    </cfRule>
  </conditionalFormatting>
  <dataValidations>
    <dataValidation type="list" allowBlank="1" showErrorMessage="1" sqref="I3:I25">
      <formula1>LEGEND!$A$3:$A$5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20.38"/>
    <col customWidth="1" min="6" max="6" width="25.75"/>
    <col customWidth="1" min="8" max="8" width="16.88"/>
    <col customWidth="1" min="10" max="10" width="19.75"/>
    <col customWidth="1" min="11" max="11" width="25.38"/>
    <col customWidth="1" min="12" max="12" width="15.5"/>
    <col customWidth="1" min="13" max="13" width="18.75"/>
    <col customWidth="1" min="14" max="14" width="18.88"/>
    <col customWidth="1" min="15" max="15" width="20.63"/>
    <col customWidth="1" min="16" max="16" width="24.75"/>
    <col customWidth="1" min="17" max="17" width="19.38"/>
    <col customWidth="1" min="18" max="19" width="14.25"/>
    <col customWidth="1" min="20" max="20" width="15.88"/>
    <col customWidth="1" min="21" max="21" width="15.75"/>
    <col customWidth="1" min="22" max="22" width="24.88"/>
  </cols>
  <sheetData>
    <row r="1">
      <c r="A1" s="80" t="s">
        <v>2</v>
      </c>
      <c r="B1" s="80" t="s">
        <v>4</v>
      </c>
      <c r="C1" s="80" t="s">
        <v>42</v>
      </c>
      <c r="D1" s="81" t="s">
        <v>43</v>
      </c>
      <c r="E1" s="81" t="s">
        <v>44</v>
      </c>
      <c r="F1" s="81" t="s">
        <v>45</v>
      </c>
      <c r="G1" s="2" t="s">
        <v>46</v>
      </c>
      <c r="H1" s="82" t="s">
        <v>4</v>
      </c>
      <c r="I1" s="82" t="s">
        <v>42</v>
      </c>
      <c r="J1" s="84" t="s">
        <v>43</v>
      </c>
      <c r="K1" s="84" t="s">
        <v>45</v>
      </c>
      <c r="L1" s="84" t="s">
        <v>33</v>
      </c>
      <c r="M1" s="85" t="s">
        <v>47</v>
      </c>
      <c r="N1" s="82" t="s">
        <v>4</v>
      </c>
      <c r="O1" s="84" t="s">
        <v>43</v>
      </c>
      <c r="P1" s="84" t="s">
        <v>45</v>
      </c>
      <c r="Q1" s="84" t="s">
        <v>48</v>
      </c>
      <c r="R1" s="84" t="s">
        <v>62</v>
      </c>
      <c r="S1" s="84" t="s">
        <v>50</v>
      </c>
      <c r="T1" s="84" t="s">
        <v>51</v>
      </c>
      <c r="U1" s="84" t="s">
        <v>52</v>
      </c>
      <c r="V1" s="84" t="s">
        <v>53</v>
      </c>
    </row>
    <row r="2">
      <c r="A2" s="74" t="str">
        <f t="shared" ref="A2:A464" si="1">IF(ISBLANK(B2),"",TEXT(B2,"dddd"))</f>
        <v>Tuesday</v>
      </c>
      <c r="B2" s="49">
        <v>46266.0</v>
      </c>
      <c r="C2" s="142">
        <v>1.0</v>
      </c>
      <c r="D2" s="143">
        <v>29365.07</v>
      </c>
      <c r="E2" s="144">
        <v>17640.0</v>
      </c>
      <c r="F2" s="88">
        <f t="shared" ref="F2:F464" si="2">D2*E2</f>
        <v>517999834.8</v>
      </c>
      <c r="H2" s="91">
        <f t="array" ref="H2:H111">INDEX(UNIQUE(B2:C1110), , 1)
</f>
        <v>46266</v>
      </c>
      <c r="I2" s="92">
        <f t="array" ref="I2:I111">INDEX(UNIQUE(B2:C1110), , 2)
</f>
        <v>1</v>
      </c>
      <c r="J2" s="93">
        <f t="shared" ref="J2:J200" si="3">SUMIFS($D$2:$D1110, $B$2:$B1110, H2, $C$2:$C1110, I2)</f>
        <v>215341.18</v>
      </c>
      <c r="K2" s="94">
        <f t="shared" ref="K2:K200" si="4">SUMIFS($F$2:$F1110, $B$2:$B1110, H2, $C$2:$C1110, I2)</f>
        <v>3796812293</v>
      </c>
      <c r="L2" s="95">
        <f t="shared" ref="L2:L200" si="5">IFERROR(K2/J2, 0)</f>
        <v>17631.61274</v>
      </c>
      <c r="N2" s="96">
        <f t="array" ref="N2:N31">UNIQUE(H2:H1118)</f>
        <v>46266</v>
      </c>
      <c r="O2" s="97">
        <f t="shared" ref="O2:O41" si="6">SUMIF($H$2:$H1110, N2, $J$2:$J1110)</f>
        <v>290649.21</v>
      </c>
      <c r="P2" s="98">
        <f t="shared" ref="P2:P41" si="7">SUMIF($H$2:$H1110, N2, $K$2:$K1110)</f>
        <v>5124818650</v>
      </c>
      <c r="Q2" s="99">
        <f t="shared" ref="Q2:Q41" si="8">IF(N2="", "", IFERROR(P2/O2, "-"))
</f>
        <v>17632.31577</v>
      </c>
      <c r="R2" s="100">
        <v>0.0</v>
      </c>
      <c r="S2" s="101">
        <f t="shared" ref="S2:S41" si="9">O2*$R2%</f>
        <v>0</v>
      </c>
      <c r="T2" s="101">
        <f t="shared" ref="T2:T41" si="10">O2-S2</f>
        <v>290649.21</v>
      </c>
      <c r="U2" s="101">
        <f>IFERROR(ROUND(ABS(VALUE(T2)-VALUE(SUMMARY!C14)), 2), "-")</f>
        <v>121077.86</v>
      </c>
      <c r="V2" s="98">
        <f t="shared" ref="V2:V41" si="11">IFERROR(ROUND(VALUE(U2)*VALUE(Q2), 2), "-")</f>
        <v>2134883061</v>
      </c>
    </row>
    <row r="3">
      <c r="A3" s="74" t="str">
        <f t="shared" si="1"/>
        <v>Tuesday</v>
      </c>
      <c r="B3" s="49">
        <v>46266.0</v>
      </c>
      <c r="C3" s="142">
        <v>1.0</v>
      </c>
      <c r="D3" s="143">
        <v>113475.0</v>
      </c>
      <c r="E3" s="144">
        <v>17625.0</v>
      </c>
      <c r="F3" s="88">
        <f t="shared" si="2"/>
        <v>1999996875</v>
      </c>
      <c r="G3" s="104"/>
      <c r="H3" s="91">
        <v>46266.0</v>
      </c>
      <c r="I3" s="105">
        <v>2.0</v>
      </c>
      <c r="J3" s="93">
        <f t="shared" si="3"/>
        <v>75308.03</v>
      </c>
      <c r="K3" s="94">
        <f t="shared" si="4"/>
        <v>1328006358</v>
      </c>
      <c r="L3" s="95">
        <f t="shared" si="5"/>
        <v>17634.32608</v>
      </c>
      <c r="N3" s="96">
        <v>46267.0</v>
      </c>
      <c r="O3" s="97">
        <f t="shared" si="6"/>
        <v>392877.52</v>
      </c>
      <c r="P3" s="98">
        <f t="shared" si="7"/>
        <v>6936581493</v>
      </c>
      <c r="Q3" s="99">
        <f t="shared" si="8"/>
        <v>17655.8371</v>
      </c>
      <c r="R3" s="100">
        <v>0.0</v>
      </c>
      <c r="S3" s="101">
        <f t="shared" si="9"/>
        <v>0</v>
      </c>
      <c r="T3" s="101">
        <f t="shared" si="10"/>
        <v>392877.52</v>
      </c>
      <c r="U3" s="101">
        <f>IFERROR(ROUND(ABS(VALUE(T3)-VALUE(SUMMARY!C15)), 2), "-")</f>
        <v>280010.39</v>
      </c>
      <c r="V3" s="98">
        <f t="shared" si="11"/>
        <v>4943817832</v>
      </c>
    </row>
    <row r="4">
      <c r="A4" s="74" t="str">
        <f t="shared" si="1"/>
        <v>Tuesday</v>
      </c>
      <c r="B4" s="49">
        <v>46266.0</v>
      </c>
      <c r="C4" s="148">
        <v>1.0</v>
      </c>
      <c r="D4" s="143">
        <v>15990.92</v>
      </c>
      <c r="E4" s="144">
        <v>17635.0</v>
      </c>
      <c r="F4" s="88">
        <f t="shared" si="2"/>
        <v>281999874.2</v>
      </c>
      <c r="H4" s="91">
        <v>46267.0</v>
      </c>
      <c r="I4" s="105">
        <v>1.0</v>
      </c>
      <c r="J4" s="93">
        <f t="shared" si="3"/>
        <v>137635.15</v>
      </c>
      <c r="K4" s="94">
        <f t="shared" si="4"/>
        <v>2432005082</v>
      </c>
      <c r="L4" s="95">
        <f t="shared" si="5"/>
        <v>17669.94174</v>
      </c>
      <c r="N4" s="96">
        <v>46268.0</v>
      </c>
      <c r="O4" s="97">
        <f t="shared" si="6"/>
        <v>604148.6</v>
      </c>
      <c r="P4" s="98">
        <f t="shared" si="7"/>
        <v>10643627027</v>
      </c>
      <c r="Q4" s="99">
        <f t="shared" si="8"/>
        <v>17617.56466</v>
      </c>
      <c r="R4" s="100">
        <v>0.0</v>
      </c>
      <c r="S4" s="101">
        <f t="shared" si="9"/>
        <v>0</v>
      </c>
      <c r="T4" s="101">
        <f t="shared" si="10"/>
        <v>604148.6</v>
      </c>
      <c r="U4" s="101">
        <f>IFERROR(ROUND(ABS(VALUE(T4)-VALUE(SUMMARY!C16)), 2), "-")</f>
        <v>323423.11</v>
      </c>
      <c r="V4" s="98">
        <f t="shared" si="11"/>
        <v>5697927554</v>
      </c>
    </row>
    <row r="5">
      <c r="A5" s="74" t="str">
        <f t="shared" si="1"/>
        <v>Tuesday</v>
      </c>
      <c r="B5" s="49">
        <v>46266.0</v>
      </c>
      <c r="C5" s="148">
        <v>1.0</v>
      </c>
      <c r="D5" s="143">
        <v>1944.28</v>
      </c>
      <c r="E5" s="144">
        <v>17617.0</v>
      </c>
      <c r="F5" s="88">
        <f t="shared" si="2"/>
        <v>34252380.76</v>
      </c>
      <c r="H5" s="91">
        <v>46267.0</v>
      </c>
      <c r="I5" s="105">
        <v>2.0</v>
      </c>
      <c r="J5" s="93">
        <f t="shared" si="3"/>
        <v>56971.53</v>
      </c>
      <c r="K5" s="94">
        <f t="shared" si="4"/>
        <v>1006196473</v>
      </c>
      <c r="L5" s="95">
        <f t="shared" si="5"/>
        <v>17661.39111</v>
      </c>
      <c r="N5" s="96">
        <v>46269.0</v>
      </c>
      <c r="O5" s="97">
        <f t="shared" si="6"/>
        <v>719391.82</v>
      </c>
      <c r="P5" s="98">
        <f t="shared" si="7"/>
        <v>12633523056</v>
      </c>
      <c r="Q5" s="99">
        <f t="shared" si="8"/>
        <v>17561.39381</v>
      </c>
      <c r="R5" s="100">
        <v>0.0</v>
      </c>
      <c r="S5" s="101">
        <f t="shared" si="9"/>
        <v>0</v>
      </c>
      <c r="T5" s="101">
        <f t="shared" si="10"/>
        <v>719391.82</v>
      </c>
      <c r="U5" s="101">
        <f>IFERROR(ROUND(ABS(VALUE(T5)-VALUE(SUMMARY!C17)), 2), "-")</f>
        <v>494909.19</v>
      </c>
      <c r="V5" s="98">
        <f t="shared" si="11"/>
        <v>8691295187</v>
      </c>
    </row>
    <row r="6">
      <c r="A6" s="74" t="str">
        <f t="shared" si="1"/>
        <v>Tuesday</v>
      </c>
      <c r="B6" s="49">
        <v>46266.0</v>
      </c>
      <c r="C6" s="148">
        <v>1.0</v>
      </c>
      <c r="D6" s="143">
        <v>4135.08</v>
      </c>
      <c r="E6" s="144">
        <v>17645.0</v>
      </c>
      <c r="F6" s="88">
        <f t="shared" si="2"/>
        <v>72963486.6</v>
      </c>
      <c r="H6" s="91">
        <v>46267.0</v>
      </c>
      <c r="I6" s="105">
        <v>3.0</v>
      </c>
      <c r="J6" s="93">
        <f t="shared" si="3"/>
        <v>113313.33</v>
      </c>
      <c r="K6" s="94">
        <f t="shared" si="4"/>
        <v>1999049840</v>
      </c>
      <c r="L6" s="95">
        <f t="shared" si="5"/>
        <v>17641.78884</v>
      </c>
      <c r="N6" s="96">
        <v>46270.0</v>
      </c>
      <c r="O6" s="97">
        <f t="shared" si="6"/>
        <v>85470.08</v>
      </c>
      <c r="P6" s="98">
        <f t="shared" si="7"/>
        <v>1499999904</v>
      </c>
      <c r="Q6" s="99">
        <f t="shared" si="8"/>
        <v>17550</v>
      </c>
      <c r="R6" s="100">
        <v>0.0</v>
      </c>
      <c r="S6" s="101">
        <f t="shared" si="9"/>
        <v>0</v>
      </c>
      <c r="T6" s="101">
        <f t="shared" si="10"/>
        <v>85470.08</v>
      </c>
      <c r="U6" s="101">
        <f>IFERROR(ROUND(ABS(VALUE(T6)-VALUE(SUMMARY!C18)), 2), "-")</f>
        <v>83290.46</v>
      </c>
      <c r="V6" s="98">
        <f t="shared" si="11"/>
        <v>1461747573</v>
      </c>
    </row>
    <row r="7">
      <c r="A7" s="74" t="str">
        <f t="shared" si="1"/>
        <v>Tuesday</v>
      </c>
      <c r="B7" s="49">
        <v>46266.0</v>
      </c>
      <c r="C7" s="148">
        <v>1.0</v>
      </c>
      <c r="D7" s="143">
        <v>50430.83</v>
      </c>
      <c r="E7" s="144">
        <v>17640.0</v>
      </c>
      <c r="F7" s="88">
        <f t="shared" si="2"/>
        <v>889599841.2</v>
      </c>
      <c r="H7" s="91">
        <v>46267.0</v>
      </c>
      <c r="I7" s="105">
        <v>4.0</v>
      </c>
      <c r="J7" s="93">
        <f t="shared" si="3"/>
        <v>28325.83</v>
      </c>
      <c r="K7" s="94">
        <f t="shared" si="4"/>
        <v>499780944.5</v>
      </c>
      <c r="L7" s="95">
        <f t="shared" si="5"/>
        <v>17644</v>
      </c>
      <c r="N7" s="96">
        <v>46272.0</v>
      </c>
      <c r="O7" s="97">
        <f t="shared" si="6"/>
        <v>113226.87</v>
      </c>
      <c r="P7" s="98">
        <f t="shared" si="7"/>
        <v>1988211089</v>
      </c>
      <c r="Q7" s="99">
        <f t="shared" si="8"/>
        <v>17559.53413</v>
      </c>
      <c r="R7" s="100">
        <v>0.0</v>
      </c>
      <c r="S7" s="101">
        <f t="shared" si="9"/>
        <v>0</v>
      </c>
      <c r="T7" s="101">
        <f t="shared" si="10"/>
        <v>113226.87</v>
      </c>
      <c r="U7" s="101">
        <f>IFERROR(ROUND(ABS(VALUE(T7)-VALUE(SUMMARY!C19)), 2), "-")</f>
        <v>14575.74</v>
      </c>
      <c r="V7" s="98">
        <f t="shared" si="11"/>
        <v>255943204.1</v>
      </c>
    </row>
    <row r="8">
      <c r="A8" s="74" t="str">
        <f t="shared" si="1"/>
        <v>Tuesday</v>
      </c>
      <c r="B8" s="49">
        <v>46266.0</v>
      </c>
      <c r="C8" s="148">
        <v>2.0</v>
      </c>
      <c r="D8" s="143">
        <v>2053.98</v>
      </c>
      <c r="E8" s="144">
        <v>17637.0</v>
      </c>
      <c r="F8" s="88">
        <f t="shared" si="2"/>
        <v>36226045.26</v>
      </c>
      <c r="H8" s="91">
        <v>46267.0</v>
      </c>
      <c r="I8" s="105">
        <v>5.0</v>
      </c>
      <c r="J8" s="93">
        <f t="shared" si="3"/>
        <v>56631.68</v>
      </c>
      <c r="K8" s="94">
        <f t="shared" si="4"/>
        <v>999549152</v>
      </c>
      <c r="L8" s="95">
        <f t="shared" si="5"/>
        <v>17650</v>
      </c>
      <c r="N8" s="96">
        <v>46273.0</v>
      </c>
      <c r="O8" s="97">
        <f t="shared" si="6"/>
        <v>396691.3</v>
      </c>
      <c r="P8" s="98">
        <f t="shared" si="7"/>
        <v>6963384601</v>
      </c>
      <c r="Q8" s="99">
        <f t="shared" si="8"/>
        <v>17553.661</v>
      </c>
      <c r="R8" s="100">
        <v>0.0</v>
      </c>
      <c r="S8" s="101">
        <f t="shared" si="9"/>
        <v>0</v>
      </c>
      <c r="T8" s="101">
        <f t="shared" si="10"/>
        <v>396691.3</v>
      </c>
      <c r="U8" s="101">
        <f>IFERROR(ROUND(ABS(VALUE(T8)-VALUE(SUMMARY!C20)), 2), "-")</f>
        <v>396691.3</v>
      </c>
      <c r="V8" s="98">
        <f t="shared" si="11"/>
        <v>6963384601</v>
      </c>
    </row>
    <row r="9">
      <c r="A9" s="74" t="str">
        <f t="shared" si="1"/>
        <v>Tuesday</v>
      </c>
      <c r="B9" s="49">
        <v>46266.0</v>
      </c>
      <c r="C9" s="148">
        <v>2.0</v>
      </c>
      <c r="D9" s="143">
        <v>5997.0</v>
      </c>
      <c r="E9" s="144">
        <v>17637.0</v>
      </c>
      <c r="F9" s="88">
        <f t="shared" si="2"/>
        <v>105769089</v>
      </c>
      <c r="H9" s="91">
        <v>46268.0</v>
      </c>
      <c r="I9" s="105">
        <v>1.0</v>
      </c>
      <c r="J9" s="93">
        <f t="shared" si="3"/>
        <v>446783.42</v>
      </c>
      <c r="K9" s="94">
        <f t="shared" si="4"/>
        <v>7875999498</v>
      </c>
      <c r="L9" s="95">
        <f t="shared" si="5"/>
        <v>17628.22689</v>
      </c>
      <c r="N9" s="96">
        <v>46274.0</v>
      </c>
      <c r="O9" s="97">
        <f t="shared" si="6"/>
        <v>55379.37</v>
      </c>
      <c r="P9" s="98">
        <f t="shared" si="7"/>
        <v>966508492</v>
      </c>
      <c r="Q9" s="99">
        <f t="shared" si="8"/>
        <v>17452.50067</v>
      </c>
      <c r="R9" s="100">
        <v>0.0</v>
      </c>
      <c r="S9" s="101">
        <f t="shared" si="9"/>
        <v>0</v>
      </c>
      <c r="T9" s="101">
        <f t="shared" si="10"/>
        <v>55379.37</v>
      </c>
      <c r="U9" s="101">
        <f>IFERROR(ROUND(ABS(VALUE(T9)-VALUE(SUMMARY!C21)), 2), "-")</f>
        <v>938.05</v>
      </c>
      <c r="V9" s="98">
        <f t="shared" si="11"/>
        <v>16371318.25</v>
      </c>
    </row>
    <row r="10">
      <c r="A10" s="74" t="str">
        <f t="shared" si="1"/>
        <v>Tuesday</v>
      </c>
      <c r="B10" s="49">
        <v>46266.0</v>
      </c>
      <c r="C10" s="148">
        <v>2.0</v>
      </c>
      <c r="D10" s="143">
        <v>3998.0</v>
      </c>
      <c r="E10" s="144">
        <v>17637.0</v>
      </c>
      <c r="F10" s="88">
        <f t="shared" si="2"/>
        <v>70512726</v>
      </c>
      <c r="H10" s="91">
        <v>46268.0</v>
      </c>
      <c r="I10" s="105">
        <v>2.0</v>
      </c>
      <c r="J10" s="93">
        <f t="shared" si="3"/>
        <v>157365.18</v>
      </c>
      <c r="K10" s="94">
        <f t="shared" si="4"/>
        <v>2767627529</v>
      </c>
      <c r="L10" s="95">
        <f t="shared" si="5"/>
        <v>17587.293</v>
      </c>
      <c r="N10" s="96">
        <v>46275.0</v>
      </c>
      <c r="O10" s="97">
        <f t="shared" si="6"/>
        <v>144807.59</v>
      </c>
      <c r="P10" s="98">
        <f t="shared" si="7"/>
        <v>2531674670</v>
      </c>
      <c r="Q10" s="99">
        <f t="shared" si="8"/>
        <v>17483.02468</v>
      </c>
      <c r="R10" s="100">
        <v>0.0</v>
      </c>
      <c r="S10" s="101">
        <f t="shared" si="9"/>
        <v>0</v>
      </c>
      <c r="T10" s="101">
        <f t="shared" si="10"/>
        <v>144807.59</v>
      </c>
      <c r="U10" s="101">
        <f>IFERROR(ROUND(ABS(VALUE(T10)-VALUE(SUMMARY!C22)), 2), "-")</f>
        <v>116717.71</v>
      </c>
      <c r="V10" s="98">
        <f t="shared" si="11"/>
        <v>2040578605</v>
      </c>
    </row>
    <row r="11">
      <c r="A11" s="74" t="str">
        <f t="shared" si="1"/>
        <v>Tuesday</v>
      </c>
      <c r="B11" s="49">
        <v>46266.0</v>
      </c>
      <c r="C11" s="148">
        <v>2.0</v>
      </c>
      <c r="D11" s="143">
        <v>2998.5</v>
      </c>
      <c r="E11" s="144">
        <v>17637.0</v>
      </c>
      <c r="F11" s="88">
        <f t="shared" si="2"/>
        <v>52884544.5</v>
      </c>
      <c r="H11" s="91">
        <v>46269.0</v>
      </c>
      <c r="I11" s="105">
        <v>1.0</v>
      </c>
      <c r="J11" s="93">
        <f t="shared" si="3"/>
        <v>263858.85</v>
      </c>
      <c r="K11" s="94">
        <f t="shared" si="4"/>
        <v>4635999995</v>
      </c>
      <c r="L11" s="95">
        <f t="shared" si="5"/>
        <v>17570</v>
      </c>
      <c r="N11" s="96">
        <v>46276.0</v>
      </c>
      <c r="O11" s="97">
        <f t="shared" si="6"/>
        <v>157987.81</v>
      </c>
      <c r="P11" s="98">
        <f t="shared" si="7"/>
        <v>2766536793</v>
      </c>
      <c r="Q11" s="99">
        <f t="shared" si="8"/>
        <v>17511.07755</v>
      </c>
      <c r="R11" s="100">
        <v>0.0</v>
      </c>
      <c r="S11" s="101">
        <f t="shared" si="9"/>
        <v>0</v>
      </c>
      <c r="T11" s="101">
        <f t="shared" si="10"/>
        <v>157987.81</v>
      </c>
      <c r="U11" s="101">
        <f>IFERROR(ROUND(ABS(VALUE(T11)-VALUE(SUMMARY!C23)), 2), "-")</f>
        <v>157987.81</v>
      </c>
      <c r="V11" s="98">
        <f t="shared" si="11"/>
        <v>2766536793</v>
      </c>
    </row>
    <row r="12">
      <c r="A12" s="74" t="str">
        <f t="shared" si="1"/>
        <v>Tuesday</v>
      </c>
      <c r="B12" s="49">
        <v>46266.0</v>
      </c>
      <c r="C12" s="148">
        <v>2.0</v>
      </c>
      <c r="D12" s="143">
        <v>2998.5</v>
      </c>
      <c r="E12" s="144">
        <v>17635.0</v>
      </c>
      <c r="F12" s="88">
        <f t="shared" si="2"/>
        <v>52878547.5</v>
      </c>
      <c r="H12" s="91">
        <v>46269.0</v>
      </c>
      <c r="I12" s="105">
        <v>2.0</v>
      </c>
      <c r="J12" s="93">
        <f t="shared" si="3"/>
        <v>130904.95</v>
      </c>
      <c r="K12" s="94">
        <f t="shared" si="4"/>
        <v>2299999972</v>
      </c>
      <c r="L12" s="95">
        <f t="shared" si="5"/>
        <v>17570</v>
      </c>
      <c r="N12" s="96">
        <v>46277.0</v>
      </c>
      <c r="O12" s="97">
        <f t="shared" si="6"/>
        <v>183366.67</v>
      </c>
      <c r="P12" s="98">
        <f t="shared" si="7"/>
        <v>3207999892</v>
      </c>
      <c r="Q12" s="99">
        <f t="shared" si="8"/>
        <v>17495</v>
      </c>
      <c r="R12" s="100">
        <v>0.0</v>
      </c>
      <c r="S12" s="101">
        <f t="shared" si="9"/>
        <v>0</v>
      </c>
      <c r="T12" s="101">
        <f t="shared" si="10"/>
        <v>183366.67</v>
      </c>
      <c r="U12" s="101">
        <f>IFERROR(ROUND(ABS(VALUE(T12)-VALUE(SUMMARY!C24)), 2), "-")</f>
        <v>183366.67</v>
      </c>
      <c r="V12" s="98">
        <f t="shared" si="11"/>
        <v>3207999892</v>
      </c>
    </row>
    <row r="13">
      <c r="A13" s="74" t="str">
        <f t="shared" si="1"/>
        <v>Tuesday</v>
      </c>
      <c r="B13" s="49">
        <v>46266.0</v>
      </c>
      <c r="C13" s="148">
        <v>2.0</v>
      </c>
      <c r="D13" s="143">
        <v>569.72</v>
      </c>
      <c r="E13" s="144">
        <v>17630.0</v>
      </c>
      <c r="F13" s="88">
        <f t="shared" si="2"/>
        <v>10044163.6</v>
      </c>
      <c r="H13" s="91">
        <v>46269.0</v>
      </c>
      <c r="I13" s="105">
        <v>3.0</v>
      </c>
      <c r="J13" s="93">
        <f t="shared" si="3"/>
        <v>92655.84</v>
      </c>
      <c r="K13" s="94">
        <f t="shared" si="4"/>
        <v>1627499830</v>
      </c>
      <c r="L13" s="95">
        <f t="shared" si="5"/>
        <v>17565</v>
      </c>
      <c r="N13" s="96">
        <v>46278.0</v>
      </c>
      <c r="O13" s="97">
        <f t="shared" si="6"/>
        <v>341391.81</v>
      </c>
      <c r="P13" s="98">
        <f t="shared" si="7"/>
        <v>5970942757</v>
      </c>
      <c r="Q13" s="99">
        <f t="shared" si="8"/>
        <v>17490</v>
      </c>
      <c r="R13" s="100">
        <v>0.0</v>
      </c>
      <c r="S13" s="101">
        <f t="shared" si="9"/>
        <v>0</v>
      </c>
      <c r="T13" s="101">
        <f t="shared" si="10"/>
        <v>341391.81</v>
      </c>
      <c r="U13" s="101">
        <f>IFERROR(ROUND(ABS(VALUE(T13)-VALUE(SUMMARY!C25)), 2), "-")</f>
        <v>341391.81</v>
      </c>
      <c r="V13" s="98">
        <f t="shared" si="11"/>
        <v>5970942757</v>
      </c>
    </row>
    <row r="14">
      <c r="A14" s="74" t="str">
        <f t="shared" si="1"/>
        <v>Tuesday</v>
      </c>
      <c r="B14" s="49">
        <v>46266.0</v>
      </c>
      <c r="C14" s="148">
        <v>2.0</v>
      </c>
      <c r="D14" s="143">
        <v>575.72</v>
      </c>
      <c r="E14" s="144">
        <v>17626.0</v>
      </c>
      <c r="F14" s="88">
        <f t="shared" si="2"/>
        <v>10147640.72</v>
      </c>
      <c r="H14" s="91">
        <v>46269.0</v>
      </c>
      <c r="I14" s="105">
        <v>4.0</v>
      </c>
      <c r="J14" s="93">
        <f t="shared" si="3"/>
        <v>166164.15</v>
      </c>
      <c r="K14" s="94">
        <f t="shared" si="4"/>
        <v>2915350012</v>
      </c>
      <c r="L14" s="95">
        <f t="shared" si="5"/>
        <v>17545</v>
      </c>
      <c r="N14" s="96">
        <v>46279.0</v>
      </c>
      <c r="O14" s="97">
        <f t="shared" si="6"/>
        <v>757237.55</v>
      </c>
      <c r="P14" s="98">
        <f t="shared" si="7"/>
        <v>13294416267</v>
      </c>
      <c r="Q14" s="99">
        <f t="shared" si="8"/>
        <v>17556.46728</v>
      </c>
      <c r="R14" s="100">
        <v>0.0</v>
      </c>
      <c r="S14" s="101">
        <f t="shared" si="9"/>
        <v>0</v>
      </c>
      <c r="T14" s="101">
        <f t="shared" si="10"/>
        <v>757237.55</v>
      </c>
      <c r="U14" s="101">
        <f>IFERROR(ROUND(ABS(VALUE(T14)-VALUE(SUMMARY!C26)), 2), "-")</f>
        <v>757237.55</v>
      </c>
      <c r="V14" s="98">
        <f t="shared" si="11"/>
        <v>13294416267</v>
      </c>
    </row>
    <row r="15">
      <c r="A15" s="74" t="str">
        <f t="shared" si="1"/>
        <v>Tuesday</v>
      </c>
      <c r="B15" s="49">
        <v>46266.0</v>
      </c>
      <c r="C15" s="148">
        <v>2.0</v>
      </c>
      <c r="D15" s="143">
        <v>9378.12</v>
      </c>
      <c r="E15" s="144">
        <v>17626.0</v>
      </c>
      <c r="F15" s="88">
        <f t="shared" si="2"/>
        <v>165298743.1</v>
      </c>
      <c r="H15" s="91">
        <v>46269.0</v>
      </c>
      <c r="I15" s="105">
        <v>5.0</v>
      </c>
      <c r="J15" s="93">
        <f t="shared" si="3"/>
        <v>65808.03</v>
      </c>
      <c r="K15" s="94">
        <f t="shared" si="4"/>
        <v>1154673249</v>
      </c>
      <c r="L15" s="95">
        <f t="shared" si="5"/>
        <v>17546.0844</v>
      </c>
      <c r="N15" s="96">
        <v>46280.0</v>
      </c>
      <c r="O15" s="97">
        <f t="shared" si="6"/>
        <v>130570.53</v>
      </c>
      <c r="P15" s="98">
        <f t="shared" si="7"/>
        <v>2299999886</v>
      </c>
      <c r="Q15" s="99">
        <f t="shared" si="8"/>
        <v>17615</v>
      </c>
      <c r="R15" s="100">
        <v>0.0</v>
      </c>
      <c r="S15" s="101">
        <f t="shared" si="9"/>
        <v>0</v>
      </c>
      <c r="T15" s="101">
        <f t="shared" si="10"/>
        <v>130570.53</v>
      </c>
      <c r="U15" s="101">
        <f>IFERROR(ROUND(ABS(VALUE(T15)-VALUE(SUMMARY!C27)), 2), "-")</f>
        <v>130570.53</v>
      </c>
      <c r="V15" s="98">
        <f t="shared" si="11"/>
        <v>2299999886</v>
      </c>
    </row>
    <row r="16">
      <c r="A16" s="74" t="str">
        <f t="shared" si="1"/>
        <v>Tuesday</v>
      </c>
      <c r="B16" s="49">
        <v>46266.0</v>
      </c>
      <c r="C16" s="148">
        <v>2.0</v>
      </c>
      <c r="D16" s="143">
        <v>7874.47</v>
      </c>
      <c r="E16" s="144">
        <v>17626.0</v>
      </c>
      <c r="F16" s="88">
        <f t="shared" si="2"/>
        <v>138795408.2</v>
      </c>
      <c r="H16" s="91">
        <v>46270.0</v>
      </c>
      <c r="I16" s="105">
        <v>1.0</v>
      </c>
      <c r="J16" s="93">
        <f t="shared" si="3"/>
        <v>85470.08</v>
      </c>
      <c r="K16" s="94">
        <f t="shared" si="4"/>
        <v>1499999904</v>
      </c>
      <c r="L16" s="95">
        <f t="shared" si="5"/>
        <v>17550</v>
      </c>
      <c r="N16" s="96">
        <v>46281.0</v>
      </c>
      <c r="O16" s="97">
        <f t="shared" si="6"/>
        <v>453146.15</v>
      </c>
      <c r="P16" s="98">
        <f t="shared" si="7"/>
        <v>7959477958</v>
      </c>
      <c r="Q16" s="99">
        <f t="shared" si="8"/>
        <v>17564.9246</v>
      </c>
      <c r="R16" s="100">
        <v>0.0</v>
      </c>
      <c r="S16" s="101">
        <f t="shared" si="9"/>
        <v>0</v>
      </c>
      <c r="T16" s="101">
        <f t="shared" si="10"/>
        <v>453146.15</v>
      </c>
      <c r="U16" s="101">
        <f>IFERROR(ROUND(ABS(VALUE(T16)-VALUE(SUMMARY!C28)), 2), "-")</f>
        <v>453146.15</v>
      </c>
      <c r="V16" s="98">
        <f t="shared" si="11"/>
        <v>7959477958</v>
      </c>
    </row>
    <row r="17">
      <c r="A17" s="74" t="str">
        <f t="shared" si="1"/>
        <v>Tuesday</v>
      </c>
      <c r="B17" s="49">
        <v>46266.0</v>
      </c>
      <c r="C17" s="148">
        <v>2.0</v>
      </c>
      <c r="D17" s="143">
        <v>7455.0</v>
      </c>
      <c r="E17" s="144">
        <v>17626.0</v>
      </c>
      <c r="F17" s="88">
        <f t="shared" si="2"/>
        <v>131401830</v>
      </c>
      <c r="H17" s="91">
        <v>46272.0</v>
      </c>
      <c r="I17" s="105">
        <v>1.0</v>
      </c>
      <c r="J17" s="93">
        <f t="shared" si="3"/>
        <v>113226.87</v>
      </c>
      <c r="K17" s="94">
        <f t="shared" si="4"/>
        <v>1988211089</v>
      </c>
      <c r="L17" s="95">
        <f t="shared" si="5"/>
        <v>17559.53413</v>
      </c>
      <c r="N17" s="96">
        <v>46282.0</v>
      </c>
      <c r="O17" s="97">
        <f t="shared" si="6"/>
        <v>221017.51</v>
      </c>
      <c r="P17" s="98">
        <f t="shared" si="7"/>
        <v>3896007550</v>
      </c>
      <c r="Q17" s="99">
        <f t="shared" si="8"/>
        <v>17627.59679</v>
      </c>
      <c r="R17" s="100">
        <v>0.0</v>
      </c>
      <c r="S17" s="101">
        <f t="shared" si="9"/>
        <v>0</v>
      </c>
      <c r="T17" s="101">
        <f t="shared" si="10"/>
        <v>221017.51</v>
      </c>
      <c r="U17" s="101">
        <f>IFERROR(ROUND(ABS(VALUE(T17)-VALUE(SUMMARY!C29)), 2), "-")</f>
        <v>221017.51</v>
      </c>
      <c r="V17" s="98">
        <f t="shared" si="11"/>
        <v>3896007550</v>
      </c>
    </row>
    <row r="18">
      <c r="A18" s="74" t="str">
        <f t="shared" si="1"/>
        <v>Tuesday</v>
      </c>
      <c r="B18" s="49">
        <v>46266.0</v>
      </c>
      <c r="C18" s="148">
        <v>2.0</v>
      </c>
      <c r="D18" s="143">
        <v>3968.97</v>
      </c>
      <c r="E18" s="144">
        <v>17628.0</v>
      </c>
      <c r="F18" s="88">
        <f t="shared" si="2"/>
        <v>69965003.16</v>
      </c>
      <c r="H18" s="91">
        <v>46273.0</v>
      </c>
      <c r="I18" s="105">
        <v>1.0</v>
      </c>
      <c r="J18" s="93">
        <f t="shared" si="3"/>
        <v>65988.83</v>
      </c>
      <c r="K18" s="94">
        <f t="shared" si="4"/>
        <v>1158499899</v>
      </c>
      <c r="L18" s="95">
        <f t="shared" si="5"/>
        <v>17556</v>
      </c>
      <c r="N18" s="96">
        <v>46283.0</v>
      </c>
      <c r="O18" s="97">
        <f t="shared" si="6"/>
        <v>766353.31</v>
      </c>
      <c r="P18" s="98">
        <f t="shared" si="7"/>
        <v>13500675797</v>
      </c>
      <c r="Q18" s="99">
        <f t="shared" si="8"/>
        <v>17616.77756</v>
      </c>
      <c r="R18" s="100">
        <v>0.0</v>
      </c>
      <c r="S18" s="101">
        <f t="shared" si="9"/>
        <v>0</v>
      </c>
      <c r="T18" s="101">
        <f t="shared" si="10"/>
        <v>766353.31</v>
      </c>
      <c r="U18" s="101">
        <f>IFERROR(ROUND(ABS(VALUE(T18)-VALUE(SUMMARY!C30)), 2), "-")</f>
        <v>766353.31</v>
      </c>
      <c r="V18" s="98">
        <f t="shared" si="11"/>
        <v>13500675797</v>
      </c>
    </row>
    <row r="19">
      <c r="A19" s="74" t="str">
        <f t="shared" si="1"/>
        <v>Tuesday</v>
      </c>
      <c r="B19" s="49">
        <v>46266.0</v>
      </c>
      <c r="C19" s="148">
        <v>2.0</v>
      </c>
      <c r="D19" s="143">
        <v>7649.95</v>
      </c>
      <c r="E19" s="144">
        <v>17628.0</v>
      </c>
      <c r="F19" s="88">
        <f t="shared" si="2"/>
        <v>134853318.6</v>
      </c>
      <c r="H19" s="91">
        <v>46273.0</v>
      </c>
      <c r="I19" s="105">
        <v>2.0</v>
      </c>
      <c r="J19" s="93">
        <f t="shared" si="3"/>
        <v>113921.16</v>
      </c>
      <c r="K19" s="94">
        <f t="shared" si="4"/>
        <v>1999999885</v>
      </c>
      <c r="L19" s="95">
        <f t="shared" si="5"/>
        <v>17556</v>
      </c>
      <c r="N19" s="96">
        <v>46284.0</v>
      </c>
      <c r="O19" s="97">
        <f t="shared" si="6"/>
        <v>454312.32</v>
      </c>
      <c r="P19" s="98">
        <f t="shared" si="7"/>
        <v>7973675857</v>
      </c>
      <c r="Q19" s="99">
        <f t="shared" si="8"/>
        <v>17551.08877</v>
      </c>
      <c r="R19" s="100">
        <v>0.0</v>
      </c>
      <c r="S19" s="101">
        <f t="shared" si="9"/>
        <v>0</v>
      </c>
      <c r="T19" s="101">
        <f t="shared" si="10"/>
        <v>454312.32</v>
      </c>
      <c r="U19" s="101">
        <f>IFERROR(ROUND(ABS(VALUE(T19)-VALUE(SUMMARY!C31)), 2), "-")</f>
        <v>454312.32</v>
      </c>
      <c r="V19" s="98">
        <f t="shared" si="11"/>
        <v>7973675857</v>
      </c>
    </row>
    <row r="20">
      <c r="A20" s="74" t="str">
        <f t="shared" si="1"/>
        <v>Tuesday</v>
      </c>
      <c r="B20" s="49">
        <v>46266.0</v>
      </c>
      <c r="C20" s="148">
        <v>2.0</v>
      </c>
      <c r="D20" s="143">
        <v>2998.5</v>
      </c>
      <c r="E20" s="144">
        <v>17628.0</v>
      </c>
      <c r="F20" s="88">
        <f t="shared" si="2"/>
        <v>52857558</v>
      </c>
      <c r="H20" s="91">
        <v>46273.0</v>
      </c>
      <c r="I20" s="105">
        <v>3.0</v>
      </c>
      <c r="J20" s="93">
        <f t="shared" si="3"/>
        <v>28480.29</v>
      </c>
      <c r="K20" s="94">
        <f t="shared" si="4"/>
        <v>499999971.2</v>
      </c>
      <c r="L20" s="95">
        <f t="shared" si="5"/>
        <v>17556</v>
      </c>
      <c r="N20" s="96">
        <v>46285.0</v>
      </c>
      <c r="O20" s="97">
        <f t="shared" si="6"/>
        <v>397338.8</v>
      </c>
      <c r="P20" s="98">
        <f t="shared" si="7"/>
        <v>6967217172</v>
      </c>
      <c r="Q20" s="99">
        <f t="shared" si="8"/>
        <v>17534.7013</v>
      </c>
      <c r="R20" s="100">
        <v>0.0</v>
      </c>
      <c r="S20" s="101">
        <f t="shared" si="9"/>
        <v>0</v>
      </c>
      <c r="T20" s="101">
        <f t="shared" si="10"/>
        <v>397338.8</v>
      </c>
      <c r="U20" s="101">
        <f>IFERROR(ROUND(ABS(VALUE(T20)-VALUE(SUMMARY!C32)), 2), "-")</f>
        <v>397338.8</v>
      </c>
      <c r="V20" s="98">
        <f t="shared" si="11"/>
        <v>6967217172</v>
      </c>
    </row>
    <row r="21">
      <c r="A21" s="74" t="str">
        <f t="shared" si="1"/>
        <v>Tuesday</v>
      </c>
      <c r="B21" s="49">
        <v>46266.0</v>
      </c>
      <c r="C21" s="148">
        <v>2.0</v>
      </c>
      <c r="D21" s="143">
        <v>2498.75</v>
      </c>
      <c r="E21" s="144">
        <v>17650.0</v>
      </c>
      <c r="F21" s="88">
        <f t="shared" si="2"/>
        <v>44102937.5</v>
      </c>
      <c r="H21" s="91">
        <v>46273.0</v>
      </c>
      <c r="I21" s="105">
        <v>4.0</v>
      </c>
      <c r="J21" s="93">
        <f t="shared" si="3"/>
        <v>131345.32</v>
      </c>
      <c r="K21" s="94">
        <f t="shared" si="4"/>
        <v>2306029783</v>
      </c>
      <c r="L21" s="95">
        <f t="shared" si="5"/>
        <v>17557</v>
      </c>
      <c r="N21" s="96">
        <v>46286.0</v>
      </c>
      <c r="O21" s="97">
        <f t="shared" si="6"/>
        <v>435659.98</v>
      </c>
      <c r="P21" s="98">
        <f t="shared" si="7"/>
        <v>7702623856</v>
      </c>
      <c r="Q21" s="99">
        <f t="shared" si="8"/>
        <v>17680.35672</v>
      </c>
      <c r="R21" s="100">
        <v>0.0</v>
      </c>
      <c r="S21" s="101">
        <f t="shared" si="9"/>
        <v>0</v>
      </c>
      <c r="T21" s="101">
        <f t="shared" si="10"/>
        <v>435659.98</v>
      </c>
      <c r="U21" s="101">
        <f>IFERROR(ROUND(ABS(VALUE(T21)-VALUE(SUMMARY!C33)), 2), "-")</f>
        <v>435659.98</v>
      </c>
      <c r="V21" s="98">
        <f t="shared" si="11"/>
        <v>7702623856</v>
      </c>
    </row>
    <row r="22">
      <c r="A22" s="74" t="str">
        <f t="shared" si="1"/>
        <v>Tuesday</v>
      </c>
      <c r="B22" s="49">
        <v>46266.0</v>
      </c>
      <c r="C22" s="148">
        <v>2.0</v>
      </c>
      <c r="D22" s="143">
        <v>3998.0</v>
      </c>
      <c r="E22" s="144">
        <v>17650.0</v>
      </c>
      <c r="F22" s="88">
        <f t="shared" si="2"/>
        <v>70564700</v>
      </c>
      <c r="H22" s="91">
        <v>46273.0</v>
      </c>
      <c r="I22" s="105">
        <v>5.0</v>
      </c>
      <c r="J22" s="93">
        <f t="shared" si="3"/>
        <v>56955.7</v>
      </c>
      <c r="K22" s="94">
        <f t="shared" si="4"/>
        <v>998855062.6</v>
      </c>
      <c r="L22" s="95">
        <f t="shared" si="5"/>
        <v>17537.40297</v>
      </c>
      <c r="N22" s="96">
        <v>46287.0</v>
      </c>
      <c r="O22" s="97">
        <f t="shared" si="6"/>
        <v>708018.37</v>
      </c>
      <c r="P22" s="98">
        <f t="shared" si="7"/>
        <v>12568296138</v>
      </c>
      <c r="Q22" s="99">
        <f t="shared" si="8"/>
        <v>17751.37012</v>
      </c>
      <c r="R22" s="100">
        <v>0.0</v>
      </c>
      <c r="S22" s="101">
        <f t="shared" si="9"/>
        <v>0</v>
      </c>
      <c r="T22" s="101">
        <f t="shared" si="10"/>
        <v>708018.37</v>
      </c>
      <c r="U22" s="101">
        <f>IFERROR(ROUND(ABS(VALUE(T22)-VALUE(SUMMARY!C34)), 2), "-")</f>
        <v>708018.37</v>
      </c>
      <c r="V22" s="98">
        <f t="shared" si="11"/>
        <v>12568296138</v>
      </c>
    </row>
    <row r="23">
      <c r="A23" s="74" t="str">
        <f t="shared" si="1"/>
        <v>Tuesday</v>
      </c>
      <c r="B23" s="49">
        <v>46266.0</v>
      </c>
      <c r="C23" s="148">
        <v>2.0</v>
      </c>
      <c r="D23" s="143">
        <v>3998.0</v>
      </c>
      <c r="E23" s="144">
        <v>17650.0</v>
      </c>
      <c r="F23" s="88">
        <f t="shared" si="2"/>
        <v>70564700</v>
      </c>
      <c r="H23" s="91">
        <v>46274.0</v>
      </c>
      <c r="I23" s="105">
        <v>1.0</v>
      </c>
      <c r="J23" s="93">
        <f t="shared" si="3"/>
        <v>55379.37</v>
      </c>
      <c r="K23" s="94">
        <f t="shared" si="4"/>
        <v>966508492</v>
      </c>
      <c r="L23" s="95">
        <f t="shared" si="5"/>
        <v>17452.50067</v>
      </c>
      <c r="N23" s="96">
        <v>46288.0</v>
      </c>
      <c r="O23" s="97">
        <f t="shared" si="6"/>
        <v>323528.46</v>
      </c>
      <c r="P23" s="98">
        <f t="shared" si="7"/>
        <v>5744907945</v>
      </c>
      <c r="Q23" s="99">
        <f t="shared" si="8"/>
        <v>17757.04043</v>
      </c>
      <c r="R23" s="100">
        <v>0.0</v>
      </c>
      <c r="S23" s="101">
        <f t="shared" si="9"/>
        <v>0</v>
      </c>
      <c r="T23" s="101">
        <f t="shared" si="10"/>
        <v>323528.46</v>
      </c>
      <c r="U23" s="101">
        <f>IFERROR(ROUND(ABS(VALUE(T23)-VALUE(SUMMARY!C35)), 2), "-")</f>
        <v>323528.46</v>
      </c>
      <c r="V23" s="98">
        <f t="shared" si="11"/>
        <v>5744907945</v>
      </c>
    </row>
    <row r="24">
      <c r="A24" s="74" t="str">
        <f t="shared" si="1"/>
        <v>Tuesday</v>
      </c>
      <c r="B24" s="49">
        <v>46266.0</v>
      </c>
      <c r="C24" s="148">
        <v>2.0</v>
      </c>
      <c r="D24" s="143">
        <v>3998.0</v>
      </c>
      <c r="E24" s="144">
        <v>17650.0</v>
      </c>
      <c r="F24" s="88">
        <f t="shared" si="2"/>
        <v>70564700</v>
      </c>
      <c r="H24" s="91">
        <v>46275.0</v>
      </c>
      <c r="I24" s="105">
        <v>1.0</v>
      </c>
      <c r="J24" s="93">
        <f t="shared" si="3"/>
        <v>57208.23</v>
      </c>
      <c r="K24" s="94">
        <f t="shared" si="4"/>
        <v>999999860.4</v>
      </c>
      <c r="L24" s="95">
        <f t="shared" si="5"/>
        <v>17480</v>
      </c>
      <c r="N24" s="96">
        <v>46289.0</v>
      </c>
      <c r="O24" s="97">
        <f t="shared" si="6"/>
        <v>949290.33</v>
      </c>
      <c r="P24" s="98">
        <f t="shared" si="7"/>
        <v>16891685971</v>
      </c>
      <c r="Q24" s="99">
        <f t="shared" si="8"/>
        <v>17794.01458</v>
      </c>
      <c r="R24" s="100">
        <v>0.0</v>
      </c>
      <c r="S24" s="101">
        <f t="shared" si="9"/>
        <v>0</v>
      </c>
      <c r="T24" s="101">
        <f t="shared" si="10"/>
        <v>949290.33</v>
      </c>
      <c r="U24" s="101"/>
      <c r="V24" s="98">
        <f t="shared" si="11"/>
        <v>0</v>
      </c>
    </row>
    <row r="25">
      <c r="A25" s="74" t="str">
        <f t="shared" si="1"/>
        <v>Tuesday</v>
      </c>
      <c r="B25" s="49">
        <v>46266.0</v>
      </c>
      <c r="C25" s="148">
        <v>2.0</v>
      </c>
      <c r="D25" s="143">
        <v>2298.85</v>
      </c>
      <c r="E25" s="144">
        <v>17650.0</v>
      </c>
      <c r="F25" s="88">
        <f t="shared" si="2"/>
        <v>40574702.5</v>
      </c>
      <c r="H25" s="91">
        <v>46275.0</v>
      </c>
      <c r="I25" s="105">
        <v>2.0</v>
      </c>
      <c r="J25" s="93">
        <f t="shared" si="3"/>
        <v>68630.25</v>
      </c>
      <c r="K25" s="94">
        <f t="shared" si="4"/>
        <v>1199999921</v>
      </c>
      <c r="L25" s="95">
        <f t="shared" si="5"/>
        <v>17485</v>
      </c>
      <c r="N25" s="96">
        <v>46290.0</v>
      </c>
      <c r="O25" s="97">
        <f t="shared" si="6"/>
        <v>777902.2</v>
      </c>
      <c r="P25" s="98">
        <f t="shared" si="7"/>
        <v>13833723315</v>
      </c>
      <c r="Q25" s="99">
        <f t="shared" si="8"/>
        <v>17783.37086</v>
      </c>
      <c r="R25" s="100">
        <v>0.0</v>
      </c>
      <c r="S25" s="101">
        <f t="shared" si="9"/>
        <v>0</v>
      </c>
      <c r="T25" s="101">
        <f t="shared" si="10"/>
        <v>777902.2</v>
      </c>
      <c r="U25" s="101"/>
      <c r="V25" s="98">
        <f t="shared" si="11"/>
        <v>0</v>
      </c>
    </row>
    <row r="26">
      <c r="A26" s="74" t="str">
        <f t="shared" si="1"/>
        <v>Wednesday</v>
      </c>
      <c r="B26" s="49">
        <v>46267.0</v>
      </c>
      <c r="C26" s="148">
        <v>1.0</v>
      </c>
      <c r="D26" s="143">
        <v>9995.0</v>
      </c>
      <c r="E26" s="144">
        <v>17663.0</v>
      </c>
      <c r="F26" s="88">
        <f t="shared" si="2"/>
        <v>176541685</v>
      </c>
      <c r="H26" s="91">
        <v>46275.0</v>
      </c>
      <c r="I26" s="105">
        <v>3.0</v>
      </c>
      <c r="J26" s="93">
        <f t="shared" si="3"/>
        <v>18969.11</v>
      </c>
      <c r="K26" s="94">
        <f t="shared" si="4"/>
        <v>331674888.4</v>
      </c>
      <c r="L26" s="95">
        <f t="shared" si="5"/>
        <v>17485</v>
      </c>
      <c r="N26" s="96">
        <v>46291.0</v>
      </c>
      <c r="O26" s="97">
        <f t="shared" si="6"/>
        <v>764191.16</v>
      </c>
      <c r="P26" s="98">
        <f t="shared" si="7"/>
        <v>13556818757</v>
      </c>
      <c r="Q26" s="99">
        <f t="shared" si="8"/>
        <v>17740.08843</v>
      </c>
      <c r="R26" s="100">
        <v>0.0</v>
      </c>
      <c r="S26" s="101">
        <f t="shared" si="9"/>
        <v>0</v>
      </c>
      <c r="T26" s="101">
        <f t="shared" si="10"/>
        <v>764191.16</v>
      </c>
      <c r="U26" s="101"/>
      <c r="V26" s="98">
        <f t="shared" si="11"/>
        <v>0</v>
      </c>
    </row>
    <row r="27">
      <c r="A27" s="74" t="str">
        <f t="shared" si="1"/>
        <v>Wednesday</v>
      </c>
      <c r="B27" s="49">
        <v>46267.0</v>
      </c>
      <c r="C27" s="148">
        <v>1.0</v>
      </c>
      <c r="D27" s="143">
        <v>9995.0</v>
      </c>
      <c r="E27" s="144">
        <v>17666.0</v>
      </c>
      <c r="F27" s="88">
        <f t="shared" si="2"/>
        <v>176571670</v>
      </c>
      <c r="H27" s="91">
        <v>46276.0</v>
      </c>
      <c r="I27" s="105">
        <v>1.0</v>
      </c>
      <c r="J27" s="93">
        <f t="shared" si="3"/>
        <v>27013.12</v>
      </c>
      <c r="K27" s="94">
        <f t="shared" si="4"/>
        <v>473169971.5</v>
      </c>
      <c r="L27" s="95">
        <f t="shared" si="5"/>
        <v>17516.30213</v>
      </c>
      <c r="N27" s="96">
        <v>46292.0</v>
      </c>
      <c r="O27" s="97">
        <f t="shared" si="6"/>
        <v>322691.29</v>
      </c>
      <c r="P27" s="98">
        <f t="shared" si="7"/>
        <v>5744895425</v>
      </c>
      <c r="Q27" s="99">
        <f t="shared" si="8"/>
        <v>17803.06938</v>
      </c>
      <c r="R27" s="100">
        <v>0.0</v>
      </c>
      <c r="S27" s="101">
        <f t="shared" si="9"/>
        <v>0</v>
      </c>
      <c r="T27" s="101">
        <f t="shared" si="10"/>
        <v>322691.29</v>
      </c>
      <c r="U27" s="101"/>
      <c r="V27" s="98">
        <f t="shared" si="11"/>
        <v>0</v>
      </c>
    </row>
    <row r="28">
      <c r="A28" s="74" t="str">
        <f t="shared" si="1"/>
        <v>Wednesday</v>
      </c>
      <c r="B28" s="49">
        <v>46267.0</v>
      </c>
      <c r="C28" s="148">
        <v>1.0</v>
      </c>
      <c r="D28" s="143">
        <v>14146.0</v>
      </c>
      <c r="E28" s="144">
        <v>17664.0</v>
      </c>
      <c r="F28" s="88">
        <f t="shared" si="2"/>
        <v>249874944</v>
      </c>
      <c r="H28" s="91">
        <v>46276.0</v>
      </c>
      <c r="I28" s="105">
        <v>2.0</v>
      </c>
      <c r="J28" s="93">
        <f t="shared" si="3"/>
        <v>130974.69</v>
      </c>
      <c r="K28" s="94">
        <f t="shared" si="4"/>
        <v>2293366822</v>
      </c>
      <c r="L28" s="95">
        <f t="shared" si="5"/>
        <v>17510</v>
      </c>
      <c r="N28" s="96">
        <v>46293.0</v>
      </c>
      <c r="O28" s="97">
        <f t="shared" si="6"/>
        <v>327349.11</v>
      </c>
      <c r="P28" s="98">
        <f t="shared" si="7"/>
        <v>5848585993</v>
      </c>
      <c r="Q28" s="99">
        <f t="shared" si="8"/>
        <v>17866.50953</v>
      </c>
      <c r="R28" s="100">
        <v>0.0</v>
      </c>
      <c r="S28" s="101">
        <f t="shared" si="9"/>
        <v>0</v>
      </c>
      <c r="T28" s="101">
        <f t="shared" si="10"/>
        <v>327349.11</v>
      </c>
      <c r="U28" s="101"/>
      <c r="V28" s="98">
        <f t="shared" si="11"/>
        <v>0</v>
      </c>
    </row>
    <row r="29">
      <c r="A29" s="74" t="str">
        <f t="shared" si="1"/>
        <v>Wednesday</v>
      </c>
      <c r="B29" s="49">
        <v>46267.0</v>
      </c>
      <c r="C29" s="148">
        <v>1.0</v>
      </c>
      <c r="D29" s="166">
        <v>13843.98</v>
      </c>
      <c r="E29" s="168">
        <v>17666.0</v>
      </c>
      <c r="F29" s="88">
        <f t="shared" si="2"/>
        <v>244567750.7</v>
      </c>
      <c r="H29" s="91">
        <v>46277.0</v>
      </c>
      <c r="I29" s="105">
        <v>1.0</v>
      </c>
      <c r="J29" s="93">
        <f t="shared" si="3"/>
        <v>183366.67</v>
      </c>
      <c r="K29" s="94">
        <f t="shared" si="4"/>
        <v>3207999892</v>
      </c>
      <c r="L29" s="95">
        <f t="shared" si="5"/>
        <v>17495</v>
      </c>
      <c r="N29" s="96">
        <v>46294.0</v>
      </c>
      <c r="O29" s="97">
        <f t="shared" si="6"/>
        <v>410698.62</v>
      </c>
      <c r="P29" s="98">
        <f t="shared" si="7"/>
        <v>7356223636</v>
      </c>
      <c r="Q29" s="99">
        <f t="shared" si="8"/>
        <v>17911.48857</v>
      </c>
      <c r="R29" s="100">
        <v>0.0</v>
      </c>
      <c r="S29" s="101">
        <f t="shared" si="9"/>
        <v>0</v>
      </c>
      <c r="T29" s="101">
        <f t="shared" si="10"/>
        <v>410698.62</v>
      </c>
      <c r="U29" s="101"/>
      <c r="V29" s="98">
        <f t="shared" si="11"/>
        <v>0</v>
      </c>
    </row>
    <row r="30">
      <c r="A30" s="74" t="str">
        <f t="shared" si="1"/>
        <v>Wednesday</v>
      </c>
      <c r="B30" s="49">
        <v>46267.0</v>
      </c>
      <c r="C30" s="148">
        <v>1.0</v>
      </c>
      <c r="D30" s="166">
        <v>32483.75</v>
      </c>
      <c r="E30" s="168">
        <v>17675.0</v>
      </c>
      <c r="F30" s="88">
        <f t="shared" si="2"/>
        <v>574150281.3</v>
      </c>
      <c r="H30" s="91">
        <v>46278.0</v>
      </c>
      <c r="I30" s="105">
        <v>1.0</v>
      </c>
      <c r="J30" s="93">
        <f t="shared" si="3"/>
        <v>57175.52</v>
      </c>
      <c r="K30" s="94">
        <f t="shared" si="4"/>
        <v>999999844.8</v>
      </c>
      <c r="L30" s="95">
        <f t="shared" si="5"/>
        <v>17490</v>
      </c>
      <c r="N30" s="96">
        <v>46295.0</v>
      </c>
      <c r="O30" s="97">
        <f t="shared" si="6"/>
        <v>0</v>
      </c>
      <c r="P30" s="98">
        <f t="shared" si="7"/>
        <v>0</v>
      </c>
      <c r="Q30" s="99" t="str">
        <f t="shared" si="8"/>
        <v>-</v>
      </c>
      <c r="R30" s="100">
        <v>0.0</v>
      </c>
      <c r="S30" s="101">
        <f t="shared" si="9"/>
        <v>0</v>
      </c>
      <c r="T30" s="101">
        <f t="shared" si="10"/>
        <v>0</v>
      </c>
      <c r="U30" s="101"/>
      <c r="V30" s="98" t="str">
        <f t="shared" si="11"/>
        <v>-</v>
      </c>
    </row>
    <row r="31">
      <c r="A31" s="74" t="str">
        <f t="shared" si="1"/>
        <v>Wednesday</v>
      </c>
      <c r="B31" s="49">
        <v>46267.0</v>
      </c>
      <c r="C31" s="148">
        <v>1.0</v>
      </c>
      <c r="D31" s="166">
        <v>5647.18</v>
      </c>
      <c r="E31" s="168">
        <v>17675.0</v>
      </c>
      <c r="F31" s="88">
        <f t="shared" si="2"/>
        <v>99813906.5</v>
      </c>
      <c r="H31" s="91">
        <v>46278.0</v>
      </c>
      <c r="I31" s="105">
        <v>2.0</v>
      </c>
      <c r="J31" s="93">
        <f t="shared" si="3"/>
        <v>125786.16</v>
      </c>
      <c r="K31" s="94">
        <f t="shared" si="4"/>
        <v>2199999938</v>
      </c>
      <c r="L31" s="95">
        <f t="shared" si="5"/>
        <v>17490</v>
      </c>
      <c r="N31" s="96"/>
      <c r="O31" s="97">
        <f t="shared" si="6"/>
        <v>0</v>
      </c>
      <c r="P31" s="98">
        <f t="shared" si="7"/>
        <v>0</v>
      </c>
      <c r="Q31" s="99" t="str">
        <f t="shared" si="8"/>
        <v/>
      </c>
      <c r="R31" s="100">
        <v>0.0</v>
      </c>
      <c r="S31" s="101">
        <f t="shared" si="9"/>
        <v>0</v>
      </c>
      <c r="T31" s="101">
        <f t="shared" si="10"/>
        <v>0</v>
      </c>
      <c r="U31" s="101"/>
      <c r="V31" s="98">
        <f t="shared" si="11"/>
        <v>0</v>
      </c>
    </row>
    <row r="32">
      <c r="A32" s="74" t="str">
        <f t="shared" si="1"/>
        <v>Wednesday</v>
      </c>
      <c r="B32" s="49">
        <v>46267.0</v>
      </c>
      <c r="C32" s="148">
        <v>1.0</v>
      </c>
      <c r="D32" s="166">
        <v>19990.0</v>
      </c>
      <c r="E32" s="168">
        <v>17671.0</v>
      </c>
      <c r="F32" s="88">
        <f t="shared" si="2"/>
        <v>353243290</v>
      </c>
      <c r="H32" s="91">
        <v>46278.0</v>
      </c>
      <c r="I32" s="105">
        <v>3.0</v>
      </c>
      <c r="J32" s="93">
        <f t="shared" si="3"/>
        <v>158430.13</v>
      </c>
      <c r="K32" s="94">
        <f t="shared" si="4"/>
        <v>2770942974</v>
      </c>
      <c r="L32" s="95">
        <f t="shared" si="5"/>
        <v>17490</v>
      </c>
      <c r="N32" s="108"/>
      <c r="O32" s="97">
        <f t="shared" si="6"/>
        <v>0</v>
      </c>
      <c r="P32" s="98">
        <f t="shared" si="7"/>
        <v>0</v>
      </c>
      <c r="Q32" s="99" t="str">
        <f t="shared" si="8"/>
        <v/>
      </c>
      <c r="R32" s="100">
        <v>0.0</v>
      </c>
      <c r="S32" s="101">
        <f t="shared" si="9"/>
        <v>0</v>
      </c>
      <c r="T32" s="101">
        <f t="shared" si="10"/>
        <v>0</v>
      </c>
      <c r="U32" s="101"/>
      <c r="V32" s="98">
        <f t="shared" si="11"/>
        <v>0</v>
      </c>
    </row>
    <row r="33">
      <c r="A33" s="74" t="str">
        <f t="shared" si="1"/>
        <v>Wednesday</v>
      </c>
      <c r="B33" s="49">
        <v>46267.0</v>
      </c>
      <c r="C33" s="148">
        <v>1.0</v>
      </c>
      <c r="D33" s="166">
        <v>5637.18</v>
      </c>
      <c r="E33" s="168">
        <v>17671.0</v>
      </c>
      <c r="F33" s="88">
        <f t="shared" si="2"/>
        <v>99614607.78</v>
      </c>
      <c r="H33" s="91">
        <v>46279.0</v>
      </c>
      <c r="I33" s="105">
        <v>1.0</v>
      </c>
      <c r="J33" s="93">
        <f t="shared" si="3"/>
        <v>142409</v>
      </c>
      <c r="K33" s="94">
        <f t="shared" si="4"/>
        <v>2499989995</v>
      </c>
      <c r="L33" s="95">
        <f t="shared" si="5"/>
        <v>17555</v>
      </c>
      <c r="N33" s="108"/>
      <c r="O33" s="97">
        <f t="shared" si="6"/>
        <v>0</v>
      </c>
      <c r="P33" s="98">
        <f t="shared" si="7"/>
        <v>0</v>
      </c>
      <c r="Q33" s="99" t="str">
        <f t="shared" si="8"/>
        <v/>
      </c>
      <c r="R33" s="100">
        <v>0.0</v>
      </c>
      <c r="S33" s="101">
        <f t="shared" si="9"/>
        <v>0</v>
      </c>
      <c r="T33" s="101">
        <f t="shared" si="10"/>
        <v>0</v>
      </c>
      <c r="U33" s="101"/>
      <c r="V33" s="98">
        <f t="shared" si="11"/>
        <v>0</v>
      </c>
    </row>
    <row r="34">
      <c r="A34" s="74" t="str">
        <f t="shared" si="1"/>
        <v>Wednesday</v>
      </c>
      <c r="B34" s="49">
        <v>46267.0</v>
      </c>
      <c r="C34" s="148">
        <v>1.0</v>
      </c>
      <c r="D34" s="166">
        <v>13993.0</v>
      </c>
      <c r="E34" s="168">
        <v>17671.0</v>
      </c>
      <c r="F34" s="88">
        <f t="shared" si="2"/>
        <v>247270303</v>
      </c>
      <c r="H34" s="91">
        <v>46279.0</v>
      </c>
      <c r="I34" s="105">
        <v>2.0</v>
      </c>
      <c r="J34" s="93">
        <f t="shared" si="3"/>
        <v>113927.65</v>
      </c>
      <c r="K34" s="94">
        <f t="shared" si="4"/>
        <v>1999999896</v>
      </c>
      <c r="L34" s="95">
        <f t="shared" si="5"/>
        <v>17555</v>
      </c>
      <c r="N34" s="108"/>
      <c r="O34" s="97">
        <f t="shared" si="6"/>
        <v>0</v>
      </c>
      <c r="P34" s="98">
        <f t="shared" si="7"/>
        <v>0</v>
      </c>
      <c r="Q34" s="99" t="str">
        <f t="shared" si="8"/>
        <v/>
      </c>
      <c r="R34" s="100">
        <v>0.0</v>
      </c>
      <c r="S34" s="101">
        <f t="shared" si="9"/>
        <v>0</v>
      </c>
      <c r="T34" s="101">
        <f t="shared" si="10"/>
        <v>0</v>
      </c>
      <c r="U34" s="101"/>
      <c r="V34" s="98">
        <f t="shared" si="11"/>
        <v>0</v>
      </c>
    </row>
    <row r="35">
      <c r="A35" s="74" t="str">
        <f t="shared" si="1"/>
        <v>Wednesday</v>
      </c>
      <c r="B35" s="49">
        <v>46267.0</v>
      </c>
      <c r="C35" s="148">
        <v>1.0</v>
      </c>
      <c r="D35" s="166">
        <v>5472.27</v>
      </c>
      <c r="E35" s="168">
        <v>17671.0</v>
      </c>
      <c r="F35" s="88">
        <f t="shared" si="2"/>
        <v>96700483.17</v>
      </c>
      <c r="H35" s="91">
        <v>46279.0</v>
      </c>
      <c r="I35" s="105">
        <v>3.0</v>
      </c>
      <c r="J35" s="93">
        <f t="shared" si="3"/>
        <v>147668.85</v>
      </c>
      <c r="K35" s="94">
        <f t="shared" si="4"/>
        <v>2592326662</v>
      </c>
      <c r="L35" s="95">
        <f t="shared" si="5"/>
        <v>17555</v>
      </c>
      <c r="N35" s="108"/>
      <c r="O35" s="97">
        <f t="shared" si="6"/>
        <v>0</v>
      </c>
      <c r="P35" s="98">
        <f t="shared" si="7"/>
        <v>0</v>
      </c>
      <c r="Q35" s="99" t="str">
        <f t="shared" si="8"/>
        <v/>
      </c>
      <c r="R35" s="100">
        <v>0.0</v>
      </c>
      <c r="S35" s="101">
        <f t="shared" si="9"/>
        <v>0</v>
      </c>
      <c r="T35" s="101">
        <f t="shared" si="10"/>
        <v>0</v>
      </c>
      <c r="U35" s="101"/>
      <c r="V35" s="98">
        <f t="shared" si="11"/>
        <v>0</v>
      </c>
    </row>
    <row r="36">
      <c r="A36" s="74" t="str">
        <f t="shared" si="1"/>
        <v>Wednesday</v>
      </c>
      <c r="B36" s="49">
        <v>46267.0</v>
      </c>
      <c r="C36" s="148">
        <v>1.0</v>
      </c>
      <c r="D36" s="166">
        <v>6431.79</v>
      </c>
      <c r="E36" s="168">
        <v>17671.0</v>
      </c>
      <c r="F36" s="88">
        <f t="shared" si="2"/>
        <v>113656161.1</v>
      </c>
      <c r="H36" s="91">
        <v>46279.0</v>
      </c>
      <c r="I36" s="105">
        <v>4.0</v>
      </c>
      <c r="J36" s="93">
        <f t="shared" si="3"/>
        <v>113895.21</v>
      </c>
      <c r="K36" s="94">
        <f t="shared" si="4"/>
        <v>1999999888</v>
      </c>
      <c r="L36" s="95">
        <f t="shared" si="5"/>
        <v>17560</v>
      </c>
      <c r="N36" s="108"/>
      <c r="O36" s="97">
        <f t="shared" si="6"/>
        <v>0</v>
      </c>
      <c r="P36" s="98">
        <f t="shared" si="7"/>
        <v>0</v>
      </c>
      <c r="Q36" s="99" t="str">
        <f t="shared" si="8"/>
        <v/>
      </c>
      <c r="R36" s="100">
        <v>0.0</v>
      </c>
      <c r="S36" s="101">
        <f t="shared" si="9"/>
        <v>0</v>
      </c>
      <c r="T36" s="101">
        <f t="shared" si="10"/>
        <v>0</v>
      </c>
      <c r="U36" s="101"/>
      <c r="V36" s="98">
        <f t="shared" si="11"/>
        <v>0</v>
      </c>
    </row>
    <row r="37">
      <c r="A37" s="74" t="str">
        <f t="shared" si="1"/>
        <v>Wednesday</v>
      </c>
      <c r="B37" s="49">
        <v>46267.0</v>
      </c>
      <c r="C37" s="148">
        <v>2.0</v>
      </c>
      <c r="D37" s="166">
        <v>4294.49</v>
      </c>
      <c r="E37" s="168">
        <v>17665.0</v>
      </c>
      <c r="F37" s="88">
        <f t="shared" si="2"/>
        <v>75862165.85</v>
      </c>
      <c r="H37" s="91">
        <v>46279.0</v>
      </c>
      <c r="I37" s="105">
        <v>5.0</v>
      </c>
      <c r="J37" s="93">
        <f t="shared" si="3"/>
        <v>108320.04</v>
      </c>
      <c r="K37" s="94">
        <f t="shared" si="4"/>
        <v>1902099902</v>
      </c>
      <c r="L37" s="95">
        <f t="shared" si="5"/>
        <v>17560</v>
      </c>
      <c r="N37" s="108"/>
      <c r="O37" s="97">
        <f t="shared" si="6"/>
        <v>0</v>
      </c>
      <c r="P37" s="98">
        <f t="shared" si="7"/>
        <v>0</v>
      </c>
      <c r="Q37" s="99" t="str">
        <f t="shared" si="8"/>
        <v/>
      </c>
      <c r="R37" s="100">
        <v>0.0</v>
      </c>
      <c r="S37" s="101">
        <f t="shared" si="9"/>
        <v>0</v>
      </c>
      <c r="T37" s="101">
        <f t="shared" si="10"/>
        <v>0</v>
      </c>
      <c r="U37" s="101"/>
      <c r="V37" s="98">
        <f t="shared" si="11"/>
        <v>0</v>
      </c>
    </row>
    <row r="38">
      <c r="A38" s="74" t="str">
        <f t="shared" si="1"/>
        <v>Wednesday</v>
      </c>
      <c r="B38" s="49">
        <v>46267.0</v>
      </c>
      <c r="C38" s="148">
        <v>2.0</v>
      </c>
      <c r="D38" s="166">
        <v>4997.5</v>
      </c>
      <c r="E38" s="168">
        <v>17665.0</v>
      </c>
      <c r="F38" s="88">
        <f t="shared" si="2"/>
        <v>88280837.5</v>
      </c>
      <c r="H38" s="91">
        <v>46279.0</v>
      </c>
      <c r="I38" s="105">
        <v>6.0</v>
      </c>
      <c r="J38" s="93">
        <f t="shared" si="3"/>
        <v>131016.8</v>
      </c>
      <c r="K38" s="94">
        <f t="shared" si="4"/>
        <v>2299999924</v>
      </c>
      <c r="L38" s="95">
        <f t="shared" si="5"/>
        <v>17555</v>
      </c>
      <c r="N38" s="108"/>
      <c r="O38" s="97">
        <f t="shared" si="6"/>
        <v>0</v>
      </c>
      <c r="P38" s="98">
        <f t="shared" si="7"/>
        <v>0</v>
      </c>
      <c r="Q38" s="99" t="str">
        <f t="shared" si="8"/>
        <v/>
      </c>
      <c r="R38" s="100">
        <v>0.0</v>
      </c>
      <c r="S38" s="101">
        <f t="shared" si="9"/>
        <v>0</v>
      </c>
      <c r="T38" s="101">
        <f t="shared" si="10"/>
        <v>0</v>
      </c>
      <c r="U38" s="101"/>
      <c r="V38" s="98">
        <f t="shared" si="11"/>
        <v>0</v>
      </c>
    </row>
    <row r="39">
      <c r="A39" s="74" t="str">
        <f t="shared" si="1"/>
        <v>Wednesday</v>
      </c>
      <c r="B39" s="49">
        <v>46267.0</v>
      </c>
      <c r="C39" s="148">
        <v>2.0</v>
      </c>
      <c r="D39" s="166">
        <v>8957.54</v>
      </c>
      <c r="E39" s="168">
        <v>17665.0</v>
      </c>
      <c r="F39" s="88">
        <f t="shared" si="2"/>
        <v>158234944.1</v>
      </c>
      <c r="H39" s="91">
        <v>46280.0</v>
      </c>
      <c r="I39" s="105">
        <v>1.0</v>
      </c>
      <c r="J39" s="93">
        <f t="shared" si="3"/>
        <v>130570.53</v>
      </c>
      <c r="K39" s="94">
        <f t="shared" si="4"/>
        <v>2299999886</v>
      </c>
      <c r="L39" s="95">
        <f t="shared" si="5"/>
        <v>17615</v>
      </c>
      <c r="N39" s="108"/>
      <c r="O39" s="97">
        <f t="shared" si="6"/>
        <v>0</v>
      </c>
      <c r="P39" s="98">
        <f t="shared" si="7"/>
        <v>0</v>
      </c>
      <c r="Q39" s="99" t="str">
        <f t="shared" si="8"/>
        <v/>
      </c>
      <c r="R39" s="100">
        <v>0.0</v>
      </c>
      <c r="S39" s="101">
        <f t="shared" si="9"/>
        <v>0</v>
      </c>
      <c r="T39" s="101">
        <f t="shared" si="10"/>
        <v>0</v>
      </c>
      <c r="U39" s="101"/>
      <c r="V39" s="98">
        <f t="shared" si="11"/>
        <v>0</v>
      </c>
    </row>
    <row r="40">
      <c r="A40" s="74" t="str">
        <f t="shared" si="1"/>
        <v>Wednesday</v>
      </c>
      <c r="B40" s="49">
        <v>46267.0</v>
      </c>
      <c r="C40" s="148">
        <v>2.0</v>
      </c>
      <c r="D40" s="166">
        <v>2703.98</v>
      </c>
      <c r="E40" s="168">
        <v>17660.0</v>
      </c>
      <c r="F40" s="88">
        <f t="shared" si="2"/>
        <v>47752286.8</v>
      </c>
      <c r="H40" s="91">
        <v>46281.0</v>
      </c>
      <c r="I40" s="105">
        <v>1.0</v>
      </c>
      <c r="J40" s="93">
        <f t="shared" si="3"/>
        <v>28420.79</v>
      </c>
      <c r="K40" s="94">
        <f t="shared" si="4"/>
        <v>499695634.2</v>
      </c>
      <c r="L40" s="95">
        <f t="shared" si="5"/>
        <v>17582.04589</v>
      </c>
      <c r="N40" s="108"/>
      <c r="O40" s="97">
        <f t="shared" si="6"/>
        <v>0</v>
      </c>
      <c r="P40" s="98">
        <f t="shared" si="7"/>
        <v>0</v>
      </c>
      <c r="Q40" s="99" t="str">
        <f t="shared" si="8"/>
        <v/>
      </c>
      <c r="R40" s="100">
        <v>0.0</v>
      </c>
      <c r="S40" s="101">
        <f t="shared" si="9"/>
        <v>0</v>
      </c>
      <c r="T40" s="101">
        <f t="shared" si="10"/>
        <v>0</v>
      </c>
      <c r="U40" s="101"/>
      <c r="V40" s="98">
        <f t="shared" si="11"/>
        <v>0</v>
      </c>
    </row>
    <row r="41">
      <c r="A41" s="74" t="str">
        <f t="shared" si="1"/>
        <v>Wednesday</v>
      </c>
      <c r="B41" s="49">
        <v>46267.0</v>
      </c>
      <c r="C41" s="148">
        <v>2.0</v>
      </c>
      <c r="D41" s="166">
        <v>2998.5</v>
      </c>
      <c r="E41" s="168">
        <v>17656.0</v>
      </c>
      <c r="F41" s="88">
        <f t="shared" si="2"/>
        <v>52941516</v>
      </c>
      <c r="H41" s="91">
        <v>46281.0</v>
      </c>
      <c r="I41" s="105">
        <v>2.0</v>
      </c>
      <c r="J41" s="93">
        <f t="shared" si="3"/>
        <v>28422.38</v>
      </c>
      <c r="K41" s="94">
        <f t="shared" si="4"/>
        <v>499784290.7</v>
      </c>
      <c r="L41" s="95">
        <f t="shared" si="5"/>
        <v>17584.18158</v>
      </c>
      <c r="N41" s="108"/>
      <c r="O41" s="97">
        <f t="shared" si="6"/>
        <v>0</v>
      </c>
      <c r="P41" s="98">
        <f t="shared" si="7"/>
        <v>0</v>
      </c>
      <c r="Q41" s="99" t="str">
        <f t="shared" si="8"/>
        <v/>
      </c>
      <c r="R41" s="100">
        <v>0.0</v>
      </c>
      <c r="S41" s="101">
        <f t="shared" si="9"/>
        <v>0</v>
      </c>
      <c r="T41" s="101">
        <f t="shared" si="10"/>
        <v>0</v>
      </c>
      <c r="U41" s="101"/>
      <c r="V41" s="98">
        <f t="shared" si="11"/>
        <v>0</v>
      </c>
    </row>
    <row r="42">
      <c r="A42" s="74" t="str">
        <f t="shared" si="1"/>
        <v>Wednesday</v>
      </c>
      <c r="B42" s="49">
        <v>46267.0</v>
      </c>
      <c r="C42" s="148">
        <v>2.0</v>
      </c>
      <c r="D42" s="166">
        <v>1541.73</v>
      </c>
      <c r="E42" s="168">
        <v>17660.0</v>
      </c>
      <c r="F42" s="88">
        <f t="shared" si="2"/>
        <v>27226951.8</v>
      </c>
      <c r="H42" s="91">
        <v>46281.0</v>
      </c>
      <c r="I42" s="171">
        <v>3.0</v>
      </c>
      <c r="J42" s="93">
        <f t="shared" si="3"/>
        <v>26077</v>
      </c>
      <c r="K42" s="94">
        <f t="shared" si="4"/>
        <v>459998280</v>
      </c>
      <c r="L42" s="95">
        <f t="shared" si="5"/>
        <v>17640</v>
      </c>
    </row>
    <row r="43">
      <c r="A43" s="74" t="str">
        <f t="shared" si="1"/>
        <v>Wednesday</v>
      </c>
      <c r="B43" s="49">
        <v>46267.0</v>
      </c>
      <c r="C43" s="148">
        <v>2.0</v>
      </c>
      <c r="D43" s="166">
        <v>1975.79</v>
      </c>
      <c r="E43" s="168">
        <v>17660.0</v>
      </c>
      <c r="F43" s="88">
        <f t="shared" si="2"/>
        <v>34892451.4</v>
      </c>
      <c r="H43" s="91">
        <v>46281.0</v>
      </c>
      <c r="I43" s="171">
        <v>4.0</v>
      </c>
      <c r="J43" s="93">
        <f t="shared" si="3"/>
        <v>85397.1</v>
      </c>
      <c r="K43" s="94">
        <f t="shared" si="4"/>
        <v>1500000062</v>
      </c>
      <c r="L43" s="95">
        <f t="shared" si="5"/>
        <v>17565</v>
      </c>
    </row>
    <row r="44">
      <c r="A44" s="74" t="str">
        <f t="shared" si="1"/>
        <v>Wednesday</v>
      </c>
      <c r="B44" s="49">
        <v>46267.0</v>
      </c>
      <c r="C44" s="148">
        <v>2.0</v>
      </c>
      <c r="D44" s="166">
        <v>29502.0</v>
      </c>
      <c r="E44" s="168">
        <v>17660.0</v>
      </c>
      <c r="F44" s="88">
        <f t="shared" si="2"/>
        <v>521005320</v>
      </c>
      <c r="H44" s="91">
        <v>46281.0</v>
      </c>
      <c r="I44" s="171">
        <v>5.0</v>
      </c>
      <c r="J44" s="93">
        <f t="shared" si="3"/>
        <v>125284.73</v>
      </c>
      <c r="K44" s="94">
        <f t="shared" si="4"/>
        <v>2199999859</v>
      </c>
      <c r="L44" s="95">
        <f t="shared" si="5"/>
        <v>17560</v>
      </c>
    </row>
    <row r="45">
      <c r="A45" s="74" t="str">
        <f t="shared" si="1"/>
        <v>Wednesday</v>
      </c>
      <c r="B45" s="49">
        <v>46267.0</v>
      </c>
      <c r="C45" s="148">
        <v>3.0</v>
      </c>
      <c r="D45" s="166">
        <v>1699.15</v>
      </c>
      <c r="E45" s="168">
        <v>17647.0</v>
      </c>
      <c r="F45" s="88">
        <f t="shared" si="2"/>
        <v>29984900.05</v>
      </c>
      <c r="H45" s="91">
        <v>46281.0</v>
      </c>
      <c r="I45" s="171">
        <v>6.0</v>
      </c>
      <c r="J45" s="93">
        <f t="shared" si="3"/>
        <v>159544.15</v>
      </c>
      <c r="K45" s="94">
        <f t="shared" si="4"/>
        <v>2799999833</v>
      </c>
      <c r="L45" s="95">
        <f t="shared" si="5"/>
        <v>17550</v>
      </c>
    </row>
    <row r="46">
      <c r="A46" s="74" t="str">
        <f t="shared" si="1"/>
        <v>Wednesday</v>
      </c>
      <c r="B46" s="49">
        <v>46267.0</v>
      </c>
      <c r="C46" s="148">
        <v>3.0</v>
      </c>
      <c r="D46" s="166">
        <v>24987.5</v>
      </c>
      <c r="E46" s="168">
        <v>17647.0</v>
      </c>
      <c r="F46" s="88">
        <f t="shared" si="2"/>
        <v>440954412.5</v>
      </c>
      <c r="H46" s="91">
        <v>46282.0</v>
      </c>
      <c r="I46" s="171">
        <v>1.0</v>
      </c>
      <c r="J46" s="93">
        <f t="shared" si="3"/>
        <v>14739.22</v>
      </c>
      <c r="K46" s="94">
        <f t="shared" si="4"/>
        <v>259999840.8</v>
      </c>
      <c r="L46" s="95">
        <f t="shared" si="5"/>
        <v>17640</v>
      </c>
    </row>
    <row r="47">
      <c r="A47" s="74" t="str">
        <f t="shared" si="1"/>
        <v>Wednesday</v>
      </c>
      <c r="B47" s="49">
        <v>46267.0</v>
      </c>
      <c r="C47" s="148">
        <v>3.0</v>
      </c>
      <c r="D47" s="166">
        <v>3998.0</v>
      </c>
      <c r="E47" s="168">
        <v>17645.0</v>
      </c>
      <c r="F47" s="88">
        <f t="shared" si="2"/>
        <v>70544710</v>
      </c>
      <c r="H47" s="91">
        <v>46282.0</v>
      </c>
      <c r="I47" s="171">
        <v>2.0</v>
      </c>
      <c r="J47" s="93">
        <f t="shared" si="3"/>
        <v>85009.91</v>
      </c>
      <c r="K47" s="94">
        <f t="shared" si="4"/>
        <v>1499999862</v>
      </c>
      <c r="L47" s="95">
        <f t="shared" si="5"/>
        <v>17645</v>
      </c>
    </row>
    <row r="48">
      <c r="A48" s="74" t="str">
        <f t="shared" si="1"/>
        <v>Wednesday</v>
      </c>
      <c r="B48" s="49">
        <v>46267.0</v>
      </c>
      <c r="C48" s="148">
        <v>3.0</v>
      </c>
      <c r="D48" s="166">
        <v>4997.5</v>
      </c>
      <c r="E48" s="168">
        <v>17645.0</v>
      </c>
      <c r="F48" s="88">
        <f t="shared" si="2"/>
        <v>88180887.5</v>
      </c>
      <c r="H48" s="91">
        <v>46282.0</v>
      </c>
      <c r="I48" s="171">
        <v>3.0</v>
      </c>
      <c r="J48" s="93">
        <f t="shared" si="3"/>
        <v>28368.81</v>
      </c>
      <c r="K48" s="94">
        <f t="shared" si="4"/>
        <v>499773325.8</v>
      </c>
      <c r="L48" s="95">
        <f t="shared" si="5"/>
        <v>17617</v>
      </c>
    </row>
    <row r="49">
      <c r="A49" s="74" t="str">
        <f t="shared" si="1"/>
        <v>Wednesday</v>
      </c>
      <c r="B49" s="49">
        <v>46267.0</v>
      </c>
      <c r="C49" s="148">
        <v>3.0</v>
      </c>
      <c r="D49" s="166">
        <v>5665.14</v>
      </c>
      <c r="E49" s="168">
        <v>17643.0</v>
      </c>
      <c r="F49" s="88">
        <f t="shared" si="2"/>
        <v>99950065.02</v>
      </c>
      <c r="H49" s="91">
        <v>46282.0</v>
      </c>
      <c r="I49" s="171">
        <v>4.0</v>
      </c>
      <c r="J49" s="93">
        <f t="shared" si="3"/>
        <v>49975</v>
      </c>
      <c r="K49" s="94">
        <f t="shared" si="4"/>
        <v>880309625</v>
      </c>
      <c r="L49" s="95">
        <f t="shared" si="5"/>
        <v>17615</v>
      </c>
    </row>
    <row r="50">
      <c r="A50" s="74" t="str">
        <f t="shared" si="1"/>
        <v>Wednesday</v>
      </c>
      <c r="B50" s="49">
        <v>46267.0</v>
      </c>
      <c r="C50" s="148">
        <v>3.0</v>
      </c>
      <c r="D50" s="166">
        <v>15294.38</v>
      </c>
      <c r="E50" s="168">
        <v>17643.0</v>
      </c>
      <c r="F50" s="88">
        <f t="shared" si="2"/>
        <v>269838746.3</v>
      </c>
      <c r="H50" s="91">
        <v>46282.0</v>
      </c>
      <c r="I50" s="171">
        <v>5.0</v>
      </c>
      <c r="J50" s="93">
        <f t="shared" si="3"/>
        <v>42924.57</v>
      </c>
      <c r="K50" s="94">
        <f t="shared" si="4"/>
        <v>755924896.3</v>
      </c>
      <c r="L50" s="95">
        <f t="shared" si="5"/>
        <v>17610.54092</v>
      </c>
    </row>
    <row r="51">
      <c r="A51" s="74" t="str">
        <f t="shared" si="1"/>
        <v>Wednesday</v>
      </c>
      <c r="B51" s="49">
        <v>46267.0</v>
      </c>
      <c r="C51" s="148">
        <v>3.0</v>
      </c>
      <c r="D51" s="166">
        <v>5667.06</v>
      </c>
      <c r="E51" s="168">
        <v>17637.0</v>
      </c>
      <c r="F51" s="88">
        <f t="shared" si="2"/>
        <v>99949937.22</v>
      </c>
      <c r="H51" s="91">
        <v>46283.0</v>
      </c>
      <c r="I51" s="171">
        <v>1.0</v>
      </c>
      <c r="J51" s="93">
        <f t="shared" si="3"/>
        <v>128749.97</v>
      </c>
      <c r="K51" s="94">
        <f t="shared" si="4"/>
        <v>2267890479</v>
      </c>
      <c r="L51" s="95">
        <f t="shared" si="5"/>
        <v>17614.68744</v>
      </c>
    </row>
    <row r="52">
      <c r="A52" s="74" t="str">
        <f t="shared" si="1"/>
        <v>Wednesday</v>
      </c>
      <c r="B52" s="49">
        <v>46267.0</v>
      </c>
      <c r="C52" s="148">
        <v>3.0</v>
      </c>
      <c r="D52" s="166">
        <v>24987.5</v>
      </c>
      <c r="E52" s="168">
        <v>17637.0</v>
      </c>
      <c r="F52" s="88">
        <f t="shared" si="2"/>
        <v>440704537.5</v>
      </c>
      <c r="H52" s="91">
        <v>46283.0</v>
      </c>
      <c r="I52" s="171">
        <v>2.0</v>
      </c>
      <c r="J52" s="93">
        <f t="shared" si="3"/>
        <v>35842.5</v>
      </c>
      <c r="K52" s="94">
        <f t="shared" si="4"/>
        <v>631365637.5</v>
      </c>
      <c r="L52" s="95">
        <f t="shared" si="5"/>
        <v>17615</v>
      </c>
    </row>
    <row r="53">
      <c r="A53" s="74" t="str">
        <f t="shared" si="1"/>
        <v>Wednesday</v>
      </c>
      <c r="B53" s="49">
        <v>46267.0</v>
      </c>
      <c r="C53" s="148">
        <v>3.0</v>
      </c>
      <c r="D53" s="166">
        <v>26017.1</v>
      </c>
      <c r="E53" s="168">
        <v>17640.0</v>
      </c>
      <c r="F53" s="88">
        <f t="shared" si="2"/>
        <v>458941644</v>
      </c>
      <c r="H53" s="91">
        <v>46283.0</v>
      </c>
      <c r="I53" s="171">
        <v>3.0</v>
      </c>
      <c r="J53" s="93">
        <f t="shared" si="3"/>
        <v>185364.35</v>
      </c>
      <c r="K53" s="94">
        <f t="shared" si="4"/>
        <v>3266108383</v>
      </c>
      <c r="L53" s="95">
        <f t="shared" si="5"/>
        <v>17619.93815</v>
      </c>
    </row>
    <row r="54">
      <c r="A54" s="74" t="str">
        <f t="shared" si="1"/>
        <v>Wednesday</v>
      </c>
      <c r="B54" s="49">
        <v>46267.0</v>
      </c>
      <c r="C54" s="148">
        <v>4.0</v>
      </c>
      <c r="D54" s="166">
        <v>28325.83</v>
      </c>
      <c r="E54" s="168">
        <v>17644.0</v>
      </c>
      <c r="F54" s="88">
        <f t="shared" si="2"/>
        <v>499780944.5</v>
      </c>
      <c r="H54" s="91">
        <v>46283.0</v>
      </c>
      <c r="I54" s="171">
        <v>4.0</v>
      </c>
      <c r="J54" s="93">
        <f t="shared" si="3"/>
        <v>105053.94</v>
      </c>
      <c r="K54" s="94">
        <f t="shared" si="4"/>
        <v>1849999883</v>
      </c>
      <c r="L54" s="95">
        <f t="shared" si="5"/>
        <v>17610</v>
      </c>
    </row>
    <row r="55">
      <c r="A55" s="74" t="str">
        <f t="shared" si="1"/>
        <v>Wednesday</v>
      </c>
      <c r="B55" s="49">
        <v>46267.0</v>
      </c>
      <c r="C55" s="148">
        <v>5.0</v>
      </c>
      <c r="D55" s="166">
        <v>28315.84</v>
      </c>
      <c r="E55" s="168">
        <v>17650.0</v>
      </c>
      <c r="F55" s="88">
        <f t="shared" si="2"/>
        <v>499774576</v>
      </c>
      <c r="H55" s="91">
        <v>46283.0</v>
      </c>
      <c r="I55" s="171">
        <v>5.0</v>
      </c>
      <c r="J55" s="93">
        <f t="shared" si="3"/>
        <v>83872.79</v>
      </c>
      <c r="K55" s="94">
        <f t="shared" si="4"/>
        <v>1476999832</v>
      </c>
      <c r="L55" s="95">
        <f t="shared" si="5"/>
        <v>17610</v>
      </c>
    </row>
    <row r="56">
      <c r="A56" s="74" t="str">
        <f t="shared" si="1"/>
        <v>Wednesday</v>
      </c>
      <c r="B56" s="49">
        <v>46267.0</v>
      </c>
      <c r="C56" s="148">
        <v>5.0</v>
      </c>
      <c r="D56" s="166">
        <v>28315.84</v>
      </c>
      <c r="E56" s="168">
        <v>17650.0</v>
      </c>
      <c r="F56" s="88">
        <f t="shared" si="2"/>
        <v>499774576</v>
      </c>
      <c r="H56" s="91">
        <v>46283.0</v>
      </c>
      <c r="I56" s="171">
        <v>6.0</v>
      </c>
      <c r="J56" s="93">
        <f t="shared" si="3"/>
        <v>227469.76</v>
      </c>
      <c r="K56" s="94">
        <f t="shared" si="4"/>
        <v>4008311582</v>
      </c>
      <c r="L56" s="95">
        <f t="shared" si="5"/>
        <v>17621.29429</v>
      </c>
    </row>
    <row r="57">
      <c r="A57" s="74" t="str">
        <f t="shared" si="1"/>
        <v>Thursday</v>
      </c>
      <c r="B57" s="49">
        <v>46268.0</v>
      </c>
      <c r="C57" s="148">
        <v>1.0</v>
      </c>
      <c r="D57" s="166">
        <v>28360.74</v>
      </c>
      <c r="E57" s="168">
        <v>17630.0</v>
      </c>
      <c r="F57" s="88">
        <f t="shared" si="2"/>
        <v>499999846.2</v>
      </c>
      <c r="H57" s="91">
        <v>46284.0</v>
      </c>
      <c r="I57" s="171">
        <v>1.0</v>
      </c>
      <c r="J57" s="93">
        <f t="shared" si="3"/>
        <v>59897.49</v>
      </c>
      <c r="K57" s="94">
        <f t="shared" si="4"/>
        <v>1051799924</v>
      </c>
      <c r="L57" s="95">
        <f t="shared" si="5"/>
        <v>17560</v>
      </c>
    </row>
    <row r="58">
      <c r="A58" s="74" t="str">
        <f t="shared" si="1"/>
        <v>Thursday</v>
      </c>
      <c r="B58" s="49">
        <v>46268.0</v>
      </c>
      <c r="C58" s="148">
        <v>1.0</v>
      </c>
      <c r="D58" s="166">
        <v>113410.83</v>
      </c>
      <c r="E58" s="168">
        <v>17635.0</v>
      </c>
      <c r="F58" s="88">
        <f t="shared" si="2"/>
        <v>1999999987</v>
      </c>
      <c r="H58" s="91">
        <v>46284.0</v>
      </c>
      <c r="I58" s="171">
        <v>2.0</v>
      </c>
      <c r="J58" s="93">
        <f t="shared" si="3"/>
        <v>28449.5</v>
      </c>
      <c r="K58" s="94">
        <f t="shared" si="4"/>
        <v>499999962.5</v>
      </c>
      <c r="L58" s="95">
        <f t="shared" si="5"/>
        <v>17575</v>
      </c>
    </row>
    <row r="59">
      <c r="A59" s="74" t="str">
        <f t="shared" si="1"/>
        <v>Thursday</v>
      </c>
      <c r="B59" s="49">
        <v>46268.0</v>
      </c>
      <c r="C59" s="148">
        <v>1.0</v>
      </c>
      <c r="D59" s="166">
        <v>33238.79</v>
      </c>
      <c r="E59" s="168">
        <v>17630.0</v>
      </c>
      <c r="F59" s="88">
        <f t="shared" si="2"/>
        <v>585999867.7</v>
      </c>
      <c r="H59" s="91">
        <v>46284.0</v>
      </c>
      <c r="I59" s="171">
        <v>3.0</v>
      </c>
      <c r="J59" s="93">
        <f t="shared" si="3"/>
        <v>56446.77</v>
      </c>
      <c r="K59" s="94">
        <f t="shared" si="4"/>
        <v>991149309.2</v>
      </c>
      <c r="L59" s="95">
        <f t="shared" si="5"/>
        <v>17559.00841</v>
      </c>
    </row>
    <row r="60">
      <c r="A60" s="74" t="str">
        <f t="shared" si="1"/>
        <v>Thursday</v>
      </c>
      <c r="B60" s="49">
        <v>46268.0</v>
      </c>
      <c r="C60" s="148">
        <v>1.0</v>
      </c>
      <c r="D60" s="166">
        <v>135847.98</v>
      </c>
      <c r="E60" s="168">
        <v>17630.0</v>
      </c>
      <c r="F60" s="88">
        <f t="shared" si="2"/>
        <v>2394999887</v>
      </c>
      <c r="H60" s="91">
        <v>46284.0</v>
      </c>
      <c r="I60" s="171">
        <v>4.0</v>
      </c>
      <c r="J60" s="93">
        <f t="shared" si="3"/>
        <v>57371.3</v>
      </c>
      <c r="K60" s="94">
        <f t="shared" si="4"/>
        <v>1006866315</v>
      </c>
      <c r="L60" s="95">
        <f t="shared" si="5"/>
        <v>17550</v>
      </c>
    </row>
    <row r="61">
      <c r="A61" s="74" t="str">
        <f t="shared" si="1"/>
        <v>Thursday</v>
      </c>
      <c r="B61" s="49">
        <v>46268.0</v>
      </c>
      <c r="C61" s="148">
        <v>1.0</v>
      </c>
      <c r="D61" s="166">
        <v>135925.08</v>
      </c>
      <c r="E61" s="168">
        <v>17620.0</v>
      </c>
      <c r="F61" s="88">
        <f t="shared" si="2"/>
        <v>2394999910</v>
      </c>
      <c r="H61" s="91">
        <v>46284.0</v>
      </c>
      <c r="I61" s="171">
        <v>5.0</v>
      </c>
      <c r="J61" s="93">
        <f t="shared" si="3"/>
        <v>102207.89</v>
      </c>
      <c r="K61" s="94">
        <f t="shared" si="4"/>
        <v>1792726391</v>
      </c>
      <c r="L61" s="95">
        <f t="shared" si="5"/>
        <v>17540</v>
      </c>
    </row>
    <row r="62">
      <c r="A62" s="74" t="str">
        <f t="shared" si="1"/>
        <v>Thursday</v>
      </c>
      <c r="B62" s="49">
        <v>46268.0</v>
      </c>
      <c r="C62" s="148">
        <v>2.0</v>
      </c>
      <c r="D62" s="166">
        <v>6996.5</v>
      </c>
      <c r="E62" s="168">
        <v>17595.0</v>
      </c>
      <c r="F62" s="88">
        <f t="shared" si="2"/>
        <v>123103417.5</v>
      </c>
      <c r="H62" s="91">
        <v>46284.0</v>
      </c>
      <c r="I62" s="171">
        <v>6.0</v>
      </c>
      <c r="J62" s="93">
        <f t="shared" si="3"/>
        <v>126571.06</v>
      </c>
      <c r="K62" s="94">
        <f t="shared" si="4"/>
        <v>2221608461</v>
      </c>
      <c r="L62" s="95">
        <f t="shared" si="5"/>
        <v>17552.26243</v>
      </c>
    </row>
    <row r="63">
      <c r="A63" s="74" t="str">
        <f t="shared" si="1"/>
        <v>Thursday</v>
      </c>
      <c r="B63" s="49">
        <v>46268.0</v>
      </c>
      <c r="C63" s="148">
        <v>2.0</v>
      </c>
      <c r="D63" s="166">
        <v>2839.08</v>
      </c>
      <c r="E63" s="168">
        <v>17595.0</v>
      </c>
      <c r="F63" s="88">
        <f t="shared" si="2"/>
        <v>49953612.6</v>
      </c>
      <c r="H63" s="91">
        <v>46284.0</v>
      </c>
      <c r="I63" s="171">
        <v>7.0</v>
      </c>
      <c r="J63" s="93">
        <f t="shared" si="3"/>
        <v>23368.31</v>
      </c>
      <c r="K63" s="94">
        <f t="shared" si="4"/>
        <v>409525494.8</v>
      </c>
      <c r="L63" s="95">
        <f t="shared" si="5"/>
        <v>17524.82293</v>
      </c>
    </row>
    <row r="64">
      <c r="A64" s="74" t="str">
        <f t="shared" si="1"/>
        <v>Thursday</v>
      </c>
      <c r="B64" s="49">
        <v>46268.0</v>
      </c>
      <c r="C64" s="148">
        <v>2.0</v>
      </c>
      <c r="D64" s="166">
        <v>1420.14</v>
      </c>
      <c r="E64" s="168">
        <v>17595.0</v>
      </c>
      <c r="F64" s="88">
        <f t="shared" si="2"/>
        <v>24987363.3</v>
      </c>
      <c r="H64" s="91">
        <v>46285.0</v>
      </c>
      <c r="I64" s="171">
        <v>1.0</v>
      </c>
      <c r="J64" s="93">
        <f t="shared" si="3"/>
        <v>340261.18</v>
      </c>
      <c r="K64" s="94">
        <f t="shared" si="4"/>
        <v>5967217270</v>
      </c>
      <c r="L64" s="95">
        <f t="shared" si="5"/>
        <v>17537.16739</v>
      </c>
    </row>
    <row r="65">
      <c r="A65" s="74" t="str">
        <f t="shared" si="1"/>
        <v>Thursday</v>
      </c>
      <c r="B65" s="49">
        <v>46268.0</v>
      </c>
      <c r="C65" s="148">
        <v>2.0</v>
      </c>
      <c r="D65" s="166">
        <v>16770.62</v>
      </c>
      <c r="E65" s="168">
        <v>17595.0</v>
      </c>
      <c r="F65" s="88">
        <f t="shared" si="2"/>
        <v>295079058.9</v>
      </c>
      <c r="H65" s="91">
        <v>46285.0</v>
      </c>
      <c r="I65" s="171">
        <v>2.0</v>
      </c>
      <c r="J65" s="93">
        <f t="shared" si="3"/>
        <v>57077.62</v>
      </c>
      <c r="K65" s="94">
        <f t="shared" si="4"/>
        <v>999999902.4</v>
      </c>
      <c r="L65" s="95">
        <f t="shared" si="5"/>
        <v>17520</v>
      </c>
    </row>
    <row r="66">
      <c r="A66" s="74" t="str">
        <f t="shared" si="1"/>
        <v>Thursday</v>
      </c>
      <c r="B66" s="49">
        <v>46268.0</v>
      </c>
      <c r="C66" s="148">
        <v>2.0</v>
      </c>
      <c r="D66" s="166">
        <v>2840.29</v>
      </c>
      <c r="E66" s="168">
        <v>17595.0</v>
      </c>
      <c r="F66" s="88">
        <f t="shared" si="2"/>
        <v>49974902.55</v>
      </c>
      <c r="H66" s="91">
        <v>46286.0</v>
      </c>
      <c r="I66" s="171">
        <v>1.0</v>
      </c>
      <c r="J66" s="93">
        <f t="shared" si="3"/>
        <v>176806.91</v>
      </c>
      <c r="K66" s="94">
        <f t="shared" si="4"/>
        <v>3122486103</v>
      </c>
      <c r="L66" s="95">
        <f t="shared" si="5"/>
        <v>17660.43026</v>
      </c>
    </row>
    <row r="67">
      <c r="A67" s="74" t="str">
        <f t="shared" si="1"/>
        <v>Thursday</v>
      </c>
      <c r="B67" s="49">
        <v>46268.0</v>
      </c>
      <c r="C67" s="148">
        <v>2.0</v>
      </c>
      <c r="D67" s="166">
        <v>10051.46</v>
      </c>
      <c r="E67" s="168">
        <v>17595.0</v>
      </c>
      <c r="F67" s="88">
        <f t="shared" si="2"/>
        <v>176855438.7</v>
      </c>
      <c r="H67" s="91">
        <v>46286.0</v>
      </c>
      <c r="I67" s="171">
        <v>2.0</v>
      </c>
      <c r="J67" s="93">
        <f t="shared" si="3"/>
        <v>172187.42</v>
      </c>
      <c r="K67" s="94">
        <f t="shared" si="4"/>
        <v>3045711324</v>
      </c>
      <c r="L67" s="95">
        <f t="shared" si="5"/>
        <v>17688.34984</v>
      </c>
    </row>
    <row r="68">
      <c r="A68" s="74" t="str">
        <f t="shared" si="1"/>
        <v>Thursday</v>
      </c>
      <c r="B68" s="49">
        <v>46268.0</v>
      </c>
      <c r="C68" s="148">
        <v>2.0</v>
      </c>
      <c r="D68" s="166">
        <v>11182.56</v>
      </c>
      <c r="E68" s="168">
        <v>17595.0</v>
      </c>
      <c r="F68" s="88">
        <f t="shared" si="2"/>
        <v>196757143.2</v>
      </c>
      <c r="H68" s="91">
        <v>46286.0</v>
      </c>
      <c r="I68" s="171">
        <v>3.0</v>
      </c>
      <c r="J68" s="93">
        <f t="shared" si="3"/>
        <v>58448.95</v>
      </c>
      <c r="K68" s="94">
        <f t="shared" si="4"/>
        <v>1034426505</v>
      </c>
      <c r="L68" s="95">
        <f t="shared" si="5"/>
        <v>17697.94847</v>
      </c>
    </row>
    <row r="69">
      <c r="A69" s="74" t="str">
        <f t="shared" si="1"/>
        <v>Thursday</v>
      </c>
      <c r="B69" s="49">
        <v>46268.0</v>
      </c>
      <c r="C69" s="148">
        <v>2.0</v>
      </c>
      <c r="D69" s="166">
        <v>9995.0</v>
      </c>
      <c r="E69" s="168">
        <v>17595.0</v>
      </c>
      <c r="F69" s="88">
        <f t="shared" si="2"/>
        <v>175862025</v>
      </c>
      <c r="H69" s="91">
        <v>46286.0</v>
      </c>
      <c r="I69" s="171">
        <v>4.0</v>
      </c>
      <c r="J69" s="93">
        <f t="shared" si="3"/>
        <v>28216.7</v>
      </c>
      <c r="K69" s="94">
        <f t="shared" si="4"/>
        <v>499999924</v>
      </c>
      <c r="L69" s="95">
        <f t="shared" si="5"/>
        <v>17720</v>
      </c>
    </row>
    <row r="70">
      <c r="A70" s="74" t="str">
        <f t="shared" si="1"/>
        <v>Thursday</v>
      </c>
      <c r="B70" s="49">
        <v>46268.0</v>
      </c>
      <c r="C70" s="148">
        <v>2.0</v>
      </c>
      <c r="D70" s="166">
        <v>6826.59</v>
      </c>
      <c r="E70" s="168">
        <v>17595.0</v>
      </c>
      <c r="F70" s="88">
        <f t="shared" si="2"/>
        <v>120113851.1</v>
      </c>
      <c r="H70" s="91">
        <v>46287.0</v>
      </c>
      <c r="I70" s="171">
        <v>1.0</v>
      </c>
      <c r="J70" s="93">
        <f t="shared" si="3"/>
        <v>112619.72</v>
      </c>
      <c r="K70" s="94">
        <f t="shared" si="4"/>
        <v>1999000030</v>
      </c>
      <c r="L70" s="95">
        <f t="shared" si="5"/>
        <v>17750</v>
      </c>
    </row>
    <row r="71">
      <c r="A71" s="74" t="str">
        <f t="shared" si="1"/>
        <v>Thursday</v>
      </c>
      <c r="B71" s="49">
        <v>46268.0</v>
      </c>
      <c r="C71" s="148">
        <v>2.0</v>
      </c>
      <c r="D71" s="166">
        <v>10367.08</v>
      </c>
      <c r="E71" s="168">
        <v>17595.0</v>
      </c>
      <c r="F71" s="88">
        <f t="shared" si="2"/>
        <v>182408772.6</v>
      </c>
      <c r="H71" s="91">
        <v>46287.0</v>
      </c>
      <c r="I71" s="171">
        <v>2.0</v>
      </c>
      <c r="J71" s="93">
        <f t="shared" si="3"/>
        <v>112619.72</v>
      </c>
      <c r="K71" s="94">
        <f t="shared" si="4"/>
        <v>1999000030</v>
      </c>
      <c r="L71" s="95">
        <f t="shared" si="5"/>
        <v>17750</v>
      </c>
    </row>
    <row r="72">
      <c r="A72" s="74" t="str">
        <f t="shared" si="1"/>
        <v>Thursday</v>
      </c>
      <c r="B72" s="49">
        <v>46268.0</v>
      </c>
      <c r="C72" s="148">
        <v>2.0</v>
      </c>
      <c r="D72" s="166">
        <v>18440.37</v>
      </c>
      <c r="E72" s="168">
        <v>17590.0</v>
      </c>
      <c r="F72" s="88">
        <f t="shared" si="2"/>
        <v>324366108.3</v>
      </c>
      <c r="H72" s="91">
        <v>46287.0</v>
      </c>
      <c r="I72" s="171">
        <v>3.0</v>
      </c>
      <c r="J72" s="93">
        <f t="shared" si="3"/>
        <v>92974.8</v>
      </c>
      <c r="K72" s="94">
        <f t="shared" si="4"/>
        <v>1648932066</v>
      </c>
      <c r="L72" s="95">
        <f t="shared" si="5"/>
        <v>17735.25801</v>
      </c>
    </row>
    <row r="73">
      <c r="A73" s="74" t="str">
        <f t="shared" si="1"/>
        <v>Thursday</v>
      </c>
      <c r="B73" s="49">
        <v>46268.0</v>
      </c>
      <c r="C73" s="148">
        <v>2.0</v>
      </c>
      <c r="D73" s="166">
        <v>4272.11</v>
      </c>
      <c r="E73" s="168">
        <v>17584.0</v>
      </c>
      <c r="F73" s="88">
        <f t="shared" si="2"/>
        <v>75120782.24</v>
      </c>
      <c r="H73" s="91">
        <v>46287.0</v>
      </c>
      <c r="I73" s="171">
        <v>4.0</v>
      </c>
      <c r="J73" s="93">
        <f t="shared" si="3"/>
        <v>59382.19</v>
      </c>
      <c r="K73" s="94">
        <f t="shared" si="4"/>
        <v>1054219274</v>
      </c>
      <c r="L73" s="95">
        <f t="shared" si="5"/>
        <v>17753.12217</v>
      </c>
    </row>
    <row r="74">
      <c r="A74" s="74" t="str">
        <f t="shared" si="1"/>
        <v>Thursday</v>
      </c>
      <c r="B74" s="49">
        <v>46268.0</v>
      </c>
      <c r="C74" s="148">
        <v>2.0</v>
      </c>
      <c r="D74" s="166">
        <v>2548.73</v>
      </c>
      <c r="E74" s="168">
        <v>17580.0</v>
      </c>
      <c r="F74" s="88">
        <f t="shared" si="2"/>
        <v>44806673.4</v>
      </c>
      <c r="H74" s="91">
        <v>46287.0</v>
      </c>
      <c r="I74" s="171">
        <v>5.0</v>
      </c>
      <c r="J74" s="93">
        <f t="shared" si="3"/>
        <v>57310.45</v>
      </c>
      <c r="K74" s="94">
        <f t="shared" si="4"/>
        <v>1017833592</v>
      </c>
      <c r="L74" s="95">
        <f t="shared" si="5"/>
        <v>17760</v>
      </c>
    </row>
    <row r="75">
      <c r="A75" s="74" t="str">
        <f t="shared" si="1"/>
        <v>Thursday</v>
      </c>
      <c r="B75" s="49">
        <v>46268.0</v>
      </c>
      <c r="C75" s="148">
        <v>2.0</v>
      </c>
      <c r="D75" s="166">
        <v>2498.75</v>
      </c>
      <c r="E75" s="168">
        <v>17580.0</v>
      </c>
      <c r="F75" s="88">
        <f t="shared" si="2"/>
        <v>43928025</v>
      </c>
      <c r="H75" s="91">
        <v>46287.0</v>
      </c>
      <c r="I75" s="171">
        <v>6.0</v>
      </c>
      <c r="J75" s="93">
        <f t="shared" si="3"/>
        <v>99859.19</v>
      </c>
      <c r="K75" s="94">
        <f t="shared" si="4"/>
        <v>1772999918</v>
      </c>
      <c r="L75" s="95">
        <f t="shared" si="5"/>
        <v>17755</v>
      </c>
    </row>
    <row r="76">
      <c r="A76" s="74" t="str">
        <f t="shared" si="1"/>
        <v>Thursday</v>
      </c>
      <c r="B76" s="49">
        <v>46268.0</v>
      </c>
      <c r="C76" s="148">
        <v>2.0</v>
      </c>
      <c r="D76" s="166">
        <v>3141.92</v>
      </c>
      <c r="E76" s="168">
        <v>17580.0</v>
      </c>
      <c r="F76" s="88">
        <f t="shared" si="2"/>
        <v>55234953.6</v>
      </c>
      <c r="H76" s="91">
        <v>46287.0</v>
      </c>
      <c r="I76" s="171">
        <v>7.0</v>
      </c>
      <c r="J76" s="93">
        <f t="shared" si="3"/>
        <v>65845.94</v>
      </c>
      <c r="K76" s="94">
        <f t="shared" si="4"/>
        <v>1169311306</v>
      </c>
      <c r="L76" s="95">
        <f t="shared" si="5"/>
        <v>17758.29013</v>
      </c>
    </row>
    <row r="77">
      <c r="A77" s="74" t="str">
        <f t="shared" si="1"/>
        <v>Thursday</v>
      </c>
      <c r="B77" s="49">
        <v>46268.0</v>
      </c>
      <c r="C77" s="148">
        <v>2.0</v>
      </c>
      <c r="D77" s="166">
        <v>8596.39</v>
      </c>
      <c r="E77" s="168">
        <v>17580.0</v>
      </c>
      <c r="F77" s="88">
        <f t="shared" si="2"/>
        <v>151124536.2</v>
      </c>
      <c r="H77" s="91">
        <v>46287.0</v>
      </c>
      <c r="I77" s="171">
        <v>8.0</v>
      </c>
      <c r="J77" s="93">
        <f t="shared" si="3"/>
        <v>107406.36</v>
      </c>
      <c r="K77" s="94">
        <f t="shared" si="4"/>
        <v>1906999922</v>
      </c>
      <c r="L77" s="95">
        <f t="shared" si="5"/>
        <v>17755</v>
      </c>
    </row>
    <row r="78">
      <c r="A78" s="74" t="str">
        <f t="shared" si="1"/>
        <v>Thursday</v>
      </c>
      <c r="B78" s="49">
        <v>46268.0</v>
      </c>
      <c r="C78" s="148">
        <v>2.0</v>
      </c>
      <c r="D78" s="166">
        <v>2298.85</v>
      </c>
      <c r="E78" s="168">
        <v>17580.0</v>
      </c>
      <c r="F78" s="88">
        <f t="shared" si="2"/>
        <v>40413783</v>
      </c>
      <c r="H78" s="91">
        <v>46288.0</v>
      </c>
      <c r="I78" s="171">
        <v>1.0</v>
      </c>
      <c r="J78" s="93">
        <f t="shared" si="3"/>
        <v>66947.01</v>
      </c>
      <c r="K78" s="94">
        <f t="shared" si="4"/>
        <v>1189304300</v>
      </c>
      <c r="L78" s="95">
        <f t="shared" si="5"/>
        <v>17764.8606</v>
      </c>
    </row>
    <row r="79">
      <c r="A79" s="74" t="str">
        <f t="shared" si="1"/>
        <v>Thursday</v>
      </c>
      <c r="B79" s="49">
        <v>46268.0</v>
      </c>
      <c r="C79" s="148">
        <v>2.0</v>
      </c>
      <c r="D79" s="166">
        <v>2998.5</v>
      </c>
      <c r="E79" s="168">
        <v>17580.0</v>
      </c>
      <c r="F79" s="88">
        <f t="shared" si="2"/>
        <v>52713630</v>
      </c>
      <c r="H79" s="91">
        <v>46288.0</v>
      </c>
      <c r="I79" s="171">
        <v>2.0</v>
      </c>
      <c r="J79" s="93">
        <f t="shared" si="3"/>
        <v>225288.65</v>
      </c>
      <c r="K79" s="94">
        <f t="shared" si="4"/>
        <v>3999999981</v>
      </c>
      <c r="L79" s="95">
        <f t="shared" si="5"/>
        <v>17755</v>
      </c>
    </row>
    <row r="80">
      <c r="A80" s="74" t="str">
        <f t="shared" si="1"/>
        <v>Thursday</v>
      </c>
      <c r="B80" s="49">
        <v>46268.0</v>
      </c>
      <c r="C80" s="148">
        <v>2.0</v>
      </c>
      <c r="D80" s="166">
        <v>3998.0</v>
      </c>
      <c r="E80" s="168">
        <v>17572.0</v>
      </c>
      <c r="F80" s="88">
        <f t="shared" si="2"/>
        <v>70252856</v>
      </c>
      <c r="H80" s="91">
        <v>46288.0</v>
      </c>
      <c r="I80" s="171">
        <v>3.0</v>
      </c>
      <c r="J80" s="93">
        <f t="shared" si="3"/>
        <v>31292.8</v>
      </c>
      <c r="K80" s="94">
        <f t="shared" si="4"/>
        <v>555603664</v>
      </c>
      <c r="L80" s="95">
        <f t="shared" si="5"/>
        <v>17755</v>
      </c>
    </row>
    <row r="81">
      <c r="A81" s="74" t="str">
        <f t="shared" si="1"/>
        <v>Thursday</v>
      </c>
      <c r="B81" s="49">
        <v>46268.0</v>
      </c>
      <c r="C81" s="148">
        <v>2.0</v>
      </c>
      <c r="D81" s="166">
        <v>2720.9</v>
      </c>
      <c r="E81" s="168">
        <v>17572.0</v>
      </c>
      <c r="F81" s="88">
        <f t="shared" si="2"/>
        <v>47811654.8</v>
      </c>
      <c r="H81" s="91">
        <v>46289.0</v>
      </c>
      <c r="I81" s="171">
        <v>1.0</v>
      </c>
      <c r="J81" s="93">
        <f t="shared" si="3"/>
        <v>105647.15</v>
      </c>
      <c r="K81" s="94">
        <f t="shared" si="4"/>
        <v>1877549756</v>
      </c>
      <c r="L81" s="95">
        <f t="shared" si="5"/>
        <v>17771.89215</v>
      </c>
    </row>
    <row r="82">
      <c r="A82" s="74" t="str">
        <f t="shared" si="1"/>
        <v>Thursday</v>
      </c>
      <c r="B82" s="49">
        <v>46268.0</v>
      </c>
      <c r="C82" s="148">
        <v>2.0</v>
      </c>
      <c r="D82" s="166">
        <v>8874.87</v>
      </c>
      <c r="E82" s="168">
        <v>17572.0</v>
      </c>
      <c r="F82" s="88">
        <f t="shared" si="2"/>
        <v>155949215.6</v>
      </c>
      <c r="H82" s="91">
        <v>46289.0</v>
      </c>
      <c r="I82" s="171">
        <v>2.0</v>
      </c>
      <c r="J82" s="93">
        <f t="shared" si="3"/>
        <v>28081.99</v>
      </c>
      <c r="K82" s="94">
        <f t="shared" si="4"/>
        <v>499999832</v>
      </c>
      <c r="L82" s="95">
        <f t="shared" si="5"/>
        <v>17805</v>
      </c>
    </row>
    <row r="83">
      <c r="A83" s="74" t="str">
        <f t="shared" si="1"/>
        <v>Thursday</v>
      </c>
      <c r="B83" s="49">
        <v>46268.0</v>
      </c>
      <c r="C83" s="148">
        <v>2.0</v>
      </c>
      <c r="D83" s="166">
        <v>4997.5</v>
      </c>
      <c r="E83" s="168">
        <v>17572.0</v>
      </c>
      <c r="F83" s="88">
        <f t="shared" si="2"/>
        <v>87816070</v>
      </c>
      <c r="H83" s="91">
        <v>46289.0</v>
      </c>
      <c r="I83" s="171">
        <v>3.0</v>
      </c>
      <c r="J83" s="93">
        <f t="shared" si="3"/>
        <v>112580.91</v>
      </c>
      <c r="K83" s="94">
        <f t="shared" si="4"/>
        <v>1999999866</v>
      </c>
      <c r="L83" s="95">
        <f t="shared" si="5"/>
        <v>17765</v>
      </c>
    </row>
    <row r="84">
      <c r="A84" s="74" t="str">
        <f t="shared" si="1"/>
        <v>Thursday</v>
      </c>
      <c r="B84" s="49">
        <v>46268.0</v>
      </c>
      <c r="C84" s="148">
        <v>2.0</v>
      </c>
      <c r="D84" s="166">
        <v>4997.5</v>
      </c>
      <c r="E84" s="168">
        <v>17572.0</v>
      </c>
      <c r="F84" s="88">
        <f t="shared" si="2"/>
        <v>87816070</v>
      </c>
      <c r="H84" s="91">
        <v>46289.0</v>
      </c>
      <c r="I84" s="171">
        <v>4.0</v>
      </c>
      <c r="J84" s="93">
        <f t="shared" si="3"/>
        <v>146928.72</v>
      </c>
      <c r="K84" s="94">
        <f t="shared" si="4"/>
        <v>2610188711</v>
      </c>
      <c r="L84" s="95">
        <f t="shared" si="5"/>
        <v>17765</v>
      </c>
    </row>
    <row r="85">
      <c r="A85" s="74" t="str">
        <f t="shared" si="1"/>
        <v>Thursday</v>
      </c>
      <c r="B85" s="49">
        <v>46268.0</v>
      </c>
      <c r="C85" s="148">
        <v>2.0</v>
      </c>
      <c r="D85" s="166">
        <v>3998.0</v>
      </c>
      <c r="E85" s="168">
        <v>17575.0</v>
      </c>
      <c r="F85" s="88">
        <f t="shared" si="2"/>
        <v>70264850</v>
      </c>
      <c r="H85" s="91">
        <v>46289.0</v>
      </c>
      <c r="I85" s="171">
        <v>5.0</v>
      </c>
      <c r="J85" s="93">
        <f t="shared" si="3"/>
        <v>432022.11</v>
      </c>
      <c r="K85" s="94">
        <f t="shared" si="4"/>
        <v>7693813886</v>
      </c>
      <c r="L85" s="95">
        <f t="shared" si="5"/>
        <v>17808.8429</v>
      </c>
    </row>
    <row r="86">
      <c r="A86" s="74" t="str">
        <f t="shared" si="1"/>
        <v>Thursday</v>
      </c>
      <c r="B86" s="49">
        <v>46268.0</v>
      </c>
      <c r="C86" s="148">
        <v>2.0</v>
      </c>
      <c r="D86" s="166">
        <v>1694.47</v>
      </c>
      <c r="E86" s="168">
        <v>17575.0</v>
      </c>
      <c r="F86" s="88">
        <f t="shared" si="2"/>
        <v>29780310.25</v>
      </c>
      <c r="H86" s="91">
        <v>46289.0</v>
      </c>
      <c r="I86" s="171">
        <v>6.0</v>
      </c>
      <c r="J86" s="93">
        <f t="shared" si="3"/>
        <v>89040.88</v>
      </c>
      <c r="K86" s="94">
        <f t="shared" si="4"/>
        <v>1586987490</v>
      </c>
      <c r="L86" s="95">
        <f t="shared" si="5"/>
        <v>17823.13348</v>
      </c>
    </row>
    <row r="87">
      <c r="A87" s="74" t="str">
        <f t="shared" si="1"/>
        <v>Thursday</v>
      </c>
      <c r="B87" s="49">
        <v>46268.0</v>
      </c>
      <c r="C87" s="148">
        <v>2.0</v>
      </c>
      <c r="D87" s="166">
        <v>1999.0</v>
      </c>
      <c r="E87" s="168">
        <v>17575.0</v>
      </c>
      <c r="F87" s="88">
        <f t="shared" si="2"/>
        <v>35132425</v>
      </c>
      <c r="H87" s="91">
        <v>46289.0</v>
      </c>
      <c r="I87" s="171">
        <v>7.0</v>
      </c>
      <c r="J87" s="93">
        <f t="shared" si="3"/>
        <v>34988.57</v>
      </c>
      <c r="K87" s="94">
        <f t="shared" si="4"/>
        <v>623146431.7</v>
      </c>
      <c r="L87" s="95">
        <f t="shared" si="5"/>
        <v>17810</v>
      </c>
    </row>
    <row r="88">
      <c r="A88" s="74" t="str">
        <f t="shared" si="1"/>
        <v>Friday</v>
      </c>
      <c r="B88" s="49">
        <v>46269.0</v>
      </c>
      <c r="C88" s="148">
        <v>1.0</v>
      </c>
      <c r="D88" s="166">
        <v>263858.85</v>
      </c>
      <c r="E88" s="168">
        <v>17570.0</v>
      </c>
      <c r="F88" s="88">
        <f t="shared" si="2"/>
        <v>4635999995</v>
      </c>
      <c r="H88" s="91">
        <v>46290.0</v>
      </c>
      <c r="I88" s="171">
        <v>1.0</v>
      </c>
      <c r="J88" s="93">
        <f t="shared" si="3"/>
        <v>117941</v>
      </c>
      <c r="K88" s="94">
        <f t="shared" si="4"/>
        <v>2102416266</v>
      </c>
      <c r="L88" s="95">
        <f t="shared" si="5"/>
        <v>17826</v>
      </c>
    </row>
    <row r="89">
      <c r="A89" s="74" t="str">
        <f t="shared" si="1"/>
        <v>Friday</v>
      </c>
      <c r="B89" s="49">
        <v>46269.0</v>
      </c>
      <c r="C89" s="148">
        <v>2.0</v>
      </c>
      <c r="D89" s="166">
        <v>130904.95</v>
      </c>
      <c r="E89" s="168">
        <v>17570.0</v>
      </c>
      <c r="F89" s="88">
        <f t="shared" si="2"/>
        <v>2299999972</v>
      </c>
      <c r="H89" s="91">
        <v>46290.0</v>
      </c>
      <c r="I89" s="171">
        <v>2.0</v>
      </c>
      <c r="J89" s="93">
        <f t="shared" si="3"/>
        <v>259404.82</v>
      </c>
      <c r="K89" s="94">
        <f t="shared" si="4"/>
        <v>4619999844</v>
      </c>
      <c r="L89" s="95">
        <f t="shared" si="5"/>
        <v>17810</v>
      </c>
    </row>
    <row r="90">
      <c r="A90" s="74" t="str">
        <f t="shared" si="1"/>
        <v>Friday</v>
      </c>
      <c r="B90" s="49">
        <v>46269.0</v>
      </c>
      <c r="C90" s="148">
        <v>3.0</v>
      </c>
      <c r="D90" s="166">
        <v>92655.84</v>
      </c>
      <c r="E90" s="168">
        <v>17565.0</v>
      </c>
      <c r="F90" s="88">
        <f t="shared" si="2"/>
        <v>1627499830</v>
      </c>
      <c r="H90" s="91">
        <v>46290.0</v>
      </c>
      <c r="I90" s="171">
        <v>3.0</v>
      </c>
      <c r="J90" s="93">
        <f t="shared" si="3"/>
        <v>76461.75</v>
      </c>
      <c r="K90" s="94">
        <f t="shared" si="4"/>
        <v>1358113604</v>
      </c>
      <c r="L90" s="95">
        <f t="shared" si="5"/>
        <v>17762</v>
      </c>
    </row>
    <row r="91">
      <c r="A91" s="74" t="str">
        <f t="shared" si="1"/>
        <v>Friday</v>
      </c>
      <c r="B91" s="49">
        <v>46269.0</v>
      </c>
      <c r="C91" s="148">
        <v>4.0</v>
      </c>
      <c r="D91" s="166">
        <v>63570.83</v>
      </c>
      <c r="E91" s="168">
        <v>17545.0</v>
      </c>
      <c r="F91" s="88">
        <f t="shared" si="2"/>
        <v>1115350212</v>
      </c>
      <c r="H91" s="91">
        <v>46290.0</v>
      </c>
      <c r="I91" s="171">
        <v>4.0</v>
      </c>
      <c r="J91" s="93">
        <f t="shared" si="3"/>
        <v>78434.68</v>
      </c>
      <c r="K91" s="94">
        <f t="shared" si="4"/>
        <v>1392999917</v>
      </c>
      <c r="L91" s="95">
        <f t="shared" si="5"/>
        <v>17760</v>
      </c>
    </row>
    <row r="92">
      <c r="A92" s="74" t="str">
        <f t="shared" si="1"/>
        <v>Friday</v>
      </c>
      <c r="B92" s="49">
        <v>46269.0</v>
      </c>
      <c r="C92" s="148">
        <v>4.0</v>
      </c>
      <c r="D92" s="166">
        <v>28498.14</v>
      </c>
      <c r="E92" s="168">
        <v>17545.0</v>
      </c>
      <c r="F92" s="88">
        <f t="shared" si="2"/>
        <v>499999866.3</v>
      </c>
      <c r="H92" s="91">
        <v>46290.0</v>
      </c>
      <c r="I92" s="171">
        <v>5.0</v>
      </c>
      <c r="J92" s="93">
        <f t="shared" si="3"/>
        <v>16348.63</v>
      </c>
      <c r="K92" s="94">
        <f t="shared" si="4"/>
        <v>290232966.8</v>
      </c>
      <c r="L92" s="95">
        <f t="shared" si="5"/>
        <v>17752.73933</v>
      </c>
    </row>
    <row r="93">
      <c r="A93" s="74" t="str">
        <f t="shared" si="1"/>
        <v>Friday</v>
      </c>
      <c r="B93" s="49">
        <v>46269.0</v>
      </c>
      <c r="C93" s="148">
        <v>4.0</v>
      </c>
      <c r="D93" s="166">
        <v>74095.18</v>
      </c>
      <c r="E93" s="168">
        <v>17545.0</v>
      </c>
      <c r="F93" s="88">
        <f t="shared" si="2"/>
        <v>1299999933</v>
      </c>
      <c r="H93" s="91">
        <v>46290.0</v>
      </c>
      <c r="I93" s="171">
        <v>6.0</v>
      </c>
      <c r="J93" s="93">
        <f t="shared" si="3"/>
        <v>35019.49</v>
      </c>
      <c r="K93" s="94">
        <f t="shared" si="4"/>
        <v>621280735.1</v>
      </c>
      <c r="L93" s="95">
        <f t="shared" si="5"/>
        <v>17740.99894</v>
      </c>
    </row>
    <row r="94">
      <c r="A94" s="74" t="str">
        <f t="shared" si="1"/>
        <v>Friday</v>
      </c>
      <c r="B94" s="49">
        <v>46269.0</v>
      </c>
      <c r="C94" s="148">
        <v>5.0</v>
      </c>
      <c r="D94" s="166">
        <v>29985.0</v>
      </c>
      <c r="E94" s="168">
        <v>17545.0</v>
      </c>
      <c r="F94" s="88">
        <f t="shared" si="2"/>
        <v>526086825</v>
      </c>
      <c r="H94" s="91">
        <v>46290.0</v>
      </c>
      <c r="I94" s="171">
        <v>7.0</v>
      </c>
      <c r="J94" s="93">
        <f t="shared" si="3"/>
        <v>194291.83</v>
      </c>
      <c r="K94" s="94">
        <f t="shared" si="4"/>
        <v>3448679983</v>
      </c>
      <c r="L94" s="95">
        <f t="shared" si="5"/>
        <v>17750</v>
      </c>
    </row>
    <row r="95">
      <c r="A95" s="74" t="str">
        <f t="shared" si="1"/>
        <v>Friday</v>
      </c>
      <c r="B95" s="49">
        <v>46269.0</v>
      </c>
      <c r="C95" s="148">
        <v>5.0</v>
      </c>
      <c r="D95" s="166">
        <v>1499.25</v>
      </c>
      <c r="E95" s="168">
        <v>17545.0</v>
      </c>
      <c r="F95" s="88">
        <f t="shared" si="2"/>
        <v>26304341.25</v>
      </c>
      <c r="H95" s="91">
        <v>46291.0</v>
      </c>
      <c r="I95" s="171">
        <v>1.0</v>
      </c>
      <c r="J95" s="93">
        <f t="shared" si="3"/>
        <v>57924.11</v>
      </c>
      <c r="K95" s="94">
        <f t="shared" si="4"/>
        <v>1027319104</v>
      </c>
      <c r="L95" s="95">
        <f t="shared" si="5"/>
        <v>17735.60447</v>
      </c>
    </row>
    <row r="96">
      <c r="A96" s="74" t="str">
        <f t="shared" si="1"/>
        <v>Friday</v>
      </c>
      <c r="B96" s="49">
        <v>46269.0</v>
      </c>
      <c r="C96" s="148">
        <v>5.0</v>
      </c>
      <c r="D96" s="166">
        <v>341.8</v>
      </c>
      <c r="E96" s="168">
        <v>17545.0</v>
      </c>
      <c r="F96" s="88">
        <f t="shared" si="2"/>
        <v>5996881</v>
      </c>
      <c r="H96" s="91">
        <v>46291.0</v>
      </c>
      <c r="I96" s="171">
        <v>2.0</v>
      </c>
      <c r="J96" s="93">
        <f t="shared" si="3"/>
        <v>256901.4</v>
      </c>
      <c r="K96" s="94">
        <f t="shared" si="4"/>
        <v>4559999850</v>
      </c>
      <c r="L96" s="95">
        <f t="shared" si="5"/>
        <v>17750</v>
      </c>
    </row>
    <row r="97">
      <c r="A97" s="74" t="str">
        <f t="shared" si="1"/>
        <v>Friday</v>
      </c>
      <c r="B97" s="49">
        <v>46269.0</v>
      </c>
      <c r="C97" s="148">
        <v>5.0</v>
      </c>
      <c r="D97" s="166">
        <v>3998.0</v>
      </c>
      <c r="E97" s="168">
        <v>17540.0</v>
      </c>
      <c r="F97" s="88">
        <f t="shared" si="2"/>
        <v>70124920</v>
      </c>
      <c r="H97" s="91">
        <v>46291.0</v>
      </c>
      <c r="I97" s="171">
        <v>3.0</v>
      </c>
      <c r="J97" s="93">
        <f t="shared" si="3"/>
        <v>149788.55</v>
      </c>
      <c r="K97" s="94">
        <f t="shared" si="4"/>
        <v>2656499934</v>
      </c>
      <c r="L97" s="95">
        <f t="shared" si="5"/>
        <v>17735</v>
      </c>
    </row>
    <row r="98">
      <c r="A98" s="74" t="str">
        <f t="shared" si="1"/>
        <v>Friday</v>
      </c>
      <c r="B98" s="49">
        <v>46269.0</v>
      </c>
      <c r="C98" s="148">
        <v>5.0</v>
      </c>
      <c r="D98" s="166">
        <v>5696.13</v>
      </c>
      <c r="E98" s="168">
        <v>17547.0</v>
      </c>
      <c r="F98" s="88">
        <f t="shared" si="2"/>
        <v>99949993.11</v>
      </c>
      <c r="H98" s="91">
        <v>46291.0</v>
      </c>
      <c r="I98" s="171">
        <v>4.0</v>
      </c>
      <c r="J98" s="93">
        <f t="shared" si="3"/>
        <v>299577.1</v>
      </c>
      <c r="K98" s="94">
        <f t="shared" si="4"/>
        <v>5312999869</v>
      </c>
      <c r="L98" s="95">
        <f t="shared" si="5"/>
        <v>17735</v>
      </c>
    </row>
    <row r="99">
      <c r="A99" s="74" t="str">
        <f t="shared" si="1"/>
        <v>Friday</v>
      </c>
      <c r="B99" s="49">
        <v>46269.0</v>
      </c>
      <c r="C99" s="148">
        <v>5.0</v>
      </c>
      <c r="D99" s="166">
        <v>8295.85</v>
      </c>
      <c r="E99" s="168">
        <v>17545.0</v>
      </c>
      <c r="F99" s="88">
        <f t="shared" si="2"/>
        <v>145550688.3</v>
      </c>
      <c r="H99" s="91">
        <v>46292.0</v>
      </c>
      <c r="I99" s="171">
        <v>1.0</v>
      </c>
      <c r="J99" s="93">
        <f t="shared" si="3"/>
        <v>148520.61</v>
      </c>
      <c r="K99" s="94">
        <f t="shared" si="4"/>
        <v>2645894667</v>
      </c>
      <c r="L99" s="95">
        <f t="shared" si="5"/>
        <v>17815</v>
      </c>
    </row>
    <row r="100">
      <c r="A100" s="74" t="str">
        <f t="shared" si="1"/>
        <v>Friday</v>
      </c>
      <c r="B100" s="49">
        <v>46269.0</v>
      </c>
      <c r="C100" s="148">
        <v>5.0</v>
      </c>
      <c r="D100" s="166">
        <v>12993.5</v>
      </c>
      <c r="E100" s="168">
        <v>17550.0</v>
      </c>
      <c r="F100" s="88">
        <f t="shared" si="2"/>
        <v>228035925</v>
      </c>
      <c r="H100" s="91">
        <v>46292.0</v>
      </c>
      <c r="I100" s="171">
        <v>2.0</v>
      </c>
      <c r="J100" s="93">
        <f t="shared" si="3"/>
        <v>112303.38</v>
      </c>
      <c r="K100" s="94">
        <f t="shared" si="4"/>
        <v>1999000164</v>
      </c>
      <c r="L100" s="95">
        <f t="shared" si="5"/>
        <v>17800</v>
      </c>
    </row>
    <row r="101">
      <c r="A101" s="74" t="str">
        <f t="shared" si="1"/>
        <v>Friday</v>
      </c>
      <c r="B101" s="49">
        <v>46269.0</v>
      </c>
      <c r="C101" s="148">
        <v>5.0</v>
      </c>
      <c r="D101" s="166">
        <v>2998.5</v>
      </c>
      <c r="E101" s="168">
        <v>17550.0</v>
      </c>
      <c r="F101" s="88">
        <f t="shared" si="2"/>
        <v>52623675</v>
      </c>
      <c r="H101" s="91">
        <v>46292.0</v>
      </c>
      <c r="I101" s="171">
        <v>3.0</v>
      </c>
      <c r="J101" s="93">
        <f t="shared" si="3"/>
        <v>61867.3</v>
      </c>
      <c r="K101" s="94">
        <f t="shared" si="4"/>
        <v>1100000594</v>
      </c>
      <c r="L101" s="95">
        <f t="shared" si="5"/>
        <v>17780</v>
      </c>
    </row>
    <row r="102">
      <c r="A102" s="74" t="str">
        <f t="shared" si="1"/>
        <v>Saturday</v>
      </c>
      <c r="B102" s="49">
        <v>46270.0</v>
      </c>
      <c r="C102" s="148">
        <v>1.0</v>
      </c>
      <c r="D102" s="166">
        <v>85470.08</v>
      </c>
      <c r="E102" s="168">
        <v>17550.0</v>
      </c>
      <c r="F102" s="88">
        <f t="shared" si="2"/>
        <v>1499999904</v>
      </c>
      <c r="H102" s="91">
        <v>46293.0</v>
      </c>
      <c r="I102" s="171">
        <v>1.0</v>
      </c>
      <c r="J102" s="93">
        <f t="shared" si="3"/>
        <v>55162.55</v>
      </c>
      <c r="K102" s="94">
        <f t="shared" si="4"/>
        <v>984099892</v>
      </c>
      <c r="L102" s="95">
        <f t="shared" si="5"/>
        <v>17840</v>
      </c>
    </row>
    <row r="103">
      <c r="A103" s="74" t="str">
        <f t="shared" si="1"/>
        <v>Monday</v>
      </c>
      <c r="B103" s="49">
        <v>46272.0</v>
      </c>
      <c r="C103" s="148">
        <v>1.0</v>
      </c>
      <c r="D103" s="166">
        <v>3347.66</v>
      </c>
      <c r="E103" s="168">
        <v>17570.0</v>
      </c>
      <c r="F103" s="88">
        <f t="shared" si="2"/>
        <v>58818386.2</v>
      </c>
      <c r="H103" s="91">
        <v>46293.0</v>
      </c>
      <c r="I103" s="171">
        <v>2.0</v>
      </c>
      <c r="J103" s="93">
        <f t="shared" si="3"/>
        <v>88000</v>
      </c>
      <c r="K103" s="94">
        <f t="shared" si="4"/>
        <v>1570360000</v>
      </c>
      <c r="L103" s="95">
        <f t="shared" si="5"/>
        <v>17845</v>
      </c>
    </row>
    <row r="104">
      <c r="A104" s="74" t="str">
        <f t="shared" si="1"/>
        <v>Monday</v>
      </c>
      <c r="B104" s="49">
        <v>46272.0</v>
      </c>
      <c r="C104" s="148">
        <v>1.0</v>
      </c>
      <c r="D104" s="166">
        <v>1751.29</v>
      </c>
      <c r="E104" s="168">
        <v>17570.0</v>
      </c>
      <c r="F104" s="88">
        <f t="shared" si="2"/>
        <v>30770165.3</v>
      </c>
      <c r="H104" s="91">
        <v>46293.0</v>
      </c>
      <c r="I104" s="171">
        <v>5.0</v>
      </c>
      <c r="J104" s="93">
        <f t="shared" si="3"/>
        <v>44201.56</v>
      </c>
      <c r="K104" s="94">
        <f t="shared" si="4"/>
        <v>790544900.6</v>
      </c>
      <c r="L104" s="95">
        <f t="shared" si="5"/>
        <v>17885</v>
      </c>
    </row>
    <row r="105">
      <c r="A105" s="74" t="str">
        <f t="shared" si="1"/>
        <v>Monday</v>
      </c>
      <c r="B105" s="49">
        <v>46272.0</v>
      </c>
      <c r="C105" s="148">
        <v>1.0</v>
      </c>
      <c r="D105" s="166">
        <v>1984.61</v>
      </c>
      <c r="E105" s="168">
        <v>17570.0</v>
      </c>
      <c r="F105" s="88">
        <f t="shared" si="2"/>
        <v>34869597.7</v>
      </c>
      <c r="H105" s="91">
        <v>46293.0</v>
      </c>
      <c r="I105" s="171">
        <v>6.0</v>
      </c>
      <c r="J105" s="93">
        <f t="shared" si="3"/>
        <v>29985</v>
      </c>
      <c r="K105" s="94">
        <f t="shared" si="4"/>
        <v>537331200</v>
      </c>
      <c r="L105" s="95">
        <f t="shared" si="5"/>
        <v>17920</v>
      </c>
    </row>
    <row r="106">
      <c r="A106" s="74" t="str">
        <f t="shared" si="1"/>
        <v>Monday</v>
      </c>
      <c r="B106" s="49">
        <v>46272.0</v>
      </c>
      <c r="C106" s="148">
        <v>1.0</v>
      </c>
      <c r="D106" s="166">
        <v>13954.88</v>
      </c>
      <c r="E106" s="168">
        <v>17557.0</v>
      </c>
      <c r="F106" s="88">
        <f t="shared" si="2"/>
        <v>245005828.2</v>
      </c>
      <c r="H106" s="91">
        <v>46293.0</v>
      </c>
      <c r="I106" s="171">
        <v>3.0</v>
      </c>
      <c r="J106" s="93">
        <f t="shared" si="3"/>
        <v>55000</v>
      </c>
      <c r="K106" s="94">
        <f t="shared" si="4"/>
        <v>982850000</v>
      </c>
      <c r="L106" s="95">
        <f t="shared" si="5"/>
        <v>17870</v>
      </c>
    </row>
    <row r="107">
      <c r="A107" s="74" t="str">
        <f t="shared" si="1"/>
        <v>Monday</v>
      </c>
      <c r="B107" s="49">
        <v>46272.0</v>
      </c>
      <c r="C107" s="148">
        <v>1.0</v>
      </c>
      <c r="D107" s="166">
        <v>5587.21</v>
      </c>
      <c r="E107" s="168">
        <v>17565.0</v>
      </c>
      <c r="F107" s="88">
        <f t="shared" si="2"/>
        <v>98139343.65</v>
      </c>
      <c r="H107" s="91">
        <v>46293.0</v>
      </c>
      <c r="I107" s="171">
        <v>4.0</v>
      </c>
      <c r="J107" s="93">
        <f t="shared" si="3"/>
        <v>55000</v>
      </c>
      <c r="K107" s="94">
        <f t="shared" si="4"/>
        <v>983400000</v>
      </c>
      <c r="L107" s="95">
        <f t="shared" si="5"/>
        <v>17880</v>
      </c>
    </row>
    <row r="108">
      <c r="A108" s="74" t="str">
        <f t="shared" si="1"/>
        <v>Monday</v>
      </c>
      <c r="B108" s="49">
        <v>46272.0</v>
      </c>
      <c r="C108" s="148">
        <v>1.0</v>
      </c>
      <c r="D108" s="166">
        <v>2798.6</v>
      </c>
      <c r="E108" s="168">
        <v>17565.0</v>
      </c>
      <c r="F108" s="88">
        <f t="shared" si="2"/>
        <v>49157409</v>
      </c>
      <c r="H108" s="91">
        <v>46294.0</v>
      </c>
      <c r="I108" s="171">
        <v>1.0</v>
      </c>
      <c r="J108" s="93">
        <f t="shared" si="3"/>
        <v>118323.03</v>
      </c>
      <c r="K108" s="94">
        <f t="shared" si="4"/>
        <v>2121238697</v>
      </c>
      <c r="L108" s="95">
        <f t="shared" si="5"/>
        <v>17927.52178</v>
      </c>
    </row>
    <row r="109">
      <c r="A109" s="74" t="str">
        <f t="shared" si="1"/>
        <v>Monday</v>
      </c>
      <c r="B109" s="49">
        <v>46272.0</v>
      </c>
      <c r="C109" s="148">
        <v>1.0</v>
      </c>
      <c r="D109" s="166">
        <v>1479.2</v>
      </c>
      <c r="E109" s="168">
        <v>17565.0</v>
      </c>
      <c r="F109" s="88">
        <f t="shared" si="2"/>
        <v>25982148</v>
      </c>
      <c r="H109" s="91">
        <v>46294.0</v>
      </c>
      <c r="I109" s="171">
        <v>2.0</v>
      </c>
      <c r="J109" s="93">
        <f t="shared" si="3"/>
        <v>292375.59</v>
      </c>
      <c r="K109" s="94">
        <f t="shared" si="4"/>
        <v>5234984939</v>
      </c>
      <c r="L109" s="95">
        <f t="shared" si="5"/>
        <v>17905</v>
      </c>
    </row>
    <row r="110">
      <c r="A110" s="74" t="str">
        <f t="shared" si="1"/>
        <v>Monday</v>
      </c>
      <c r="B110" s="49">
        <v>46272.0</v>
      </c>
      <c r="C110" s="148">
        <v>1.0</v>
      </c>
      <c r="D110" s="166">
        <v>49975.0</v>
      </c>
      <c r="E110" s="168">
        <v>17560.0</v>
      </c>
      <c r="F110" s="88">
        <f t="shared" si="2"/>
        <v>877561000</v>
      </c>
      <c r="H110" s="91">
        <v>46295.0</v>
      </c>
      <c r="I110" s="171"/>
      <c r="J110" s="93">
        <f t="shared" si="3"/>
        <v>0</v>
      </c>
      <c r="K110" s="94">
        <f t="shared" si="4"/>
        <v>0</v>
      </c>
      <c r="L110" s="95">
        <f t="shared" si="5"/>
        <v>0</v>
      </c>
    </row>
    <row r="111">
      <c r="A111" s="74" t="str">
        <f t="shared" si="1"/>
        <v>Monday</v>
      </c>
      <c r="B111" s="49">
        <v>46272.0</v>
      </c>
      <c r="C111" s="148">
        <v>1.0</v>
      </c>
      <c r="D111" s="166">
        <v>6139.53</v>
      </c>
      <c r="E111" s="168">
        <v>17560.0</v>
      </c>
      <c r="F111" s="88">
        <f t="shared" si="2"/>
        <v>107810146.8</v>
      </c>
      <c r="H111" s="91"/>
      <c r="I111" s="171"/>
      <c r="J111" s="93">
        <f t="shared" si="3"/>
        <v>0</v>
      </c>
      <c r="K111" s="94">
        <f t="shared" si="4"/>
        <v>0</v>
      </c>
      <c r="L111" s="95">
        <f t="shared" si="5"/>
        <v>0</v>
      </c>
    </row>
    <row r="112">
      <c r="A112" s="74" t="str">
        <f t="shared" si="1"/>
        <v>Monday</v>
      </c>
      <c r="B112" s="49">
        <v>46272.0</v>
      </c>
      <c r="C112" s="148">
        <v>1.0</v>
      </c>
      <c r="D112" s="166">
        <v>26208.89</v>
      </c>
      <c r="E112" s="168">
        <v>17555.0</v>
      </c>
      <c r="F112" s="88">
        <f t="shared" si="2"/>
        <v>460097064</v>
      </c>
      <c r="H112" s="91"/>
      <c r="I112" s="171"/>
      <c r="J112" s="93">
        <f t="shared" si="3"/>
        <v>0</v>
      </c>
      <c r="K112" s="94">
        <f t="shared" si="4"/>
        <v>0</v>
      </c>
      <c r="L112" s="95">
        <f t="shared" si="5"/>
        <v>0</v>
      </c>
    </row>
    <row r="113">
      <c r="A113" s="74" t="str">
        <f t="shared" si="1"/>
        <v>Tuesday</v>
      </c>
      <c r="B113" s="49">
        <v>46273.0</v>
      </c>
      <c r="C113" s="148">
        <v>1.0</v>
      </c>
      <c r="D113" s="166">
        <v>65988.83</v>
      </c>
      <c r="E113" s="168">
        <v>17556.0</v>
      </c>
      <c r="F113" s="88">
        <f t="shared" si="2"/>
        <v>1158499899</v>
      </c>
      <c r="H113" s="91"/>
      <c r="I113" s="171"/>
      <c r="J113" s="93">
        <f t="shared" si="3"/>
        <v>0</v>
      </c>
      <c r="K113" s="94">
        <f t="shared" si="4"/>
        <v>0</v>
      </c>
      <c r="L113" s="95">
        <f t="shared" si="5"/>
        <v>0</v>
      </c>
    </row>
    <row r="114">
      <c r="A114" s="74" t="str">
        <f t="shared" si="1"/>
        <v>Tuesday</v>
      </c>
      <c r="B114" s="49">
        <v>46273.0</v>
      </c>
      <c r="C114" s="148">
        <v>2.0</v>
      </c>
      <c r="D114" s="166">
        <v>113921.16</v>
      </c>
      <c r="E114" s="168">
        <v>17556.0</v>
      </c>
      <c r="F114" s="88">
        <f t="shared" si="2"/>
        <v>1999999885</v>
      </c>
      <c r="H114" s="91"/>
      <c r="I114" s="171"/>
      <c r="J114" s="93">
        <f t="shared" si="3"/>
        <v>0</v>
      </c>
      <c r="K114" s="94">
        <f t="shared" si="4"/>
        <v>0</v>
      </c>
      <c r="L114" s="95">
        <f t="shared" si="5"/>
        <v>0</v>
      </c>
    </row>
    <row r="115">
      <c r="A115" s="74" t="str">
        <f t="shared" si="1"/>
        <v>Tuesday</v>
      </c>
      <c r="B115" s="49">
        <v>46273.0</v>
      </c>
      <c r="C115" s="148">
        <v>3.0</v>
      </c>
      <c r="D115" s="166">
        <v>28480.29</v>
      </c>
      <c r="E115" s="168">
        <v>17556.0</v>
      </c>
      <c r="F115" s="88">
        <f t="shared" si="2"/>
        <v>499999971.2</v>
      </c>
      <c r="H115" s="91"/>
      <c r="I115" s="171"/>
      <c r="J115" s="93">
        <f t="shared" si="3"/>
        <v>0</v>
      </c>
      <c r="K115" s="94">
        <f t="shared" si="4"/>
        <v>0</v>
      </c>
      <c r="L115" s="95">
        <f t="shared" si="5"/>
        <v>0</v>
      </c>
    </row>
    <row r="116">
      <c r="A116" s="74" t="str">
        <f t="shared" si="1"/>
        <v>Tuesday</v>
      </c>
      <c r="B116" s="49">
        <v>46273.0</v>
      </c>
      <c r="C116" s="148">
        <v>4.0</v>
      </c>
      <c r="D116" s="166">
        <v>131345.32</v>
      </c>
      <c r="E116" s="168">
        <v>17557.0</v>
      </c>
      <c r="F116" s="88">
        <f t="shared" si="2"/>
        <v>2306029783</v>
      </c>
      <c r="H116" s="91"/>
      <c r="I116" s="171"/>
      <c r="J116" s="93">
        <f t="shared" si="3"/>
        <v>0</v>
      </c>
      <c r="K116" s="94">
        <f t="shared" si="4"/>
        <v>0</v>
      </c>
      <c r="L116" s="95">
        <f t="shared" si="5"/>
        <v>0</v>
      </c>
    </row>
    <row r="117">
      <c r="A117" s="74" t="str">
        <f t="shared" si="1"/>
        <v>Tuesday</v>
      </c>
      <c r="B117" s="49">
        <v>46273.0</v>
      </c>
      <c r="C117" s="148">
        <v>5.0</v>
      </c>
      <c r="D117" s="166">
        <v>4960.48</v>
      </c>
      <c r="E117" s="168">
        <v>17530.0</v>
      </c>
      <c r="F117" s="88">
        <f t="shared" si="2"/>
        <v>86957214.4</v>
      </c>
      <c r="H117" s="91"/>
      <c r="I117" s="171"/>
      <c r="J117" s="93">
        <f t="shared" si="3"/>
        <v>0</v>
      </c>
      <c r="K117" s="94">
        <f t="shared" si="4"/>
        <v>0</v>
      </c>
      <c r="L117" s="95">
        <f t="shared" si="5"/>
        <v>0</v>
      </c>
    </row>
    <row r="118">
      <c r="A118" s="74" t="str">
        <f t="shared" si="1"/>
        <v>Tuesday</v>
      </c>
      <c r="B118" s="49">
        <v>46273.0</v>
      </c>
      <c r="C118" s="148">
        <v>5.0</v>
      </c>
      <c r="D118" s="166">
        <v>2998.5</v>
      </c>
      <c r="E118" s="168">
        <v>17532.0</v>
      </c>
      <c r="F118" s="88">
        <f t="shared" si="2"/>
        <v>52569702</v>
      </c>
      <c r="H118" s="91"/>
      <c r="I118" s="171"/>
      <c r="J118" s="93">
        <f t="shared" si="3"/>
        <v>0</v>
      </c>
      <c r="K118" s="94">
        <f t="shared" si="4"/>
        <v>0</v>
      </c>
      <c r="L118" s="95">
        <f t="shared" si="5"/>
        <v>0</v>
      </c>
    </row>
    <row r="119">
      <c r="A119" s="74" t="str">
        <f t="shared" si="1"/>
        <v>Tuesday</v>
      </c>
      <c r="B119" s="49">
        <v>46273.0</v>
      </c>
      <c r="C119" s="148">
        <v>5.0</v>
      </c>
      <c r="D119" s="166">
        <v>1710.33</v>
      </c>
      <c r="E119" s="168">
        <v>17532.0</v>
      </c>
      <c r="F119" s="88">
        <f t="shared" si="2"/>
        <v>29985505.56</v>
      </c>
      <c r="H119" s="91"/>
      <c r="I119" s="171"/>
      <c r="J119" s="93">
        <f t="shared" si="3"/>
        <v>0</v>
      </c>
      <c r="K119" s="94">
        <f t="shared" si="4"/>
        <v>0</v>
      </c>
      <c r="L119" s="95">
        <f t="shared" si="5"/>
        <v>0</v>
      </c>
    </row>
    <row r="120">
      <c r="A120" s="74" t="str">
        <f t="shared" si="1"/>
        <v>Tuesday</v>
      </c>
      <c r="B120" s="49">
        <v>46273.0</v>
      </c>
      <c r="C120" s="148">
        <v>5.0</v>
      </c>
      <c r="D120" s="166">
        <v>2798.6</v>
      </c>
      <c r="E120" s="168">
        <v>17540.0</v>
      </c>
      <c r="F120" s="88">
        <f t="shared" si="2"/>
        <v>49087444</v>
      </c>
      <c r="H120" s="91"/>
      <c r="I120" s="171"/>
      <c r="J120" s="93">
        <f t="shared" si="3"/>
        <v>0</v>
      </c>
      <c r="K120" s="94">
        <f t="shared" si="4"/>
        <v>0</v>
      </c>
      <c r="L120" s="95">
        <f t="shared" si="5"/>
        <v>0</v>
      </c>
    </row>
    <row r="121">
      <c r="A121" s="74" t="str">
        <f t="shared" si="1"/>
        <v>Tuesday</v>
      </c>
      <c r="B121" s="49">
        <v>46273.0</v>
      </c>
      <c r="C121" s="148">
        <v>5.0</v>
      </c>
      <c r="D121" s="166">
        <v>2280.01</v>
      </c>
      <c r="E121" s="168">
        <v>17535.0</v>
      </c>
      <c r="F121" s="88">
        <f t="shared" si="2"/>
        <v>39979975.35</v>
      </c>
      <c r="H121" s="91"/>
      <c r="I121" s="171"/>
      <c r="J121" s="93">
        <f t="shared" si="3"/>
        <v>0</v>
      </c>
      <c r="K121" s="94">
        <f t="shared" si="4"/>
        <v>0</v>
      </c>
      <c r="L121" s="95">
        <f t="shared" si="5"/>
        <v>0</v>
      </c>
    </row>
    <row r="122">
      <c r="A122" s="74" t="str">
        <f t="shared" si="1"/>
        <v>Tuesday</v>
      </c>
      <c r="B122" s="49">
        <v>46273.0</v>
      </c>
      <c r="C122" s="148">
        <v>5.0</v>
      </c>
      <c r="D122" s="166">
        <v>1618.64</v>
      </c>
      <c r="E122" s="168">
        <v>17530.0</v>
      </c>
      <c r="F122" s="88">
        <f t="shared" si="2"/>
        <v>28374759.2</v>
      </c>
      <c r="H122" s="91"/>
      <c r="I122" s="171"/>
      <c r="J122" s="93">
        <f t="shared" si="3"/>
        <v>0</v>
      </c>
      <c r="K122" s="94">
        <f t="shared" si="4"/>
        <v>0</v>
      </c>
      <c r="L122" s="95">
        <f t="shared" si="5"/>
        <v>0</v>
      </c>
    </row>
    <row r="123">
      <c r="A123" s="74" t="str">
        <f t="shared" si="1"/>
        <v>Tuesday</v>
      </c>
      <c r="B123" s="49">
        <v>46273.0</v>
      </c>
      <c r="C123" s="148">
        <v>5.0</v>
      </c>
      <c r="D123" s="166">
        <v>2850.83</v>
      </c>
      <c r="E123" s="168">
        <v>17530.0</v>
      </c>
      <c r="F123" s="88">
        <f t="shared" si="2"/>
        <v>49975049.9</v>
      </c>
      <c r="H123" s="91"/>
      <c r="I123" s="171"/>
      <c r="J123" s="93">
        <f t="shared" si="3"/>
        <v>0</v>
      </c>
      <c r="K123" s="94">
        <f t="shared" si="4"/>
        <v>0</v>
      </c>
      <c r="L123" s="95">
        <f t="shared" si="5"/>
        <v>0</v>
      </c>
    </row>
    <row r="124">
      <c r="A124" s="74" t="str">
        <f t="shared" si="1"/>
        <v>Tuesday</v>
      </c>
      <c r="B124" s="49">
        <v>46273.0</v>
      </c>
      <c r="C124" s="148">
        <v>5.0</v>
      </c>
      <c r="D124" s="166">
        <v>2850.83</v>
      </c>
      <c r="E124" s="168">
        <v>17530.0</v>
      </c>
      <c r="F124" s="88">
        <f t="shared" si="2"/>
        <v>49975049.9</v>
      </c>
      <c r="H124" s="91"/>
      <c r="I124" s="171"/>
      <c r="J124" s="93">
        <f t="shared" si="3"/>
        <v>0</v>
      </c>
      <c r="K124" s="94">
        <f t="shared" si="4"/>
        <v>0</v>
      </c>
      <c r="L124" s="95">
        <f t="shared" si="5"/>
        <v>0</v>
      </c>
    </row>
    <row r="125">
      <c r="A125" s="74" t="str">
        <f t="shared" si="1"/>
        <v>Tuesday</v>
      </c>
      <c r="B125" s="49">
        <v>46273.0</v>
      </c>
      <c r="C125" s="148">
        <v>5.0</v>
      </c>
      <c r="D125" s="166">
        <v>4792.61</v>
      </c>
      <c r="E125" s="168">
        <v>17545.0</v>
      </c>
      <c r="F125" s="88">
        <f t="shared" si="2"/>
        <v>84086342.45</v>
      </c>
      <c r="H125" s="91"/>
      <c r="I125" s="171"/>
      <c r="J125" s="93">
        <f t="shared" si="3"/>
        <v>0</v>
      </c>
      <c r="K125" s="94">
        <f t="shared" si="4"/>
        <v>0</v>
      </c>
      <c r="L125" s="95">
        <f t="shared" si="5"/>
        <v>0</v>
      </c>
    </row>
    <row r="126">
      <c r="A126" s="74" t="str">
        <f t="shared" si="1"/>
        <v>Tuesday</v>
      </c>
      <c r="B126" s="49">
        <v>46273.0</v>
      </c>
      <c r="C126" s="148">
        <v>5.0</v>
      </c>
      <c r="D126" s="166">
        <v>9989.3</v>
      </c>
      <c r="E126" s="168">
        <v>17540.0</v>
      </c>
      <c r="F126" s="88">
        <f t="shared" si="2"/>
        <v>175212322</v>
      </c>
      <c r="H126" s="91"/>
      <c r="I126" s="171"/>
      <c r="J126" s="93">
        <f t="shared" si="3"/>
        <v>0</v>
      </c>
      <c r="K126" s="94">
        <f t="shared" si="4"/>
        <v>0</v>
      </c>
      <c r="L126" s="95">
        <f t="shared" si="5"/>
        <v>0</v>
      </c>
    </row>
    <row r="127">
      <c r="A127" s="74" t="str">
        <f t="shared" si="1"/>
        <v>Tuesday</v>
      </c>
      <c r="B127" s="49">
        <v>46273.0</v>
      </c>
      <c r="C127" s="148">
        <v>5.0</v>
      </c>
      <c r="D127" s="166">
        <v>20105.57</v>
      </c>
      <c r="E127" s="168">
        <v>17540.0</v>
      </c>
      <c r="F127" s="88">
        <f t="shared" si="2"/>
        <v>352651697.8</v>
      </c>
      <c r="H127" s="91"/>
      <c r="I127" s="171"/>
      <c r="J127" s="93">
        <f t="shared" si="3"/>
        <v>0</v>
      </c>
      <c r="K127" s="94">
        <f t="shared" si="4"/>
        <v>0</v>
      </c>
      <c r="L127" s="95">
        <f t="shared" si="5"/>
        <v>0</v>
      </c>
    </row>
    <row r="128">
      <c r="A128" s="74" t="str">
        <f t="shared" si="1"/>
        <v>Wednesday</v>
      </c>
      <c r="B128" s="49">
        <v>46274.0</v>
      </c>
      <c r="C128" s="148">
        <v>1.0</v>
      </c>
      <c r="D128" s="166">
        <v>1444.84</v>
      </c>
      <c r="E128" s="168">
        <v>17434.0</v>
      </c>
      <c r="F128" s="88">
        <f t="shared" si="2"/>
        <v>25189340.56</v>
      </c>
      <c r="H128" s="91"/>
      <c r="I128" s="171"/>
      <c r="J128" s="93">
        <f t="shared" si="3"/>
        <v>0</v>
      </c>
      <c r="K128" s="94">
        <f t="shared" si="4"/>
        <v>0</v>
      </c>
      <c r="L128" s="95">
        <f t="shared" si="5"/>
        <v>0</v>
      </c>
    </row>
    <row r="129">
      <c r="A129" s="74" t="str">
        <f t="shared" si="1"/>
        <v>Wednesday</v>
      </c>
      <c r="B129" s="49">
        <v>46274.0</v>
      </c>
      <c r="C129" s="148">
        <v>1.0</v>
      </c>
      <c r="D129" s="166">
        <v>4992.51</v>
      </c>
      <c r="E129" s="168">
        <v>17448.0</v>
      </c>
      <c r="F129" s="88">
        <f t="shared" si="2"/>
        <v>87109314.48</v>
      </c>
      <c r="H129" s="91"/>
      <c r="I129" s="171"/>
      <c r="J129" s="93">
        <f t="shared" si="3"/>
        <v>0</v>
      </c>
      <c r="K129" s="94">
        <f t="shared" si="4"/>
        <v>0</v>
      </c>
      <c r="L129" s="95">
        <f t="shared" si="5"/>
        <v>0</v>
      </c>
    </row>
    <row r="130">
      <c r="A130" s="74" t="str">
        <f t="shared" si="1"/>
        <v>Wednesday</v>
      </c>
      <c r="B130" s="49">
        <v>46274.0</v>
      </c>
      <c r="C130" s="148">
        <v>1.0</v>
      </c>
      <c r="D130" s="166">
        <v>4992.51</v>
      </c>
      <c r="E130" s="168">
        <v>17450.0</v>
      </c>
      <c r="F130" s="88">
        <f t="shared" si="2"/>
        <v>87119299.5</v>
      </c>
      <c r="H130" s="91"/>
      <c r="I130" s="171"/>
      <c r="J130" s="93">
        <f t="shared" si="3"/>
        <v>0</v>
      </c>
      <c r="K130" s="94">
        <f t="shared" si="4"/>
        <v>0</v>
      </c>
      <c r="L130" s="95">
        <f t="shared" si="5"/>
        <v>0</v>
      </c>
    </row>
    <row r="131">
      <c r="A131" s="74" t="str">
        <f t="shared" si="1"/>
        <v>Wednesday</v>
      </c>
      <c r="B131" s="49">
        <v>46274.0</v>
      </c>
      <c r="C131" s="148">
        <v>1.0</v>
      </c>
      <c r="D131" s="166">
        <v>37085.99</v>
      </c>
      <c r="E131" s="168">
        <v>17450.0</v>
      </c>
      <c r="F131" s="88">
        <f t="shared" si="2"/>
        <v>647150525.5</v>
      </c>
      <c r="H131" s="91"/>
      <c r="I131" s="171"/>
      <c r="J131" s="93">
        <f t="shared" si="3"/>
        <v>0</v>
      </c>
      <c r="K131" s="94">
        <f t="shared" si="4"/>
        <v>0</v>
      </c>
      <c r="L131" s="95">
        <f t="shared" si="5"/>
        <v>0</v>
      </c>
    </row>
    <row r="132">
      <c r="A132" s="74" t="str">
        <f t="shared" si="1"/>
        <v>Wednesday</v>
      </c>
      <c r="B132" s="49">
        <v>46274.0</v>
      </c>
      <c r="C132" s="148">
        <v>1.0</v>
      </c>
      <c r="D132" s="166">
        <v>5433.62</v>
      </c>
      <c r="E132" s="168">
        <v>17475.0</v>
      </c>
      <c r="F132" s="88">
        <f t="shared" si="2"/>
        <v>94952509.5</v>
      </c>
      <c r="H132" s="91"/>
      <c r="I132" s="171"/>
      <c r="J132" s="93">
        <f t="shared" si="3"/>
        <v>0</v>
      </c>
      <c r="K132" s="94">
        <f t="shared" si="4"/>
        <v>0</v>
      </c>
      <c r="L132" s="95">
        <f t="shared" si="5"/>
        <v>0</v>
      </c>
    </row>
    <row r="133">
      <c r="A133" s="74" t="str">
        <f t="shared" si="1"/>
        <v>Wednesday</v>
      </c>
      <c r="B133" s="49">
        <v>46274.0</v>
      </c>
      <c r="C133" s="148">
        <v>1.0</v>
      </c>
      <c r="D133" s="166">
        <v>1429.9</v>
      </c>
      <c r="E133" s="168">
        <v>17475.0</v>
      </c>
      <c r="F133" s="88">
        <f t="shared" si="2"/>
        <v>24987502.5</v>
      </c>
      <c r="H133" s="91"/>
      <c r="I133" s="171"/>
      <c r="J133" s="93">
        <f t="shared" si="3"/>
        <v>0</v>
      </c>
      <c r="K133" s="94">
        <f t="shared" si="4"/>
        <v>0</v>
      </c>
      <c r="L133" s="95">
        <f t="shared" si="5"/>
        <v>0</v>
      </c>
    </row>
    <row r="134">
      <c r="A134" s="74" t="str">
        <f t="shared" si="1"/>
        <v>Thursday</v>
      </c>
      <c r="B134" s="49">
        <v>46275.0</v>
      </c>
      <c r="C134" s="148">
        <v>1.0</v>
      </c>
      <c r="D134" s="166">
        <v>57208.23</v>
      </c>
      <c r="E134" s="168">
        <v>17480.0</v>
      </c>
      <c r="F134" s="88">
        <f t="shared" si="2"/>
        <v>999999860.4</v>
      </c>
      <c r="H134" s="91"/>
      <c r="I134" s="171"/>
      <c r="J134" s="93">
        <f t="shared" si="3"/>
        <v>0</v>
      </c>
      <c r="K134" s="94">
        <f t="shared" si="4"/>
        <v>0</v>
      </c>
      <c r="L134" s="95">
        <f t="shared" si="5"/>
        <v>0</v>
      </c>
    </row>
    <row r="135">
      <c r="A135" s="74" t="str">
        <f t="shared" si="1"/>
        <v>Thursday</v>
      </c>
      <c r="B135" s="49">
        <v>46275.0</v>
      </c>
      <c r="C135" s="148">
        <v>2.0</v>
      </c>
      <c r="D135" s="166">
        <v>68630.25</v>
      </c>
      <c r="E135" s="168">
        <v>17485.0</v>
      </c>
      <c r="F135" s="88">
        <f t="shared" si="2"/>
        <v>1199999921</v>
      </c>
      <c r="H135" s="91"/>
      <c r="I135" s="171"/>
      <c r="J135" s="93">
        <f t="shared" si="3"/>
        <v>0</v>
      </c>
      <c r="K135" s="94">
        <f t="shared" si="4"/>
        <v>0</v>
      </c>
      <c r="L135" s="95">
        <f t="shared" si="5"/>
        <v>0</v>
      </c>
    </row>
    <row r="136">
      <c r="A136" s="74" t="str">
        <f t="shared" si="1"/>
        <v>Thursday</v>
      </c>
      <c r="B136" s="49">
        <v>46275.0</v>
      </c>
      <c r="C136" s="148">
        <v>3.0</v>
      </c>
      <c r="D136" s="166">
        <v>18969.11</v>
      </c>
      <c r="E136" s="168">
        <v>17485.0</v>
      </c>
      <c r="F136" s="88">
        <f t="shared" si="2"/>
        <v>331674888.4</v>
      </c>
      <c r="H136" s="91"/>
      <c r="I136" s="171"/>
      <c r="J136" s="93">
        <f t="shared" si="3"/>
        <v>0</v>
      </c>
      <c r="K136" s="94">
        <f t="shared" si="4"/>
        <v>0</v>
      </c>
      <c r="L136" s="95">
        <f t="shared" si="5"/>
        <v>0</v>
      </c>
    </row>
    <row r="137">
      <c r="A137" s="74" t="str">
        <f t="shared" si="1"/>
        <v>Friday</v>
      </c>
      <c r="B137" s="49">
        <v>46276.0</v>
      </c>
      <c r="C137" s="148">
        <v>1.0</v>
      </c>
      <c r="D137" s="166">
        <v>3517.47</v>
      </c>
      <c r="E137" s="168">
        <v>17525.0</v>
      </c>
      <c r="F137" s="88">
        <f t="shared" si="2"/>
        <v>61643661.75</v>
      </c>
      <c r="H137" s="91"/>
      <c r="I137" s="171"/>
      <c r="J137" s="93">
        <f t="shared" si="3"/>
        <v>0</v>
      </c>
      <c r="K137" s="94">
        <f t="shared" si="4"/>
        <v>0</v>
      </c>
      <c r="L137" s="95">
        <f t="shared" si="5"/>
        <v>0</v>
      </c>
    </row>
    <row r="138">
      <c r="A138" s="74" t="str">
        <f t="shared" si="1"/>
        <v>Friday</v>
      </c>
      <c r="B138" s="49">
        <v>46276.0</v>
      </c>
      <c r="C138" s="148">
        <v>1.0</v>
      </c>
      <c r="D138" s="166">
        <v>12779.93</v>
      </c>
      <c r="E138" s="168">
        <v>17515.0</v>
      </c>
      <c r="F138" s="88">
        <f t="shared" si="2"/>
        <v>223840474</v>
      </c>
      <c r="H138" s="91"/>
      <c r="I138" s="171"/>
      <c r="J138" s="93">
        <f t="shared" si="3"/>
        <v>0</v>
      </c>
      <c r="K138" s="94">
        <f t="shared" si="4"/>
        <v>0</v>
      </c>
      <c r="L138" s="95">
        <f t="shared" si="5"/>
        <v>0</v>
      </c>
    </row>
    <row r="139">
      <c r="A139" s="74" t="str">
        <f t="shared" si="1"/>
        <v>Friday</v>
      </c>
      <c r="B139" s="49">
        <v>46276.0</v>
      </c>
      <c r="C139" s="148">
        <v>1.0</v>
      </c>
      <c r="D139" s="166">
        <v>1999.0</v>
      </c>
      <c r="E139" s="168">
        <v>17515.0</v>
      </c>
      <c r="F139" s="88">
        <f t="shared" si="2"/>
        <v>35012485</v>
      </c>
      <c r="H139" s="91"/>
      <c r="I139" s="171"/>
      <c r="J139" s="93">
        <f t="shared" si="3"/>
        <v>0</v>
      </c>
      <c r="K139" s="94">
        <f t="shared" si="4"/>
        <v>0</v>
      </c>
      <c r="L139" s="95">
        <f t="shared" si="5"/>
        <v>0</v>
      </c>
    </row>
    <row r="140">
      <c r="A140" s="74" t="str">
        <f t="shared" si="1"/>
        <v>Friday</v>
      </c>
      <c r="B140" s="49">
        <v>46276.0</v>
      </c>
      <c r="C140" s="148">
        <v>1.0</v>
      </c>
      <c r="D140" s="166">
        <v>3919.12</v>
      </c>
      <c r="E140" s="168">
        <v>17515.0</v>
      </c>
      <c r="F140" s="88">
        <f t="shared" si="2"/>
        <v>68643386.8</v>
      </c>
      <c r="H140" s="91"/>
      <c r="I140" s="171"/>
      <c r="J140" s="93">
        <f t="shared" si="3"/>
        <v>0</v>
      </c>
      <c r="K140" s="94">
        <f t="shared" si="4"/>
        <v>0</v>
      </c>
      <c r="L140" s="95">
        <f t="shared" si="5"/>
        <v>0</v>
      </c>
    </row>
    <row r="141">
      <c r="A141" s="74" t="str">
        <f t="shared" si="1"/>
        <v>Friday</v>
      </c>
      <c r="B141" s="49">
        <v>46276.0</v>
      </c>
      <c r="C141" s="148">
        <v>1.0</v>
      </c>
      <c r="D141" s="166">
        <v>4797.6</v>
      </c>
      <c r="E141" s="168">
        <v>17515.0</v>
      </c>
      <c r="F141" s="88">
        <f t="shared" si="2"/>
        <v>84029964</v>
      </c>
      <c r="H141" s="91"/>
      <c r="I141" s="171"/>
      <c r="J141" s="93">
        <f t="shared" si="3"/>
        <v>0</v>
      </c>
      <c r="K141" s="94">
        <f t="shared" si="4"/>
        <v>0</v>
      </c>
      <c r="L141" s="95">
        <f t="shared" si="5"/>
        <v>0</v>
      </c>
    </row>
    <row r="142">
      <c r="A142" s="74" t="str">
        <f t="shared" si="1"/>
        <v>Friday</v>
      </c>
      <c r="B142" s="49">
        <v>46276.0</v>
      </c>
      <c r="C142" s="148">
        <v>2.0</v>
      </c>
      <c r="D142" s="166">
        <v>130974.69</v>
      </c>
      <c r="E142" s="168">
        <v>17510.0</v>
      </c>
      <c r="F142" s="88">
        <f t="shared" si="2"/>
        <v>2293366822</v>
      </c>
      <c r="H142" s="91"/>
      <c r="I142" s="171"/>
      <c r="J142" s="93">
        <f t="shared" si="3"/>
        <v>0</v>
      </c>
      <c r="K142" s="94">
        <f t="shared" si="4"/>
        <v>0</v>
      </c>
      <c r="L142" s="95">
        <f t="shared" si="5"/>
        <v>0</v>
      </c>
    </row>
    <row r="143">
      <c r="A143" s="74" t="str">
        <f t="shared" si="1"/>
        <v>Saturday</v>
      </c>
      <c r="B143" s="49">
        <v>46277.0</v>
      </c>
      <c r="C143" s="148">
        <v>1.0</v>
      </c>
      <c r="D143" s="166">
        <v>183366.67</v>
      </c>
      <c r="E143" s="168">
        <v>17495.0</v>
      </c>
      <c r="F143" s="88">
        <f t="shared" si="2"/>
        <v>3207999892</v>
      </c>
      <c r="H143" s="91"/>
      <c r="I143" s="171"/>
      <c r="J143" s="93">
        <f t="shared" si="3"/>
        <v>0</v>
      </c>
      <c r="K143" s="94">
        <f t="shared" si="4"/>
        <v>0</v>
      </c>
      <c r="L143" s="95">
        <f t="shared" si="5"/>
        <v>0</v>
      </c>
    </row>
    <row r="144">
      <c r="A144" s="74" t="str">
        <f t="shared" si="1"/>
        <v>Sunday</v>
      </c>
      <c r="B144" s="49">
        <v>46278.0</v>
      </c>
      <c r="C144" s="148">
        <v>1.0</v>
      </c>
      <c r="D144" s="166">
        <v>57175.52</v>
      </c>
      <c r="E144" s="168">
        <v>17490.0</v>
      </c>
      <c r="F144" s="88">
        <f t="shared" si="2"/>
        <v>999999844.8</v>
      </c>
      <c r="H144" s="91"/>
      <c r="I144" s="171"/>
      <c r="J144" s="93">
        <f t="shared" si="3"/>
        <v>0</v>
      </c>
      <c r="K144" s="94">
        <f t="shared" si="4"/>
        <v>0</v>
      </c>
      <c r="L144" s="95">
        <f t="shared" si="5"/>
        <v>0</v>
      </c>
    </row>
    <row r="145">
      <c r="A145" s="74" t="str">
        <f t="shared" si="1"/>
        <v>Sunday</v>
      </c>
      <c r="B145" s="49">
        <v>46278.0</v>
      </c>
      <c r="C145" s="148">
        <v>2.0</v>
      </c>
      <c r="D145" s="166">
        <v>125786.16</v>
      </c>
      <c r="E145" s="168">
        <v>17490.0</v>
      </c>
      <c r="F145" s="88">
        <f t="shared" si="2"/>
        <v>2199999938</v>
      </c>
      <c r="H145" s="91"/>
      <c r="I145" s="171"/>
      <c r="J145" s="93">
        <f t="shared" si="3"/>
        <v>0</v>
      </c>
      <c r="K145" s="94">
        <f t="shared" si="4"/>
        <v>0</v>
      </c>
      <c r="L145" s="95">
        <f t="shared" si="5"/>
        <v>0</v>
      </c>
    </row>
    <row r="146">
      <c r="A146" s="74" t="str">
        <f t="shared" si="1"/>
        <v>Sunday</v>
      </c>
      <c r="B146" s="49">
        <v>46278.0</v>
      </c>
      <c r="C146" s="148">
        <v>3.0</v>
      </c>
      <c r="D146" s="166">
        <v>158430.13</v>
      </c>
      <c r="E146" s="168">
        <v>17490.0</v>
      </c>
      <c r="F146" s="88">
        <f t="shared" si="2"/>
        <v>2770942974</v>
      </c>
      <c r="H146" s="91"/>
      <c r="I146" s="171"/>
      <c r="J146" s="93">
        <f t="shared" si="3"/>
        <v>0</v>
      </c>
      <c r="K146" s="94">
        <f t="shared" si="4"/>
        <v>0</v>
      </c>
      <c r="L146" s="95">
        <f t="shared" si="5"/>
        <v>0</v>
      </c>
    </row>
    <row r="147">
      <c r="A147" s="74" t="str">
        <f t="shared" si="1"/>
        <v>Monday</v>
      </c>
      <c r="B147" s="49">
        <v>46279.0</v>
      </c>
      <c r="C147" s="148">
        <v>1.0</v>
      </c>
      <c r="D147" s="166">
        <v>142409.0</v>
      </c>
      <c r="E147" s="168">
        <v>17555.0</v>
      </c>
      <c r="F147" s="88">
        <f t="shared" si="2"/>
        <v>2499989995</v>
      </c>
      <c r="H147" s="91"/>
      <c r="I147" s="171"/>
      <c r="J147" s="93">
        <f t="shared" si="3"/>
        <v>0</v>
      </c>
      <c r="K147" s="94">
        <f t="shared" si="4"/>
        <v>0</v>
      </c>
      <c r="L147" s="95">
        <f t="shared" si="5"/>
        <v>0</v>
      </c>
    </row>
    <row r="148">
      <c r="A148" s="74" t="str">
        <f t="shared" si="1"/>
        <v>Monday</v>
      </c>
      <c r="B148" s="49">
        <v>46279.0</v>
      </c>
      <c r="C148" s="148">
        <v>2.0</v>
      </c>
      <c r="D148" s="166">
        <v>113927.65</v>
      </c>
      <c r="E148" s="168">
        <v>17555.0</v>
      </c>
      <c r="F148" s="88">
        <f t="shared" si="2"/>
        <v>1999999896</v>
      </c>
      <c r="H148" s="91"/>
      <c r="I148" s="171"/>
      <c r="J148" s="93">
        <f t="shared" si="3"/>
        <v>0</v>
      </c>
      <c r="K148" s="94">
        <f t="shared" si="4"/>
        <v>0</v>
      </c>
      <c r="L148" s="95">
        <f t="shared" si="5"/>
        <v>0</v>
      </c>
    </row>
    <row r="149">
      <c r="A149" s="74" t="str">
        <f t="shared" si="1"/>
        <v>Monday</v>
      </c>
      <c r="B149" s="49">
        <v>46279.0</v>
      </c>
      <c r="C149" s="148">
        <v>3.0</v>
      </c>
      <c r="D149" s="166">
        <v>147668.85</v>
      </c>
      <c r="E149" s="168">
        <v>17555.0</v>
      </c>
      <c r="F149" s="88">
        <f t="shared" si="2"/>
        <v>2592326662</v>
      </c>
      <c r="H149" s="91"/>
      <c r="I149" s="171"/>
      <c r="J149" s="93">
        <f t="shared" si="3"/>
        <v>0</v>
      </c>
      <c r="K149" s="94">
        <f t="shared" si="4"/>
        <v>0</v>
      </c>
      <c r="L149" s="95">
        <f t="shared" si="5"/>
        <v>0</v>
      </c>
    </row>
    <row r="150">
      <c r="A150" s="74" t="str">
        <f t="shared" si="1"/>
        <v>Monday</v>
      </c>
      <c r="B150" s="49">
        <v>46279.0</v>
      </c>
      <c r="C150" s="148">
        <v>4.0</v>
      </c>
      <c r="D150" s="166">
        <v>113895.21</v>
      </c>
      <c r="E150" s="168">
        <v>17560.0</v>
      </c>
      <c r="F150" s="88">
        <f t="shared" si="2"/>
        <v>1999999888</v>
      </c>
      <c r="H150" s="91"/>
      <c r="I150" s="171"/>
      <c r="J150" s="93">
        <f t="shared" si="3"/>
        <v>0</v>
      </c>
      <c r="K150" s="94">
        <f t="shared" si="4"/>
        <v>0</v>
      </c>
      <c r="L150" s="95">
        <f t="shared" si="5"/>
        <v>0</v>
      </c>
    </row>
    <row r="151">
      <c r="A151" s="74" t="str">
        <f t="shared" si="1"/>
        <v>Monday</v>
      </c>
      <c r="B151" s="49">
        <v>46279.0</v>
      </c>
      <c r="C151" s="148">
        <v>5.0</v>
      </c>
      <c r="D151" s="166">
        <v>108320.04</v>
      </c>
      <c r="E151" s="168">
        <v>17560.0</v>
      </c>
      <c r="F151" s="88">
        <f t="shared" si="2"/>
        <v>1902099902</v>
      </c>
      <c r="H151" s="91"/>
      <c r="I151" s="171"/>
      <c r="J151" s="93">
        <f t="shared" si="3"/>
        <v>0</v>
      </c>
      <c r="K151" s="94">
        <f t="shared" si="4"/>
        <v>0</v>
      </c>
      <c r="L151" s="95">
        <f t="shared" si="5"/>
        <v>0</v>
      </c>
    </row>
    <row r="152">
      <c r="A152" s="74" t="str">
        <f t="shared" si="1"/>
        <v>Monday</v>
      </c>
      <c r="B152" s="49">
        <v>46279.0</v>
      </c>
      <c r="C152" s="148">
        <v>6.0</v>
      </c>
      <c r="D152" s="166">
        <v>131016.8</v>
      </c>
      <c r="E152" s="168">
        <v>17555.0</v>
      </c>
      <c r="F152" s="88">
        <f t="shared" si="2"/>
        <v>2299999924</v>
      </c>
      <c r="H152" s="91"/>
      <c r="I152" s="171"/>
      <c r="J152" s="93">
        <f t="shared" si="3"/>
        <v>0</v>
      </c>
      <c r="K152" s="94">
        <f t="shared" si="4"/>
        <v>0</v>
      </c>
      <c r="L152" s="95">
        <f t="shared" si="5"/>
        <v>0</v>
      </c>
    </row>
    <row r="153">
      <c r="A153" s="74" t="str">
        <f t="shared" si="1"/>
        <v>Tuesday</v>
      </c>
      <c r="B153" s="49">
        <v>46280.0</v>
      </c>
      <c r="C153" s="148">
        <v>1.0</v>
      </c>
      <c r="D153" s="166">
        <v>130570.53</v>
      </c>
      <c r="E153" s="168">
        <v>17615.0</v>
      </c>
      <c r="F153" s="88">
        <f t="shared" si="2"/>
        <v>2299999886</v>
      </c>
      <c r="H153" s="91"/>
      <c r="I153" s="171"/>
      <c r="J153" s="93">
        <f t="shared" si="3"/>
        <v>0</v>
      </c>
      <c r="K153" s="94">
        <f t="shared" si="4"/>
        <v>0</v>
      </c>
      <c r="L153" s="95">
        <f t="shared" si="5"/>
        <v>0</v>
      </c>
    </row>
    <row r="154">
      <c r="A154" s="74" t="str">
        <f t="shared" si="1"/>
        <v>Wednesday</v>
      </c>
      <c r="B154" s="49">
        <v>46281.0</v>
      </c>
      <c r="C154" s="148">
        <v>1.0</v>
      </c>
      <c r="D154" s="166">
        <v>16791.6</v>
      </c>
      <c r="E154" s="168">
        <v>17580.0</v>
      </c>
      <c r="F154" s="88">
        <f t="shared" si="2"/>
        <v>295196328</v>
      </c>
      <c r="H154" s="91"/>
      <c r="I154" s="171"/>
      <c r="J154" s="93">
        <f t="shared" si="3"/>
        <v>0</v>
      </c>
      <c r="K154" s="94">
        <f t="shared" si="4"/>
        <v>0</v>
      </c>
      <c r="L154" s="95">
        <f t="shared" si="5"/>
        <v>0</v>
      </c>
    </row>
    <row r="155">
      <c r="A155" s="74" t="str">
        <f t="shared" si="1"/>
        <v>Wednesday</v>
      </c>
      <c r="B155" s="49">
        <v>46281.0</v>
      </c>
      <c r="C155" s="148">
        <v>1.0</v>
      </c>
      <c r="D155" s="166">
        <v>3998.0</v>
      </c>
      <c r="E155" s="168">
        <v>17585.0</v>
      </c>
      <c r="F155" s="88">
        <f t="shared" si="2"/>
        <v>70304830</v>
      </c>
      <c r="H155" s="91"/>
      <c r="I155" s="171"/>
      <c r="J155" s="93">
        <f t="shared" si="3"/>
        <v>0</v>
      </c>
      <c r="K155" s="94">
        <f t="shared" si="4"/>
        <v>0</v>
      </c>
      <c r="L155" s="95">
        <f t="shared" si="5"/>
        <v>0</v>
      </c>
    </row>
    <row r="156">
      <c r="A156" s="74" t="str">
        <f t="shared" si="1"/>
        <v>Wednesday</v>
      </c>
      <c r="B156" s="49">
        <v>46281.0</v>
      </c>
      <c r="C156" s="148">
        <v>1.0</v>
      </c>
      <c r="D156" s="166">
        <v>7631.19</v>
      </c>
      <c r="E156" s="168">
        <v>17585.0</v>
      </c>
      <c r="F156" s="88">
        <f t="shared" si="2"/>
        <v>134194476.2</v>
      </c>
      <c r="H156" s="91"/>
      <c r="I156" s="171"/>
      <c r="J156" s="93">
        <f t="shared" si="3"/>
        <v>0</v>
      </c>
      <c r="K156" s="94">
        <f t="shared" si="4"/>
        <v>0</v>
      </c>
      <c r="L156" s="95">
        <f t="shared" si="5"/>
        <v>0</v>
      </c>
    </row>
    <row r="157">
      <c r="A157" s="74" t="str">
        <f t="shared" si="1"/>
        <v>Wednesday</v>
      </c>
      <c r="B157" s="49">
        <v>46281.0</v>
      </c>
      <c r="C157" s="148">
        <v>2.0</v>
      </c>
      <c r="D157" s="166">
        <v>17227.98</v>
      </c>
      <c r="E157" s="168">
        <v>17583.0</v>
      </c>
      <c r="F157" s="88">
        <f t="shared" si="2"/>
        <v>302919572.3</v>
      </c>
      <c r="H157" s="91"/>
      <c r="I157" s="171"/>
      <c r="J157" s="93">
        <f t="shared" si="3"/>
        <v>0</v>
      </c>
      <c r="K157" s="94">
        <f t="shared" si="4"/>
        <v>0</v>
      </c>
      <c r="L157" s="95">
        <f t="shared" si="5"/>
        <v>0</v>
      </c>
    </row>
    <row r="158">
      <c r="A158" s="74" t="str">
        <f t="shared" si="1"/>
        <v>Wednesday</v>
      </c>
      <c r="B158" s="49">
        <v>46281.0</v>
      </c>
      <c r="C158" s="148">
        <v>2.0</v>
      </c>
      <c r="D158" s="166">
        <v>11194.4</v>
      </c>
      <c r="E158" s="168">
        <v>17586.0</v>
      </c>
      <c r="F158" s="88">
        <f t="shared" si="2"/>
        <v>196864718.4</v>
      </c>
      <c r="H158" s="91"/>
      <c r="I158" s="171"/>
      <c r="J158" s="93">
        <f t="shared" si="3"/>
        <v>0</v>
      </c>
      <c r="K158" s="94">
        <f t="shared" si="4"/>
        <v>0</v>
      </c>
      <c r="L158" s="95">
        <f t="shared" si="5"/>
        <v>0</v>
      </c>
    </row>
    <row r="159">
      <c r="A159" s="74" t="str">
        <f t="shared" si="1"/>
        <v>Wednesday</v>
      </c>
      <c r="B159" s="49">
        <v>46281.0</v>
      </c>
      <c r="C159" s="148">
        <v>3.0</v>
      </c>
      <c r="D159" s="166">
        <v>26077.0</v>
      </c>
      <c r="E159" s="168">
        <v>17640.0</v>
      </c>
      <c r="F159" s="88">
        <f t="shared" si="2"/>
        <v>459998280</v>
      </c>
      <c r="H159" s="91"/>
      <c r="I159" s="171"/>
      <c r="J159" s="93">
        <f t="shared" si="3"/>
        <v>0</v>
      </c>
      <c r="K159" s="94">
        <f t="shared" si="4"/>
        <v>0</v>
      </c>
      <c r="L159" s="95">
        <f t="shared" si="5"/>
        <v>0</v>
      </c>
    </row>
    <row r="160">
      <c r="A160" s="74" t="str">
        <f t="shared" si="1"/>
        <v>Wednesday</v>
      </c>
      <c r="B160" s="49">
        <v>46281.0</v>
      </c>
      <c r="C160" s="148">
        <v>4.0</v>
      </c>
      <c r="D160" s="166">
        <v>85397.1</v>
      </c>
      <c r="E160" s="168">
        <v>17565.0</v>
      </c>
      <c r="F160" s="88">
        <f t="shared" si="2"/>
        <v>1500000062</v>
      </c>
      <c r="H160" s="91"/>
      <c r="I160" s="171"/>
      <c r="J160" s="93">
        <f t="shared" si="3"/>
        <v>0</v>
      </c>
      <c r="K160" s="94">
        <f t="shared" si="4"/>
        <v>0</v>
      </c>
      <c r="L160" s="95">
        <f t="shared" si="5"/>
        <v>0</v>
      </c>
    </row>
    <row r="161">
      <c r="A161" s="74" t="str">
        <f t="shared" si="1"/>
        <v>Wednesday</v>
      </c>
      <c r="B161" s="49">
        <v>46281.0</v>
      </c>
      <c r="C161" s="148">
        <v>5.0</v>
      </c>
      <c r="D161" s="166">
        <v>125284.73</v>
      </c>
      <c r="E161" s="168">
        <v>17560.0</v>
      </c>
      <c r="F161" s="88">
        <f t="shared" si="2"/>
        <v>2199999859</v>
      </c>
      <c r="H161" s="91"/>
      <c r="I161" s="171"/>
      <c r="J161" s="93">
        <f t="shared" si="3"/>
        <v>0</v>
      </c>
      <c r="K161" s="94">
        <f t="shared" si="4"/>
        <v>0</v>
      </c>
      <c r="L161" s="95">
        <f t="shared" si="5"/>
        <v>0</v>
      </c>
    </row>
    <row r="162">
      <c r="A162" s="74" t="str">
        <f t="shared" si="1"/>
        <v>Wednesday</v>
      </c>
      <c r="B162" s="49">
        <v>46281.0</v>
      </c>
      <c r="C162" s="148">
        <v>6.0</v>
      </c>
      <c r="D162" s="166">
        <v>159544.15</v>
      </c>
      <c r="E162" s="168">
        <v>17550.0</v>
      </c>
      <c r="F162" s="88">
        <f t="shared" si="2"/>
        <v>2799999833</v>
      </c>
      <c r="H162" s="91"/>
      <c r="I162" s="171"/>
      <c r="J162" s="93">
        <f t="shared" si="3"/>
        <v>0</v>
      </c>
      <c r="K162" s="94">
        <f t="shared" si="4"/>
        <v>0</v>
      </c>
      <c r="L162" s="95">
        <f t="shared" si="5"/>
        <v>0</v>
      </c>
    </row>
    <row r="163">
      <c r="A163" s="74" t="str">
        <f t="shared" si="1"/>
        <v>Thursday</v>
      </c>
      <c r="B163" s="49">
        <v>46282.0</v>
      </c>
      <c r="C163" s="148">
        <v>1.0</v>
      </c>
      <c r="D163" s="166">
        <v>14739.22</v>
      </c>
      <c r="E163" s="168">
        <v>17640.0</v>
      </c>
      <c r="F163" s="88">
        <f t="shared" si="2"/>
        <v>259999840.8</v>
      </c>
      <c r="H163" s="91"/>
      <c r="I163" s="171"/>
      <c r="J163" s="93">
        <f t="shared" si="3"/>
        <v>0</v>
      </c>
      <c r="K163" s="94">
        <f t="shared" si="4"/>
        <v>0</v>
      </c>
      <c r="L163" s="95">
        <f t="shared" si="5"/>
        <v>0</v>
      </c>
    </row>
    <row r="164">
      <c r="A164" s="74" t="str">
        <f t="shared" si="1"/>
        <v>Thursday</v>
      </c>
      <c r="B164" s="49">
        <v>46282.0</v>
      </c>
      <c r="C164" s="148">
        <v>2.0</v>
      </c>
      <c r="D164" s="166">
        <v>85009.91</v>
      </c>
      <c r="E164" s="168">
        <v>17645.0</v>
      </c>
      <c r="F164" s="88">
        <f t="shared" si="2"/>
        <v>1499999862</v>
      </c>
      <c r="H164" s="91"/>
      <c r="I164" s="171"/>
      <c r="J164" s="93">
        <f t="shared" si="3"/>
        <v>0</v>
      </c>
      <c r="K164" s="94">
        <f t="shared" si="4"/>
        <v>0</v>
      </c>
      <c r="L164" s="95">
        <f t="shared" si="5"/>
        <v>0</v>
      </c>
    </row>
    <row r="165">
      <c r="A165" s="74" t="str">
        <f t="shared" si="1"/>
        <v>Thursday</v>
      </c>
      <c r="B165" s="49">
        <v>46282.0</v>
      </c>
      <c r="C165" s="148">
        <v>3.0</v>
      </c>
      <c r="D165" s="166">
        <v>28368.81</v>
      </c>
      <c r="E165" s="168">
        <v>17617.0</v>
      </c>
      <c r="F165" s="88">
        <f t="shared" si="2"/>
        <v>499773325.8</v>
      </c>
      <c r="H165" s="91"/>
      <c r="I165" s="171"/>
      <c r="J165" s="93">
        <f t="shared" si="3"/>
        <v>0</v>
      </c>
      <c r="K165" s="94">
        <f t="shared" si="4"/>
        <v>0</v>
      </c>
      <c r="L165" s="95">
        <f t="shared" si="5"/>
        <v>0</v>
      </c>
    </row>
    <row r="166">
      <c r="A166" s="74" t="str">
        <f t="shared" si="1"/>
        <v>Thursday</v>
      </c>
      <c r="B166" s="49">
        <v>46282.0</v>
      </c>
      <c r="C166" s="148">
        <v>4.0</v>
      </c>
      <c r="D166" s="166">
        <v>49975.0</v>
      </c>
      <c r="E166" s="168">
        <v>17615.0</v>
      </c>
      <c r="F166" s="88">
        <f t="shared" si="2"/>
        <v>880309625</v>
      </c>
      <c r="H166" s="91"/>
      <c r="I166" s="171"/>
      <c r="J166" s="93">
        <f t="shared" si="3"/>
        <v>0</v>
      </c>
      <c r="K166" s="94">
        <f t="shared" si="4"/>
        <v>0</v>
      </c>
      <c r="L166" s="95">
        <f t="shared" si="5"/>
        <v>0</v>
      </c>
    </row>
    <row r="167">
      <c r="A167" s="74" t="str">
        <f t="shared" si="1"/>
        <v>Thursday</v>
      </c>
      <c r="B167" s="49">
        <v>46282.0</v>
      </c>
      <c r="C167" s="148">
        <v>5.0</v>
      </c>
      <c r="D167" s="166">
        <v>26986.5</v>
      </c>
      <c r="E167" s="168">
        <v>17610.0</v>
      </c>
      <c r="F167" s="88">
        <f t="shared" si="2"/>
        <v>475232265</v>
      </c>
      <c r="H167" s="91"/>
      <c r="I167" s="171"/>
      <c r="J167" s="93">
        <f t="shared" si="3"/>
        <v>0</v>
      </c>
      <c r="K167" s="94">
        <f t="shared" si="4"/>
        <v>0</v>
      </c>
      <c r="L167" s="95">
        <f t="shared" si="5"/>
        <v>0</v>
      </c>
    </row>
    <row r="168">
      <c r="A168" s="74" t="str">
        <f t="shared" si="1"/>
        <v>Thursday</v>
      </c>
      <c r="B168" s="49">
        <v>46282.0</v>
      </c>
      <c r="C168" s="148">
        <v>5.0</v>
      </c>
      <c r="D168" s="166">
        <v>4497.75</v>
      </c>
      <c r="E168" s="168">
        <v>17610.0</v>
      </c>
      <c r="F168" s="88">
        <f t="shared" si="2"/>
        <v>79205377.5</v>
      </c>
      <c r="H168" s="91"/>
      <c r="I168" s="171"/>
      <c r="J168" s="93">
        <f t="shared" si="3"/>
        <v>0</v>
      </c>
      <c r="K168" s="94">
        <f t="shared" si="4"/>
        <v>0</v>
      </c>
      <c r="L168" s="95">
        <f t="shared" si="5"/>
        <v>0</v>
      </c>
    </row>
    <row r="169">
      <c r="A169" s="74" t="str">
        <f t="shared" si="1"/>
        <v>Thursday</v>
      </c>
      <c r="B169" s="49">
        <v>46282.0</v>
      </c>
      <c r="C169" s="148">
        <v>5.0</v>
      </c>
      <c r="D169" s="166">
        <v>6796.6</v>
      </c>
      <c r="E169" s="168">
        <v>17610.0</v>
      </c>
      <c r="F169" s="88">
        <f t="shared" si="2"/>
        <v>119688126</v>
      </c>
      <c r="H169" s="91"/>
      <c r="I169" s="171"/>
      <c r="J169" s="93">
        <f t="shared" si="3"/>
        <v>0</v>
      </c>
      <c r="K169" s="94">
        <f t="shared" si="4"/>
        <v>0</v>
      </c>
      <c r="L169" s="95">
        <f t="shared" si="5"/>
        <v>0</v>
      </c>
    </row>
    <row r="170">
      <c r="A170" s="74" t="str">
        <f t="shared" si="1"/>
        <v>Thursday</v>
      </c>
      <c r="B170" s="49">
        <v>46282.0</v>
      </c>
      <c r="C170" s="148">
        <v>5.0</v>
      </c>
      <c r="D170" s="166">
        <v>4643.72</v>
      </c>
      <c r="E170" s="168">
        <v>17615.0</v>
      </c>
      <c r="F170" s="88">
        <f t="shared" si="2"/>
        <v>81799127.8</v>
      </c>
      <c r="H170" s="91"/>
      <c r="I170" s="171"/>
      <c r="J170" s="93">
        <f t="shared" si="3"/>
        <v>0</v>
      </c>
      <c r="K170" s="94">
        <f t="shared" si="4"/>
        <v>0</v>
      </c>
      <c r="L170" s="95">
        <f t="shared" si="5"/>
        <v>0</v>
      </c>
    </row>
    <row r="171">
      <c r="A171" s="74" t="str">
        <f t="shared" si="1"/>
        <v>Friday</v>
      </c>
      <c r="B171" s="49">
        <v>46283.0</v>
      </c>
      <c r="C171" s="148">
        <v>1.0</v>
      </c>
      <c r="D171" s="166">
        <v>6996.5</v>
      </c>
      <c r="E171" s="168">
        <v>17617.0</v>
      </c>
      <c r="F171" s="88">
        <f t="shared" si="2"/>
        <v>123257340.5</v>
      </c>
      <c r="H171" s="91"/>
      <c r="I171" s="171"/>
      <c r="J171" s="93">
        <f t="shared" si="3"/>
        <v>0</v>
      </c>
      <c r="K171" s="94">
        <f t="shared" si="4"/>
        <v>0</v>
      </c>
      <c r="L171" s="95">
        <f t="shared" si="5"/>
        <v>0</v>
      </c>
    </row>
    <row r="172">
      <c r="A172" s="74" t="str">
        <f t="shared" si="1"/>
        <v>Friday</v>
      </c>
      <c r="B172" s="49">
        <v>46283.0</v>
      </c>
      <c r="C172" s="148">
        <v>1.0</v>
      </c>
      <c r="D172" s="166">
        <v>3749.13</v>
      </c>
      <c r="E172" s="168">
        <v>17617.0</v>
      </c>
      <c r="F172" s="88">
        <f t="shared" si="2"/>
        <v>66048423.21</v>
      </c>
      <c r="H172" s="91"/>
      <c r="I172" s="171"/>
      <c r="J172" s="93">
        <f t="shared" si="3"/>
        <v>0</v>
      </c>
      <c r="K172" s="94">
        <f t="shared" si="4"/>
        <v>0</v>
      </c>
      <c r="L172" s="95">
        <f t="shared" si="5"/>
        <v>0</v>
      </c>
    </row>
    <row r="173">
      <c r="A173" s="74" t="str">
        <f t="shared" si="1"/>
        <v>Friday</v>
      </c>
      <c r="B173" s="49">
        <v>46283.0</v>
      </c>
      <c r="C173" s="148">
        <v>1.0</v>
      </c>
      <c r="D173" s="166">
        <v>56734.97</v>
      </c>
      <c r="E173" s="168">
        <v>17617.0</v>
      </c>
      <c r="F173" s="88">
        <f t="shared" si="2"/>
        <v>999499966.5</v>
      </c>
      <c r="H173" s="91"/>
      <c r="I173" s="171"/>
      <c r="J173" s="93">
        <f t="shared" si="3"/>
        <v>0</v>
      </c>
      <c r="K173" s="94">
        <f t="shared" si="4"/>
        <v>0</v>
      </c>
      <c r="L173" s="95">
        <f t="shared" si="5"/>
        <v>0</v>
      </c>
    </row>
    <row r="174">
      <c r="A174" s="74" t="str">
        <f t="shared" si="1"/>
        <v>Friday</v>
      </c>
      <c r="B174" s="49">
        <v>46283.0</v>
      </c>
      <c r="C174" s="148">
        <v>1.0</v>
      </c>
      <c r="D174" s="166">
        <v>3998.0</v>
      </c>
      <c r="E174" s="168">
        <v>17617.0</v>
      </c>
      <c r="F174" s="88">
        <f t="shared" si="2"/>
        <v>70432766</v>
      </c>
      <c r="H174" s="91"/>
      <c r="I174" s="171"/>
      <c r="J174" s="93">
        <f t="shared" si="3"/>
        <v>0</v>
      </c>
      <c r="K174" s="94">
        <f t="shared" si="4"/>
        <v>0</v>
      </c>
      <c r="L174" s="95">
        <f t="shared" si="5"/>
        <v>0</v>
      </c>
    </row>
    <row r="175">
      <c r="A175" s="74" t="str">
        <f t="shared" si="1"/>
        <v>Friday</v>
      </c>
      <c r="B175" s="49">
        <v>46283.0</v>
      </c>
      <c r="C175" s="148">
        <v>1.0</v>
      </c>
      <c r="D175" s="166">
        <v>7996.0</v>
      </c>
      <c r="E175" s="168">
        <v>17615.0</v>
      </c>
      <c r="F175" s="88">
        <f t="shared" si="2"/>
        <v>140849540</v>
      </c>
      <c r="H175" s="91"/>
      <c r="I175" s="171"/>
      <c r="J175" s="93">
        <f t="shared" si="3"/>
        <v>0</v>
      </c>
      <c r="K175" s="94">
        <f t="shared" si="4"/>
        <v>0</v>
      </c>
      <c r="L175" s="95">
        <f t="shared" si="5"/>
        <v>0</v>
      </c>
    </row>
    <row r="176">
      <c r="A176" s="74" t="str">
        <f t="shared" si="1"/>
        <v>Friday</v>
      </c>
      <c r="B176" s="49">
        <v>46283.0</v>
      </c>
      <c r="C176" s="148">
        <v>1.0</v>
      </c>
      <c r="D176" s="166">
        <v>5139.19</v>
      </c>
      <c r="E176" s="168">
        <v>17615.0</v>
      </c>
      <c r="F176" s="88">
        <f t="shared" si="2"/>
        <v>90526831.85</v>
      </c>
      <c r="H176" s="91"/>
      <c r="I176" s="171"/>
      <c r="J176" s="93">
        <f t="shared" si="3"/>
        <v>0</v>
      </c>
      <c r="K176" s="94">
        <f t="shared" si="4"/>
        <v>0</v>
      </c>
      <c r="L176" s="95">
        <f t="shared" si="5"/>
        <v>0</v>
      </c>
    </row>
    <row r="177">
      <c r="A177" s="74" t="str">
        <f t="shared" si="1"/>
        <v>Friday</v>
      </c>
      <c r="B177" s="49">
        <v>46283.0</v>
      </c>
      <c r="C177" s="148">
        <v>1.0</v>
      </c>
      <c r="D177" s="166">
        <v>7496.25</v>
      </c>
      <c r="E177" s="168">
        <v>17615.0</v>
      </c>
      <c r="F177" s="88">
        <f t="shared" si="2"/>
        <v>132046443.8</v>
      </c>
      <c r="H177" s="91"/>
      <c r="I177" s="171"/>
      <c r="J177" s="93">
        <f t="shared" si="3"/>
        <v>0</v>
      </c>
      <c r="K177" s="94">
        <f t="shared" si="4"/>
        <v>0</v>
      </c>
      <c r="L177" s="95">
        <f t="shared" si="5"/>
        <v>0</v>
      </c>
    </row>
    <row r="178">
      <c r="A178" s="74" t="str">
        <f t="shared" si="1"/>
        <v>Friday</v>
      </c>
      <c r="B178" s="49">
        <v>46283.0</v>
      </c>
      <c r="C178" s="148">
        <v>1.0</v>
      </c>
      <c r="D178" s="166">
        <v>3694.45</v>
      </c>
      <c r="E178" s="168">
        <v>17610.0</v>
      </c>
      <c r="F178" s="88">
        <f t="shared" si="2"/>
        <v>65059264.5</v>
      </c>
      <c r="H178" s="91"/>
      <c r="I178" s="171"/>
      <c r="J178" s="93">
        <f t="shared" si="3"/>
        <v>0</v>
      </c>
      <c r="K178" s="94">
        <f t="shared" si="4"/>
        <v>0</v>
      </c>
      <c r="L178" s="95">
        <f t="shared" si="5"/>
        <v>0</v>
      </c>
    </row>
    <row r="179">
      <c r="A179" s="74" t="str">
        <f t="shared" si="1"/>
        <v>Friday</v>
      </c>
      <c r="B179" s="49">
        <v>46283.0</v>
      </c>
      <c r="C179" s="148">
        <v>1.0</v>
      </c>
      <c r="D179" s="166">
        <v>11244.38</v>
      </c>
      <c r="E179" s="168">
        <v>17610.0</v>
      </c>
      <c r="F179" s="88">
        <f t="shared" si="2"/>
        <v>198013531.8</v>
      </c>
      <c r="H179" s="91"/>
      <c r="I179" s="171"/>
      <c r="J179" s="93">
        <f t="shared" si="3"/>
        <v>0</v>
      </c>
      <c r="K179" s="94">
        <f t="shared" si="4"/>
        <v>0</v>
      </c>
      <c r="L179" s="95">
        <f t="shared" si="5"/>
        <v>0</v>
      </c>
    </row>
    <row r="180">
      <c r="A180" s="74" t="str">
        <f t="shared" si="1"/>
        <v>Friday</v>
      </c>
      <c r="B180" s="49">
        <v>46283.0</v>
      </c>
      <c r="C180" s="148">
        <v>1.0</v>
      </c>
      <c r="D180" s="166">
        <v>21701.1</v>
      </c>
      <c r="E180" s="168">
        <v>17610.0</v>
      </c>
      <c r="F180" s="88">
        <f t="shared" si="2"/>
        <v>382156371</v>
      </c>
      <c r="H180" s="91"/>
      <c r="I180" s="171"/>
      <c r="J180" s="93">
        <f t="shared" si="3"/>
        <v>0</v>
      </c>
      <c r="K180" s="94">
        <f t="shared" si="4"/>
        <v>0</v>
      </c>
      <c r="L180" s="95">
        <f t="shared" si="5"/>
        <v>0</v>
      </c>
    </row>
    <row r="181">
      <c r="A181" s="74" t="str">
        <f t="shared" si="1"/>
        <v>Friday</v>
      </c>
      <c r="B181" s="49">
        <v>46283.0</v>
      </c>
      <c r="C181" s="148">
        <v>2.0</v>
      </c>
      <c r="D181" s="166">
        <v>35842.5</v>
      </c>
      <c r="E181" s="168">
        <v>17615.0</v>
      </c>
      <c r="F181" s="88">
        <f t="shared" si="2"/>
        <v>631365637.5</v>
      </c>
      <c r="H181" s="91"/>
      <c r="I181" s="171"/>
      <c r="J181" s="93">
        <f t="shared" si="3"/>
        <v>0</v>
      </c>
      <c r="K181" s="94">
        <f t="shared" si="4"/>
        <v>0</v>
      </c>
      <c r="L181" s="95">
        <f t="shared" si="5"/>
        <v>0</v>
      </c>
    </row>
    <row r="182">
      <c r="A182" s="74" t="str">
        <f t="shared" si="1"/>
        <v>Friday</v>
      </c>
      <c r="B182" s="49">
        <v>46283.0</v>
      </c>
      <c r="C182" s="148">
        <v>3.0</v>
      </c>
      <c r="D182" s="166">
        <v>12895.55</v>
      </c>
      <c r="E182" s="168">
        <v>17620.0</v>
      </c>
      <c r="F182" s="88">
        <f t="shared" si="2"/>
        <v>227219591</v>
      </c>
      <c r="H182" s="91"/>
      <c r="I182" s="171"/>
      <c r="J182" s="93">
        <f t="shared" si="3"/>
        <v>0</v>
      </c>
      <c r="K182" s="94">
        <f t="shared" si="4"/>
        <v>0</v>
      </c>
      <c r="L182" s="95">
        <f t="shared" si="5"/>
        <v>0</v>
      </c>
    </row>
    <row r="183">
      <c r="A183" s="74" t="str">
        <f t="shared" si="1"/>
        <v>Friday</v>
      </c>
      <c r="B183" s="49">
        <v>46283.0</v>
      </c>
      <c r="C183" s="148">
        <v>3.0</v>
      </c>
      <c r="D183" s="166">
        <v>85087.97</v>
      </c>
      <c r="E183" s="168">
        <v>17620.0</v>
      </c>
      <c r="F183" s="88">
        <f t="shared" si="2"/>
        <v>1499250031</v>
      </c>
      <c r="H183" s="91"/>
      <c r="I183" s="171"/>
      <c r="J183" s="93">
        <f t="shared" si="3"/>
        <v>0</v>
      </c>
      <c r="K183" s="94">
        <f t="shared" si="4"/>
        <v>0</v>
      </c>
      <c r="L183" s="95">
        <f t="shared" si="5"/>
        <v>0</v>
      </c>
    </row>
    <row r="184">
      <c r="A184" s="74" t="str">
        <f t="shared" si="1"/>
        <v>Friday</v>
      </c>
      <c r="B184" s="49">
        <v>46283.0</v>
      </c>
      <c r="C184" s="148">
        <v>3.0</v>
      </c>
      <c r="D184" s="166">
        <v>85087.97</v>
      </c>
      <c r="E184" s="168">
        <v>17620.0</v>
      </c>
      <c r="F184" s="88">
        <f t="shared" si="2"/>
        <v>1499250031</v>
      </c>
      <c r="H184" s="91"/>
      <c r="I184" s="171"/>
      <c r="J184" s="93">
        <f t="shared" si="3"/>
        <v>0</v>
      </c>
      <c r="K184" s="94">
        <f t="shared" si="4"/>
        <v>0</v>
      </c>
      <c r="L184" s="95">
        <f t="shared" si="5"/>
        <v>0</v>
      </c>
    </row>
    <row r="185">
      <c r="A185" s="74" t="str">
        <f t="shared" si="1"/>
        <v>Friday</v>
      </c>
      <c r="B185" s="49">
        <v>46283.0</v>
      </c>
      <c r="C185" s="148">
        <v>3.0</v>
      </c>
      <c r="D185" s="166">
        <v>2292.86</v>
      </c>
      <c r="E185" s="168">
        <v>17615.0</v>
      </c>
      <c r="F185" s="88">
        <f t="shared" si="2"/>
        <v>40388728.9</v>
      </c>
      <c r="H185" s="91"/>
      <c r="I185" s="171"/>
      <c r="J185" s="93">
        <f t="shared" si="3"/>
        <v>0</v>
      </c>
      <c r="K185" s="94">
        <f t="shared" si="4"/>
        <v>0</v>
      </c>
      <c r="L185" s="95">
        <f t="shared" si="5"/>
        <v>0</v>
      </c>
    </row>
    <row r="186">
      <c r="A186" s="74" t="str">
        <f t="shared" si="1"/>
        <v>Friday</v>
      </c>
      <c r="B186" s="49">
        <v>46283.0</v>
      </c>
      <c r="C186" s="148">
        <v>4.0</v>
      </c>
      <c r="D186" s="166">
        <v>105053.94</v>
      </c>
      <c r="E186" s="168">
        <v>17610.0</v>
      </c>
      <c r="F186" s="88">
        <f t="shared" si="2"/>
        <v>1849999883</v>
      </c>
      <c r="H186" s="91"/>
      <c r="I186" s="171"/>
      <c r="J186" s="93">
        <f t="shared" si="3"/>
        <v>0</v>
      </c>
      <c r="K186" s="94">
        <f t="shared" si="4"/>
        <v>0</v>
      </c>
      <c r="L186" s="95">
        <f t="shared" si="5"/>
        <v>0</v>
      </c>
    </row>
    <row r="187">
      <c r="A187" s="74" t="str">
        <f t="shared" si="1"/>
        <v>Friday</v>
      </c>
      <c r="B187" s="49">
        <v>46283.0</v>
      </c>
      <c r="C187" s="148">
        <v>5.0</v>
      </c>
      <c r="D187" s="166">
        <v>83872.79</v>
      </c>
      <c r="E187" s="168">
        <v>17610.0</v>
      </c>
      <c r="F187" s="88">
        <f t="shared" si="2"/>
        <v>1476999832</v>
      </c>
      <c r="H187" s="91"/>
      <c r="I187" s="171"/>
      <c r="J187" s="93">
        <f t="shared" si="3"/>
        <v>0</v>
      </c>
      <c r="K187" s="94">
        <f t="shared" si="4"/>
        <v>0</v>
      </c>
      <c r="L187" s="95">
        <f t="shared" si="5"/>
        <v>0</v>
      </c>
    </row>
    <row r="188">
      <c r="A188" s="74" t="str">
        <f t="shared" si="1"/>
        <v>Friday</v>
      </c>
      <c r="B188" s="49">
        <v>46283.0</v>
      </c>
      <c r="C188" s="148">
        <v>6.0</v>
      </c>
      <c r="D188" s="166">
        <v>3152.43</v>
      </c>
      <c r="E188" s="168">
        <v>17619.0</v>
      </c>
      <c r="F188" s="88">
        <f t="shared" si="2"/>
        <v>55542664.17</v>
      </c>
      <c r="H188" s="91"/>
      <c r="I188" s="171"/>
      <c r="J188" s="93">
        <f t="shared" si="3"/>
        <v>0</v>
      </c>
      <c r="K188" s="94">
        <f t="shared" si="4"/>
        <v>0</v>
      </c>
      <c r="L188" s="95">
        <f t="shared" si="5"/>
        <v>0</v>
      </c>
    </row>
    <row r="189">
      <c r="A189" s="74" t="str">
        <f t="shared" si="1"/>
        <v>Friday</v>
      </c>
      <c r="B189" s="49">
        <v>46283.0</v>
      </c>
      <c r="C189" s="148">
        <v>6.0</v>
      </c>
      <c r="D189" s="166">
        <v>1999.0</v>
      </c>
      <c r="E189" s="168">
        <v>17619.0</v>
      </c>
      <c r="F189" s="88">
        <f t="shared" si="2"/>
        <v>35220381</v>
      </c>
      <c r="H189" s="91"/>
      <c r="I189" s="171"/>
      <c r="J189" s="93">
        <f t="shared" si="3"/>
        <v>0</v>
      </c>
      <c r="K189" s="94">
        <f t="shared" si="4"/>
        <v>0</v>
      </c>
      <c r="L189" s="95">
        <f t="shared" si="5"/>
        <v>0</v>
      </c>
    </row>
    <row r="190">
      <c r="A190" s="74" t="str">
        <f t="shared" si="1"/>
        <v>Friday</v>
      </c>
      <c r="B190" s="49">
        <v>46283.0</v>
      </c>
      <c r="C190" s="148">
        <v>6.0</v>
      </c>
      <c r="D190" s="166">
        <v>3998.0</v>
      </c>
      <c r="E190" s="168">
        <v>17619.0</v>
      </c>
      <c r="F190" s="88">
        <f t="shared" si="2"/>
        <v>70440762</v>
      </c>
      <c r="H190" s="91"/>
      <c r="I190" s="171"/>
      <c r="J190" s="93">
        <f t="shared" si="3"/>
        <v>0</v>
      </c>
      <c r="K190" s="94">
        <f t="shared" si="4"/>
        <v>0</v>
      </c>
      <c r="L190" s="95">
        <f t="shared" si="5"/>
        <v>0</v>
      </c>
    </row>
    <row r="191">
      <c r="A191" s="74" t="str">
        <f t="shared" si="1"/>
        <v>Friday</v>
      </c>
      <c r="B191" s="49">
        <v>46283.0</v>
      </c>
      <c r="C191" s="148">
        <v>6.0</v>
      </c>
      <c r="D191" s="166">
        <v>4997.5</v>
      </c>
      <c r="E191" s="168">
        <v>17619.0</v>
      </c>
      <c r="F191" s="88">
        <f t="shared" si="2"/>
        <v>88050952.5</v>
      </c>
      <c r="H191" s="91"/>
      <c r="I191" s="171"/>
      <c r="J191" s="93">
        <f t="shared" si="3"/>
        <v>0</v>
      </c>
      <c r="K191" s="94">
        <f t="shared" si="4"/>
        <v>0</v>
      </c>
      <c r="L191" s="95">
        <f t="shared" si="5"/>
        <v>0</v>
      </c>
    </row>
    <row r="192">
      <c r="A192" s="74" t="str">
        <f t="shared" si="1"/>
        <v>Friday</v>
      </c>
      <c r="B192" s="49">
        <v>46283.0</v>
      </c>
      <c r="C192" s="148">
        <v>6.0</v>
      </c>
      <c r="D192" s="166">
        <v>3973.02</v>
      </c>
      <c r="E192" s="168">
        <v>17619.0</v>
      </c>
      <c r="F192" s="88">
        <f t="shared" si="2"/>
        <v>70000639.38</v>
      </c>
      <c r="H192" s="91"/>
      <c r="I192" s="171"/>
      <c r="J192" s="93">
        <f t="shared" si="3"/>
        <v>0</v>
      </c>
      <c r="K192" s="94">
        <f t="shared" si="4"/>
        <v>0</v>
      </c>
      <c r="L192" s="95">
        <f t="shared" si="5"/>
        <v>0</v>
      </c>
    </row>
    <row r="193">
      <c r="A193" s="74" t="str">
        <f t="shared" si="1"/>
        <v>Friday</v>
      </c>
      <c r="B193" s="49">
        <v>46283.0</v>
      </c>
      <c r="C193" s="148">
        <v>6.0</v>
      </c>
      <c r="D193" s="166">
        <v>5891.73</v>
      </c>
      <c r="E193" s="168">
        <v>17619.0</v>
      </c>
      <c r="F193" s="88">
        <f t="shared" si="2"/>
        <v>103806390.9</v>
      </c>
      <c r="H193" s="91"/>
      <c r="I193" s="171"/>
      <c r="J193" s="93">
        <f t="shared" si="3"/>
        <v>0</v>
      </c>
      <c r="K193" s="94">
        <f t="shared" si="4"/>
        <v>0</v>
      </c>
      <c r="L193" s="95">
        <f t="shared" si="5"/>
        <v>0</v>
      </c>
    </row>
    <row r="194">
      <c r="A194" s="74" t="str">
        <f t="shared" si="1"/>
        <v>Friday</v>
      </c>
      <c r="B194" s="49">
        <v>46283.0</v>
      </c>
      <c r="C194" s="148">
        <v>6.0</v>
      </c>
      <c r="D194" s="166">
        <v>5668.67</v>
      </c>
      <c r="E194" s="168">
        <v>17619.0</v>
      </c>
      <c r="F194" s="88">
        <f t="shared" si="2"/>
        <v>99876296.73</v>
      </c>
      <c r="H194" s="91"/>
      <c r="I194" s="171"/>
      <c r="J194" s="93">
        <f t="shared" si="3"/>
        <v>0</v>
      </c>
      <c r="K194" s="94">
        <f t="shared" si="4"/>
        <v>0</v>
      </c>
      <c r="L194" s="95">
        <f t="shared" si="5"/>
        <v>0</v>
      </c>
    </row>
    <row r="195">
      <c r="A195" s="74" t="str">
        <f t="shared" si="1"/>
        <v>Friday</v>
      </c>
      <c r="B195" s="49">
        <v>46283.0</v>
      </c>
      <c r="C195" s="148">
        <v>6.0</v>
      </c>
      <c r="D195" s="166">
        <v>4012.0</v>
      </c>
      <c r="E195" s="168">
        <v>17619.0</v>
      </c>
      <c r="F195" s="88">
        <f t="shared" si="2"/>
        <v>70687428</v>
      </c>
      <c r="H195" s="91"/>
      <c r="I195" s="171"/>
      <c r="J195" s="93">
        <f t="shared" si="3"/>
        <v>0</v>
      </c>
      <c r="K195" s="94">
        <f t="shared" si="4"/>
        <v>0</v>
      </c>
      <c r="L195" s="95">
        <f t="shared" si="5"/>
        <v>0</v>
      </c>
    </row>
    <row r="196">
      <c r="A196" s="74" t="str">
        <f t="shared" si="1"/>
        <v>Friday</v>
      </c>
      <c r="B196" s="49">
        <v>46283.0</v>
      </c>
      <c r="C196" s="148">
        <v>6.0</v>
      </c>
      <c r="D196" s="166">
        <v>7552.23</v>
      </c>
      <c r="E196" s="168">
        <v>17619.0</v>
      </c>
      <c r="F196" s="88">
        <f t="shared" si="2"/>
        <v>133062740.4</v>
      </c>
      <c r="H196" s="91"/>
      <c r="I196" s="171"/>
      <c r="J196" s="93">
        <f t="shared" si="3"/>
        <v>0</v>
      </c>
      <c r="K196" s="94">
        <f t="shared" si="4"/>
        <v>0</v>
      </c>
      <c r="L196" s="95">
        <f t="shared" si="5"/>
        <v>0</v>
      </c>
    </row>
    <row r="197">
      <c r="A197" s="74" t="str">
        <f t="shared" si="1"/>
        <v>Friday</v>
      </c>
      <c r="B197" s="49">
        <v>46283.0</v>
      </c>
      <c r="C197" s="148">
        <v>6.0</v>
      </c>
      <c r="D197" s="166">
        <v>3998.0</v>
      </c>
      <c r="E197" s="168">
        <v>17619.0</v>
      </c>
      <c r="F197" s="88">
        <f t="shared" si="2"/>
        <v>70440762</v>
      </c>
      <c r="H197" s="91"/>
      <c r="I197" s="171"/>
      <c r="J197" s="93">
        <f t="shared" si="3"/>
        <v>0</v>
      </c>
      <c r="K197" s="94">
        <f t="shared" si="4"/>
        <v>0</v>
      </c>
      <c r="L197" s="95">
        <f t="shared" si="5"/>
        <v>0</v>
      </c>
    </row>
    <row r="198">
      <c r="A198" s="74" t="str">
        <f t="shared" si="1"/>
        <v>Friday</v>
      </c>
      <c r="B198" s="49">
        <v>46283.0</v>
      </c>
      <c r="C198" s="148">
        <v>6.0</v>
      </c>
      <c r="D198" s="166">
        <v>6296.85</v>
      </c>
      <c r="E198" s="168">
        <v>17619.0</v>
      </c>
      <c r="F198" s="88">
        <f t="shared" si="2"/>
        <v>110944200.2</v>
      </c>
      <c r="H198" s="91"/>
      <c r="I198" s="171"/>
      <c r="J198" s="93">
        <f t="shared" si="3"/>
        <v>0</v>
      </c>
      <c r="K198" s="94">
        <f t="shared" si="4"/>
        <v>0</v>
      </c>
      <c r="L198" s="95">
        <f t="shared" si="5"/>
        <v>0</v>
      </c>
    </row>
    <row r="199">
      <c r="A199" s="74" t="str">
        <f t="shared" si="1"/>
        <v>Friday</v>
      </c>
      <c r="B199" s="49">
        <v>46283.0</v>
      </c>
      <c r="C199" s="148">
        <v>6.0</v>
      </c>
      <c r="D199" s="166">
        <v>9995.0</v>
      </c>
      <c r="E199" s="168">
        <v>17618.0</v>
      </c>
      <c r="F199" s="88">
        <f t="shared" si="2"/>
        <v>176091910</v>
      </c>
      <c r="H199" s="91"/>
      <c r="I199" s="171"/>
      <c r="J199" s="93">
        <f t="shared" si="3"/>
        <v>0</v>
      </c>
      <c r="K199" s="94">
        <f t="shared" si="4"/>
        <v>0</v>
      </c>
      <c r="L199" s="95">
        <f t="shared" si="5"/>
        <v>0</v>
      </c>
    </row>
    <row r="200">
      <c r="A200" s="74" t="str">
        <f t="shared" si="1"/>
        <v>Friday</v>
      </c>
      <c r="B200" s="49">
        <v>46283.0</v>
      </c>
      <c r="C200" s="148">
        <v>6.0</v>
      </c>
      <c r="D200" s="166">
        <v>9106.45</v>
      </c>
      <c r="E200" s="168">
        <v>17617.0</v>
      </c>
      <c r="F200" s="88">
        <f t="shared" si="2"/>
        <v>160428329.7</v>
      </c>
      <c r="H200" s="91"/>
      <c r="I200" s="171"/>
      <c r="J200" s="93">
        <f t="shared" si="3"/>
        <v>0</v>
      </c>
      <c r="K200" s="94">
        <f t="shared" si="4"/>
        <v>0</v>
      </c>
      <c r="L200" s="95">
        <f t="shared" si="5"/>
        <v>0</v>
      </c>
    </row>
    <row r="201">
      <c r="A201" s="74" t="str">
        <f t="shared" si="1"/>
        <v>Friday</v>
      </c>
      <c r="B201" s="49">
        <v>46283.0</v>
      </c>
      <c r="C201" s="148">
        <v>6.0</v>
      </c>
      <c r="D201" s="166">
        <v>9478.06</v>
      </c>
      <c r="E201" s="168">
        <v>17618.0</v>
      </c>
      <c r="F201" s="88">
        <f t="shared" si="2"/>
        <v>166984461.1</v>
      </c>
    </row>
    <row r="202">
      <c r="A202" s="74" t="str">
        <f t="shared" si="1"/>
        <v>Friday</v>
      </c>
      <c r="B202" s="49">
        <v>46283.0</v>
      </c>
      <c r="C202" s="148">
        <v>6.0</v>
      </c>
      <c r="D202" s="166">
        <v>6196.9</v>
      </c>
      <c r="E202" s="168">
        <v>17618.0</v>
      </c>
      <c r="F202" s="88">
        <f t="shared" si="2"/>
        <v>109176984.2</v>
      </c>
    </row>
    <row r="203">
      <c r="A203" s="74" t="str">
        <f t="shared" si="1"/>
        <v>Friday</v>
      </c>
      <c r="B203" s="49">
        <v>46283.0</v>
      </c>
      <c r="C203" s="148">
        <v>6.0</v>
      </c>
      <c r="D203" s="166">
        <v>3971.22</v>
      </c>
      <c r="E203" s="168">
        <v>17618.0</v>
      </c>
      <c r="F203" s="88">
        <f t="shared" si="2"/>
        <v>69964953.96</v>
      </c>
    </row>
    <row r="204">
      <c r="A204" s="74" t="str">
        <f t="shared" si="1"/>
        <v>Friday</v>
      </c>
      <c r="B204" s="49">
        <v>46283.0</v>
      </c>
      <c r="C204" s="148">
        <v>6.0</v>
      </c>
      <c r="D204" s="166">
        <v>4628.06</v>
      </c>
      <c r="E204" s="168">
        <v>17618.0</v>
      </c>
      <c r="F204" s="88">
        <f t="shared" si="2"/>
        <v>81537161.08</v>
      </c>
    </row>
    <row r="205">
      <c r="A205" s="74" t="str">
        <f t="shared" si="1"/>
        <v>Friday</v>
      </c>
      <c r="B205" s="49">
        <v>46283.0</v>
      </c>
      <c r="C205" s="148">
        <v>6.0</v>
      </c>
      <c r="D205" s="166">
        <v>15838.64</v>
      </c>
      <c r="E205" s="168">
        <v>17618.0</v>
      </c>
      <c r="F205" s="88">
        <f t="shared" si="2"/>
        <v>279045159.5</v>
      </c>
    </row>
    <row r="206">
      <c r="A206" s="74" t="str">
        <f t="shared" si="1"/>
        <v>Friday</v>
      </c>
      <c r="B206" s="49">
        <v>46283.0</v>
      </c>
      <c r="C206" s="148">
        <v>6.0</v>
      </c>
      <c r="D206" s="166">
        <v>4997.5</v>
      </c>
      <c r="E206" s="168">
        <v>17618.0</v>
      </c>
      <c r="F206" s="88">
        <f t="shared" si="2"/>
        <v>88045955</v>
      </c>
    </row>
    <row r="207">
      <c r="A207" s="74" t="str">
        <f t="shared" si="1"/>
        <v>Friday</v>
      </c>
      <c r="B207" s="49">
        <v>46283.0</v>
      </c>
      <c r="C207" s="148">
        <v>6.0</v>
      </c>
      <c r="D207" s="166">
        <v>6996.5</v>
      </c>
      <c r="E207" s="168">
        <v>17620.0</v>
      </c>
      <c r="F207" s="88">
        <f t="shared" si="2"/>
        <v>123278330</v>
      </c>
    </row>
    <row r="208">
      <c r="A208" s="74" t="str">
        <f t="shared" si="1"/>
        <v>Friday</v>
      </c>
      <c r="B208" s="49">
        <v>46283.0</v>
      </c>
      <c r="C208" s="148">
        <v>6.0</v>
      </c>
      <c r="D208" s="166">
        <v>2498.75</v>
      </c>
      <c r="E208" s="168">
        <v>17620.0</v>
      </c>
      <c r="F208" s="88">
        <f t="shared" si="2"/>
        <v>44027975</v>
      </c>
    </row>
    <row r="209">
      <c r="A209" s="74" t="str">
        <f t="shared" si="1"/>
        <v>Friday</v>
      </c>
      <c r="B209" s="49">
        <v>46283.0</v>
      </c>
      <c r="C209" s="148">
        <v>6.0</v>
      </c>
      <c r="D209" s="166">
        <v>4997.5</v>
      </c>
      <c r="E209" s="168">
        <v>17620.0</v>
      </c>
      <c r="F209" s="88">
        <f t="shared" si="2"/>
        <v>88055950</v>
      </c>
    </row>
    <row r="210">
      <c r="A210" s="74" t="str">
        <f t="shared" si="1"/>
        <v>Friday</v>
      </c>
      <c r="B210" s="49">
        <v>46283.0</v>
      </c>
      <c r="C210" s="148">
        <v>6.0</v>
      </c>
      <c r="D210" s="166">
        <v>9995.0</v>
      </c>
      <c r="E210" s="168">
        <v>17626.0</v>
      </c>
      <c r="F210" s="88">
        <f t="shared" si="2"/>
        <v>176171870</v>
      </c>
    </row>
    <row r="211">
      <c r="A211" s="74" t="str">
        <f t="shared" si="1"/>
        <v>Friday</v>
      </c>
      <c r="B211" s="49">
        <v>46283.0</v>
      </c>
      <c r="C211" s="148">
        <v>6.0</v>
      </c>
      <c r="D211" s="166">
        <v>2498.75</v>
      </c>
      <c r="E211" s="168">
        <v>17626.0</v>
      </c>
      <c r="F211" s="88">
        <f t="shared" si="2"/>
        <v>44042967.5</v>
      </c>
    </row>
    <row r="212">
      <c r="A212" s="74" t="str">
        <f t="shared" si="1"/>
        <v>Friday</v>
      </c>
      <c r="B212" s="49">
        <v>46283.0</v>
      </c>
      <c r="C212" s="148">
        <v>6.0</v>
      </c>
      <c r="D212" s="166">
        <v>2998.5</v>
      </c>
      <c r="E212" s="168">
        <v>17626.0</v>
      </c>
      <c r="F212" s="88">
        <f t="shared" si="2"/>
        <v>52851561</v>
      </c>
    </row>
    <row r="213">
      <c r="A213" s="74" t="str">
        <f t="shared" si="1"/>
        <v>Friday</v>
      </c>
      <c r="B213" s="49">
        <v>46283.0</v>
      </c>
      <c r="C213" s="148">
        <v>6.0</v>
      </c>
      <c r="D213" s="166">
        <v>2268.24</v>
      </c>
      <c r="E213" s="168">
        <v>17626.0</v>
      </c>
      <c r="F213" s="88">
        <f t="shared" si="2"/>
        <v>39979998.24</v>
      </c>
    </row>
    <row r="214">
      <c r="A214" s="74" t="str">
        <f t="shared" si="1"/>
        <v>Friday</v>
      </c>
      <c r="B214" s="49">
        <v>46283.0</v>
      </c>
      <c r="C214" s="148">
        <v>6.0</v>
      </c>
      <c r="D214" s="166">
        <v>14497.75</v>
      </c>
      <c r="E214" s="168">
        <v>17626.0</v>
      </c>
      <c r="F214" s="88">
        <f t="shared" si="2"/>
        <v>255537341.5</v>
      </c>
    </row>
    <row r="215">
      <c r="A215" s="74" t="str">
        <f t="shared" si="1"/>
        <v>Friday</v>
      </c>
      <c r="B215" s="49">
        <v>46283.0</v>
      </c>
      <c r="C215" s="148">
        <v>6.0</v>
      </c>
      <c r="D215" s="166">
        <v>7996.0</v>
      </c>
      <c r="E215" s="168">
        <v>17626.0</v>
      </c>
      <c r="F215" s="88">
        <f t="shared" si="2"/>
        <v>140937496</v>
      </c>
    </row>
    <row r="216">
      <c r="A216" s="74" t="str">
        <f t="shared" si="1"/>
        <v>Friday</v>
      </c>
      <c r="B216" s="49">
        <v>46283.0</v>
      </c>
      <c r="C216" s="148">
        <v>6.0</v>
      </c>
      <c r="D216" s="166">
        <v>4035.99</v>
      </c>
      <c r="E216" s="168">
        <v>17626.0</v>
      </c>
      <c r="F216" s="88">
        <f t="shared" si="2"/>
        <v>71138359.74</v>
      </c>
    </row>
    <row r="217">
      <c r="A217" s="74" t="str">
        <f t="shared" si="1"/>
        <v>Friday</v>
      </c>
      <c r="B217" s="49">
        <v>46283.0</v>
      </c>
      <c r="C217" s="148">
        <v>6.0</v>
      </c>
      <c r="D217" s="166">
        <v>2998.5</v>
      </c>
      <c r="E217" s="168">
        <v>17626.0</v>
      </c>
      <c r="F217" s="88">
        <f t="shared" si="2"/>
        <v>52851561</v>
      </c>
    </row>
    <row r="218">
      <c r="A218" s="74" t="str">
        <f t="shared" si="1"/>
        <v>Friday</v>
      </c>
      <c r="B218" s="49">
        <v>46283.0</v>
      </c>
      <c r="C218" s="148">
        <v>6.0</v>
      </c>
      <c r="D218" s="166">
        <v>29885.05</v>
      </c>
      <c r="E218" s="168">
        <v>17624.0</v>
      </c>
      <c r="F218" s="88">
        <f t="shared" si="2"/>
        <v>526694121.2</v>
      </c>
    </row>
    <row r="219">
      <c r="A219" s="74" t="str">
        <f t="shared" si="1"/>
        <v>Friday</v>
      </c>
      <c r="B219" s="49">
        <v>46283.0</v>
      </c>
      <c r="C219" s="148">
        <v>6.0</v>
      </c>
      <c r="D219" s="166">
        <v>20051.97</v>
      </c>
      <c r="E219" s="168">
        <v>17624.0</v>
      </c>
      <c r="F219" s="88">
        <f t="shared" si="2"/>
        <v>353395919.3</v>
      </c>
    </row>
    <row r="220">
      <c r="A220" s="74" t="str">
        <f t="shared" si="1"/>
        <v>Saturday</v>
      </c>
      <c r="B220" s="49">
        <v>46284.0</v>
      </c>
      <c r="C220" s="148">
        <v>1.0</v>
      </c>
      <c r="D220" s="166">
        <v>59897.49</v>
      </c>
      <c r="E220" s="168">
        <v>17560.0</v>
      </c>
      <c r="F220" s="88">
        <f t="shared" si="2"/>
        <v>1051799924</v>
      </c>
    </row>
    <row r="221">
      <c r="A221" s="74" t="str">
        <f t="shared" si="1"/>
        <v>Saturday</v>
      </c>
      <c r="B221" s="49">
        <v>46284.0</v>
      </c>
      <c r="C221" s="148">
        <v>2.0</v>
      </c>
      <c r="D221" s="166">
        <v>28449.5</v>
      </c>
      <c r="E221" s="168">
        <v>17575.0</v>
      </c>
      <c r="F221" s="88">
        <f t="shared" si="2"/>
        <v>499999962.5</v>
      </c>
    </row>
    <row r="222">
      <c r="A222" s="74" t="str">
        <f t="shared" si="1"/>
        <v>Saturday</v>
      </c>
      <c r="B222" s="49">
        <v>46284.0</v>
      </c>
      <c r="C222" s="148">
        <v>3.0</v>
      </c>
      <c r="D222" s="166">
        <v>14618.77</v>
      </c>
      <c r="E222" s="168">
        <v>17560.0</v>
      </c>
      <c r="F222" s="88">
        <f t="shared" si="2"/>
        <v>256705601.2</v>
      </c>
    </row>
    <row r="223">
      <c r="A223" s="74" t="str">
        <f t="shared" si="1"/>
        <v>Saturday</v>
      </c>
      <c r="B223" s="49">
        <v>46284.0</v>
      </c>
      <c r="C223" s="148">
        <v>3.0</v>
      </c>
      <c r="D223" s="166">
        <v>2298.85</v>
      </c>
      <c r="E223" s="168">
        <v>17560.0</v>
      </c>
      <c r="F223" s="88">
        <f t="shared" si="2"/>
        <v>40367806</v>
      </c>
    </row>
    <row r="224">
      <c r="A224" s="74" t="str">
        <f t="shared" si="1"/>
        <v>Saturday</v>
      </c>
      <c r="B224" s="49">
        <v>46284.0</v>
      </c>
      <c r="C224" s="148">
        <v>3.0</v>
      </c>
      <c r="D224" s="166">
        <v>11543.15</v>
      </c>
      <c r="E224" s="168">
        <v>17560.0</v>
      </c>
      <c r="F224" s="88">
        <f t="shared" si="2"/>
        <v>202697714</v>
      </c>
    </row>
    <row r="225">
      <c r="A225" s="74" t="str">
        <f t="shared" si="1"/>
        <v>Saturday</v>
      </c>
      <c r="B225" s="49">
        <v>46284.0</v>
      </c>
      <c r="C225" s="148">
        <v>3.0</v>
      </c>
      <c r="D225" s="166">
        <v>27986.0</v>
      </c>
      <c r="E225" s="168">
        <v>17558.0</v>
      </c>
      <c r="F225" s="88">
        <f t="shared" si="2"/>
        <v>491378188</v>
      </c>
    </row>
    <row r="226">
      <c r="A226" s="74" t="str">
        <f t="shared" si="1"/>
        <v>Saturday</v>
      </c>
      <c r="B226" s="49">
        <v>46284.0</v>
      </c>
      <c r="C226" s="148">
        <v>4.0</v>
      </c>
      <c r="D226" s="166">
        <v>5497.25</v>
      </c>
      <c r="E226" s="168">
        <v>17550.0</v>
      </c>
      <c r="F226" s="88">
        <f t="shared" si="2"/>
        <v>96476737.5</v>
      </c>
    </row>
    <row r="227">
      <c r="A227" s="74" t="str">
        <f t="shared" si="1"/>
        <v>Saturday</v>
      </c>
      <c r="B227" s="49">
        <v>46284.0</v>
      </c>
      <c r="C227" s="148">
        <v>4.0</v>
      </c>
      <c r="D227" s="166">
        <v>51874.05</v>
      </c>
      <c r="E227" s="168">
        <v>17550.0</v>
      </c>
      <c r="F227" s="88">
        <f t="shared" si="2"/>
        <v>910389577.5</v>
      </c>
    </row>
    <row r="228">
      <c r="A228" s="74" t="str">
        <f t="shared" si="1"/>
        <v>Saturday</v>
      </c>
      <c r="B228" s="49">
        <v>46284.0</v>
      </c>
      <c r="C228" s="148">
        <v>5.0</v>
      </c>
      <c r="D228" s="166">
        <v>102207.89</v>
      </c>
      <c r="E228" s="168">
        <v>17540.0</v>
      </c>
      <c r="F228" s="88">
        <f t="shared" si="2"/>
        <v>1792726391</v>
      </c>
    </row>
    <row r="229">
      <c r="A229" s="74" t="str">
        <f t="shared" si="1"/>
        <v>Saturday</v>
      </c>
      <c r="B229" s="49">
        <v>46284.0</v>
      </c>
      <c r="C229" s="148">
        <v>6.0</v>
      </c>
      <c r="D229" s="166">
        <v>2396.69</v>
      </c>
      <c r="E229" s="168">
        <v>17545.0</v>
      </c>
      <c r="F229" s="88">
        <f t="shared" si="2"/>
        <v>42049926.05</v>
      </c>
    </row>
    <row r="230">
      <c r="A230" s="74" t="str">
        <f t="shared" si="1"/>
        <v>Saturday</v>
      </c>
      <c r="B230" s="49">
        <v>46284.0</v>
      </c>
      <c r="C230" s="148">
        <v>6.0</v>
      </c>
      <c r="D230" s="166">
        <v>3998.0</v>
      </c>
      <c r="E230" s="168">
        <v>17545.0</v>
      </c>
      <c r="F230" s="88">
        <f t="shared" si="2"/>
        <v>70144910</v>
      </c>
    </row>
    <row r="231">
      <c r="A231" s="74" t="str">
        <f t="shared" si="1"/>
        <v>Saturday</v>
      </c>
      <c r="B231" s="49">
        <v>46284.0</v>
      </c>
      <c r="C231" s="148">
        <v>6.0</v>
      </c>
      <c r="D231" s="166">
        <v>3173.42</v>
      </c>
      <c r="E231" s="168">
        <v>17540.0</v>
      </c>
      <c r="F231" s="88">
        <f t="shared" si="2"/>
        <v>55661786.8</v>
      </c>
    </row>
    <row r="232">
      <c r="A232" s="74" t="str">
        <f t="shared" si="1"/>
        <v>Saturday</v>
      </c>
      <c r="B232" s="49">
        <v>46284.0</v>
      </c>
      <c r="C232" s="148">
        <v>6.0</v>
      </c>
      <c r="D232" s="166">
        <v>28465.69</v>
      </c>
      <c r="E232" s="168">
        <v>17565.0</v>
      </c>
      <c r="F232" s="88">
        <f t="shared" si="2"/>
        <v>499999844.9</v>
      </c>
    </row>
    <row r="233">
      <c r="A233" s="74" t="str">
        <f t="shared" si="1"/>
        <v>Saturday</v>
      </c>
      <c r="B233" s="49">
        <v>46284.0</v>
      </c>
      <c r="C233" s="148">
        <v>6.0</v>
      </c>
      <c r="D233" s="166">
        <v>5097.45</v>
      </c>
      <c r="E233" s="168">
        <v>17543.0</v>
      </c>
      <c r="F233" s="88">
        <f t="shared" si="2"/>
        <v>89424565.35</v>
      </c>
    </row>
    <row r="234">
      <c r="A234" s="74" t="str">
        <f t="shared" si="1"/>
        <v>Saturday</v>
      </c>
      <c r="B234" s="49">
        <v>46284.0</v>
      </c>
      <c r="C234" s="148">
        <v>6.0</v>
      </c>
      <c r="D234" s="166">
        <v>28467.31</v>
      </c>
      <c r="E234" s="168">
        <v>17564.0</v>
      </c>
      <c r="F234" s="88">
        <f t="shared" si="2"/>
        <v>499999832.8</v>
      </c>
    </row>
    <row r="235">
      <c r="A235" s="74" t="str">
        <f t="shared" si="1"/>
        <v>Saturday</v>
      </c>
      <c r="B235" s="49">
        <v>46284.0</v>
      </c>
      <c r="C235" s="148">
        <v>6.0</v>
      </c>
      <c r="D235" s="166">
        <v>54972.5</v>
      </c>
      <c r="E235" s="168">
        <v>17542.0</v>
      </c>
      <c r="F235" s="88">
        <f t="shared" si="2"/>
        <v>964327595</v>
      </c>
    </row>
    <row r="236">
      <c r="A236" s="74" t="str">
        <f t="shared" si="1"/>
        <v>Saturday</v>
      </c>
      <c r="B236" s="49">
        <v>46284.0</v>
      </c>
      <c r="C236" s="148">
        <v>7.0</v>
      </c>
      <c r="D236" s="166">
        <v>2998.5</v>
      </c>
      <c r="E236" s="168">
        <v>17528.0</v>
      </c>
      <c r="F236" s="88">
        <f t="shared" si="2"/>
        <v>52557708</v>
      </c>
    </row>
    <row r="237">
      <c r="A237" s="74" t="str">
        <f t="shared" si="1"/>
        <v>Saturday</v>
      </c>
      <c r="B237" s="49">
        <v>46284.0</v>
      </c>
      <c r="C237" s="148">
        <v>7.0</v>
      </c>
      <c r="D237" s="166">
        <v>7996.0</v>
      </c>
      <c r="E237" s="168">
        <v>17528.0</v>
      </c>
      <c r="F237" s="88">
        <f t="shared" si="2"/>
        <v>140153888</v>
      </c>
    </row>
    <row r="238">
      <c r="A238" s="74" t="str">
        <f t="shared" si="1"/>
        <v>Saturday</v>
      </c>
      <c r="B238" s="49">
        <v>46284.0</v>
      </c>
      <c r="C238" s="148">
        <v>7.0</v>
      </c>
      <c r="D238" s="166">
        <v>12373.81</v>
      </c>
      <c r="E238" s="168">
        <v>17522.0</v>
      </c>
      <c r="F238" s="88">
        <f t="shared" si="2"/>
        <v>216813898.8</v>
      </c>
    </row>
    <row r="239">
      <c r="A239" s="74" t="str">
        <f t="shared" si="1"/>
        <v>Sunday</v>
      </c>
      <c r="B239" s="49">
        <v>46285.0</v>
      </c>
      <c r="C239" s="148">
        <v>1.0</v>
      </c>
      <c r="D239" s="166">
        <v>85476.06</v>
      </c>
      <c r="E239" s="168">
        <v>17540.0</v>
      </c>
      <c r="F239" s="88">
        <f t="shared" si="2"/>
        <v>1499250092</v>
      </c>
    </row>
    <row r="240">
      <c r="A240" s="74" t="str">
        <f t="shared" si="1"/>
        <v>Sunday</v>
      </c>
      <c r="B240" s="49">
        <v>46285.0</v>
      </c>
      <c r="C240" s="148">
        <v>1.0</v>
      </c>
      <c r="D240" s="166">
        <v>9995.0</v>
      </c>
      <c r="E240" s="168">
        <v>17540.0</v>
      </c>
      <c r="F240" s="88">
        <f t="shared" si="2"/>
        <v>175312300</v>
      </c>
    </row>
    <row r="241">
      <c r="A241" s="74" t="str">
        <f t="shared" si="1"/>
        <v>Sunday</v>
      </c>
      <c r="B241" s="49">
        <v>46285.0</v>
      </c>
      <c r="C241" s="148">
        <v>1.0</v>
      </c>
      <c r="D241" s="166">
        <v>5697.11</v>
      </c>
      <c r="E241" s="168">
        <v>17544.0</v>
      </c>
      <c r="F241" s="88">
        <f t="shared" si="2"/>
        <v>99950097.84</v>
      </c>
    </row>
    <row r="242">
      <c r="A242" s="74" t="str">
        <f t="shared" si="1"/>
        <v>Sunday</v>
      </c>
      <c r="B242" s="49">
        <v>46285.0</v>
      </c>
      <c r="C242" s="148">
        <v>1.0</v>
      </c>
      <c r="D242" s="166">
        <v>9995.0</v>
      </c>
      <c r="E242" s="168">
        <v>17544.0</v>
      </c>
      <c r="F242" s="88">
        <f t="shared" si="2"/>
        <v>175352280</v>
      </c>
    </row>
    <row r="243">
      <c r="A243" s="74" t="str">
        <f t="shared" si="1"/>
        <v>Sunday</v>
      </c>
      <c r="B243" s="49">
        <v>46285.0</v>
      </c>
      <c r="C243" s="148">
        <v>1.0</v>
      </c>
      <c r="D243" s="166">
        <v>12760.62</v>
      </c>
      <c r="E243" s="168">
        <v>17544.0</v>
      </c>
      <c r="F243" s="88">
        <f t="shared" si="2"/>
        <v>223872317.3</v>
      </c>
    </row>
    <row r="244">
      <c r="A244" s="74" t="str">
        <f t="shared" si="1"/>
        <v>Sunday</v>
      </c>
      <c r="B244" s="49">
        <v>46285.0</v>
      </c>
      <c r="C244" s="148">
        <v>1.0</v>
      </c>
      <c r="D244" s="166">
        <v>21689.15</v>
      </c>
      <c r="E244" s="168">
        <v>17544.0</v>
      </c>
      <c r="F244" s="88">
        <f t="shared" si="2"/>
        <v>380514447.6</v>
      </c>
    </row>
    <row r="245">
      <c r="A245" s="74" t="str">
        <f t="shared" si="1"/>
        <v>Sunday</v>
      </c>
      <c r="B245" s="49">
        <v>46285.0</v>
      </c>
      <c r="C245" s="148">
        <v>1.0</v>
      </c>
      <c r="D245" s="166">
        <v>22793.61</v>
      </c>
      <c r="E245" s="168">
        <v>17540.0</v>
      </c>
      <c r="F245" s="88">
        <f t="shared" si="2"/>
        <v>399799919.4</v>
      </c>
    </row>
    <row r="246">
      <c r="A246" s="74" t="str">
        <f t="shared" si="1"/>
        <v>Sunday</v>
      </c>
      <c r="B246" s="49">
        <v>46285.0</v>
      </c>
      <c r="C246" s="148">
        <v>1.0</v>
      </c>
      <c r="D246" s="166">
        <v>5804.85</v>
      </c>
      <c r="E246" s="168">
        <v>17538.0</v>
      </c>
      <c r="F246" s="88">
        <f t="shared" si="2"/>
        <v>101805459.3</v>
      </c>
    </row>
    <row r="247">
      <c r="A247" s="74" t="str">
        <f t="shared" si="1"/>
        <v>Sunday</v>
      </c>
      <c r="B247" s="49">
        <v>46285.0</v>
      </c>
      <c r="C247" s="148">
        <v>1.0</v>
      </c>
      <c r="D247" s="166">
        <v>9690.05</v>
      </c>
      <c r="E247" s="168">
        <v>17535.0</v>
      </c>
      <c r="F247" s="88">
        <f t="shared" si="2"/>
        <v>169915026.8</v>
      </c>
    </row>
    <row r="248">
      <c r="A248" s="74" t="str">
        <f t="shared" si="1"/>
        <v>Sunday</v>
      </c>
      <c r="B248" s="49">
        <v>46285.0</v>
      </c>
      <c r="C248" s="148">
        <v>1.0</v>
      </c>
      <c r="D248" s="166">
        <v>28481.91</v>
      </c>
      <c r="E248" s="168">
        <v>17555.0</v>
      </c>
      <c r="F248" s="88">
        <f t="shared" si="2"/>
        <v>499999930.1</v>
      </c>
    </row>
    <row r="249">
      <c r="A249" s="74" t="str">
        <f t="shared" si="1"/>
        <v>Sunday</v>
      </c>
      <c r="B249" s="49">
        <v>46285.0</v>
      </c>
      <c r="C249" s="148">
        <v>1.0</v>
      </c>
      <c r="D249" s="166">
        <v>4997.5</v>
      </c>
      <c r="E249" s="168">
        <v>17540.0</v>
      </c>
      <c r="F249" s="88">
        <f t="shared" si="2"/>
        <v>87656150</v>
      </c>
    </row>
    <row r="250">
      <c r="A250" s="74" t="str">
        <f t="shared" si="1"/>
        <v>Sunday</v>
      </c>
      <c r="B250" s="49">
        <v>46285.0</v>
      </c>
      <c r="C250" s="148">
        <v>1.0</v>
      </c>
      <c r="D250" s="166">
        <v>7720.39</v>
      </c>
      <c r="E250" s="168">
        <v>17540.0</v>
      </c>
      <c r="F250" s="88">
        <f t="shared" si="2"/>
        <v>135415640.6</v>
      </c>
    </row>
    <row r="251">
      <c r="A251" s="74" t="str">
        <f t="shared" si="1"/>
        <v>Sunday</v>
      </c>
      <c r="B251" s="49">
        <v>46285.0</v>
      </c>
      <c r="C251" s="148">
        <v>1.0</v>
      </c>
      <c r="D251" s="166">
        <v>2849.2</v>
      </c>
      <c r="E251" s="168">
        <v>17540.0</v>
      </c>
      <c r="F251" s="88">
        <f t="shared" si="2"/>
        <v>49974968</v>
      </c>
    </row>
    <row r="252">
      <c r="A252" s="74" t="str">
        <f t="shared" si="1"/>
        <v>Sunday</v>
      </c>
      <c r="B252" s="49">
        <v>46285.0</v>
      </c>
      <c r="C252" s="148">
        <v>1.0</v>
      </c>
      <c r="D252" s="166">
        <v>5275.94</v>
      </c>
      <c r="E252" s="168">
        <v>17540.0</v>
      </c>
      <c r="F252" s="88">
        <f t="shared" si="2"/>
        <v>92539987.6</v>
      </c>
    </row>
    <row r="253">
      <c r="A253" s="74" t="str">
        <f t="shared" si="1"/>
        <v>Sunday</v>
      </c>
      <c r="B253" s="49">
        <v>46285.0</v>
      </c>
      <c r="C253" s="148">
        <v>1.0</v>
      </c>
      <c r="D253" s="166">
        <v>30456.6</v>
      </c>
      <c r="E253" s="168">
        <v>17540.0</v>
      </c>
      <c r="F253" s="88">
        <f t="shared" si="2"/>
        <v>534208764</v>
      </c>
    </row>
    <row r="254">
      <c r="A254" s="74" t="str">
        <f t="shared" si="1"/>
        <v>Sunday</v>
      </c>
      <c r="B254" s="49">
        <v>46285.0</v>
      </c>
      <c r="C254" s="148">
        <v>1.0</v>
      </c>
      <c r="D254" s="166">
        <v>76578.19</v>
      </c>
      <c r="E254" s="168">
        <v>17520.0</v>
      </c>
      <c r="F254" s="88">
        <f t="shared" si="2"/>
        <v>1341649889</v>
      </c>
    </row>
    <row r="255">
      <c r="A255" s="74" t="str">
        <f t="shared" si="1"/>
        <v>Sunday</v>
      </c>
      <c r="B255" s="49">
        <v>46285.0</v>
      </c>
      <c r="C255" s="148">
        <v>2.0</v>
      </c>
      <c r="D255" s="166">
        <v>57077.62</v>
      </c>
      <c r="E255" s="168">
        <v>17520.0</v>
      </c>
      <c r="F255" s="88">
        <f t="shared" si="2"/>
        <v>999999902.4</v>
      </c>
    </row>
    <row r="256">
      <c r="A256" s="74" t="str">
        <f t="shared" si="1"/>
        <v>Monday</v>
      </c>
      <c r="B256" s="49">
        <v>46286.0</v>
      </c>
      <c r="C256" s="148">
        <v>1.0</v>
      </c>
      <c r="D256" s="166">
        <v>15214.47</v>
      </c>
      <c r="E256" s="168">
        <v>17665.0</v>
      </c>
      <c r="F256" s="88">
        <f t="shared" si="2"/>
        <v>268763612.6</v>
      </c>
    </row>
    <row r="257">
      <c r="A257" s="74" t="str">
        <f t="shared" si="1"/>
        <v>Monday</v>
      </c>
      <c r="B257" s="49">
        <v>46286.0</v>
      </c>
      <c r="C257" s="148">
        <v>1.0</v>
      </c>
      <c r="D257" s="166">
        <v>6669.94</v>
      </c>
      <c r="E257" s="168">
        <v>17660.0</v>
      </c>
      <c r="F257" s="88">
        <f t="shared" si="2"/>
        <v>117791140.4</v>
      </c>
    </row>
    <row r="258">
      <c r="A258" s="74" t="str">
        <f t="shared" si="1"/>
        <v>Monday</v>
      </c>
      <c r="B258" s="49">
        <v>46286.0</v>
      </c>
      <c r="C258" s="148">
        <v>1.0</v>
      </c>
      <c r="D258" s="166">
        <v>99950.0</v>
      </c>
      <c r="E258" s="168">
        <v>17660.0</v>
      </c>
      <c r="F258" s="88">
        <f t="shared" si="2"/>
        <v>1765117000</v>
      </c>
    </row>
    <row r="259">
      <c r="A259" s="74" t="str">
        <f t="shared" si="1"/>
        <v>Monday</v>
      </c>
      <c r="B259" s="49">
        <v>46286.0</v>
      </c>
      <c r="C259" s="148">
        <v>1.0</v>
      </c>
      <c r="D259" s="166">
        <v>54972.5</v>
      </c>
      <c r="E259" s="168">
        <v>17660.0</v>
      </c>
      <c r="F259" s="88">
        <f t="shared" si="2"/>
        <v>970814350</v>
      </c>
    </row>
    <row r="260">
      <c r="A260" s="74" t="str">
        <f t="shared" si="1"/>
        <v>Monday</v>
      </c>
      <c r="B260" s="49">
        <v>46286.0</v>
      </c>
      <c r="C260" s="148">
        <v>2.0</v>
      </c>
      <c r="D260" s="166">
        <v>3491.19</v>
      </c>
      <c r="E260" s="168">
        <v>17690.0</v>
      </c>
      <c r="F260" s="88">
        <f t="shared" si="2"/>
        <v>61759151.1</v>
      </c>
    </row>
    <row r="261">
      <c r="A261" s="74" t="str">
        <f t="shared" si="1"/>
        <v>Monday</v>
      </c>
      <c r="B261" s="49">
        <v>46286.0</v>
      </c>
      <c r="C261" s="148">
        <v>2.0</v>
      </c>
      <c r="D261" s="166">
        <v>112999.48</v>
      </c>
      <c r="E261" s="168">
        <v>17690.0</v>
      </c>
      <c r="F261" s="88">
        <f t="shared" si="2"/>
        <v>1998960801</v>
      </c>
    </row>
    <row r="262">
      <c r="A262" s="74" t="str">
        <f t="shared" si="1"/>
        <v>Monday</v>
      </c>
      <c r="B262" s="49">
        <v>46286.0</v>
      </c>
      <c r="C262" s="148">
        <v>2.0</v>
      </c>
      <c r="D262" s="166">
        <v>2895.59</v>
      </c>
      <c r="E262" s="168">
        <v>17685.0</v>
      </c>
      <c r="F262" s="88">
        <f t="shared" si="2"/>
        <v>51208509.15</v>
      </c>
    </row>
    <row r="263">
      <c r="A263" s="74" t="str">
        <f t="shared" si="1"/>
        <v>Monday</v>
      </c>
      <c r="B263" s="49">
        <v>46286.0</v>
      </c>
      <c r="C263" s="148">
        <v>2.0</v>
      </c>
      <c r="D263" s="166">
        <v>49975.0</v>
      </c>
      <c r="E263" s="168">
        <v>17685.0</v>
      </c>
      <c r="F263" s="88">
        <f t="shared" si="2"/>
        <v>883807875</v>
      </c>
    </row>
    <row r="264">
      <c r="A264" s="74" t="str">
        <f t="shared" si="1"/>
        <v>Monday</v>
      </c>
      <c r="B264" s="49">
        <v>46286.0</v>
      </c>
      <c r="C264" s="148">
        <v>2.0</v>
      </c>
      <c r="D264" s="166">
        <v>2826.16</v>
      </c>
      <c r="E264" s="168">
        <v>17683.0</v>
      </c>
      <c r="F264" s="88">
        <f t="shared" si="2"/>
        <v>49974987.28</v>
      </c>
    </row>
    <row r="265">
      <c r="A265" s="74" t="str">
        <f t="shared" si="1"/>
        <v>Monday</v>
      </c>
      <c r="B265" s="49">
        <v>46286.0</v>
      </c>
      <c r="C265" s="148">
        <v>3.0</v>
      </c>
      <c r="D265" s="166">
        <v>4997.5</v>
      </c>
      <c r="E265" s="168">
        <v>17700.0</v>
      </c>
      <c r="F265" s="88">
        <f t="shared" si="2"/>
        <v>88455750</v>
      </c>
    </row>
    <row r="266">
      <c r="A266" s="74" t="str">
        <f t="shared" si="1"/>
        <v>Monday</v>
      </c>
      <c r="B266" s="49">
        <v>46286.0</v>
      </c>
      <c r="C266" s="148">
        <v>3.0</v>
      </c>
      <c r="D266" s="166">
        <v>12787.61</v>
      </c>
      <c r="E266" s="168">
        <v>17697.0</v>
      </c>
      <c r="F266" s="88">
        <f t="shared" si="2"/>
        <v>226302334.2</v>
      </c>
    </row>
    <row r="267">
      <c r="A267" s="74" t="str">
        <f t="shared" si="1"/>
        <v>Monday</v>
      </c>
      <c r="B267" s="49">
        <v>46286.0</v>
      </c>
      <c r="C267" s="148">
        <v>3.0</v>
      </c>
      <c r="D267" s="166">
        <v>2998.5</v>
      </c>
      <c r="E267" s="168">
        <v>17697.0</v>
      </c>
      <c r="F267" s="88">
        <f t="shared" si="2"/>
        <v>53064454.5</v>
      </c>
    </row>
    <row r="268">
      <c r="A268" s="74" t="str">
        <f t="shared" si="1"/>
        <v>Monday</v>
      </c>
      <c r="B268" s="49">
        <v>46286.0</v>
      </c>
      <c r="C268" s="148">
        <v>3.0</v>
      </c>
      <c r="D268" s="166">
        <v>2998.5</v>
      </c>
      <c r="E268" s="168">
        <v>17697.0</v>
      </c>
      <c r="F268" s="88">
        <f t="shared" si="2"/>
        <v>53064454.5</v>
      </c>
    </row>
    <row r="269">
      <c r="A269" s="74" t="str">
        <f t="shared" si="1"/>
        <v>Monday</v>
      </c>
      <c r="B269" s="49">
        <v>46286.0</v>
      </c>
      <c r="C269" s="148">
        <v>3.0</v>
      </c>
      <c r="D269" s="166">
        <v>5118.44</v>
      </c>
      <c r="E269" s="168">
        <v>17697.0</v>
      </c>
      <c r="F269" s="88">
        <f t="shared" si="2"/>
        <v>90581032.68</v>
      </c>
    </row>
    <row r="270">
      <c r="A270" s="74" t="str">
        <f t="shared" si="1"/>
        <v>Monday</v>
      </c>
      <c r="B270" s="49">
        <v>46286.0</v>
      </c>
      <c r="C270" s="148">
        <v>3.0</v>
      </c>
      <c r="D270" s="166">
        <v>2998.5</v>
      </c>
      <c r="E270" s="168">
        <v>17697.0</v>
      </c>
      <c r="F270" s="88">
        <f t="shared" si="2"/>
        <v>53064454.5</v>
      </c>
    </row>
    <row r="271">
      <c r="A271" s="74" t="str">
        <f t="shared" si="1"/>
        <v>Monday</v>
      </c>
      <c r="B271" s="49">
        <v>46286.0</v>
      </c>
      <c r="C271" s="148">
        <v>3.0</v>
      </c>
      <c r="D271" s="166">
        <v>6996.5</v>
      </c>
      <c r="E271" s="168">
        <v>17700.0</v>
      </c>
      <c r="F271" s="88">
        <f t="shared" si="2"/>
        <v>123838050</v>
      </c>
    </row>
    <row r="272">
      <c r="A272" s="74" t="str">
        <f t="shared" si="1"/>
        <v>Monday</v>
      </c>
      <c r="B272" s="49">
        <v>46286.0</v>
      </c>
      <c r="C272" s="148">
        <v>3.0</v>
      </c>
      <c r="D272" s="166">
        <v>7841.08</v>
      </c>
      <c r="E272" s="168">
        <v>17695.0</v>
      </c>
      <c r="F272" s="88">
        <f t="shared" si="2"/>
        <v>138747910.6</v>
      </c>
    </row>
    <row r="273">
      <c r="A273" s="74" t="str">
        <f t="shared" si="1"/>
        <v>Monday</v>
      </c>
      <c r="B273" s="49">
        <v>46286.0</v>
      </c>
      <c r="C273" s="148">
        <v>3.0</v>
      </c>
      <c r="D273" s="166">
        <v>11712.32</v>
      </c>
      <c r="E273" s="168">
        <v>17700.0</v>
      </c>
      <c r="F273" s="88">
        <f t="shared" si="2"/>
        <v>207308064</v>
      </c>
    </row>
    <row r="274">
      <c r="A274" s="74" t="str">
        <f t="shared" si="1"/>
        <v>Monday</v>
      </c>
      <c r="B274" s="49">
        <v>46286.0</v>
      </c>
      <c r="C274" s="148">
        <v>4.0</v>
      </c>
      <c r="D274" s="166">
        <v>28216.7</v>
      </c>
      <c r="E274" s="168">
        <v>17720.0</v>
      </c>
      <c r="F274" s="88">
        <f t="shared" si="2"/>
        <v>499999924</v>
      </c>
    </row>
    <row r="275">
      <c r="A275" s="74" t="str">
        <f t="shared" si="1"/>
        <v>Tuesday</v>
      </c>
      <c r="B275" s="49">
        <v>46287.0</v>
      </c>
      <c r="C275" s="148">
        <v>1.0</v>
      </c>
      <c r="D275" s="166">
        <v>112619.72</v>
      </c>
      <c r="E275" s="168">
        <v>17750.0</v>
      </c>
      <c r="F275" s="88">
        <f t="shared" si="2"/>
        <v>1999000030</v>
      </c>
    </row>
    <row r="276">
      <c r="A276" s="74" t="str">
        <f t="shared" si="1"/>
        <v>Tuesday</v>
      </c>
      <c r="B276" s="49">
        <v>46287.0</v>
      </c>
      <c r="C276" s="148">
        <v>2.0</v>
      </c>
      <c r="D276" s="166">
        <v>112619.72</v>
      </c>
      <c r="E276" s="168">
        <v>17750.0</v>
      </c>
      <c r="F276" s="88">
        <f t="shared" si="2"/>
        <v>1999000030</v>
      </c>
    </row>
    <row r="277">
      <c r="A277" s="74" t="str">
        <f t="shared" si="1"/>
        <v>Tuesday</v>
      </c>
      <c r="B277" s="49">
        <v>46287.0</v>
      </c>
      <c r="C277" s="148">
        <v>3.0</v>
      </c>
      <c r="D277" s="166">
        <v>10332.14</v>
      </c>
      <c r="E277" s="168">
        <v>17735.0</v>
      </c>
      <c r="F277" s="88">
        <f t="shared" si="2"/>
        <v>183240502.9</v>
      </c>
    </row>
    <row r="278">
      <c r="A278" s="74" t="str">
        <f t="shared" si="1"/>
        <v>Tuesday</v>
      </c>
      <c r="B278" s="49">
        <v>46287.0</v>
      </c>
      <c r="C278" s="148">
        <v>3.0</v>
      </c>
      <c r="D278" s="166">
        <v>8679.66</v>
      </c>
      <c r="E278" s="168">
        <v>17735.0</v>
      </c>
      <c r="F278" s="88">
        <f t="shared" si="2"/>
        <v>153933770.1</v>
      </c>
    </row>
    <row r="279">
      <c r="A279" s="74" t="str">
        <f t="shared" si="1"/>
        <v>Tuesday</v>
      </c>
      <c r="B279" s="49">
        <v>46287.0</v>
      </c>
      <c r="C279" s="148">
        <v>3.0</v>
      </c>
      <c r="D279" s="166">
        <v>49975.0</v>
      </c>
      <c r="E279" s="168">
        <v>17735.0</v>
      </c>
      <c r="F279" s="88">
        <f t="shared" si="2"/>
        <v>886306625</v>
      </c>
    </row>
    <row r="280">
      <c r="A280" s="74" t="str">
        <f t="shared" si="1"/>
        <v>Tuesday</v>
      </c>
      <c r="B280" s="49">
        <v>46287.0</v>
      </c>
      <c r="C280" s="148">
        <v>3.0</v>
      </c>
      <c r="D280" s="166">
        <v>23988.0</v>
      </c>
      <c r="E280" s="168">
        <v>17736.0</v>
      </c>
      <c r="F280" s="88">
        <f t="shared" si="2"/>
        <v>425451168</v>
      </c>
    </row>
    <row r="281">
      <c r="A281" s="74" t="str">
        <f t="shared" si="1"/>
        <v>Tuesday</v>
      </c>
      <c r="B281" s="49">
        <v>46287.0</v>
      </c>
      <c r="C281" s="148">
        <v>4.0</v>
      </c>
      <c r="D281" s="166">
        <v>5997.0</v>
      </c>
      <c r="E281" s="168">
        <v>17754.0</v>
      </c>
      <c r="F281" s="88">
        <f t="shared" si="2"/>
        <v>106470738</v>
      </c>
    </row>
    <row r="282">
      <c r="A282" s="74" t="str">
        <f t="shared" si="1"/>
        <v>Tuesday</v>
      </c>
      <c r="B282" s="49">
        <v>46287.0</v>
      </c>
      <c r="C282" s="148">
        <v>4.0</v>
      </c>
      <c r="D282" s="166">
        <v>7331.34</v>
      </c>
      <c r="E282" s="168">
        <v>17754.0</v>
      </c>
      <c r="F282" s="88">
        <f t="shared" si="2"/>
        <v>130160610.4</v>
      </c>
    </row>
    <row r="283">
      <c r="A283" s="74" t="str">
        <f t="shared" si="1"/>
        <v>Tuesday</v>
      </c>
      <c r="B283" s="49">
        <v>46287.0</v>
      </c>
      <c r="C283" s="148">
        <v>4.0</v>
      </c>
      <c r="D283" s="166">
        <v>9995.0</v>
      </c>
      <c r="E283" s="168">
        <v>17754.0</v>
      </c>
      <c r="F283" s="88">
        <f t="shared" si="2"/>
        <v>177451230</v>
      </c>
    </row>
    <row r="284">
      <c r="A284" s="74" t="str">
        <f t="shared" si="1"/>
        <v>Tuesday</v>
      </c>
      <c r="B284" s="49">
        <v>46287.0</v>
      </c>
      <c r="C284" s="148">
        <v>4.0</v>
      </c>
      <c r="D284" s="166">
        <v>9995.0</v>
      </c>
      <c r="E284" s="168">
        <v>17754.0</v>
      </c>
      <c r="F284" s="88">
        <f t="shared" si="2"/>
        <v>177451230</v>
      </c>
    </row>
    <row r="285">
      <c r="A285" s="74" t="str">
        <f t="shared" si="1"/>
        <v>Tuesday</v>
      </c>
      <c r="B285" s="49">
        <v>46287.0</v>
      </c>
      <c r="C285" s="148">
        <v>4.0</v>
      </c>
      <c r="D285" s="166">
        <v>20097.95</v>
      </c>
      <c r="E285" s="168">
        <v>17752.0</v>
      </c>
      <c r="F285" s="88">
        <f t="shared" si="2"/>
        <v>356778808.4</v>
      </c>
    </row>
    <row r="286">
      <c r="A286" s="74" t="str">
        <f t="shared" si="1"/>
        <v>Tuesday</v>
      </c>
      <c r="B286" s="49">
        <v>46287.0</v>
      </c>
      <c r="C286" s="148">
        <v>4.0</v>
      </c>
      <c r="D286" s="166">
        <v>5965.9</v>
      </c>
      <c r="E286" s="168">
        <v>17752.0</v>
      </c>
      <c r="F286" s="88">
        <f t="shared" si="2"/>
        <v>105906656.8</v>
      </c>
    </row>
    <row r="287">
      <c r="A287" s="74" t="str">
        <f t="shared" si="1"/>
        <v>Tuesday</v>
      </c>
      <c r="B287" s="49">
        <v>46287.0</v>
      </c>
      <c r="C287" s="148">
        <v>5.0</v>
      </c>
      <c r="D287" s="166">
        <v>10113.28</v>
      </c>
      <c r="E287" s="168">
        <v>17760.0</v>
      </c>
      <c r="F287" s="88">
        <f t="shared" si="2"/>
        <v>179611852.8</v>
      </c>
    </row>
    <row r="288">
      <c r="A288" s="74" t="str">
        <f t="shared" si="1"/>
        <v>Tuesday</v>
      </c>
      <c r="B288" s="49">
        <v>46287.0</v>
      </c>
      <c r="C288" s="148">
        <v>5.0</v>
      </c>
      <c r="D288" s="166">
        <v>6780.61</v>
      </c>
      <c r="E288" s="168">
        <v>17760.0</v>
      </c>
      <c r="F288" s="88">
        <f t="shared" si="2"/>
        <v>120423633.6</v>
      </c>
    </row>
    <row r="289">
      <c r="A289" s="74" t="str">
        <f t="shared" si="1"/>
        <v>Tuesday</v>
      </c>
      <c r="B289" s="49">
        <v>46287.0</v>
      </c>
      <c r="C289" s="148">
        <v>5.0</v>
      </c>
      <c r="D289" s="166">
        <v>6582.53</v>
      </c>
      <c r="E289" s="168">
        <v>17760.0</v>
      </c>
      <c r="F289" s="88">
        <f t="shared" si="2"/>
        <v>116905732.8</v>
      </c>
    </row>
    <row r="290">
      <c r="A290" s="74" t="str">
        <f t="shared" si="1"/>
        <v>Tuesday</v>
      </c>
      <c r="B290" s="49">
        <v>46287.0</v>
      </c>
      <c r="C290" s="148">
        <v>5.0</v>
      </c>
      <c r="D290" s="166">
        <v>11322.77</v>
      </c>
      <c r="E290" s="168">
        <v>17760.0</v>
      </c>
      <c r="F290" s="88">
        <f t="shared" si="2"/>
        <v>201092395.2</v>
      </c>
    </row>
    <row r="291">
      <c r="A291" s="74" t="str">
        <f t="shared" si="1"/>
        <v>Tuesday</v>
      </c>
      <c r="B291" s="49">
        <v>46287.0</v>
      </c>
      <c r="C291" s="148">
        <v>5.0</v>
      </c>
      <c r="D291" s="166">
        <v>22511.26</v>
      </c>
      <c r="E291" s="168">
        <v>17760.0</v>
      </c>
      <c r="F291" s="88">
        <f t="shared" si="2"/>
        <v>399799977.6</v>
      </c>
    </row>
    <row r="292">
      <c r="A292" s="74" t="str">
        <f t="shared" si="1"/>
        <v>Tuesday</v>
      </c>
      <c r="B292" s="49">
        <v>46287.0</v>
      </c>
      <c r="C292" s="148">
        <v>6.0</v>
      </c>
      <c r="D292" s="166">
        <v>99859.19</v>
      </c>
      <c r="E292" s="168">
        <v>17755.0</v>
      </c>
      <c r="F292" s="88">
        <f t="shared" si="2"/>
        <v>1772999918</v>
      </c>
    </row>
    <row r="293">
      <c r="A293" s="74" t="str">
        <f t="shared" si="1"/>
        <v>Tuesday</v>
      </c>
      <c r="B293" s="49">
        <v>46287.0</v>
      </c>
      <c r="C293" s="148">
        <v>7.0</v>
      </c>
      <c r="D293" s="166">
        <v>7472.27</v>
      </c>
      <c r="E293" s="168">
        <v>17760.0</v>
      </c>
      <c r="F293" s="88">
        <f t="shared" si="2"/>
        <v>132707515.2</v>
      </c>
    </row>
    <row r="294">
      <c r="A294" s="74" t="str">
        <f t="shared" si="1"/>
        <v>Tuesday</v>
      </c>
      <c r="B294" s="49">
        <v>46287.0</v>
      </c>
      <c r="C294" s="148">
        <v>7.0</v>
      </c>
      <c r="D294" s="166">
        <v>6196.9</v>
      </c>
      <c r="E294" s="168">
        <v>17760.0</v>
      </c>
      <c r="F294" s="88">
        <f t="shared" si="2"/>
        <v>110056944</v>
      </c>
    </row>
    <row r="295">
      <c r="A295" s="74" t="str">
        <f t="shared" si="1"/>
        <v>Tuesday</v>
      </c>
      <c r="B295" s="49">
        <v>46287.0</v>
      </c>
      <c r="C295" s="148">
        <v>7.0</v>
      </c>
      <c r="D295" s="166">
        <v>29659.17</v>
      </c>
      <c r="E295" s="168">
        <v>17760.0</v>
      </c>
      <c r="F295" s="88">
        <f t="shared" si="2"/>
        <v>526746859.2</v>
      </c>
    </row>
    <row r="296">
      <c r="A296" s="74" t="str">
        <f t="shared" si="1"/>
        <v>Tuesday</v>
      </c>
      <c r="B296" s="49">
        <v>46287.0</v>
      </c>
      <c r="C296" s="148">
        <v>7.0</v>
      </c>
      <c r="D296" s="166">
        <v>22517.6</v>
      </c>
      <c r="E296" s="168">
        <v>17755.0</v>
      </c>
      <c r="F296" s="88">
        <f t="shared" si="2"/>
        <v>399799988</v>
      </c>
    </row>
    <row r="297">
      <c r="A297" s="74" t="str">
        <f t="shared" si="1"/>
        <v>Tuesday</v>
      </c>
      <c r="B297" s="49">
        <v>46287.0</v>
      </c>
      <c r="C297" s="148">
        <v>8.0</v>
      </c>
      <c r="D297" s="166">
        <v>107406.36</v>
      </c>
      <c r="E297" s="168">
        <v>17755.0</v>
      </c>
      <c r="F297" s="88">
        <f t="shared" si="2"/>
        <v>1906999922</v>
      </c>
    </row>
    <row r="298">
      <c r="A298" s="74" t="str">
        <f t="shared" si="1"/>
        <v>Wednesday</v>
      </c>
      <c r="B298" s="49">
        <v>46288.0</v>
      </c>
      <c r="C298" s="148">
        <v>1.0</v>
      </c>
      <c r="D298" s="166">
        <v>20460.91</v>
      </c>
      <c r="E298" s="168">
        <v>17760.0</v>
      </c>
      <c r="F298" s="88">
        <f t="shared" si="2"/>
        <v>363385761.6</v>
      </c>
    </row>
    <row r="299">
      <c r="A299" s="74" t="str">
        <f t="shared" si="1"/>
        <v>Wednesday</v>
      </c>
      <c r="B299" s="49">
        <v>46288.0</v>
      </c>
      <c r="C299" s="148">
        <v>1.0</v>
      </c>
      <c r="D299" s="166">
        <v>46486.1</v>
      </c>
      <c r="E299" s="168">
        <v>17767.0</v>
      </c>
      <c r="F299" s="88">
        <f t="shared" si="2"/>
        <v>825918538.7</v>
      </c>
    </row>
    <row r="300">
      <c r="A300" s="74" t="str">
        <f t="shared" si="1"/>
        <v>Wednesday</v>
      </c>
      <c r="B300" s="49">
        <v>46288.0</v>
      </c>
      <c r="C300" s="148">
        <v>2.0</v>
      </c>
      <c r="D300" s="166">
        <v>225288.65</v>
      </c>
      <c r="E300" s="168">
        <v>17755.0</v>
      </c>
      <c r="F300" s="88">
        <f t="shared" si="2"/>
        <v>3999999981</v>
      </c>
    </row>
    <row r="301">
      <c r="A301" s="74" t="str">
        <f t="shared" si="1"/>
        <v>Wednesday</v>
      </c>
      <c r="B301" s="49">
        <v>46288.0</v>
      </c>
      <c r="C301" s="148">
        <v>3.0</v>
      </c>
      <c r="D301" s="166">
        <v>31292.8</v>
      </c>
      <c r="E301" s="168">
        <v>17755.0</v>
      </c>
      <c r="F301" s="88">
        <f t="shared" si="2"/>
        <v>555603664</v>
      </c>
    </row>
    <row r="302">
      <c r="A302" s="74" t="str">
        <f t="shared" si="1"/>
        <v>Thursday</v>
      </c>
      <c r="B302" s="49">
        <v>46289.0</v>
      </c>
      <c r="C302" s="148">
        <v>1.0</v>
      </c>
      <c r="D302" s="166">
        <v>5697.15</v>
      </c>
      <c r="E302" s="168">
        <v>17770.0</v>
      </c>
      <c r="F302" s="88">
        <f t="shared" si="2"/>
        <v>101238355.5</v>
      </c>
    </row>
    <row r="303">
      <c r="A303" s="74" t="str">
        <f t="shared" si="1"/>
        <v>Thursday</v>
      </c>
      <c r="B303" s="49">
        <v>46289.0</v>
      </c>
      <c r="C303" s="148">
        <v>1.0</v>
      </c>
      <c r="D303" s="166">
        <v>99950.0</v>
      </c>
      <c r="E303" s="168">
        <v>17772.0</v>
      </c>
      <c r="F303" s="88">
        <f t="shared" si="2"/>
        <v>1776311400</v>
      </c>
    </row>
    <row r="304">
      <c r="A304" s="74" t="str">
        <f t="shared" si="1"/>
        <v>Thursday</v>
      </c>
      <c r="B304" s="49">
        <v>46289.0</v>
      </c>
      <c r="C304" s="148">
        <v>2.0</v>
      </c>
      <c r="D304" s="166">
        <v>28081.99</v>
      </c>
      <c r="E304" s="168">
        <v>17805.0</v>
      </c>
      <c r="F304" s="88">
        <f t="shared" si="2"/>
        <v>499999832</v>
      </c>
    </row>
    <row r="305">
      <c r="A305" s="74" t="str">
        <f t="shared" si="1"/>
        <v>Thursday</v>
      </c>
      <c r="B305" s="49">
        <v>46289.0</v>
      </c>
      <c r="C305" s="148">
        <v>3.0</v>
      </c>
      <c r="D305" s="166">
        <v>112580.91</v>
      </c>
      <c r="E305" s="168">
        <v>17765.0</v>
      </c>
      <c r="F305" s="88">
        <f t="shared" si="2"/>
        <v>1999999866</v>
      </c>
    </row>
    <row r="306">
      <c r="A306" s="74" t="str">
        <f t="shared" si="1"/>
        <v>Thursday</v>
      </c>
      <c r="B306" s="49">
        <v>46289.0</v>
      </c>
      <c r="C306" s="148">
        <v>4.0</v>
      </c>
      <c r="D306" s="166">
        <v>146928.72</v>
      </c>
      <c r="E306" s="168">
        <v>17765.0</v>
      </c>
      <c r="F306" s="88">
        <f t="shared" si="2"/>
        <v>2610188711</v>
      </c>
    </row>
    <row r="307">
      <c r="A307" s="74" t="str">
        <f t="shared" si="1"/>
        <v>Thursday</v>
      </c>
      <c r="B307" s="49">
        <v>46289.0</v>
      </c>
      <c r="C307" s="148">
        <v>5.0</v>
      </c>
      <c r="D307" s="166">
        <v>7242.21</v>
      </c>
      <c r="E307" s="168">
        <v>17788.0</v>
      </c>
      <c r="F307" s="88">
        <f t="shared" si="2"/>
        <v>128824431.5</v>
      </c>
    </row>
    <row r="308">
      <c r="A308" s="74" t="str">
        <f t="shared" si="1"/>
        <v>Thursday</v>
      </c>
      <c r="B308" s="49">
        <v>46289.0</v>
      </c>
      <c r="C308" s="148">
        <v>5.0</v>
      </c>
      <c r="D308" s="166">
        <v>8425.12</v>
      </c>
      <c r="E308" s="168">
        <v>17795.0</v>
      </c>
      <c r="F308" s="88">
        <f t="shared" si="2"/>
        <v>149925010.4</v>
      </c>
    </row>
    <row r="309">
      <c r="A309" s="74" t="str">
        <f t="shared" si="1"/>
        <v>Thursday</v>
      </c>
      <c r="B309" s="49">
        <v>46289.0</v>
      </c>
      <c r="C309" s="148">
        <v>5.0</v>
      </c>
      <c r="D309" s="166">
        <v>9995.0</v>
      </c>
      <c r="E309" s="168">
        <v>17805.0</v>
      </c>
      <c r="F309" s="88">
        <f t="shared" si="2"/>
        <v>177960975</v>
      </c>
    </row>
    <row r="310">
      <c r="A310" s="74" t="str">
        <f t="shared" si="1"/>
        <v>Thursday</v>
      </c>
      <c r="B310" s="49">
        <v>46289.0</v>
      </c>
      <c r="C310" s="148">
        <v>5.0</v>
      </c>
      <c r="D310" s="166">
        <v>99950.0</v>
      </c>
      <c r="E310" s="168">
        <v>17805.0</v>
      </c>
      <c r="F310" s="88">
        <f t="shared" si="2"/>
        <v>1779609750</v>
      </c>
    </row>
    <row r="311">
      <c r="A311" s="74" t="str">
        <f t="shared" si="1"/>
        <v>Thursday</v>
      </c>
      <c r="B311" s="49">
        <v>46289.0</v>
      </c>
      <c r="C311" s="148">
        <v>5.0</v>
      </c>
      <c r="D311" s="166">
        <v>56135.91</v>
      </c>
      <c r="E311" s="168">
        <v>17805.0</v>
      </c>
      <c r="F311" s="88">
        <f t="shared" si="2"/>
        <v>999499877.6</v>
      </c>
    </row>
    <row r="312">
      <c r="A312" s="74" t="str">
        <f t="shared" si="1"/>
        <v>Thursday</v>
      </c>
      <c r="B312" s="49">
        <v>46289.0</v>
      </c>
      <c r="C312" s="148">
        <v>5.0</v>
      </c>
      <c r="D312" s="166">
        <v>56135.91</v>
      </c>
      <c r="E312" s="168">
        <v>17805.0</v>
      </c>
      <c r="F312" s="88">
        <f t="shared" si="2"/>
        <v>999499877.6</v>
      </c>
    </row>
    <row r="313">
      <c r="A313" s="74" t="str">
        <f t="shared" si="1"/>
        <v>Thursday</v>
      </c>
      <c r="B313" s="49">
        <v>46289.0</v>
      </c>
      <c r="C313" s="148">
        <v>5.0</v>
      </c>
      <c r="D313" s="166">
        <v>14758.75</v>
      </c>
      <c r="E313" s="168">
        <v>17810.0</v>
      </c>
      <c r="F313" s="88">
        <f t="shared" si="2"/>
        <v>262853337.5</v>
      </c>
    </row>
    <row r="314">
      <c r="A314" s="74" t="str">
        <f t="shared" si="1"/>
        <v>Thursday</v>
      </c>
      <c r="B314" s="49">
        <v>46289.0</v>
      </c>
      <c r="C314" s="148">
        <v>5.0</v>
      </c>
      <c r="D314" s="166">
        <v>11065.98</v>
      </c>
      <c r="E314" s="168">
        <v>17815.0</v>
      </c>
      <c r="F314" s="88">
        <f t="shared" si="2"/>
        <v>197140433.7</v>
      </c>
    </row>
    <row r="315">
      <c r="A315" s="74" t="str">
        <f t="shared" si="1"/>
        <v>Thursday</v>
      </c>
      <c r="B315" s="49">
        <v>46289.0</v>
      </c>
      <c r="C315" s="148">
        <v>5.0</v>
      </c>
      <c r="D315" s="166">
        <v>56104.41</v>
      </c>
      <c r="E315" s="168">
        <v>17815.0</v>
      </c>
      <c r="F315" s="88">
        <f t="shared" si="2"/>
        <v>999500064.2</v>
      </c>
    </row>
    <row r="316">
      <c r="A316" s="74" t="str">
        <f t="shared" si="1"/>
        <v>Thursday</v>
      </c>
      <c r="B316" s="49">
        <v>46289.0</v>
      </c>
      <c r="C316" s="148">
        <v>5.0</v>
      </c>
      <c r="D316" s="166">
        <v>56104.41</v>
      </c>
      <c r="E316" s="168">
        <v>17815.0</v>
      </c>
      <c r="F316" s="88">
        <f t="shared" si="2"/>
        <v>999500064.2</v>
      </c>
    </row>
    <row r="317">
      <c r="A317" s="74" t="str">
        <f t="shared" si="1"/>
        <v>Thursday</v>
      </c>
      <c r="B317" s="49">
        <v>46289.0</v>
      </c>
      <c r="C317" s="148">
        <v>5.0</v>
      </c>
      <c r="D317" s="166">
        <v>56104.41</v>
      </c>
      <c r="E317" s="168">
        <v>17815.0</v>
      </c>
      <c r="F317" s="88">
        <f t="shared" si="2"/>
        <v>999500064.2</v>
      </c>
    </row>
    <row r="318">
      <c r="A318" s="74" t="str">
        <f t="shared" si="1"/>
        <v>Thursday</v>
      </c>
      <c r="B318" s="49">
        <v>46289.0</v>
      </c>
      <c r="C318" s="148">
        <v>6.0</v>
      </c>
      <c r="D318" s="166">
        <v>50456.91</v>
      </c>
      <c r="E318" s="168">
        <v>17837.0</v>
      </c>
      <c r="F318" s="88">
        <f t="shared" si="2"/>
        <v>899999903.7</v>
      </c>
    </row>
    <row r="319">
      <c r="A319" s="74" t="str">
        <f t="shared" si="1"/>
        <v>Thursday</v>
      </c>
      <c r="B319" s="49">
        <v>46289.0</v>
      </c>
      <c r="C319" s="148">
        <v>6.0</v>
      </c>
      <c r="D319" s="166">
        <v>27986.0</v>
      </c>
      <c r="E319" s="168">
        <v>17805.0</v>
      </c>
      <c r="F319" s="88">
        <f t="shared" si="2"/>
        <v>498290730</v>
      </c>
    </row>
    <row r="320">
      <c r="A320" s="74" t="str">
        <f t="shared" si="1"/>
        <v>Thursday</v>
      </c>
      <c r="B320" s="49">
        <v>46289.0</v>
      </c>
      <c r="C320" s="148">
        <v>6.0</v>
      </c>
      <c r="D320" s="166">
        <v>10597.97</v>
      </c>
      <c r="E320" s="168">
        <v>17805.0</v>
      </c>
      <c r="F320" s="88">
        <f t="shared" si="2"/>
        <v>188696855.9</v>
      </c>
    </row>
    <row r="321">
      <c r="A321" s="74" t="str">
        <f t="shared" si="1"/>
        <v>Thursday</v>
      </c>
      <c r="B321" s="49">
        <v>46289.0</v>
      </c>
      <c r="C321" s="148">
        <v>7.0</v>
      </c>
      <c r="D321" s="166">
        <v>28065.7</v>
      </c>
      <c r="E321" s="168">
        <v>17810.0</v>
      </c>
      <c r="F321" s="88">
        <f t="shared" si="2"/>
        <v>499850117</v>
      </c>
    </row>
    <row r="322">
      <c r="A322" s="74" t="str">
        <f t="shared" si="1"/>
        <v>Thursday</v>
      </c>
      <c r="B322" s="49">
        <v>46289.0</v>
      </c>
      <c r="C322" s="148">
        <v>7.0</v>
      </c>
      <c r="D322" s="166">
        <v>6922.87</v>
      </c>
      <c r="E322" s="168">
        <v>17810.0</v>
      </c>
      <c r="F322" s="88">
        <f t="shared" si="2"/>
        <v>123296314.7</v>
      </c>
    </row>
    <row r="323">
      <c r="A323" s="74" t="str">
        <f t="shared" si="1"/>
        <v>Friday</v>
      </c>
      <c r="B323" s="49">
        <v>46290.0</v>
      </c>
      <c r="C323" s="148">
        <v>1.0</v>
      </c>
      <c r="D323" s="166">
        <v>7996.0</v>
      </c>
      <c r="E323" s="168">
        <v>17826.0</v>
      </c>
      <c r="F323" s="88">
        <f t="shared" si="2"/>
        <v>142536696</v>
      </c>
    </row>
    <row r="324">
      <c r="A324" s="74" t="str">
        <f t="shared" si="1"/>
        <v>Friday</v>
      </c>
      <c r="B324" s="49">
        <v>46290.0</v>
      </c>
      <c r="C324" s="148">
        <v>1.0</v>
      </c>
      <c r="D324" s="166">
        <v>109945.0</v>
      </c>
      <c r="E324" s="168">
        <v>17826.0</v>
      </c>
      <c r="F324" s="88">
        <f t="shared" si="2"/>
        <v>1959879570</v>
      </c>
    </row>
    <row r="325">
      <c r="A325" s="74" t="str">
        <f t="shared" si="1"/>
        <v>Friday</v>
      </c>
      <c r="B325" s="49">
        <v>46290.0</v>
      </c>
      <c r="C325" s="148">
        <v>2.0</v>
      </c>
      <c r="D325" s="166">
        <v>259404.82</v>
      </c>
      <c r="E325" s="168">
        <v>17810.0</v>
      </c>
      <c r="F325" s="88">
        <f t="shared" si="2"/>
        <v>4619999844</v>
      </c>
    </row>
    <row r="326">
      <c r="A326" s="74" t="str">
        <f t="shared" si="1"/>
        <v>Friday</v>
      </c>
      <c r="B326" s="49">
        <v>46290.0</v>
      </c>
      <c r="C326" s="148">
        <v>3.0</v>
      </c>
      <c r="D326" s="166">
        <v>76461.75</v>
      </c>
      <c r="E326" s="168">
        <v>17762.0</v>
      </c>
      <c r="F326" s="88">
        <f t="shared" si="2"/>
        <v>1358113604</v>
      </c>
    </row>
    <row r="327">
      <c r="A327" s="74" t="str">
        <f t="shared" si="1"/>
        <v>Friday</v>
      </c>
      <c r="B327" s="49">
        <v>46290.0</v>
      </c>
      <c r="C327" s="148">
        <v>4.0</v>
      </c>
      <c r="D327" s="166">
        <v>78434.68</v>
      </c>
      <c r="E327" s="168">
        <v>17760.0</v>
      </c>
      <c r="F327" s="88">
        <f t="shared" si="2"/>
        <v>1392999917</v>
      </c>
    </row>
    <row r="328">
      <c r="A328" s="74" t="str">
        <f t="shared" si="1"/>
        <v>Friday</v>
      </c>
      <c r="B328" s="49">
        <v>46290.0</v>
      </c>
      <c r="C328" s="148">
        <v>5.0</v>
      </c>
      <c r="D328" s="166">
        <v>8435.16</v>
      </c>
      <c r="E328" s="168">
        <v>17760.0</v>
      </c>
      <c r="F328" s="88">
        <f t="shared" si="2"/>
        <v>149808441.6</v>
      </c>
    </row>
    <row r="329">
      <c r="A329" s="74" t="str">
        <f t="shared" si="1"/>
        <v>Friday</v>
      </c>
      <c r="B329" s="49">
        <v>46290.0</v>
      </c>
      <c r="C329" s="148">
        <v>5.0</v>
      </c>
      <c r="D329" s="166">
        <v>7913.47</v>
      </c>
      <c r="E329" s="168">
        <v>17745.0</v>
      </c>
      <c r="F329" s="88">
        <f t="shared" si="2"/>
        <v>140424525.2</v>
      </c>
    </row>
    <row r="330">
      <c r="A330" s="74" t="str">
        <f t="shared" si="1"/>
        <v>Friday</v>
      </c>
      <c r="B330" s="49">
        <v>46290.0</v>
      </c>
      <c r="C330" s="148">
        <v>6.0</v>
      </c>
      <c r="D330" s="166">
        <v>28022.99</v>
      </c>
      <c r="E330" s="168">
        <v>17740.0</v>
      </c>
      <c r="F330" s="88">
        <f t="shared" si="2"/>
        <v>497127842.6</v>
      </c>
    </row>
    <row r="331">
      <c r="A331" s="74" t="str">
        <f t="shared" si="1"/>
        <v>Friday</v>
      </c>
      <c r="B331" s="49">
        <v>46290.0</v>
      </c>
      <c r="C331" s="148">
        <v>6.0</v>
      </c>
      <c r="D331" s="166">
        <v>6996.5</v>
      </c>
      <c r="E331" s="168">
        <v>17745.0</v>
      </c>
      <c r="F331" s="88">
        <f t="shared" si="2"/>
        <v>124152892.5</v>
      </c>
    </row>
    <row r="332">
      <c r="A332" s="74" t="str">
        <f t="shared" si="1"/>
        <v>Friday</v>
      </c>
      <c r="B332" s="49">
        <v>46290.0</v>
      </c>
      <c r="C332" s="148">
        <v>7.0</v>
      </c>
      <c r="D332" s="166">
        <v>194291.83</v>
      </c>
      <c r="E332" s="168">
        <v>17750.0</v>
      </c>
      <c r="F332" s="88">
        <f t="shared" si="2"/>
        <v>3448679983</v>
      </c>
    </row>
    <row r="333">
      <c r="A333" s="74" t="str">
        <f t="shared" si="1"/>
        <v>Saturday</v>
      </c>
      <c r="B333" s="49">
        <v>46291.0</v>
      </c>
      <c r="C333" s="148">
        <v>1.0</v>
      </c>
      <c r="D333" s="166">
        <v>16491.75</v>
      </c>
      <c r="E333" s="168">
        <v>17732.0</v>
      </c>
      <c r="F333" s="88">
        <f t="shared" si="2"/>
        <v>292431711</v>
      </c>
    </row>
    <row r="334">
      <c r="A334" s="74" t="str">
        <f t="shared" si="1"/>
        <v>Saturday</v>
      </c>
      <c r="B334" s="49">
        <v>46291.0</v>
      </c>
      <c r="C334" s="148">
        <v>1.0</v>
      </c>
      <c r="D334" s="166">
        <v>16491.75</v>
      </c>
      <c r="E334" s="168">
        <v>17735.0</v>
      </c>
      <c r="F334" s="88">
        <f t="shared" si="2"/>
        <v>292481186.3</v>
      </c>
    </row>
    <row r="335">
      <c r="A335" s="74" t="str">
        <f t="shared" si="1"/>
        <v>Saturday</v>
      </c>
      <c r="B335" s="49">
        <v>46291.0</v>
      </c>
      <c r="C335" s="148">
        <v>1.0</v>
      </c>
      <c r="D335" s="166">
        <v>16491.75</v>
      </c>
      <c r="E335" s="168">
        <v>17735.0</v>
      </c>
      <c r="F335" s="88">
        <f t="shared" si="2"/>
        <v>292481186.3</v>
      </c>
    </row>
    <row r="336">
      <c r="A336" s="74" t="str">
        <f t="shared" si="1"/>
        <v>Saturday</v>
      </c>
      <c r="B336" s="49">
        <v>46291.0</v>
      </c>
      <c r="C336" s="148">
        <v>1.0</v>
      </c>
      <c r="D336" s="166">
        <v>8448.86</v>
      </c>
      <c r="E336" s="168">
        <v>17745.0</v>
      </c>
      <c r="F336" s="88">
        <f t="shared" si="2"/>
        <v>149925020.7</v>
      </c>
    </row>
    <row r="337">
      <c r="A337" s="74" t="str">
        <f t="shared" si="1"/>
        <v>Saturday</v>
      </c>
      <c r="B337" s="49">
        <v>46291.0</v>
      </c>
      <c r="C337" s="148">
        <v>2.0</v>
      </c>
      <c r="D337" s="166">
        <v>256901.4</v>
      </c>
      <c r="E337" s="168">
        <v>17750.0</v>
      </c>
      <c r="F337" s="88">
        <f t="shared" si="2"/>
        <v>4559999850</v>
      </c>
    </row>
    <row r="338">
      <c r="A338" s="74" t="str">
        <f t="shared" si="1"/>
        <v>Saturday</v>
      </c>
      <c r="B338" s="49">
        <v>46291.0</v>
      </c>
      <c r="C338" s="148">
        <v>3.0</v>
      </c>
      <c r="D338" s="166">
        <v>149788.55</v>
      </c>
      <c r="E338" s="168">
        <v>17735.0</v>
      </c>
      <c r="F338" s="88">
        <f t="shared" si="2"/>
        <v>2656499934</v>
      </c>
    </row>
    <row r="339">
      <c r="A339" s="74" t="str">
        <f t="shared" si="1"/>
        <v>Saturday</v>
      </c>
      <c r="B339" s="49">
        <v>46291.0</v>
      </c>
      <c r="C339" s="148">
        <v>4.0</v>
      </c>
      <c r="D339" s="166">
        <v>299577.1</v>
      </c>
      <c r="E339" s="168">
        <v>17735.0</v>
      </c>
      <c r="F339" s="88">
        <f t="shared" si="2"/>
        <v>5312999869</v>
      </c>
    </row>
    <row r="340">
      <c r="A340" s="74" t="str">
        <f t="shared" si="1"/>
        <v>Sunday</v>
      </c>
      <c r="B340" s="49">
        <v>46292.0</v>
      </c>
      <c r="C340" s="148">
        <v>1.0</v>
      </c>
      <c r="D340" s="166">
        <v>20389.8</v>
      </c>
      <c r="E340" s="168">
        <v>17815.0</v>
      </c>
      <c r="F340" s="88">
        <f t="shared" si="2"/>
        <v>363244287</v>
      </c>
    </row>
    <row r="341">
      <c r="A341" s="74" t="str">
        <f t="shared" si="1"/>
        <v>Sunday</v>
      </c>
      <c r="B341" s="49">
        <v>46292.0</v>
      </c>
      <c r="C341" s="148">
        <v>1.0</v>
      </c>
      <c r="D341" s="166">
        <v>112208.81</v>
      </c>
      <c r="E341" s="168">
        <v>17815.0</v>
      </c>
      <c r="F341" s="88">
        <f t="shared" si="2"/>
        <v>1998999950</v>
      </c>
    </row>
    <row r="342">
      <c r="A342" s="74" t="str">
        <f t="shared" si="1"/>
        <v>Sunday</v>
      </c>
      <c r="B342" s="49">
        <v>46292.0</v>
      </c>
      <c r="C342" s="148">
        <v>1.0</v>
      </c>
      <c r="D342" s="166">
        <v>15922.0</v>
      </c>
      <c r="E342" s="168">
        <v>17815.0</v>
      </c>
      <c r="F342" s="88">
        <f t="shared" si="2"/>
        <v>283650430</v>
      </c>
    </row>
    <row r="343">
      <c r="A343" s="74" t="str">
        <f t="shared" si="1"/>
        <v>Sunday</v>
      </c>
      <c r="B343" s="49">
        <v>46292.0</v>
      </c>
      <c r="C343" s="148">
        <v>2.0</v>
      </c>
      <c r="D343" s="166">
        <v>112303.38</v>
      </c>
      <c r="E343" s="168">
        <v>17800.0</v>
      </c>
      <c r="F343" s="88">
        <f t="shared" si="2"/>
        <v>1999000164</v>
      </c>
    </row>
    <row r="344">
      <c r="A344" s="74" t="str">
        <f t="shared" si="1"/>
        <v>Sunday</v>
      </c>
      <c r="B344" s="49">
        <v>46292.0</v>
      </c>
      <c r="C344" s="148">
        <v>3.0</v>
      </c>
      <c r="D344" s="166">
        <v>61867.3</v>
      </c>
      <c r="E344" s="168">
        <v>17780.0</v>
      </c>
      <c r="F344" s="88">
        <f t="shared" si="2"/>
        <v>1100000594</v>
      </c>
    </row>
    <row r="345">
      <c r="A345" s="74" t="str">
        <f t="shared" si="1"/>
        <v>Monday</v>
      </c>
      <c r="B345" s="49">
        <v>46293.0</v>
      </c>
      <c r="C345" s="148">
        <v>1.0</v>
      </c>
      <c r="D345" s="166">
        <v>55162.55</v>
      </c>
      <c r="E345" s="168">
        <v>17840.0</v>
      </c>
      <c r="F345" s="88">
        <f t="shared" si="2"/>
        <v>984099892</v>
      </c>
    </row>
    <row r="346">
      <c r="A346" s="74" t="str">
        <f t="shared" si="1"/>
        <v>Monday</v>
      </c>
      <c r="B346" s="49">
        <v>46293.0</v>
      </c>
      <c r="C346" s="148">
        <v>2.0</v>
      </c>
      <c r="D346" s="166">
        <v>88000.0</v>
      </c>
      <c r="E346" s="168">
        <v>17845.0</v>
      </c>
      <c r="F346" s="88">
        <f t="shared" si="2"/>
        <v>1570360000</v>
      </c>
    </row>
    <row r="347">
      <c r="A347" s="74" t="str">
        <f t="shared" si="1"/>
        <v>Monday</v>
      </c>
      <c r="B347" s="49">
        <v>46293.0</v>
      </c>
      <c r="C347" s="148">
        <v>5.0</v>
      </c>
      <c r="D347" s="166">
        <v>44201.56</v>
      </c>
      <c r="E347" s="168">
        <v>17885.0</v>
      </c>
      <c r="F347" s="88">
        <f t="shared" si="2"/>
        <v>790544900.6</v>
      </c>
    </row>
    <row r="348">
      <c r="A348" s="74" t="str">
        <f t="shared" si="1"/>
        <v>Monday</v>
      </c>
      <c r="B348" s="49">
        <v>46293.0</v>
      </c>
      <c r="C348" s="148">
        <v>6.0</v>
      </c>
      <c r="D348" s="166">
        <v>29985.0</v>
      </c>
      <c r="E348" s="168">
        <v>17920.0</v>
      </c>
      <c r="F348" s="88">
        <f t="shared" si="2"/>
        <v>537331200</v>
      </c>
    </row>
    <row r="349">
      <c r="A349" s="74" t="str">
        <f t="shared" si="1"/>
        <v>Monday</v>
      </c>
      <c r="B349" s="49">
        <v>46293.0</v>
      </c>
      <c r="C349" s="148">
        <v>3.0</v>
      </c>
      <c r="D349" s="166">
        <v>55000.0</v>
      </c>
      <c r="E349" s="168">
        <v>17870.0</v>
      </c>
      <c r="F349" s="88">
        <f t="shared" si="2"/>
        <v>982850000</v>
      </c>
    </row>
    <row r="350">
      <c r="A350" s="74" t="str">
        <f t="shared" si="1"/>
        <v>Monday</v>
      </c>
      <c r="B350" s="49">
        <v>46293.0</v>
      </c>
      <c r="C350" s="148">
        <v>4.0</v>
      </c>
      <c r="D350" s="166">
        <v>55000.0</v>
      </c>
      <c r="E350" s="168">
        <v>17880.0</v>
      </c>
      <c r="F350" s="88">
        <f t="shared" si="2"/>
        <v>983400000</v>
      </c>
    </row>
    <row r="351">
      <c r="A351" s="74" t="str">
        <f t="shared" si="1"/>
        <v>Tuesday</v>
      </c>
      <c r="B351" s="49">
        <v>46294.0</v>
      </c>
      <c r="C351" s="148">
        <v>1.0</v>
      </c>
      <c r="D351" s="166">
        <v>109945.0</v>
      </c>
      <c r="E351" s="168">
        <v>17930.0</v>
      </c>
      <c r="F351" s="88">
        <f t="shared" si="2"/>
        <v>1971313850</v>
      </c>
    </row>
    <row r="352">
      <c r="A352" s="74" t="str">
        <f t="shared" si="1"/>
        <v>Tuesday</v>
      </c>
      <c r="B352" s="49">
        <v>46294.0</v>
      </c>
      <c r="C352" s="148">
        <v>1.0</v>
      </c>
      <c r="D352" s="166">
        <v>8378.03</v>
      </c>
      <c r="E352" s="168">
        <v>17895.0</v>
      </c>
      <c r="F352" s="88">
        <f t="shared" si="2"/>
        <v>149924846.9</v>
      </c>
    </row>
    <row r="353">
      <c r="A353" s="74" t="str">
        <f t="shared" si="1"/>
        <v>Tuesday</v>
      </c>
      <c r="B353" s="49">
        <v>46294.0</v>
      </c>
      <c r="C353" s="148">
        <v>2.0</v>
      </c>
      <c r="D353" s="166">
        <v>292375.59</v>
      </c>
      <c r="E353" s="168">
        <v>17905.0</v>
      </c>
      <c r="F353" s="88">
        <f t="shared" si="2"/>
        <v>5234984939</v>
      </c>
    </row>
    <row r="354">
      <c r="A354" s="74" t="str">
        <f t="shared" si="1"/>
        <v>Wednesday</v>
      </c>
      <c r="B354" s="49">
        <v>46295.0</v>
      </c>
      <c r="C354" s="148"/>
      <c r="D354" s="201"/>
      <c r="E354" s="202"/>
      <c r="F354" s="88">
        <f t="shared" si="2"/>
        <v>0</v>
      </c>
    </row>
    <row r="355">
      <c r="A355" s="74" t="str">
        <f t="shared" si="1"/>
        <v>Wednesday</v>
      </c>
      <c r="B355" s="49">
        <v>46295.0</v>
      </c>
      <c r="C355" s="148"/>
      <c r="D355" s="201"/>
      <c r="E355" s="202"/>
      <c r="F355" s="88">
        <f t="shared" si="2"/>
        <v>0</v>
      </c>
    </row>
    <row r="356">
      <c r="A356" s="74" t="str">
        <f t="shared" si="1"/>
        <v>Wednesday</v>
      </c>
      <c r="B356" s="49">
        <v>46295.0</v>
      </c>
      <c r="C356" s="148"/>
      <c r="D356" s="201"/>
      <c r="E356" s="202"/>
      <c r="F356" s="88">
        <f t="shared" si="2"/>
        <v>0</v>
      </c>
    </row>
    <row r="357">
      <c r="A357" s="74" t="str">
        <f t="shared" si="1"/>
        <v>Wednesday</v>
      </c>
      <c r="B357" s="49">
        <v>46295.0</v>
      </c>
      <c r="C357" s="148"/>
      <c r="D357" s="201"/>
      <c r="E357" s="202"/>
      <c r="F357" s="88">
        <f t="shared" si="2"/>
        <v>0</v>
      </c>
    </row>
    <row r="358">
      <c r="A358" s="74" t="str">
        <f t="shared" si="1"/>
        <v>Wednesday</v>
      </c>
      <c r="B358" s="49">
        <v>46295.0</v>
      </c>
      <c r="C358" s="148"/>
      <c r="D358" s="201"/>
      <c r="E358" s="202"/>
      <c r="F358" s="88">
        <f t="shared" si="2"/>
        <v>0</v>
      </c>
    </row>
    <row r="359">
      <c r="A359" s="74" t="str">
        <f t="shared" si="1"/>
        <v>Wednesday</v>
      </c>
      <c r="B359" s="49">
        <v>46295.0</v>
      </c>
      <c r="C359" s="148"/>
      <c r="D359" s="201"/>
      <c r="E359" s="202"/>
      <c r="F359" s="88">
        <f t="shared" si="2"/>
        <v>0</v>
      </c>
    </row>
    <row r="360">
      <c r="A360" s="74" t="str">
        <f t="shared" si="1"/>
        <v>Wednesday</v>
      </c>
      <c r="B360" s="49">
        <v>46295.0</v>
      </c>
      <c r="C360" s="148"/>
      <c r="D360" s="201"/>
      <c r="E360" s="202"/>
      <c r="F360" s="88">
        <f t="shared" si="2"/>
        <v>0</v>
      </c>
    </row>
    <row r="361">
      <c r="A361" s="74" t="str">
        <f t="shared" si="1"/>
        <v>Wednesday</v>
      </c>
      <c r="B361" s="49">
        <v>46295.0</v>
      </c>
      <c r="C361" s="148"/>
      <c r="D361" s="201"/>
      <c r="E361" s="202"/>
      <c r="F361" s="88">
        <f t="shared" si="2"/>
        <v>0</v>
      </c>
    </row>
    <row r="362">
      <c r="A362" s="74" t="str">
        <f t="shared" si="1"/>
        <v>Wednesday</v>
      </c>
      <c r="B362" s="49">
        <v>46295.0</v>
      </c>
      <c r="C362" s="148"/>
      <c r="D362" s="201"/>
      <c r="E362" s="202"/>
      <c r="F362" s="88">
        <f t="shared" si="2"/>
        <v>0</v>
      </c>
    </row>
    <row r="363">
      <c r="A363" s="74" t="str">
        <f t="shared" si="1"/>
        <v>Wednesday</v>
      </c>
      <c r="B363" s="49">
        <v>46295.0</v>
      </c>
      <c r="C363" s="148"/>
      <c r="D363" s="201"/>
      <c r="E363" s="202"/>
      <c r="F363" s="88">
        <f t="shared" si="2"/>
        <v>0</v>
      </c>
    </row>
    <row r="364">
      <c r="A364" s="74" t="str">
        <f t="shared" si="1"/>
        <v>Wednesday</v>
      </c>
      <c r="B364" s="49">
        <v>46295.0</v>
      </c>
      <c r="C364" s="148"/>
      <c r="D364" s="201"/>
      <c r="E364" s="202"/>
      <c r="F364" s="88">
        <f t="shared" si="2"/>
        <v>0</v>
      </c>
    </row>
    <row r="365">
      <c r="A365" s="74" t="str">
        <f t="shared" si="1"/>
        <v>Wednesday</v>
      </c>
      <c r="B365" s="49">
        <v>46295.0</v>
      </c>
      <c r="C365" s="148"/>
      <c r="D365" s="201"/>
      <c r="E365" s="202"/>
      <c r="F365" s="88">
        <f t="shared" si="2"/>
        <v>0</v>
      </c>
    </row>
    <row r="366">
      <c r="A366" s="74" t="str">
        <f t="shared" si="1"/>
        <v>Wednesday</v>
      </c>
      <c r="B366" s="49">
        <v>46295.0</v>
      </c>
      <c r="C366" s="148"/>
      <c r="D366" s="201"/>
      <c r="E366" s="202"/>
      <c r="F366" s="88">
        <f t="shared" si="2"/>
        <v>0</v>
      </c>
    </row>
    <row r="367">
      <c r="A367" s="74" t="str">
        <f t="shared" si="1"/>
        <v>Wednesday</v>
      </c>
      <c r="B367" s="49">
        <v>46295.0</v>
      </c>
      <c r="C367" s="148"/>
      <c r="D367" s="201"/>
      <c r="E367" s="202"/>
      <c r="F367" s="88">
        <f t="shared" si="2"/>
        <v>0</v>
      </c>
    </row>
    <row r="368">
      <c r="A368" s="74" t="str">
        <f t="shared" si="1"/>
        <v>Wednesday</v>
      </c>
      <c r="B368" s="49">
        <v>46295.0</v>
      </c>
      <c r="C368" s="148"/>
      <c r="D368" s="201"/>
      <c r="E368" s="202"/>
      <c r="F368" s="88">
        <f t="shared" si="2"/>
        <v>0</v>
      </c>
    </row>
    <row r="369">
      <c r="A369" s="74" t="str">
        <f t="shared" si="1"/>
        <v>Wednesday</v>
      </c>
      <c r="B369" s="49">
        <v>46295.0</v>
      </c>
      <c r="C369" s="148"/>
      <c r="D369" s="201"/>
      <c r="E369" s="202"/>
      <c r="F369" s="88">
        <f t="shared" si="2"/>
        <v>0</v>
      </c>
    </row>
    <row r="370">
      <c r="A370" s="74" t="str">
        <f t="shared" si="1"/>
        <v>Wednesday</v>
      </c>
      <c r="B370" s="49">
        <v>46295.0</v>
      </c>
      <c r="C370" s="148"/>
      <c r="D370" s="201"/>
      <c r="E370" s="202"/>
      <c r="F370" s="88">
        <f t="shared" si="2"/>
        <v>0</v>
      </c>
    </row>
    <row r="371">
      <c r="A371" s="74" t="str">
        <f t="shared" si="1"/>
        <v>Wednesday</v>
      </c>
      <c r="B371" s="49">
        <v>46295.0</v>
      </c>
      <c r="C371" s="148"/>
      <c r="D371" s="201"/>
      <c r="E371" s="202"/>
      <c r="F371" s="88">
        <f t="shared" si="2"/>
        <v>0</v>
      </c>
    </row>
    <row r="372">
      <c r="A372" s="74" t="str">
        <f t="shared" si="1"/>
        <v>Wednesday</v>
      </c>
      <c r="B372" s="49">
        <v>46295.0</v>
      </c>
      <c r="C372" s="148"/>
      <c r="D372" s="201"/>
      <c r="E372" s="202"/>
      <c r="F372" s="88">
        <f t="shared" si="2"/>
        <v>0</v>
      </c>
    </row>
    <row r="373">
      <c r="A373" s="74" t="str">
        <f t="shared" si="1"/>
        <v>Wednesday</v>
      </c>
      <c r="B373" s="49">
        <v>46295.0</v>
      </c>
      <c r="C373" s="148"/>
      <c r="D373" s="201"/>
      <c r="E373" s="202"/>
      <c r="F373" s="88">
        <f t="shared" si="2"/>
        <v>0</v>
      </c>
    </row>
    <row r="374">
      <c r="A374" s="74" t="str">
        <f t="shared" si="1"/>
        <v>Wednesday</v>
      </c>
      <c r="B374" s="49">
        <v>46295.0</v>
      </c>
      <c r="C374" s="148"/>
      <c r="D374" s="201"/>
      <c r="E374" s="202"/>
      <c r="F374" s="88">
        <f t="shared" si="2"/>
        <v>0</v>
      </c>
    </row>
    <row r="375">
      <c r="A375" s="74" t="str">
        <f t="shared" si="1"/>
        <v>Wednesday</v>
      </c>
      <c r="B375" s="49">
        <v>46295.0</v>
      </c>
      <c r="C375" s="148"/>
      <c r="D375" s="201"/>
      <c r="E375" s="202"/>
      <c r="F375" s="88">
        <f t="shared" si="2"/>
        <v>0</v>
      </c>
    </row>
    <row r="376">
      <c r="A376" s="74" t="str">
        <f t="shared" si="1"/>
        <v>Wednesday</v>
      </c>
      <c r="B376" s="49">
        <v>46295.0</v>
      </c>
      <c r="C376" s="148"/>
      <c r="D376" s="201"/>
      <c r="E376" s="202"/>
      <c r="F376" s="88">
        <f t="shared" si="2"/>
        <v>0</v>
      </c>
    </row>
    <row r="377">
      <c r="A377" s="74" t="str">
        <f t="shared" si="1"/>
        <v>Wednesday</v>
      </c>
      <c r="B377" s="49">
        <v>46295.0</v>
      </c>
      <c r="C377" s="148"/>
      <c r="D377" s="201"/>
      <c r="E377" s="202"/>
      <c r="F377" s="88">
        <f t="shared" si="2"/>
        <v>0</v>
      </c>
    </row>
    <row r="378">
      <c r="A378" s="74" t="str">
        <f t="shared" si="1"/>
        <v>Wednesday</v>
      </c>
      <c r="B378" s="49">
        <v>46295.0</v>
      </c>
      <c r="C378" s="148"/>
      <c r="D378" s="201"/>
      <c r="E378" s="202"/>
      <c r="F378" s="88">
        <f t="shared" si="2"/>
        <v>0</v>
      </c>
    </row>
    <row r="379">
      <c r="A379" s="74" t="str">
        <f t="shared" si="1"/>
        <v>Wednesday</v>
      </c>
      <c r="B379" s="49">
        <v>46295.0</v>
      </c>
      <c r="C379" s="148"/>
      <c r="D379" s="201"/>
      <c r="E379" s="202"/>
      <c r="F379" s="88">
        <f t="shared" si="2"/>
        <v>0</v>
      </c>
    </row>
    <row r="380">
      <c r="A380" s="74" t="str">
        <f t="shared" si="1"/>
        <v>Wednesday</v>
      </c>
      <c r="B380" s="49">
        <v>46295.0</v>
      </c>
      <c r="C380" s="148"/>
      <c r="D380" s="201"/>
      <c r="E380" s="202"/>
      <c r="F380" s="88">
        <f t="shared" si="2"/>
        <v>0</v>
      </c>
    </row>
    <row r="381">
      <c r="A381" s="74" t="str">
        <f t="shared" si="1"/>
        <v>Wednesday</v>
      </c>
      <c r="B381" s="49">
        <v>46295.0</v>
      </c>
      <c r="C381" s="148"/>
      <c r="D381" s="201"/>
      <c r="E381" s="202"/>
      <c r="F381" s="88">
        <f t="shared" si="2"/>
        <v>0</v>
      </c>
    </row>
    <row r="382">
      <c r="A382" s="74" t="str">
        <f t="shared" si="1"/>
        <v>Wednesday</v>
      </c>
      <c r="B382" s="49">
        <v>46295.0</v>
      </c>
      <c r="C382" s="148"/>
      <c r="D382" s="201"/>
      <c r="E382" s="202"/>
      <c r="F382" s="88">
        <f t="shared" si="2"/>
        <v>0</v>
      </c>
    </row>
    <row r="383">
      <c r="A383" s="74" t="str">
        <f t="shared" si="1"/>
        <v>Wednesday</v>
      </c>
      <c r="B383" s="49">
        <v>46295.0</v>
      </c>
      <c r="C383" s="148"/>
      <c r="D383" s="201"/>
      <c r="E383" s="202"/>
      <c r="F383" s="88">
        <f t="shared" si="2"/>
        <v>0</v>
      </c>
    </row>
    <row r="384">
      <c r="A384" s="74" t="str">
        <f t="shared" si="1"/>
        <v>Wednesday</v>
      </c>
      <c r="B384" s="49">
        <v>46295.0</v>
      </c>
      <c r="C384" s="148"/>
      <c r="D384" s="201"/>
      <c r="E384" s="202"/>
      <c r="F384" s="88">
        <f t="shared" si="2"/>
        <v>0</v>
      </c>
    </row>
    <row r="385">
      <c r="A385" s="74" t="str">
        <f t="shared" si="1"/>
        <v>Wednesday</v>
      </c>
      <c r="B385" s="49">
        <v>46295.0</v>
      </c>
      <c r="C385" s="148"/>
      <c r="D385" s="201"/>
      <c r="E385" s="202"/>
      <c r="F385" s="88">
        <f t="shared" si="2"/>
        <v>0</v>
      </c>
    </row>
    <row r="386">
      <c r="A386" s="74" t="str">
        <f t="shared" si="1"/>
        <v>Wednesday</v>
      </c>
      <c r="B386" s="49">
        <v>46295.0</v>
      </c>
      <c r="C386" s="148"/>
      <c r="D386" s="201"/>
      <c r="E386" s="202"/>
      <c r="F386" s="88">
        <f t="shared" si="2"/>
        <v>0</v>
      </c>
    </row>
    <row r="387">
      <c r="A387" s="74" t="str">
        <f t="shared" si="1"/>
        <v>Wednesday</v>
      </c>
      <c r="B387" s="49">
        <v>46295.0</v>
      </c>
      <c r="C387" s="148"/>
      <c r="D387" s="201"/>
      <c r="E387" s="202"/>
      <c r="F387" s="88">
        <f t="shared" si="2"/>
        <v>0</v>
      </c>
    </row>
    <row r="388">
      <c r="A388" s="74" t="str">
        <f t="shared" si="1"/>
        <v>Wednesday</v>
      </c>
      <c r="B388" s="49">
        <v>46295.0</v>
      </c>
      <c r="C388" s="148"/>
      <c r="D388" s="201"/>
      <c r="E388" s="202"/>
      <c r="F388" s="88">
        <f t="shared" si="2"/>
        <v>0</v>
      </c>
    </row>
    <row r="389">
      <c r="A389" s="74" t="str">
        <f t="shared" si="1"/>
        <v>Wednesday</v>
      </c>
      <c r="B389" s="49">
        <v>46295.0</v>
      </c>
      <c r="C389" s="148"/>
      <c r="D389" s="201"/>
      <c r="E389" s="202"/>
      <c r="F389" s="88">
        <f t="shared" si="2"/>
        <v>0</v>
      </c>
    </row>
    <row r="390">
      <c r="A390" s="74" t="str">
        <f t="shared" si="1"/>
        <v>Wednesday</v>
      </c>
      <c r="B390" s="49">
        <v>46295.0</v>
      </c>
      <c r="C390" s="148"/>
      <c r="D390" s="201"/>
      <c r="E390" s="202"/>
      <c r="F390" s="88">
        <f t="shared" si="2"/>
        <v>0</v>
      </c>
    </row>
    <row r="391">
      <c r="A391" s="74" t="str">
        <f t="shared" si="1"/>
        <v>Wednesday</v>
      </c>
      <c r="B391" s="49">
        <v>46295.0</v>
      </c>
      <c r="C391" s="148"/>
      <c r="D391" s="201"/>
      <c r="E391" s="202"/>
      <c r="F391" s="88">
        <f t="shared" si="2"/>
        <v>0</v>
      </c>
    </row>
    <row r="392">
      <c r="A392" s="74" t="str">
        <f t="shared" si="1"/>
        <v>Wednesday</v>
      </c>
      <c r="B392" s="49">
        <v>46295.0</v>
      </c>
      <c r="C392" s="148"/>
      <c r="D392" s="201"/>
      <c r="E392" s="202"/>
      <c r="F392" s="88">
        <f t="shared" si="2"/>
        <v>0</v>
      </c>
    </row>
    <row r="393">
      <c r="A393" s="74" t="str">
        <f t="shared" si="1"/>
        <v>Wednesday</v>
      </c>
      <c r="B393" s="49">
        <v>46295.0</v>
      </c>
      <c r="C393" s="148"/>
      <c r="D393" s="201"/>
      <c r="E393" s="202"/>
      <c r="F393" s="88">
        <f t="shared" si="2"/>
        <v>0</v>
      </c>
    </row>
    <row r="394">
      <c r="A394" s="74" t="str">
        <f t="shared" si="1"/>
        <v>Wednesday</v>
      </c>
      <c r="B394" s="49">
        <v>46295.0</v>
      </c>
      <c r="C394" s="148"/>
      <c r="D394" s="201"/>
      <c r="E394" s="202"/>
      <c r="F394" s="88">
        <f t="shared" si="2"/>
        <v>0</v>
      </c>
    </row>
    <row r="395">
      <c r="A395" s="74" t="str">
        <f t="shared" si="1"/>
        <v>Wednesday</v>
      </c>
      <c r="B395" s="49">
        <v>46295.0</v>
      </c>
      <c r="C395" s="148"/>
      <c r="D395" s="201"/>
      <c r="E395" s="202"/>
      <c r="F395" s="88">
        <f t="shared" si="2"/>
        <v>0</v>
      </c>
    </row>
    <row r="396">
      <c r="A396" s="74" t="str">
        <f t="shared" si="1"/>
        <v>Wednesday</v>
      </c>
      <c r="B396" s="49">
        <v>46295.0</v>
      </c>
      <c r="C396" s="148"/>
      <c r="D396" s="201"/>
      <c r="E396" s="202"/>
      <c r="F396" s="88">
        <f t="shared" si="2"/>
        <v>0</v>
      </c>
    </row>
    <row r="397">
      <c r="A397" s="74" t="str">
        <f t="shared" si="1"/>
        <v>Wednesday</v>
      </c>
      <c r="B397" s="49">
        <v>46295.0</v>
      </c>
      <c r="C397" s="148"/>
      <c r="D397" s="201"/>
      <c r="E397" s="202"/>
      <c r="F397" s="88">
        <f t="shared" si="2"/>
        <v>0</v>
      </c>
    </row>
    <row r="398">
      <c r="A398" s="74" t="str">
        <f t="shared" si="1"/>
        <v>Wednesday</v>
      </c>
      <c r="B398" s="49">
        <v>46295.0</v>
      </c>
      <c r="C398" s="148"/>
      <c r="D398" s="201"/>
      <c r="E398" s="202"/>
      <c r="F398" s="88">
        <f t="shared" si="2"/>
        <v>0</v>
      </c>
    </row>
    <row r="399">
      <c r="A399" s="74" t="str">
        <f t="shared" si="1"/>
        <v>Wednesday</v>
      </c>
      <c r="B399" s="49">
        <v>46295.0</v>
      </c>
      <c r="C399" s="148"/>
      <c r="D399" s="201"/>
      <c r="E399" s="202"/>
      <c r="F399" s="88">
        <f t="shared" si="2"/>
        <v>0</v>
      </c>
    </row>
    <row r="400">
      <c r="A400" s="74" t="str">
        <f t="shared" si="1"/>
        <v>Wednesday</v>
      </c>
      <c r="B400" s="49">
        <v>46295.0</v>
      </c>
      <c r="C400" s="148"/>
      <c r="D400" s="201"/>
      <c r="E400" s="202"/>
      <c r="F400" s="88">
        <f t="shared" si="2"/>
        <v>0</v>
      </c>
    </row>
    <row r="401">
      <c r="A401" s="74" t="str">
        <f t="shared" si="1"/>
        <v>Wednesday</v>
      </c>
      <c r="B401" s="49">
        <v>46295.0</v>
      </c>
      <c r="C401" s="148"/>
      <c r="D401" s="201"/>
      <c r="E401" s="202"/>
      <c r="F401" s="88">
        <f t="shared" si="2"/>
        <v>0</v>
      </c>
    </row>
    <row r="402">
      <c r="A402" s="74" t="str">
        <f t="shared" si="1"/>
        <v>Wednesday</v>
      </c>
      <c r="B402" s="49">
        <v>46295.0</v>
      </c>
      <c r="C402" s="148"/>
      <c r="D402" s="201"/>
      <c r="E402" s="202"/>
      <c r="F402" s="88">
        <f t="shared" si="2"/>
        <v>0</v>
      </c>
    </row>
    <row r="403">
      <c r="A403" s="74" t="str">
        <f t="shared" si="1"/>
        <v>Wednesday</v>
      </c>
      <c r="B403" s="49">
        <v>46295.0</v>
      </c>
      <c r="C403" s="148"/>
      <c r="D403" s="201"/>
      <c r="E403" s="202"/>
      <c r="F403" s="88">
        <f t="shared" si="2"/>
        <v>0</v>
      </c>
    </row>
    <row r="404">
      <c r="A404" s="74" t="str">
        <f t="shared" si="1"/>
        <v>Wednesday</v>
      </c>
      <c r="B404" s="49">
        <v>46295.0</v>
      </c>
      <c r="C404" s="148"/>
      <c r="D404" s="201"/>
      <c r="E404" s="202"/>
      <c r="F404" s="88">
        <f t="shared" si="2"/>
        <v>0</v>
      </c>
    </row>
    <row r="405">
      <c r="A405" s="74" t="str">
        <f t="shared" si="1"/>
        <v>Wednesday</v>
      </c>
      <c r="B405" s="49">
        <v>46295.0</v>
      </c>
      <c r="C405" s="148"/>
      <c r="D405" s="201"/>
      <c r="E405" s="202"/>
      <c r="F405" s="88">
        <f t="shared" si="2"/>
        <v>0</v>
      </c>
    </row>
    <row r="406">
      <c r="A406" s="74" t="str">
        <f t="shared" si="1"/>
        <v>Wednesday</v>
      </c>
      <c r="B406" s="49">
        <v>46295.0</v>
      </c>
      <c r="C406" s="148"/>
      <c r="D406" s="201"/>
      <c r="E406" s="202"/>
      <c r="F406" s="88">
        <f t="shared" si="2"/>
        <v>0</v>
      </c>
    </row>
    <row r="407">
      <c r="A407" s="74" t="str">
        <f t="shared" si="1"/>
        <v>Wednesday</v>
      </c>
      <c r="B407" s="49">
        <v>46295.0</v>
      </c>
      <c r="C407" s="148"/>
      <c r="D407" s="201"/>
      <c r="E407" s="202"/>
      <c r="F407" s="88">
        <f t="shared" si="2"/>
        <v>0</v>
      </c>
    </row>
    <row r="408">
      <c r="A408" s="74" t="str">
        <f t="shared" si="1"/>
        <v>Wednesday</v>
      </c>
      <c r="B408" s="49">
        <v>46295.0</v>
      </c>
      <c r="C408" s="148"/>
      <c r="D408" s="201"/>
      <c r="E408" s="202"/>
      <c r="F408" s="88">
        <f t="shared" si="2"/>
        <v>0</v>
      </c>
    </row>
    <row r="409">
      <c r="A409" s="74" t="str">
        <f t="shared" si="1"/>
        <v>Wednesday</v>
      </c>
      <c r="B409" s="49">
        <v>46295.0</v>
      </c>
      <c r="C409" s="148"/>
      <c r="D409" s="201"/>
      <c r="E409" s="202"/>
      <c r="F409" s="88">
        <f t="shared" si="2"/>
        <v>0</v>
      </c>
    </row>
    <row r="410">
      <c r="A410" s="74" t="str">
        <f t="shared" si="1"/>
        <v>Wednesday</v>
      </c>
      <c r="B410" s="49">
        <v>46295.0</v>
      </c>
      <c r="C410" s="148"/>
      <c r="D410" s="201"/>
      <c r="E410" s="202"/>
      <c r="F410" s="88">
        <f t="shared" si="2"/>
        <v>0</v>
      </c>
    </row>
    <row r="411">
      <c r="A411" s="74" t="str">
        <f t="shared" si="1"/>
        <v>Wednesday</v>
      </c>
      <c r="B411" s="49">
        <v>46295.0</v>
      </c>
      <c r="C411" s="148"/>
      <c r="D411" s="201"/>
      <c r="E411" s="202"/>
      <c r="F411" s="88">
        <f t="shared" si="2"/>
        <v>0</v>
      </c>
    </row>
    <row r="412">
      <c r="A412" s="74" t="str">
        <f t="shared" si="1"/>
        <v>Wednesday</v>
      </c>
      <c r="B412" s="49">
        <v>46295.0</v>
      </c>
      <c r="C412" s="148"/>
      <c r="D412" s="201"/>
      <c r="E412" s="202"/>
      <c r="F412" s="88">
        <f t="shared" si="2"/>
        <v>0</v>
      </c>
    </row>
    <row r="413">
      <c r="A413" s="74" t="str">
        <f t="shared" si="1"/>
        <v>Wednesday</v>
      </c>
      <c r="B413" s="49">
        <v>46295.0</v>
      </c>
      <c r="C413" s="148"/>
      <c r="D413" s="201"/>
      <c r="E413" s="202"/>
      <c r="F413" s="88">
        <f t="shared" si="2"/>
        <v>0</v>
      </c>
    </row>
    <row r="414">
      <c r="A414" s="74" t="str">
        <f t="shared" si="1"/>
        <v>Wednesday</v>
      </c>
      <c r="B414" s="49">
        <v>46295.0</v>
      </c>
      <c r="C414" s="148"/>
      <c r="D414" s="201"/>
      <c r="E414" s="202"/>
      <c r="F414" s="88">
        <f t="shared" si="2"/>
        <v>0</v>
      </c>
    </row>
    <row r="415">
      <c r="A415" s="74" t="str">
        <f t="shared" si="1"/>
        <v>Wednesday</v>
      </c>
      <c r="B415" s="49">
        <v>46295.0</v>
      </c>
      <c r="C415" s="148"/>
      <c r="D415" s="201"/>
      <c r="E415" s="202"/>
      <c r="F415" s="88">
        <f t="shared" si="2"/>
        <v>0</v>
      </c>
    </row>
    <row r="416">
      <c r="A416" s="74" t="str">
        <f t="shared" si="1"/>
        <v>Wednesday</v>
      </c>
      <c r="B416" s="49">
        <v>46295.0</v>
      </c>
      <c r="C416" s="148"/>
      <c r="D416" s="201"/>
      <c r="E416" s="202"/>
      <c r="F416" s="88">
        <f t="shared" si="2"/>
        <v>0</v>
      </c>
    </row>
    <row r="417">
      <c r="A417" s="74" t="str">
        <f t="shared" si="1"/>
        <v>Wednesday</v>
      </c>
      <c r="B417" s="49">
        <v>46295.0</v>
      </c>
      <c r="C417" s="148"/>
      <c r="D417" s="201"/>
      <c r="E417" s="202"/>
      <c r="F417" s="88">
        <f t="shared" si="2"/>
        <v>0</v>
      </c>
    </row>
    <row r="418">
      <c r="A418" s="74" t="str">
        <f t="shared" si="1"/>
        <v>Wednesday</v>
      </c>
      <c r="B418" s="49">
        <v>46295.0</v>
      </c>
      <c r="C418" s="148"/>
      <c r="D418" s="201"/>
      <c r="E418" s="202"/>
      <c r="F418" s="88">
        <f t="shared" si="2"/>
        <v>0</v>
      </c>
    </row>
    <row r="419">
      <c r="A419" s="74" t="str">
        <f t="shared" si="1"/>
        <v>Wednesday</v>
      </c>
      <c r="B419" s="49">
        <v>46295.0</v>
      </c>
      <c r="C419" s="148"/>
      <c r="D419" s="201"/>
      <c r="E419" s="202"/>
      <c r="F419" s="88">
        <f t="shared" si="2"/>
        <v>0</v>
      </c>
    </row>
    <row r="420">
      <c r="A420" s="74" t="str">
        <f t="shared" si="1"/>
        <v>Wednesday</v>
      </c>
      <c r="B420" s="49">
        <v>46295.0</v>
      </c>
      <c r="C420" s="148"/>
      <c r="D420" s="201"/>
      <c r="E420" s="202"/>
      <c r="F420" s="88">
        <f t="shared" si="2"/>
        <v>0</v>
      </c>
    </row>
    <row r="421">
      <c r="A421" s="74" t="str">
        <f t="shared" si="1"/>
        <v>Wednesday</v>
      </c>
      <c r="B421" s="49">
        <v>46295.0</v>
      </c>
      <c r="C421" s="148"/>
      <c r="D421" s="201"/>
      <c r="E421" s="202"/>
      <c r="F421" s="88">
        <f t="shared" si="2"/>
        <v>0</v>
      </c>
    </row>
    <row r="422">
      <c r="A422" s="74" t="str">
        <f t="shared" si="1"/>
        <v>Wednesday</v>
      </c>
      <c r="B422" s="49">
        <v>46295.0</v>
      </c>
      <c r="C422" s="148"/>
      <c r="D422" s="201"/>
      <c r="E422" s="202"/>
      <c r="F422" s="88">
        <f t="shared" si="2"/>
        <v>0</v>
      </c>
    </row>
    <row r="423">
      <c r="A423" s="74" t="str">
        <f t="shared" si="1"/>
        <v>Wednesday</v>
      </c>
      <c r="B423" s="49">
        <v>46295.0</v>
      </c>
      <c r="C423" s="148"/>
      <c r="D423" s="201"/>
      <c r="E423" s="202"/>
      <c r="F423" s="88">
        <f t="shared" si="2"/>
        <v>0</v>
      </c>
    </row>
    <row r="424">
      <c r="A424" s="74" t="str">
        <f t="shared" si="1"/>
        <v>Wednesday</v>
      </c>
      <c r="B424" s="49">
        <v>46295.0</v>
      </c>
      <c r="C424" s="148"/>
      <c r="D424" s="201"/>
      <c r="E424" s="202"/>
      <c r="F424" s="88">
        <f t="shared" si="2"/>
        <v>0</v>
      </c>
    </row>
    <row r="425">
      <c r="A425" s="74" t="str">
        <f t="shared" si="1"/>
        <v>Wednesday</v>
      </c>
      <c r="B425" s="49">
        <v>46295.0</v>
      </c>
      <c r="C425" s="148"/>
      <c r="D425" s="201"/>
      <c r="E425" s="202"/>
      <c r="F425" s="88">
        <f t="shared" si="2"/>
        <v>0</v>
      </c>
    </row>
    <row r="426">
      <c r="A426" s="74" t="str">
        <f t="shared" si="1"/>
        <v>Wednesday</v>
      </c>
      <c r="B426" s="49">
        <v>46295.0</v>
      </c>
      <c r="C426" s="148"/>
      <c r="D426" s="201"/>
      <c r="E426" s="202"/>
      <c r="F426" s="88">
        <f t="shared" si="2"/>
        <v>0</v>
      </c>
    </row>
    <row r="427">
      <c r="A427" s="74" t="str">
        <f t="shared" si="1"/>
        <v>Wednesday</v>
      </c>
      <c r="B427" s="49">
        <v>46295.0</v>
      </c>
      <c r="C427" s="148"/>
      <c r="D427" s="201"/>
      <c r="E427" s="202"/>
      <c r="F427" s="88">
        <f t="shared" si="2"/>
        <v>0</v>
      </c>
    </row>
    <row r="428">
      <c r="A428" s="74" t="str">
        <f t="shared" si="1"/>
        <v>Wednesday</v>
      </c>
      <c r="B428" s="49">
        <v>46295.0</v>
      </c>
      <c r="C428" s="148"/>
      <c r="D428" s="201"/>
      <c r="E428" s="202"/>
      <c r="F428" s="88">
        <f t="shared" si="2"/>
        <v>0</v>
      </c>
    </row>
    <row r="429">
      <c r="A429" s="74" t="str">
        <f t="shared" si="1"/>
        <v>Wednesday</v>
      </c>
      <c r="B429" s="49">
        <v>46295.0</v>
      </c>
      <c r="C429" s="148"/>
      <c r="D429" s="201"/>
      <c r="E429" s="202"/>
      <c r="F429" s="88">
        <f t="shared" si="2"/>
        <v>0</v>
      </c>
    </row>
    <row r="430">
      <c r="A430" s="74" t="str">
        <f t="shared" si="1"/>
        <v>Wednesday</v>
      </c>
      <c r="B430" s="49">
        <v>46295.0</v>
      </c>
      <c r="C430" s="148"/>
      <c r="D430" s="201"/>
      <c r="E430" s="202"/>
      <c r="F430" s="88">
        <f t="shared" si="2"/>
        <v>0</v>
      </c>
    </row>
    <row r="431">
      <c r="A431" s="74" t="str">
        <f t="shared" si="1"/>
        <v>Wednesday</v>
      </c>
      <c r="B431" s="49">
        <v>46295.0</v>
      </c>
      <c r="C431" s="148"/>
      <c r="D431" s="201"/>
      <c r="E431" s="202"/>
      <c r="F431" s="88">
        <f t="shared" si="2"/>
        <v>0</v>
      </c>
    </row>
    <row r="432">
      <c r="A432" s="74" t="str">
        <f t="shared" si="1"/>
        <v>Wednesday</v>
      </c>
      <c r="B432" s="49">
        <v>46295.0</v>
      </c>
      <c r="C432" s="148"/>
      <c r="D432" s="201"/>
      <c r="E432" s="202"/>
      <c r="F432" s="88">
        <f t="shared" si="2"/>
        <v>0</v>
      </c>
    </row>
    <row r="433">
      <c r="A433" s="74" t="str">
        <f t="shared" si="1"/>
        <v>Wednesday</v>
      </c>
      <c r="B433" s="49">
        <v>46295.0</v>
      </c>
      <c r="C433" s="148"/>
      <c r="D433" s="201"/>
      <c r="E433" s="202"/>
      <c r="F433" s="88">
        <f t="shared" si="2"/>
        <v>0</v>
      </c>
    </row>
    <row r="434">
      <c r="A434" s="74" t="str">
        <f t="shared" si="1"/>
        <v>Wednesday</v>
      </c>
      <c r="B434" s="49">
        <v>46295.0</v>
      </c>
      <c r="C434" s="148"/>
      <c r="D434" s="201"/>
      <c r="E434" s="202"/>
      <c r="F434" s="88">
        <f t="shared" si="2"/>
        <v>0</v>
      </c>
    </row>
    <row r="435">
      <c r="A435" s="74" t="str">
        <f t="shared" si="1"/>
        <v>Wednesday</v>
      </c>
      <c r="B435" s="49">
        <v>46295.0</v>
      </c>
      <c r="C435" s="148"/>
      <c r="D435" s="201"/>
      <c r="E435" s="202"/>
      <c r="F435" s="88">
        <f t="shared" si="2"/>
        <v>0</v>
      </c>
    </row>
    <row r="436">
      <c r="A436" s="74" t="str">
        <f t="shared" si="1"/>
        <v>Wednesday</v>
      </c>
      <c r="B436" s="49">
        <v>46295.0</v>
      </c>
      <c r="C436" s="148"/>
      <c r="D436" s="201"/>
      <c r="E436" s="202"/>
      <c r="F436" s="88">
        <f t="shared" si="2"/>
        <v>0</v>
      </c>
    </row>
    <row r="437">
      <c r="A437" s="74" t="str">
        <f t="shared" si="1"/>
        <v>Wednesday</v>
      </c>
      <c r="B437" s="49">
        <v>46295.0</v>
      </c>
      <c r="C437" s="148"/>
      <c r="D437" s="201"/>
      <c r="E437" s="202"/>
      <c r="F437" s="88">
        <f t="shared" si="2"/>
        <v>0</v>
      </c>
    </row>
    <row r="438">
      <c r="A438" s="74" t="str">
        <f t="shared" si="1"/>
        <v>Wednesday</v>
      </c>
      <c r="B438" s="49">
        <v>46295.0</v>
      </c>
      <c r="C438" s="148"/>
      <c r="D438" s="201"/>
      <c r="E438" s="202"/>
      <c r="F438" s="88">
        <f t="shared" si="2"/>
        <v>0</v>
      </c>
    </row>
    <row r="439">
      <c r="A439" s="74" t="str">
        <f t="shared" si="1"/>
        <v>Wednesday</v>
      </c>
      <c r="B439" s="49">
        <v>46295.0</v>
      </c>
      <c r="C439" s="148"/>
      <c r="D439" s="201"/>
      <c r="E439" s="202"/>
      <c r="F439" s="88">
        <f t="shared" si="2"/>
        <v>0</v>
      </c>
    </row>
    <row r="440">
      <c r="A440" s="74" t="str">
        <f t="shared" si="1"/>
        <v>Wednesday</v>
      </c>
      <c r="B440" s="49">
        <v>46295.0</v>
      </c>
      <c r="C440" s="148"/>
      <c r="D440" s="201"/>
      <c r="E440" s="202"/>
      <c r="F440" s="88">
        <f t="shared" si="2"/>
        <v>0</v>
      </c>
    </row>
    <row r="441">
      <c r="A441" s="74" t="str">
        <f t="shared" si="1"/>
        <v>Wednesday</v>
      </c>
      <c r="B441" s="49">
        <v>46295.0</v>
      </c>
      <c r="C441" s="148"/>
      <c r="D441" s="201"/>
      <c r="E441" s="202"/>
      <c r="F441" s="88">
        <f t="shared" si="2"/>
        <v>0</v>
      </c>
    </row>
    <row r="442">
      <c r="A442" s="74" t="str">
        <f t="shared" si="1"/>
        <v>Wednesday</v>
      </c>
      <c r="B442" s="49">
        <v>46295.0</v>
      </c>
      <c r="C442" s="148"/>
      <c r="D442" s="201"/>
      <c r="E442" s="202"/>
      <c r="F442" s="88">
        <f t="shared" si="2"/>
        <v>0</v>
      </c>
    </row>
    <row r="443">
      <c r="A443" s="74" t="str">
        <f t="shared" si="1"/>
        <v>Wednesday</v>
      </c>
      <c r="B443" s="49">
        <v>46295.0</v>
      </c>
      <c r="C443" s="148"/>
      <c r="D443" s="201"/>
      <c r="E443" s="202"/>
      <c r="F443" s="88">
        <f t="shared" si="2"/>
        <v>0</v>
      </c>
    </row>
    <row r="444">
      <c r="A444" s="74" t="str">
        <f t="shared" si="1"/>
        <v>Wednesday</v>
      </c>
      <c r="B444" s="49">
        <v>46295.0</v>
      </c>
      <c r="C444" s="148"/>
      <c r="D444" s="201"/>
      <c r="E444" s="202"/>
      <c r="F444" s="88">
        <f t="shared" si="2"/>
        <v>0</v>
      </c>
    </row>
    <row r="445">
      <c r="A445" s="74" t="str">
        <f t="shared" si="1"/>
        <v>Wednesday</v>
      </c>
      <c r="B445" s="49">
        <v>46295.0</v>
      </c>
      <c r="C445" s="148"/>
      <c r="D445" s="201"/>
      <c r="E445" s="202"/>
      <c r="F445" s="88">
        <f t="shared" si="2"/>
        <v>0</v>
      </c>
    </row>
    <row r="446">
      <c r="A446" s="74" t="str">
        <f t="shared" si="1"/>
        <v>Wednesday</v>
      </c>
      <c r="B446" s="49">
        <v>46295.0</v>
      </c>
      <c r="C446" s="148"/>
      <c r="D446" s="201"/>
      <c r="E446" s="202"/>
      <c r="F446" s="88">
        <f t="shared" si="2"/>
        <v>0</v>
      </c>
    </row>
    <row r="447">
      <c r="A447" s="74" t="str">
        <f t="shared" si="1"/>
        <v>Wednesday</v>
      </c>
      <c r="B447" s="49">
        <v>46295.0</v>
      </c>
      <c r="C447" s="148"/>
      <c r="D447" s="201"/>
      <c r="E447" s="202"/>
      <c r="F447" s="88">
        <f t="shared" si="2"/>
        <v>0</v>
      </c>
    </row>
    <row r="448">
      <c r="A448" s="74" t="str">
        <f t="shared" si="1"/>
        <v>Wednesday</v>
      </c>
      <c r="B448" s="49">
        <v>46295.0</v>
      </c>
      <c r="C448" s="148"/>
      <c r="D448" s="201"/>
      <c r="E448" s="202"/>
      <c r="F448" s="88">
        <f t="shared" si="2"/>
        <v>0</v>
      </c>
    </row>
    <row r="449">
      <c r="A449" s="74" t="str">
        <f t="shared" si="1"/>
        <v>Wednesday</v>
      </c>
      <c r="B449" s="49">
        <v>46295.0</v>
      </c>
      <c r="C449" s="148"/>
      <c r="D449" s="201"/>
      <c r="E449" s="202"/>
      <c r="F449" s="88">
        <f t="shared" si="2"/>
        <v>0</v>
      </c>
    </row>
    <row r="450">
      <c r="A450" s="74" t="str">
        <f t="shared" si="1"/>
        <v>Wednesday</v>
      </c>
      <c r="B450" s="49">
        <v>46295.0</v>
      </c>
      <c r="C450" s="148"/>
      <c r="D450" s="201"/>
      <c r="E450" s="202"/>
      <c r="F450" s="88">
        <f t="shared" si="2"/>
        <v>0</v>
      </c>
    </row>
    <row r="451">
      <c r="A451" s="74" t="str">
        <f t="shared" si="1"/>
        <v>Wednesday</v>
      </c>
      <c r="B451" s="49">
        <v>46295.0</v>
      </c>
      <c r="C451" s="148"/>
      <c r="D451" s="201"/>
      <c r="E451" s="202"/>
      <c r="F451" s="88">
        <f t="shared" si="2"/>
        <v>0</v>
      </c>
    </row>
    <row r="452">
      <c r="A452" s="74" t="str">
        <f t="shared" si="1"/>
        <v>Wednesday</v>
      </c>
      <c r="B452" s="49">
        <v>46295.0</v>
      </c>
      <c r="C452" s="148"/>
      <c r="D452" s="201"/>
      <c r="E452" s="202"/>
      <c r="F452" s="88">
        <f t="shared" si="2"/>
        <v>0</v>
      </c>
    </row>
    <row r="453">
      <c r="A453" s="74" t="str">
        <f t="shared" si="1"/>
        <v>Wednesday</v>
      </c>
      <c r="B453" s="49">
        <v>46295.0</v>
      </c>
      <c r="C453" s="148"/>
      <c r="D453" s="201"/>
      <c r="E453" s="202"/>
      <c r="F453" s="88">
        <f t="shared" si="2"/>
        <v>0</v>
      </c>
    </row>
    <row r="454">
      <c r="A454" s="74" t="str">
        <f t="shared" si="1"/>
        <v>Wednesday</v>
      </c>
      <c r="B454" s="49">
        <v>46295.0</v>
      </c>
      <c r="C454" s="148"/>
      <c r="D454" s="201"/>
      <c r="E454" s="202"/>
      <c r="F454" s="88">
        <f t="shared" si="2"/>
        <v>0</v>
      </c>
    </row>
    <row r="455">
      <c r="A455" s="74" t="str">
        <f t="shared" si="1"/>
        <v>Wednesday</v>
      </c>
      <c r="B455" s="49">
        <v>46295.0</v>
      </c>
      <c r="C455" s="148"/>
      <c r="D455" s="201"/>
      <c r="E455" s="202"/>
      <c r="F455" s="88">
        <f t="shared" si="2"/>
        <v>0</v>
      </c>
    </row>
    <row r="456">
      <c r="A456" s="74" t="str">
        <f t="shared" si="1"/>
        <v>Wednesday</v>
      </c>
      <c r="B456" s="49">
        <v>46295.0</v>
      </c>
      <c r="C456" s="148"/>
      <c r="D456" s="201"/>
      <c r="E456" s="202"/>
      <c r="F456" s="88">
        <f t="shared" si="2"/>
        <v>0</v>
      </c>
    </row>
    <row r="457">
      <c r="A457" s="74" t="str">
        <f t="shared" si="1"/>
        <v>Wednesday</v>
      </c>
      <c r="B457" s="49">
        <v>46295.0</v>
      </c>
      <c r="C457" s="148"/>
      <c r="D457" s="201"/>
      <c r="E457" s="202"/>
      <c r="F457" s="88">
        <f t="shared" si="2"/>
        <v>0</v>
      </c>
    </row>
    <row r="458">
      <c r="A458" s="74" t="str">
        <f t="shared" si="1"/>
        <v>Wednesday</v>
      </c>
      <c r="B458" s="49">
        <v>46295.0</v>
      </c>
      <c r="C458" s="148"/>
      <c r="D458" s="201"/>
      <c r="E458" s="202"/>
      <c r="F458" s="88">
        <f t="shared" si="2"/>
        <v>0</v>
      </c>
    </row>
    <row r="459">
      <c r="A459" s="74" t="str">
        <f t="shared" si="1"/>
        <v>Wednesday</v>
      </c>
      <c r="B459" s="49">
        <v>46295.0</v>
      </c>
      <c r="C459" s="148"/>
      <c r="D459" s="201"/>
      <c r="E459" s="202"/>
      <c r="F459" s="88">
        <f t="shared" si="2"/>
        <v>0</v>
      </c>
    </row>
    <row r="460">
      <c r="A460" s="74" t="str">
        <f t="shared" si="1"/>
        <v>Wednesday</v>
      </c>
      <c r="B460" s="49">
        <v>46295.0</v>
      </c>
      <c r="C460" s="148"/>
      <c r="D460" s="201"/>
      <c r="E460" s="202"/>
      <c r="F460" s="88">
        <f t="shared" si="2"/>
        <v>0</v>
      </c>
    </row>
    <row r="461">
      <c r="A461" s="74" t="str">
        <f t="shared" si="1"/>
        <v>Wednesday</v>
      </c>
      <c r="B461" s="49">
        <v>46295.0</v>
      </c>
      <c r="C461" s="148"/>
      <c r="D461" s="201"/>
      <c r="E461" s="202"/>
      <c r="F461" s="88">
        <f t="shared" si="2"/>
        <v>0</v>
      </c>
    </row>
    <row r="462">
      <c r="A462" s="74" t="str">
        <f t="shared" si="1"/>
        <v>Wednesday</v>
      </c>
      <c r="B462" s="49">
        <v>46295.0</v>
      </c>
      <c r="C462" s="148"/>
      <c r="D462" s="201"/>
      <c r="E462" s="202"/>
      <c r="F462" s="88">
        <f t="shared" si="2"/>
        <v>0</v>
      </c>
    </row>
    <row r="463">
      <c r="A463" s="74" t="str">
        <f t="shared" si="1"/>
        <v>Wednesday</v>
      </c>
      <c r="B463" s="49">
        <v>46295.0</v>
      </c>
      <c r="C463" s="148"/>
      <c r="D463" s="201"/>
      <c r="E463" s="202"/>
      <c r="F463" s="88">
        <f t="shared" si="2"/>
        <v>0</v>
      </c>
    </row>
    <row r="464">
      <c r="A464" s="74" t="str">
        <f t="shared" si="1"/>
        <v>Wednesday</v>
      </c>
      <c r="B464" s="49">
        <v>46295.0</v>
      </c>
      <c r="C464" s="148"/>
      <c r="D464" s="201"/>
      <c r="E464" s="202"/>
      <c r="F464" s="88">
        <f t="shared" si="2"/>
        <v>0</v>
      </c>
    </row>
    <row r="465">
      <c r="A465" s="209"/>
      <c r="B465" s="210"/>
      <c r="C465" s="211"/>
      <c r="D465" s="212"/>
      <c r="E465" s="213"/>
      <c r="F465" s="214"/>
    </row>
    <row r="466">
      <c r="A466" s="209"/>
      <c r="B466" s="210"/>
      <c r="C466" s="211"/>
      <c r="D466" s="212"/>
      <c r="E466" s="213"/>
      <c r="F466" s="214"/>
    </row>
    <row r="467">
      <c r="A467" s="209"/>
      <c r="B467" s="210"/>
      <c r="C467" s="211"/>
      <c r="D467" s="212"/>
      <c r="E467" s="213"/>
      <c r="F467" s="214"/>
    </row>
    <row r="468">
      <c r="A468" s="209"/>
      <c r="B468" s="210"/>
      <c r="C468" s="211"/>
      <c r="D468" s="212"/>
      <c r="E468" s="213"/>
      <c r="F468" s="214"/>
    </row>
    <row r="469">
      <c r="A469" s="209"/>
      <c r="B469" s="210"/>
      <c r="C469" s="211"/>
      <c r="D469" s="212"/>
      <c r="E469" s="213"/>
      <c r="F469" s="214"/>
    </row>
    <row r="470">
      <c r="A470" s="209"/>
      <c r="B470" s="210"/>
      <c r="C470" s="211"/>
      <c r="D470" s="212"/>
      <c r="E470" s="213"/>
      <c r="F470" s="214"/>
    </row>
    <row r="471">
      <c r="A471" s="209"/>
      <c r="B471" s="210"/>
      <c r="C471" s="211"/>
      <c r="D471" s="212"/>
      <c r="E471" s="213"/>
      <c r="F471" s="214"/>
    </row>
    <row r="472">
      <c r="A472" s="209"/>
      <c r="B472" s="210"/>
      <c r="C472" s="211"/>
      <c r="D472" s="212"/>
      <c r="E472" s="213"/>
      <c r="F472" s="214"/>
    </row>
    <row r="473">
      <c r="A473" s="209"/>
      <c r="B473" s="210"/>
      <c r="C473" s="211"/>
      <c r="D473" s="212"/>
      <c r="E473" s="213"/>
      <c r="F473" s="214"/>
    </row>
    <row r="474">
      <c r="A474" s="209"/>
      <c r="B474" s="210"/>
      <c r="C474" s="211"/>
      <c r="D474" s="212"/>
      <c r="E474" s="213"/>
      <c r="F474" s="214"/>
    </row>
    <row r="475">
      <c r="A475" s="209"/>
      <c r="B475" s="210"/>
      <c r="C475" s="211"/>
      <c r="D475" s="212"/>
      <c r="E475" s="213"/>
      <c r="F475" s="214"/>
    </row>
    <row r="476">
      <c r="A476" s="209"/>
      <c r="B476" s="210"/>
      <c r="C476" s="211"/>
      <c r="D476" s="212"/>
      <c r="E476" s="213"/>
      <c r="F476" s="214"/>
    </row>
    <row r="477">
      <c r="A477" s="209"/>
      <c r="B477" s="210"/>
      <c r="C477" s="211"/>
      <c r="D477" s="212"/>
      <c r="E477" s="213"/>
      <c r="F477" s="214"/>
    </row>
    <row r="478">
      <c r="A478" s="209"/>
      <c r="B478" s="210"/>
      <c r="C478" s="211"/>
      <c r="D478" s="212"/>
      <c r="E478" s="213"/>
      <c r="F478" s="214"/>
    </row>
    <row r="479">
      <c r="A479" s="209"/>
      <c r="B479" s="210"/>
      <c r="C479" s="211"/>
      <c r="D479" s="212"/>
      <c r="E479" s="213"/>
      <c r="F479" s="214"/>
    </row>
    <row r="480">
      <c r="A480" s="209"/>
      <c r="B480" s="210"/>
      <c r="C480" s="211"/>
      <c r="D480" s="212"/>
      <c r="E480" s="213"/>
      <c r="F480" s="214"/>
    </row>
    <row r="481">
      <c r="A481" s="209"/>
      <c r="B481" s="210"/>
      <c r="C481" s="211"/>
      <c r="D481" s="212"/>
      <c r="E481" s="213"/>
      <c r="F481" s="214"/>
    </row>
    <row r="482">
      <c r="A482" s="209"/>
      <c r="B482" s="210"/>
      <c r="C482" s="211"/>
      <c r="D482" s="212"/>
      <c r="E482" s="213"/>
      <c r="F482" s="214"/>
    </row>
    <row r="483">
      <c r="A483" s="209"/>
      <c r="B483" s="210"/>
      <c r="C483" s="211"/>
      <c r="D483" s="212"/>
      <c r="E483" s="213"/>
      <c r="F483" s="214"/>
    </row>
    <row r="484">
      <c r="A484" s="209"/>
      <c r="B484" s="210"/>
      <c r="C484" s="211"/>
      <c r="D484" s="212"/>
      <c r="E484" s="213"/>
      <c r="F484" s="214"/>
    </row>
    <row r="485">
      <c r="A485" s="209"/>
      <c r="B485" s="210"/>
      <c r="C485" s="211"/>
      <c r="D485" s="212"/>
      <c r="E485" s="213"/>
      <c r="F485" s="214"/>
    </row>
    <row r="486">
      <c r="A486" s="209"/>
      <c r="B486" s="210"/>
      <c r="C486" s="211"/>
      <c r="D486" s="212"/>
      <c r="E486" s="213"/>
      <c r="F486" s="214"/>
    </row>
    <row r="487">
      <c r="A487" s="209"/>
      <c r="B487" s="210"/>
      <c r="C487" s="211"/>
      <c r="D487" s="212"/>
      <c r="E487" s="213"/>
      <c r="F487" s="214"/>
    </row>
    <row r="488">
      <c r="A488" s="209"/>
      <c r="B488" s="210"/>
      <c r="C488" s="211"/>
      <c r="D488" s="212"/>
      <c r="E488" s="213"/>
      <c r="F488" s="214"/>
    </row>
    <row r="489">
      <c r="A489" s="209"/>
      <c r="B489" s="210"/>
      <c r="C489" s="211"/>
      <c r="D489" s="212"/>
      <c r="E489" s="213"/>
      <c r="F489" s="214"/>
    </row>
    <row r="490">
      <c r="A490" s="209"/>
      <c r="B490" s="210"/>
      <c r="C490" s="211"/>
      <c r="D490" s="212"/>
      <c r="E490" s="213"/>
      <c r="F490" s="214"/>
    </row>
    <row r="491">
      <c r="A491" s="209"/>
      <c r="B491" s="210"/>
      <c r="C491" s="211"/>
      <c r="D491" s="212"/>
      <c r="E491" s="213"/>
      <c r="F491" s="214"/>
    </row>
    <row r="492">
      <c r="A492" s="209"/>
      <c r="B492" s="210"/>
      <c r="C492" s="211"/>
      <c r="D492" s="212"/>
      <c r="E492" s="213"/>
      <c r="F492" s="214"/>
    </row>
    <row r="493">
      <c r="A493" s="209"/>
      <c r="B493" s="210"/>
      <c r="C493" s="211"/>
      <c r="D493" s="212"/>
      <c r="E493" s="213"/>
      <c r="F493" s="214"/>
    </row>
    <row r="494">
      <c r="A494" s="209"/>
      <c r="B494" s="210"/>
      <c r="C494" s="211"/>
      <c r="D494" s="212"/>
      <c r="E494" s="213"/>
      <c r="F494" s="214"/>
    </row>
    <row r="495">
      <c r="A495" s="209"/>
      <c r="B495" s="210"/>
      <c r="C495" s="211"/>
      <c r="D495" s="212"/>
      <c r="E495" s="213"/>
      <c r="F495" s="214"/>
    </row>
    <row r="496">
      <c r="A496" s="209"/>
      <c r="B496" s="210"/>
      <c r="C496" s="211"/>
      <c r="D496" s="212"/>
      <c r="E496" s="213"/>
      <c r="F496" s="214"/>
    </row>
    <row r="497">
      <c r="A497" s="209"/>
      <c r="B497" s="210"/>
      <c r="C497" s="211"/>
      <c r="D497" s="212"/>
      <c r="E497" s="213"/>
      <c r="F497" s="214"/>
    </row>
    <row r="498">
      <c r="A498" s="209"/>
      <c r="B498" s="210"/>
      <c r="C498" s="211"/>
      <c r="D498" s="212"/>
      <c r="E498" s="213"/>
      <c r="F498" s="214"/>
    </row>
    <row r="499">
      <c r="A499" s="209"/>
      <c r="B499" s="210"/>
      <c r="C499" s="211"/>
      <c r="D499" s="212"/>
      <c r="E499" s="213"/>
      <c r="F499" s="214"/>
    </row>
    <row r="500">
      <c r="A500" s="209"/>
      <c r="B500" s="210"/>
      <c r="C500" s="211"/>
      <c r="D500" s="212"/>
      <c r="E500" s="213"/>
      <c r="F500" s="214"/>
    </row>
    <row r="501">
      <c r="A501" s="209"/>
      <c r="B501" s="210"/>
      <c r="C501" s="211"/>
      <c r="D501" s="212"/>
      <c r="E501" s="213"/>
      <c r="F501" s="214"/>
    </row>
    <row r="502">
      <c r="A502" s="209"/>
      <c r="B502" s="210"/>
      <c r="C502" s="211"/>
      <c r="D502" s="212"/>
      <c r="E502" s="213"/>
      <c r="F502" s="214"/>
    </row>
    <row r="503">
      <c r="A503" s="209"/>
      <c r="B503" s="210"/>
      <c r="C503" s="211"/>
      <c r="D503" s="212"/>
      <c r="E503" s="213"/>
      <c r="F503" s="214"/>
    </row>
    <row r="504">
      <c r="A504" s="209"/>
      <c r="B504" s="210"/>
      <c r="C504" s="211"/>
      <c r="D504" s="212"/>
      <c r="E504" s="213"/>
      <c r="F504" s="214"/>
    </row>
    <row r="505">
      <c r="A505" s="209"/>
      <c r="B505" s="210"/>
      <c r="C505" s="211"/>
      <c r="D505" s="212"/>
      <c r="E505" s="213"/>
      <c r="F505" s="214"/>
    </row>
    <row r="506">
      <c r="A506" s="209"/>
      <c r="B506" s="210"/>
      <c r="C506" s="211"/>
      <c r="D506" s="212"/>
      <c r="E506" s="213"/>
      <c r="F506" s="214"/>
    </row>
    <row r="507">
      <c r="A507" s="209"/>
      <c r="B507" s="210"/>
      <c r="C507" s="211"/>
      <c r="D507" s="212"/>
      <c r="E507" s="213"/>
      <c r="F507" s="214"/>
    </row>
    <row r="508">
      <c r="A508" s="209"/>
      <c r="B508" s="210"/>
      <c r="C508" s="211"/>
      <c r="D508" s="212"/>
      <c r="E508" s="213"/>
      <c r="F508" s="214"/>
    </row>
    <row r="509">
      <c r="A509" s="209"/>
      <c r="B509" s="210"/>
      <c r="C509" s="211"/>
      <c r="D509" s="212"/>
      <c r="E509" s="213"/>
      <c r="F509" s="214"/>
    </row>
    <row r="510">
      <c r="A510" s="209"/>
      <c r="B510" s="210"/>
      <c r="C510" s="211"/>
      <c r="D510" s="212"/>
      <c r="E510" s="213"/>
      <c r="F510" s="214"/>
    </row>
    <row r="511">
      <c r="A511" s="209"/>
      <c r="B511" s="210"/>
      <c r="C511" s="211"/>
      <c r="D511" s="212"/>
      <c r="E511" s="213"/>
      <c r="F511" s="214"/>
    </row>
    <row r="512">
      <c r="A512" s="209"/>
      <c r="B512" s="210"/>
      <c r="C512" s="211"/>
      <c r="D512" s="212"/>
      <c r="E512" s="213"/>
      <c r="F512" s="214"/>
    </row>
    <row r="513">
      <c r="A513" s="209"/>
      <c r="B513" s="210"/>
      <c r="C513" s="211"/>
      <c r="D513" s="212"/>
      <c r="E513" s="213"/>
      <c r="F513" s="214"/>
    </row>
    <row r="514">
      <c r="A514" s="209"/>
      <c r="B514" s="210"/>
      <c r="C514" s="211"/>
      <c r="D514" s="212"/>
      <c r="E514" s="213"/>
      <c r="F514" s="214"/>
    </row>
    <row r="515">
      <c r="A515" s="209"/>
      <c r="B515" s="210"/>
      <c r="C515" s="211"/>
      <c r="D515" s="212"/>
      <c r="E515" s="213"/>
      <c r="F515" s="214"/>
    </row>
    <row r="516">
      <c r="A516" s="209"/>
      <c r="B516" s="210"/>
      <c r="C516" s="211"/>
      <c r="D516" s="212"/>
      <c r="E516" s="213"/>
      <c r="F516" s="214"/>
    </row>
    <row r="517">
      <c r="A517" s="209"/>
      <c r="B517" s="210"/>
      <c r="C517" s="211"/>
      <c r="D517" s="212"/>
      <c r="E517" s="213"/>
      <c r="F517" s="214"/>
    </row>
    <row r="518">
      <c r="A518" s="209"/>
      <c r="B518" s="210"/>
      <c r="C518" s="211"/>
      <c r="D518" s="212"/>
      <c r="E518" s="213"/>
      <c r="F518" s="214"/>
    </row>
    <row r="519">
      <c r="A519" s="209"/>
      <c r="B519" s="210"/>
      <c r="C519" s="211"/>
      <c r="D519" s="212"/>
      <c r="E519" s="213"/>
      <c r="F519" s="214"/>
    </row>
    <row r="520">
      <c r="A520" s="209"/>
      <c r="B520" s="210"/>
      <c r="C520" s="211"/>
      <c r="D520" s="212"/>
      <c r="E520" s="213"/>
      <c r="F520" s="214"/>
    </row>
    <row r="521">
      <c r="A521" s="209"/>
      <c r="B521" s="210"/>
      <c r="C521" s="211"/>
      <c r="D521" s="212"/>
      <c r="E521" s="213"/>
      <c r="F521" s="214"/>
    </row>
    <row r="522">
      <c r="A522" s="209"/>
      <c r="B522" s="210"/>
      <c r="C522" s="211"/>
      <c r="D522" s="212"/>
      <c r="E522" s="213"/>
      <c r="F522" s="214"/>
    </row>
    <row r="523">
      <c r="A523" s="209"/>
      <c r="B523" s="210"/>
      <c r="C523" s="211"/>
      <c r="D523" s="212"/>
      <c r="E523" s="213"/>
      <c r="F523" s="214"/>
    </row>
    <row r="524">
      <c r="A524" s="209"/>
      <c r="B524" s="210"/>
      <c r="C524" s="211"/>
      <c r="D524" s="212"/>
      <c r="E524" s="213"/>
      <c r="F524" s="214"/>
    </row>
    <row r="525">
      <c r="A525" s="209"/>
      <c r="B525" s="210"/>
      <c r="C525" s="211"/>
      <c r="D525" s="212"/>
      <c r="E525" s="213"/>
      <c r="F525" s="214"/>
    </row>
    <row r="526">
      <c r="A526" s="209"/>
      <c r="B526" s="210"/>
      <c r="C526" s="211"/>
      <c r="D526" s="212"/>
      <c r="E526" s="213"/>
      <c r="F526" s="214"/>
    </row>
    <row r="527">
      <c r="A527" s="209"/>
      <c r="B527" s="210"/>
      <c r="C527" s="211"/>
      <c r="D527" s="212"/>
      <c r="E527" s="213"/>
      <c r="F527" s="214"/>
    </row>
    <row r="528">
      <c r="A528" s="209"/>
      <c r="B528" s="210"/>
      <c r="C528" s="211"/>
      <c r="D528" s="212"/>
      <c r="E528" s="213"/>
      <c r="F528" s="214"/>
    </row>
    <row r="529">
      <c r="A529" s="209"/>
      <c r="B529" s="210"/>
      <c r="C529" s="211"/>
      <c r="D529" s="212"/>
      <c r="E529" s="213"/>
      <c r="F529" s="214"/>
    </row>
    <row r="530">
      <c r="A530" s="209"/>
      <c r="B530" s="210"/>
      <c r="C530" s="211"/>
      <c r="D530" s="212"/>
      <c r="E530" s="213"/>
      <c r="F530" s="214"/>
    </row>
    <row r="531">
      <c r="A531" s="209"/>
      <c r="B531" s="210"/>
      <c r="C531" s="211"/>
      <c r="D531" s="212"/>
      <c r="E531" s="213"/>
      <c r="F531" s="214"/>
    </row>
    <row r="532">
      <c r="A532" s="209"/>
      <c r="B532" s="210"/>
      <c r="C532" s="211"/>
      <c r="D532" s="212"/>
      <c r="E532" s="213"/>
      <c r="F532" s="214"/>
    </row>
    <row r="533">
      <c r="A533" s="209"/>
      <c r="B533" s="210"/>
      <c r="C533" s="211"/>
      <c r="D533" s="212"/>
      <c r="E533" s="213"/>
      <c r="F533" s="214"/>
    </row>
    <row r="534">
      <c r="A534" s="209"/>
      <c r="B534" s="210"/>
      <c r="C534" s="211"/>
      <c r="D534" s="212"/>
      <c r="E534" s="213"/>
      <c r="F534" s="214"/>
    </row>
    <row r="535">
      <c r="A535" s="209"/>
      <c r="B535" s="210"/>
      <c r="C535" s="211"/>
      <c r="D535" s="212"/>
      <c r="E535" s="213"/>
      <c r="F535" s="214"/>
    </row>
    <row r="536">
      <c r="A536" s="209"/>
      <c r="B536" s="210"/>
      <c r="C536" s="211"/>
      <c r="D536" s="212"/>
      <c r="E536" s="213"/>
      <c r="F536" s="214"/>
    </row>
    <row r="537">
      <c r="A537" s="209"/>
      <c r="B537" s="210"/>
      <c r="C537" s="211"/>
      <c r="D537" s="212"/>
      <c r="E537" s="213"/>
      <c r="F537" s="214"/>
    </row>
    <row r="538">
      <c r="A538" s="209"/>
      <c r="B538" s="210"/>
      <c r="C538" s="211"/>
      <c r="D538" s="212"/>
      <c r="E538" s="213"/>
      <c r="F538" s="214"/>
    </row>
    <row r="539">
      <c r="A539" s="209"/>
      <c r="B539" s="210"/>
      <c r="C539" s="211"/>
      <c r="D539" s="212"/>
      <c r="E539" s="213"/>
      <c r="F539" s="214"/>
    </row>
    <row r="540">
      <c r="A540" s="209"/>
      <c r="B540" s="210"/>
      <c r="C540" s="211"/>
      <c r="D540" s="212"/>
      <c r="E540" s="213"/>
      <c r="F540" s="214"/>
    </row>
    <row r="541">
      <c r="A541" s="209"/>
      <c r="B541" s="210"/>
      <c r="C541" s="211"/>
      <c r="D541" s="212"/>
      <c r="E541" s="213"/>
      <c r="F541" s="214"/>
    </row>
    <row r="542">
      <c r="A542" s="209"/>
      <c r="B542" s="210"/>
      <c r="C542" s="211"/>
      <c r="D542" s="212"/>
      <c r="E542" s="213"/>
      <c r="F542" s="214"/>
    </row>
    <row r="543">
      <c r="A543" s="209"/>
      <c r="B543" s="210"/>
      <c r="C543" s="211"/>
      <c r="D543" s="212"/>
      <c r="E543" s="213"/>
      <c r="F543" s="214"/>
    </row>
    <row r="544">
      <c r="A544" s="209"/>
      <c r="B544" s="210"/>
      <c r="C544" s="211"/>
      <c r="D544" s="212"/>
      <c r="E544" s="213"/>
      <c r="F544" s="214"/>
    </row>
    <row r="545">
      <c r="A545" s="209"/>
      <c r="B545" s="210"/>
      <c r="C545" s="211"/>
      <c r="D545" s="212"/>
      <c r="E545" s="213"/>
      <c r="F545" s="214"/>
    </row>
    <row r="546">
      <c r="A546" s="209"/>
      <c r="B546" s="210"/>
      <c r="C546" s="211"/>
      <c r="D546" s="212"/>
      <c r="E546" s="213"/>
      <c r="F546" s="214"/>
    </row>
    <row r="547">
      <c r="A547" s="209"/>
      <c r="B547" s="210"/>
      <c r="C547" s="211"/>
      <c r="D547" s="212"/>
      <c r="E547" s="213"/>
      <c r="F547" s="214"/>
    </row>
    <row r="548">
      <c r="A548" s="209"/>
      <c r="B548" s="210"/>
      <c r="C548" s="211"/>
      <c r="D548" s="212"/>
      <c r="E548" s="213"/>
      <c r="F548" s="214"/>
    </row>
    <row r="549">
      <c r="A549" s="209"/>
      <c r="B549" s="210"/>
      <c r="C549" s="211"/>
      <c r="D549" s="212"/>
      <c r="E549" s="213"/>
      <c r="F549" s="214"/>
    </row>
    <row r="550">
      <c r="A550" s="209"/>
      <c r="B550" s="210"/>
      <c r="C550" s="211"/>
      <c r="D550" s="212"/>
      <c r="E550" s="213"/>
      <c r="F550" s="214"/>
    </row>
    <row r="551">
      <c r="A551" s="209"/>
      <c r="B551" s="210"/>
      <c r="C551" s="211"/>
      <c r="D551" s="212"/>
      <c r="E551" s="213"/>
      <c r="F551" s="214"/>
    </row>
    <row r="552">
      <c r="A552" s="209"/>
      <c r="B552" s="210"/>
      <c r="C552" s="211"/>
      <c r="D552" s="212"/>
      <c r="E552" s="213"/>
      <c r="F552" s="214"/>
    </row>
    <row r="553">
      <c r="A553" s="209"/>
      <c r="B553" s="210"/>
      <c r="C553" s="211"/>
      <c r="D553" s="212"/>
      <c r="E553" s="213"/>
      <c r="F553" s="214"/>
    </row>
    <row r="554">
      <c r="A554" s="209"/>
      <c r="B554" s="210"/>
      <c r="C554" s="211"/>
      <c r="D554" s="212"/>
      <c r="E554" s="213"/>
      <c r="F554" s="214"/>
    </row>
    <row r="555">
      <c r="A555" s="209"/>
      <c r="B555" s="210"/>
      <c r="C555" s="211"/>
      <c r="D555" s="212"/>
      <c r="E555" s="213"/>
      <c r="F555" s="214"/>
    </row>
    <row r="556">
      <c r="A556" s="209"/>
      <c r="B556" s="210"/>
      <c r="C556" s="211"/>
      <c r="D556" s="212"/>
      <c r="E556" s="213"/>
      <c r="F556" s="214"/>
    </row>
    <row r="557">
      <c r="A557" s="209"/>
      <c r="B557" s="210"/>
      <c r="C557" s="211"/>
      <c r="D557" s="212"/>
      <c r="E557" s="213"/>
      <c r="F557" s="214"/>
    </row>
    <row r="558">
      <c r="A558" s="209"/>
      <c r="B558" s="210"/>
      <c r="C558" s="211"/>
      <c r="D558" s="212"/>
      <c r="E558" s="213"/>
      <c r="F558" s="214"/>
    </row>
    <row r="559">
      <c r="A559" s="209"/>
      <c r="B559" s="210"/>
      <c r="C559" s="211"/>
      <c r="D559" s="212"/>
      <c r="E559" s="213"/>
      <c r="F559" s="214"/>
    </row>
    <row r="560">
      <c r="A560" s="209"/>
      <c r="B560" s="210"/>
      <c r="C560" s="211"/>
      <c r="D560" s="212"/>
      <c r="E560" s="213"/>
      <c r="F560" s="214"/>
    </row>
    <row r="561">
      <c r="A561" s="209"/>
      <c r="B561" s="210"/>
      <c r="C561" s="211"/>
      <c r="D561" s="212"/>
      <c r="E561" s="213"/>
      <c r="F561" s="214"/>
    </row>
    <row r="562">
      <c r="A562" s="209"/>
      <c r="B562" s="210"/>
      <c r="C562" s="211"/>
      <c r="D562" s="212"/>
      <c r="E562" s="213"/>
      <c r="F562" s="214"/>
    </row>
    <row r="563">
      <c r="A563" s="209"/>
      <c r="B563" s="210"/>
      <c r="C563" s="211"/>
      <c r="D563" s="212"/>
      <c r="E563" s="213"/>
      <c r="F563" s="214"/>
    </row>
    <row r="564">
      <c r="A564" s="209"/>
      <c r="B564" s="210"/>
      <c r="C564" s="211"/>
      <c r="D564" s="212"/>
      <c r="E564" s="213"/>
      <c r="F564" s="214"/>
    </row>
    <row r="565">
      <c r="A565" s="209"/>
      <c r="B565" s="210"/>
      <c r="C565" s="211"/>
      <c r="D565" s="212"/>
      <c r="E565" s="213"/>
      <c r="F565" s="214"/>
    </row>
    <row r="566">
      <c r="A566" s="209"/>
      <c r="B566" s="210"/>
      <c r="C566" s="211"/>
      <c r="D566" s="212"/>
      <c r="E566" s="213"/>
      <c r="F566" s="214"/>
    </row>
    <row r="567">
      <c r="A567" s="209"/>
      <c r="B567" s="210"/>
      <c r="C567" s="211"/>
      <c r="D567" s="212"/>
      <c r="E567" s="213"/>
      <c r="F567" s="214"/>
    </row>
    <row r="568">
      <c r="A568" s="209"/>
      <c r="B568" s="210"/>
      <c r="C568" s="211"/>
      <c r="D568" s="212"/>
      <c r="E568" s="213"/>
      <c r="F568" s="214"/>
    </row>
    <row r="569">
      <c r="A569" s="209"/>
      <c r="B569" s="210"/>
      <c r="C569" s="211"/>
      <c r="D569" s="212"/>
      <c r="E569" s="213"/>
      <c r="F569" s="214"/>
    </row>
    <row r="570">
      <c r="A570" s="209"/>
      <c r="B570" s="210"/>
      <c r="C570" s="211"/>
      <c r="D570" s="212"/>
      <c r="E570" s="213"/>
      <c r="F570" s="214"/>
    </row>
    <row r="571">
      <c r="A571" s="209"/>
      <c r="B571" s="210"/>
      <c r="C571" s="211"/>
      <c r="D571" s="212"/>
      <c r="E571" s="213"/>
      <c r="F571" s="214"/>
    </row>
    <row r="572">
      <c r="A572" s="209"/>
      <c r="B572" s="210"/>
      <c r="C572" s="211"/>
      <c r="D572" s="212"/>
      <c r="E572" s="213"/>
      <c r="F572" s="214"/>
    </row>
    <row r="573">
      <c r="A573" s="209"/>
      <c r="B573" s="210"/>
      <c r="C573" s="211"/>
      <c r="D573" s="212"/>
      <c r="E573" s="213"/>
      <c r="F573" s="214"/>
    </row>
    <row r="574">
      <c r="A574" s="209"/>
      <c r="B574" s="210"/>
      <c r="C574" s="211"/>
      <c r="D574" s="212"/>
      <c r="E574" s="213"/>
      <c r="F574" s="214"/>
    </row>
    <row r="575">
      <c r="A575" s="209"/>
      <c r="B575" s="210"/>
      <c r="C575" s="211"/>
      <c r="D575" s="212"/>
      <c r="E575" s="213"/>
      <c r="F575" s="214"/>
    </row>
    <row r="576">
      <c r="A576" s="209"/>
      <c r="B576" s="210"/>
      <c r="C576" s="211"/>
      <c r="D576" s="212"/>
      <c r="E576" s="213"/>
      <c r="F576" s="214"/>
    </row>
    <row r="577">
      <c r="A577" s="209"/>
      <c r="B577" s="210"/>
      <c r="C577" s="211"/>
      <c r="D577" s="212"/>
      <c r="E577" s="213"/>
      <c r="F577" s="214"/>
    </row>
    <row r="578">
      <c r="A578" s="209"/>
      <c r="B578" s="210"/>
      <c r="C578" s="211"/>
      <c r="D578" s="212"/>
      <c r="E578" s="213"/>
      <c r="F578" s="214"/>
    </row>
    <row r="579">
      <c r="A579" s="209"/>
      <c r="B579" s="210"/>
      <c r="C579" s="211"/>
      <c r="D579" s="212"/>
      <c r="E579" s="213"/>
      <c r="F579" s="214"/>
    </row>
    <row r="580">
      <c r="A580" s="209"/>
      <c r="B580" s="210"/>
      <c r="C580" s="211"/>
      <c r="D580" s="212"/>
      <c r="E580" s="213"/>
      <c r="F580" s="214"/>
    </row>
    <row r="581">
      <c r="A581" s="209"/>
      <c r="B581" s="210"/>
      <c r="C581" s="211"/>
      <c r="D581" s="212"/>
      <c r="E581" s="213"/>
      <c r="F581" s="214"/>
    </row>
    <row r="582">
      <c r="A582" s="209"/>
      <c r="B582" s="210"/>
      <c r="C582" s="211"/>
      <c r="D582" s="212"/>
      <c r="E582" s="213"/>
      <c r="F582" s="214"/>
    </row>
    <row r="583">
      <c r="A583" s="209"/>
      <c r="B583" s="210"/>
      <c r="C583" s="211"/>
      <c r="D583" s="212"/>
      <c r="E583" s="213"/>
      <c r="F583" s="214"/>
    </row>
    <row r="584">
      <c r="A584" s="209"/>
      <c r="B584" s="210"/>
      <c r="C584" s="211"/>
      <c r="D584" s="212"/>
      <c r="E584" s="213"/>
      <c r="F584" s="214"/>
    </row>
    <row r="585">
      <c r="A585" s="209"/>
      <c r="B585" s="210"/>
      <c r="C585" s="211"/>
      <c r="D585" s="212"/>
      <c r="E585" s="213"/>
      <c r="F585" s="214"/>
    </row>
    <row r="586">
      <c r="A586" s="209"/>
      <c r="B586" s="210"/>
      <c r="C586" s="211"/>
      <c r="D586" s="212"/>
      <c r="E586" s="213"/>
      <c r="F586" s="214"/>
    </row>
    <row r="587">
      <c r="A587" s="209"/>
      <c r="B587" s="210"/>
      <c r="C587" s="211"/>
      <c r="D587" s="212"/>
      <c r="E587" s="213"/>
      <c r="F587" s="214"/>
    </row>
    <row r="588">
      <c r="A588" s="209"/>
      <c r="B588" s="210"/>
      <c r="C588" s="211"/>
      <c r="D588" s="212"/>
      <c r="E588" s="213"/>
      <c r="F588" s="214"/>
    </row>
    <row r="589">
      <c r="A589" s="209"/>
      <c r="B589" s="210"/>
      <c r="C589" s="211"/>
      <c r="D589" s="212"/>
      <c r="E589" s="213"/>
      <c r="F589" s="214"/>
    </row>
    <row r="590">
      <c r="A590" s="209"/>
      <c r="B590" s="210"/>
      <c r="C590" s="211"/>
      <c r="D590" s="212"/>
      <c r="E590" s="213"/>
      <c r="F590" s="214"/>
    </row>
    <row r="591">
      <c r="A591" s="209"/>
      <c r="B591" s="210"/>
      <c r="C591" s="211"/>
      <c r="D591" s="212"/>
      <c r="E591" s="213"/>
      <c r="F591" s="214"/>
    </row>
    <row r="592">
      <c r="A592" s="209"/>
      <c r="B592" s="210"/>
      <c r="C592" s="211"/>
      <c r="D592" s="212"/>
      <c r="E592" s="213"/>
      <c r="F592" s="214"/>
    </row>
    <row r="593">
      <c r="A593" s="209"/>
      <c r="B593" s="210"/>
      <c r="C593" s="211"/>
      <c r="D593" s="212"/>
      <c r="E593" s="213"/>
      <c r="F593" s="214"/>
    </row>
    <row r="594">
      <c r="A594" s="209"/>
      <c r="B594" s="210"/>
      <c r="C594" s="211"/>
      <c r="D594" s="212"/>
      <c r="E594" s="213"/>
      <c r="F594" s="214"/>
    </row>
    <row r="595">
      <c r="A595" s="209"/>
      <c r="B595" s="210"/>
      <c r="C595" s="211"/>
      <c r="D595" s="212"/>
      <c r="E595" s="213"/>
      <c r="F595" s="214"/>
    </row>
    <row r="596">
      <c r="A596" s="209"/>
      <c r="B596" s="210"/>
      <c r="C596" s="211"/>
      <c r="D596" s="212"/>
      <c r="E596" s="213"/>
      <c r="F596" s="214"/>
    </row>
    <row r="597">
      <c r="A597" s="209"/>
      <c r="B597" s="210"/>
      <c r="C597" s="211"/>
      <c r="D597" s="212"/>
      <c r="E597" s="213"/>
      <c r="F597" s="214"/>
    </row>
    <row r="598">
      <c r="A598" s="209"/>
      <c r="B598" s="210"/>
      <c r="C598" s="211"/>
      <c r="D598" s="212"/>
      <c r="E598" s="213"/>
      <c r="F598" s="214"/>
    </row>
    <row r="599">
      <c r="A599" s="209"/>
      <c r="B599" s="210"/>
      <c r="C599" s="211"/>
      <c r="D599" s="212"/>
      <c r="E599" s="213"/>
      <c r="F599" s="214"/>
    </row>
    <row r="600">
      <c r="A600" s="209"/>
      <c r="B600" s="210"/>
      <c r="C600" s="211"/>
      <c r="D600" s="212"/>
      <c r="E600" s="213"/>
      <c r="F600" s="214"/>
    </row>
    <row r="601">
      <c r="A601" s="209"/>
      <c r="B601" s="210"/>
      <c r="C601" s="211"/>
      <c r="D601" s="212"/>
      <c r="E601" s="213"/>
      <c r="F601" s="214"/>
    </row>
    <row r="602">
      <c r="A602" s="209"/>
      <c r="B602" s="210"/>
      <c r="C602" s="211"/>
      <c r="D602" s="212"/>
      <c r="E602" s="213"/>
      <c r="F602" s="214"/>
    </row>
    <row r="603">
      <c r="A603" s="209"/>
      <c r="B603" s="210"/>
      <c r="C603" s="211"/>
      <c r="D603" s="212"/>
      <c r="E603" s="213"/>
      <c r="F603" s="214"/>
    </row>
    <row r="604">
      <c r="A604" s="209"/>
      <c r="B604" s="210"/>
      <c r="C604" s="211"/>
      <c r="D604" s="212"/>
      <c r="E604" s="213"/>
      <c r="F604" s="214"/>
    </row>
    <row r="605">
      <c r="A605" s="209"/>
      <c r="B605" s="210"/>
      <c r="C605" s="211"/>
      <c r="D605" s="212"/>
      <c r="E605" s="213"/>
      <c r="F605" s="214"/>
    </row>
    <row r="606">
      <c r="A606" s="209"/>
      <c r="B606" s="210"/>
      <c r="C606" s="211"/>
      <c r="D606" s="212"/>
      <c r="E606" s="213"/>
      <c r="F606" s="214"/>
    </row>
    <row r="607">
      <c r="A607" s="209"/>
      <c r="B607" s="210"/>
      <c r="C607" s="211"/>
      <c r="D607" s="212"/>
      <c r="E607" s="213"/>
      <c r="F607" s="214"/>
    </row>
    <row r="608">
      <c r="A608" s="209"/>
      <c r="B608" s="210"/>
      <c r="C608" s="211"/>
      <c r="D608" s="212"/>
      <c r="E608" s="213"/>
      <c r="F608" s="214"/>
    </row>
    <row r="609">
      <c r="A609" s="209"/>
      <c r="B609" s="210"/>
      <c r="C609" s="211"/>
      <c r="D609" s="212"/>
      <c r="E609" s="213"/>
      <c r="F609" s="214"/>
    </row>
    <row r="610">
      <c r="A610" s="209"/>
      <c r="B610" s="210"/>
      <c r="C610" s="211"/>
      <c r="D610" s="212"/>
      <c r="E610" s="213"/>
      <c r="F610" s="214"/>
    </row>
    <row r="611">
      <c r="A611" s="209"/>
      <c r="B611" s="210"/>
      <c r="C611" s="211"/>
      <c r="D611" s="212"/>
      <c r="E611" s="213"/>
      <c r="F611" s="214"/>
    </row>
    <row r="612">
      <c r="A612" s="209"/>
      <c r="B612" s="210"/>
      <c r="C612" s="211"/>
      <c r="D612" s="212"/>
      <c r="E612" s="213"/>
      <c r="F612" s="214"/>
    </row>
    <row r="613">
      <c r="A613" s="209"/>
      <c r="B613" s="210"/>
      <c r="C613" s="211"/>
      <c r="D613" s="212"/>
      <c r="E613" s="213"/>
      <c r="F613" s="214"/>
    </row>
    <row r="614">
      <c r="A614" s="209"/>
      <c r="B614" s="210"/>
      <c r="C614" s="211"/>
      <c r="D614" s="212"/>
      <c r="E614" s="213"/>
      <c r="F614" s="214"/>
    </row>
    <row r="615">
      <c r="A615" s="209"/>
      <c r="B615" s="210"/>
      <c r="C615" s="211"/>
      <c r="D615" s="212"/>
      <c r="E615" s="213"/>
      <c r="F615" s="214"/>
    </row>
    <row r="616">
      <c r="A616" s="209"/>
      <c r="B616" s="210"/>
      <c r="C616" s="211"/>
      <c r="D616" s="212"/>
      <c r="E616" s="213"/>
      <c r="F616" s="214"/>
    </row>
    <row r="617">
      <c r="A617" s="209"/>
      <c r="B617" s="210"/>
      <c r="C617" s="211"/>
      <c r="D617" s="212"/>
      <c r="E617" s="213"/>
      <c r="F617" s="214"/>
    </row>
    <row r="618">
      <c r="A618" s="209"/>
      <c r="B618" s="210"/>
      <c r="C618" s="211"/>
      <c r="D618" s="212"/>
      <c r="E618" s="213"/>
      <c r="F618" s="214"/>
    </row>
    <row r="619">
      <c r="A619" s="209"/>
      <c r="B619" s="210"/>
      <c r="C619" s="211"/>
      <c r="D619" s="212"/>
      <c r="E619" s="213"/>
      <c r="F619" s="214"/>
    </row>
    <row r="620">
      <c r="A620" s="209"/>
      <c r="B620" s="210"/>
      <c r="C620" s="211"/>
      <c r="D620" s="212"/>
      <c r="E620" s="213"/>
      <c r="F620" s="214"/>
    </row>
    <row r="621">
      <c r="A621" s="209"/>
      <c r="B621" s="210"/>
      <c r="C621" s="211"/>
      <c r="D621" s="212"/>
      <c r="E621" s="213"/>
      <c r="F621" s="214"/>
    </row>
    <row r="622">
      <c r="A622" s="209"/>
      <c r="B622" s="210"/>
      <c r="C622" s="211"/>
      <c r="D622" s="212"/>
      <c r="E622" s="213"/>
      <c r="F622" s="214"/>
    </row>
    <row r="623">
      <c r="A623" s="209"/>
      <c r="B623" s="210"/>
      <c r="C623" s="211"/>
      <c r="D623" s="212"/>
      <c r="E623" s="213"/>
      <c r="F623" s="214"/>
    </row>
    <row r="624">
      <c r="A624" s="209"/>
      <c r="B624" s="210"/>
      <c r="C624" s="211"/>
      <c r="D624" s="212"/>
      <c r="E624" s="213"/>
      <c r="F624" s="214"/>
    </row>
    <row r="625">
      <c r="A625" s="209"/>
      <c r="B625" s="210"/>
      <c r="C625" s="211"/>
      <c r="D625" s="212"/>
      <c r="E625" s="213"/>
      <c r="F625" s="214"/>
    </row>
    <row r="626">
      <c r="A626" s="209"/>
      <c r="B626" s="210"/>
      <c r="C626" s="211"/>
      <c r="D626" s="212"/>
      <c r="E626" s="213"/>
      <c r="F626" s="214"/>
    </row>
    <row r="627">
      <c r="A627" s="209"/>
      <c r="B627" s="210"/>
      <c r="C627" s="211"/>
      <c r="D627" s="212"/>
      <c r="E627" s="213"/>
      <c r="F627" s="214"/>
    </row>
    <row r="628">
      <c r="A628" s="209"/>
      <c r="B628" s="210"/>
      <c r="C628" s="211"/>
      <c r="D628" s="212"/>
      <c r="E628" s="213"/>
      <c r="F628" s="214"/>
    </row>
    <row r="629">
      <c r="A629" s="209"/>
      <c r="B629" s="210"/>
      <c r="C629" s="211"/>
      <c r="D629" s="212"/>
      <c r="E629" s="213"/>
      <c r="F629" s="214"/>
    </row>
    <row r="630">
      <c r="A630" s="209"/>
      <c r="B630" s="210"/>
      <c r="C630" s="211"/>
      <c r="D630" s="212"/>
      <c r="E630" s="213"/>
      <c r="F630" s="214"/>
    </row>
    <row r="631">
      <c r="A631" s="209"/>
      <c r="B631" s="210"/>
      <c r="C631" s="211"/>
      <c r="D631" s="212"/>
      <c r="E631" s="213"/>
      <c r="F631" s="214"/>
    </row>
    <row r="632">
      <c r="A632" s="209"/>
      <c r="B632" s="210"/>
      <c r="C632" s="211"/>
      <c r="D632" s="212"/>
      <c r="E632" s="213"/>
      <c r="F632" s="214"/>
    </row>
    <row r="633">
      <c r="A633" s="209"/>
      <c r="B633" s="210"/>
      <c r="C633" s="211"/>
      <c r="D633" s="212"/>
      <c r="E633" s="213"/>
      <c r="F633" s="214"/>
    </row>
    <row r="634">
      <c r="A634" s="209"/>
      <c r="B634" s="210"/>
      <c r="C634" s="211"/>
      <c r="D634" s="212"/>
      <c r="E634" s="213"/>
      <c r="F634" s="214"/>
    </row>
    <row r="635">
      <c r="A635" s="209"/>
      <c r="B635" s="210"/>
      <c r="C635" s="211"/>
      <c r="D635" s="212"/>
      <c r="E635" s="213"/>
      <c r="F635" s="214"/>
    </row>
    <row r="636">
      <c r="A636" s="209"/>
      <c r="B636" s="210"/>
      <c r="C636" s="211"/>
      <c r="D636" s="212"/>
      <c r="E636" s="213"/>
      <c r="F636" s="214"/>
    </row>
    <row r="637">
      <c r="A637" s="209"/>
      <c r="B637" s="210"/>
      <c r="C637" s="211"/>
      <c r="D637" s="212"/>
      <c r="E637" s="213"/>
      <c r="F637" s="214"/>
    </row>
    <row r="638">
      <c r="A638" s="209"/>
      <c r="B638" s="210"/>
      <c r="C638" s="211"/>
      <c r="D638" s="212"/>
      <c r="E638" s="213"/>
      <c r="F638" s="214"/>
    </row>
    <row r="639">
      <c r="A639" s="209"/>
      <c r="B639" s="210"/>
      <c r="C639" s="211"/>
      <c r="D639" s="212"/>
      <c r="E639" s="213"/>
      <c r="F639" s="214"/>
    </row>
    <row r="640">
      <c r="A640" s="209"/>
      <c r="B640" s="210"/>
      <c r="C640" s="211"/>
      <c r="D640" s="212"/>
      <c r="E640" s="213"/>
      <c r="F640" s="214"/>
    </row>
    <row r="641">
      <c r="A641" s="209"/>
      <c r="B641" s="210"/>
      <c r="C641" s="211"/>
      <c r="D641" s="212"/>
      <c r="E641" s="213"/>
      <c r="F641" s="214"/>
    </row>
    <row r="642">
      <c r="A642" s="209"/>
      <c r="B642" s="210"/>
      <c r="C642" s="211"/>
      <c r="D642" s="212"/>
      <c r="E642" s="213"/>
      <c r="F642" s="214"/>
    </row>
    <row r="643">
      <c r="A643" s="209"/>
      <c r="B643" s="210"/>
      <c r="C643" s="211"/>
      <c r="D643" s="212"/>
      <c r="E643" s="213"/>
      <c r="F643" s="214"/>
    </row>
    <row r="644">
      <c r="A644" s="209"/>
      <c r="B644" s="210"/>
      <c r="C644" s="211"/>
      <c r="D644" s="212"/>
      <c r="E644" s="213"/>
      <c r="F644" s="214"/>
    </row>
    <row r="645">
      <c r="A645" s="209"/>
      <c r="B645" s="210"/>
      <c r="C645" s="211"/>
      <c r="D645" s="212"/>
      <c r="E645" s="213"/>
      <c r="F645" s="214"/>
    </row>
    <row r="646">
      <c r="A646" s="209"/>
      <c r="B646" s="210"/>
      <c r="C646" s="211"/>
      <c r="D646" s="212"/>
      <c r="E646" s="213"/>
      <c r="F646" s="214"/>
    </row>
    <row r="647">
      <c r="A647" s="209"/>
      <c r="B647" s="210"/>
      <c r="C647" s="211"/>
      <c r="D647" s="212"/>
      <c r="E647" s="213"/>
      <c r="F647" s="214"/>
    </row>
    <row r="648">
      <c r="A648" s="209"/>
      <c r="B648" s="210"/>
      <c r="C648" s="211"/>
      <c r="D648" s="212"/>
      <c r="E648" s="213"/>
      <c r="F648" s="214"/>
    </row>
    <row r="649">
      <c r="A649" s="209"/>
      <c r="B649" s="210"/>
      <c r="C649" s="211"/>
      <c r="D649" s="212"/>
      <c r="E649" s="213"/>
      <c r="F649" s="214"/>
    </row>
    <row r="650">
      <c r="A650" s="209"/>
      <c r="B650" s="210"/>
      <c r="C650" s="211"/>
      <c r="D650" s="212"/>
      <c r="E650" s="213"/>
      <c r="F650" s="214"/>
    </row>
    <row r="651">
      <c r="A651" s="209"/>
      <c r="B651" s="210"/>
      <c r="C651" s="211"/>
      <c r="D651" s="212"/>
      <c r="E651" s="213"/>
      <c r="F651" s="214"/>
    </row>
    <row r="652">
      <c r="A652" s="209"/>
      <c r="B652" s="210"/>
      <c r="C652" s="211"/>
      <c r="D652" s="212"/>
      <c r="E652" s="213"/>
      <c r="F652" s="214"/>
    </row>
    <row r="653">
      <c r="A653" s="209"/>
      <c r="B653" s="210"/>
      <c r="C653" s="211"/>
      <c r="D653" s="212"/>
      <c r="E653" s="213"/>
      <c r="F653" s="214"/>
    </row>
    <row r="654">
      <c r="A654" s="209"/>
      <c r="B654" s="210"/>
      <c r="C654" s="211"/>
      <c r="D654" s="212"/>
      <c r="E654" s="213"/>
      <c r="F654" s="214"/>
    </row>
    <row r="655">
      <c r="A655" s="209"/>
      <c r="B655" s="210"/>
      <c r="C655" s="211"/>
      <c r="D655" s="212"/>
      <c r="E655" s="213"/>
      <c r="F655" s="214"/>
    </row>
    <row r="656">
      <c r="A656" s="209"/>
      <c r="B656" s="210"/>
      <c r="C656" s="211"/>
      <c r="D656" s="212"/>
      <c r="E656" s="213"/>
      <c r="F656" s="214"/>
    </row>
    <row r="657">
      <c r="A657" s="209"/>
      <c r="B657" s="210"/>
      <c r="C657" s="211"/>
      <c r="D657" s="212"/>
      <c r="E657" s="213"/>
      <c r="F657" s="214"/>
    </row>
    <row r="658">
      <c r="A658" s="209"/>
      <c r="B658" s="210"/>
      <c r="C658" s="211"/>
      <c r="D658" s="212"/>
      <c r="E658" s="213"/>
      <c r="F658" s="214"/>
    </row>
    <row r="659">
      <c r="A659" s="209"/>
      <c r="B659" s="210"/>
      <c r="C659" s="211"/>
      <c r="D659" s="212"/>
      <c r="E659" s="213"/>
      <c r="F659" s="214"/>
    </row>
    <row r="660">
      <c r="A660" s="209"/>
      <c r="B660" s="210"/>
      <c r="C660" s="211"/>
      <c r="D660" s="212"/>
      <c r="E660" s="213"/>
      <c r="F660" s="214"/>
    </row>
    <row r="661">
      <c r="A661" s="209"/>
      <c r="B661" s="210"/>
      <c r="C661" s="211"/>
      <c r="D661" s="212"/>
      <c r="E661" s="213"/>
      <c r="F661" s="214"/>
    </row>
    <row r="662">
      <c r="A662" s="209"/>
      <c r="B662" s="210"/>
      <c r="C662" s="211"/>
      <c r="D662" s="212"/>
      <c r="E662" s="213"/>
      <c r="F662" s="214"/>
    </row>
    <row r="663">
      <c r="A663" s="209"/>
      <c r="B663" s="210"/>
      <c r="C663" s="211"/>
      <c r="D663" s="212"/>
      <c r="E663" s="213"/>
      <c r="F663" s="214"/>
    </row>
    <row r="664">
      <c r="A664" s="209"/>
      <c r="B664" s="210"/>
      <c r="C664" s="211"/>
      <c r="D664" s="212"/>
      <c r="E664" s="213"/>
      <c r="F664" s="214"/>
    </row>
    <row r="665">
      <c r="A665" s="209"/>
      <c r="B665" s="210"/>
      <c r="C665" s="211"/>
      <c r="D665" s="212"/>
      <c r="E665" s="213"/>
      <c r="F665" s="214"/>
    </row>
    <row r="666">
      <c r="A666" s="209"/>
      <c r="B666" s="210"/>
      <c r="C666" s="211"/>
      <c r="D666" s="212"/>
      <c r="E666" s="213"/>
      <c r="F666" s="214"/>
    </row>
    <row r="667">
      <c r="A667" s="209"/>
      <c r="B667" s="210"/>
      <c r="C667" s="211"/>
      <c r="D667" s="212"/>
      <c r="E667" s="213"/>
      <c r="F667" s="214"/>
    </row>
    <row r="668">
      <c r="A668" s="209"/>
      <c r="B668" s="210"/>
      <c r="C668" s="211"/>
      <c r="D668" s="212"/>
      <c r="E668" s="213"/>
      <c r="F668" s="214"/>
    </row>
    <row r="669">
      <c r="A669" s="209"/>
      <c r="B669" s="210"/>
      <c r="C669" s="211"/>
      <c r="D669" s="212"/>
      <c r="E669" s="213"/>
      <c r="F669" s="214"/>
    </row>
    <row r="670">
      <c r="A670" s="209"/>
      <c r="B670" s="210"/>
      <c r="C670" s="211"/>
      <c r="D670" s="212"/>
      <c r="E670" s="213"/>
      <c r="F670" s="214"/>
    </row>
    <row r="671">
      <c r="A671" s="209"/>
      <c r="B671" s="210"/>
      <c r="C671" s="211"/>
      <c r="D671" s="212"/>
      <c r="E671" s="213"/>
      <c r="F671" s="214"/>
    </row>
    <row r="672">
      <c r="A672" s="209"/>
      <c r="B672" s="210"/>
      <c r="C672" s="211"/>
      <c r="D672" s="212"/>
      <c r="E672" s="213"/>
      <c r="F672" s="214"/>
    </row>
    <row r="673">
      <c r="A673" s="209"/>
      <c r="B673" s="210"/>
      <c r="C673" s="211"/>
      <c r="D673" s="212"/>
      <c r="E673" s="213"/>
      <c r="F673" s="214"/>
    </row>
    <row r="674">
      <c r="A674" s="209"/>
      <c r="B674" s="210"/>
      <c r="C674" s="211"/>
      <c r="D674" s="212"/>
      <c r="E674" s="213"/>
      <c r="F674" s="214"/>
    </row>
    <row r="675">
      <c r="A675" s="209"/>
      <c r="B675" s="210"/>
      <c r="C675" s="211"/>
      <c r="D675" s="212"/>
      <c r="E675" s="213"/>
      <c r="F675" s="214"/>
    </row>
    <row r="676">
      <c r="A676" s="209"/>
      <c r="B676" s="210"/>
      <c r="C676" s="211"/>
      <c r="D676" s="212"/>
      <c r="E676" s="213"/>
      <c r="F676" s="214"/>
    </row>
    <row r="677">
      <c r="A677" s="209"/>
      <c r="B677" s="210"/>
      <c r="C677" s="211"/>
      <c r="D677" s="212"/>
      <c r="E677" s="213"/>
      <c r="F677" s="214"/>
    </row>
    <row r="678">
      <c r="A678" s="209"/>
      <c r="B678" s="210"/>
      <c r="C678" s="211"/>
      <c r="D678" s="212"/>
      <c r="E678" s="213"/>
      <c r="F678" s="214"/>
    </row>
    <row r="679">
      <c r="A679" s="209"/>
      <c r="B679" s="210"/>
      <c r="C679" s="211"/>
      <c r="D679" s="212"/>
      <c r="E679" s="213"/>
      <c r="F679" s="214"/>
    </row>
    <row r="680">
      <c r="A680" s="209"/>
      <c r="B680" s="210"/>
      <c r="C680" s="211"/>
      <c r="D680" s="212"/>
      <c r="E680" s="213"/>
      <c r="F680" s="214"/>
    </row>
    <row r="681">
      <c r="A681" s="209"/>
      <c r="B681" s="210"/>
      <c r="C681" s="211"/>
      <c r="D681" s="212"/>
      <c r="E681" s="213"/>
      <c r="F681" s="214"/>
    </row>
    <row r="682">
      <c r="A682" s="209"/>
      <c r="B682" s="210"/>
      <c r="C682" s="211"/>
      <c r="D682" s="212"/>
      <c r="E682" s="213"/>
      <c r="F682" s="214"/>
    </row>
    <row r="683">
      <c r="A683" s="209"/>
      <c r="B683" s="210"/>
      <c r="C683" s="211"/>
      <c r="D683" s="212"/>
      <c r="E683" s="213"/>
      <c r="F683" s="214"/>
    </row>
    <row r="684">
      <c r="A684" s="209"/>
      <c r="B684" s="210"/>
      <c r="C684" s="211"/>
      <c r="D684" s="212"/>
      <c r="E684" s="213"/>
      <c r="F684" s="214"/>
    </row>
    <row r="685">
      <c r="A685" s="209"/>
      <c r="B685" s="210"/>
      <c r="C685" s="211"/>
      <c r="D685" s="212"/>
      <c r="E685" s="213"/>
      <c r="F685" s="214"/>
    </row>
    <row r="686">
      <c r="A686" s="209"/>
      <c r="B686" s="210"/>
      <c r="C686" s="211"/>
      <c r="D686" s="212"/>
      <c r="E686" s="213"/>
      <c r="F686" s="214"/>
    </row>
    <row r="687">
      <c r="A687" s="209"/>
      <c r="B687" s="210"/>
      <c r="C687" s="211"/>
      <c r="D687" s="212"/>
      <c r="E687" s="213"/>
      <c r="F687" s="214"/>
    </row>
    <row r="688">
      <c r="A688" s="209"/>
      <c r="B688" s="210"/>
      <c r="C688" s="211"/>
      <c r="D688" s="212"/>
      <c r="E688" s="213"/>
      <c r="F688" s="214"/>
    </row>
    <row r="689">
      <c r="A689" s="209"/>
      <c r="B689" s="210"/>
      <c r="C689" s="211"/>
      <c r="D689" s="212"/>
      <c r="E689" s="213"/>
      <c r="F689" s="214"/>
    </row>
    <row r="690">
      <c r="A690" s="209"/>
      <c r="B690" s="210"/>
      <c r="C690" s="211"/>
      <c r="D690" s="212"/>
      <c r="E690" s="213"/>
      <c r="F690" s="214"/>
    </row>
    <row r="691">
      <c r="A691" s="209"/>
      <c r="B691" s="210"/>
      <c r="C691" s="211"/>
      <c r="D691" s="212"/>
      <c r="E691" s="213"/>
      <c r="F691" s="214"/>
    </row>
    <row r="692">
      <c r="A692" s="209"/>
      <c r="B692" s="210"/>
      <c r="C692" s="211"/>
      <c r="D692" s="212"/>
      <c r="E692" s="213"/>
      <c r="F692" s="214"/>
    </row>
    <row r="693">
      <c r="A693" s="209"/>
      <c r="B693" s="210"/>
      <c r="C693" s="211"/>
      <c r="D693" s="212"/>
      <c r="E693" s="213"/>
      <c r="F693" s="214"/>
    </row>
    <row r="694">
      <c r="A694" s="209"/>
      <c r="B694" s="210"/>
      <c r="C694" s="211"/>
      <c r="D694" s="212"/>
      <c r="E694" s="213"/>
      <c r="F694" s="214"/>
    </row>
    <row r="695">
      <c r="A695" s="209"/>
      <c r="B695" s="210"/>
      <c r="C695" s="211"/>
      <c r="D695" s="212"/>
      <c r="E695" s="213"/>
      <c r="F695" s="214"/>
    </row>
    <row r="696">
      <c r="A696" s="209"/>
      <c r="B696" s="210"/>
      <c r="C696" s="211"/>
      <c r="D696" s="212"/>
      <c r="E696" s="213"/>
      <c r="F696" s="214"/>
    </row>
    <row r="697">
      <c r="A697" s="209"/>
      <c r="B697" s="210"/>
      <c r="C697" s="211"/>
      <c r="D697" s="212"/>
      <c r="E697" s="213"/>
      <c r="F697" s="214"/>
    </row>
    <row r="698">
      <c r="A698" s="209"/>
      <c r="B698" s="210"/>
      <c r="C698" s="211"/>
      <c r="D698" s="212"/>
      <c r="E698" s="213"/>
      <c r="F698" s="214"/>
    </row>
    <row r="699">
      <c r="A699" s="209"/>
      <c r="B699" s="210"/>
      <c r="C699" s="211"/>
      <c r="D699" s="212"/>
      <c r="E699" s="213"/>
      <c r="F699" s="214"/>
    </row>
    <row r="700">
      <c r="A700" s="209"/>
      <c r="B700" s="210"/>
      <c r="C700" s="211"/>
      <c r="D700" s="212"/>
      <c r="E700" s="213"/>
      <c r="F700" s="214"/>
    </row>
    <row r="701">
      <c r="A701" s="209"/>
      <c r="B701" s="210"/>
      <c r="C701" s="211"/>
      <c r="D701" s="212"/>
      <c r="E701" s="213"/>
      <c r="F701" s="214"/>
    </row>
    <row r="702">
      <c r="A702" s="209"/>
      <c r="B702" s="210"/>
      <c r="C702" s="211"/>
      <c r="D702" s="212"/>
      <c r="E702" s="213"/>
      <c r="F702" s="214"/>
    </row>
    <row r="703">
      <c r="A703" s="209"/>
      <c r="B703" s="210"/>
      <c r="C703" s="211"/>
      <c r="D703" s="212"/>
      <c r="E703" s="213"/>
      <c r="F703" s="214"/>
    </row>
    <row r="704">
      <c r="A704" s="209"/>
      <c r="B704" s="210"/>
      <c r="C704" s="211"/>
      <c r="D704" s="212"/>
      <c r="E704" s="213"/>
      <c r="F704" s="214"/>
    </row>
    <row r="705">
      <c r="A705" s="209"/>
      <c r="B705" s="210"/>
      <c r="C705" s="211"/>
      <c r="D705" s="212"/>
      <c r="E705" s="213"/>
      <c r="F705" s="214"/>
    </row>
    <row r="706">
      <c r="A706" s="209"/>
      <c r="B706" s="210"/>
      <c r="C706" s="211"/>
      <c r="D706" s="212"/>
      <c r="E706" s="213"/>
      <c r="F706" s="214"/>
    </row>
    <row r="707">
      <c r="A707" s="209"/>
      <c r="B707" s="210"/>
      <c r="C707" s="211"/>
      <c r="D707" s="212"/>
      <c r="E707" s="213"/>
      <c r="F707" s="214"/>
    </row>
    <row r="708">
      <c r="A708" s="209"/>
      <c r="B708" s="210"/>
      <c r="C708" s="211"/>
      <c r="D708" s="212"/>
      <c r="E708" s="213"/>
      <c r="F708" s="214"/>
    </row>
    <row r="709">
      <c r="A709" s="209"/>
      <c r="B709" s="210"/>
      <c r="C709" s="211"/>
      <c r="D709" s="212"/>
      <c r="E709" s="213"/>
      <c r="F709" s="214"/>
    </row>
    <row r="710">
      <c r="A710" s="209"/>
      <c r="B710" s="210"/>
      <c r="C710" s="211"/>
      <c r="D710" s="212"/>
      <c r="E710" s="213"/>
      <c r="F710" s="214"/>
    </row>
    <row r="711">
      <c r="A711" s="209"/>
      <c r="B711" s="210"/>
      <c r="C711" s="211"/>
      <c r="D711" s="212"/>
      <c r="E711" s="213"/>
      <c r="F711" s="214"/>
    </row>
    <row r="712">
      <c r="A712" s="209"/>
      <c r="B712" s="210"/>
      <c r="C712" s="211"/>
      <c r="D712" s="212"/>
      <c r="E712" s="213"/>
      <c r="F712" s="214"/>
    </row>
    <row r="713">
      <c r="A713" s="209"/>
      <c r="B713" s="210"/>
      <c r="C713" s="211"/>
      <c r="D713" s="212"/>
      <c r="E713" s="213"/>
      <c r="F713" s="214"/>
    </row>
    <row r="714">
      <c r="A714" s="209"/>
      <c r="B714" s="210"/>
      <c r="C714" s="211"/>
      <c r="D714" s="212"/>
      <c r="E714" s="213"/>
      <c r="F714" s="214"/>
    </row>
    <row r="715">
      <c r="A715" s="209"/>
      <c r="B715" s="210"/>
      <c r="C715" s="211"/>
      <c r="D715" s="212"/>
      <c r="E715" s="213"/>
      <c r="F715" s="214"/>
    </row>
    <row r="716">
      <c r="A716" s="209"/>
      <c r="B716" s="210"/>
      <c r="C716" s="211"/>
      <c r="D716" s="212"/>
      <c r="E716" s="213"/>
      <c r="F716" s="214"/>
    </row>
    <row r="717">
      <c r="A717" s="209"/>
      <c r="B717" s="210"/>
      <c r="C717" s="211"/>
      <c r="D717" s="212"/>
      <c r="E717" s="213"/>
      <c r="F717" s="214"/>
    </row>
    <row r="718">
      <c r="A718" s="209"/>
      <c r="B718" s="210"/>
      <c r="C718" s="211"/>
      <c r="D718" s="212"/>
      <c r="E718" s="213"/>
      <c r="F718" s="214"/>
    </row>
    <row r="719">
      <c r="A719" s="209"/>
      <c r="B719" s="210"/>
      <c r="C719" s="211"/>
      <c r="D719" s="212"/>
      <c r="E719" s="213"/>
      <c r="F719" s="214"/>
    </row>
    <row r="720">
      <c r="A720" s="209"/>
      <c r="B720" s="210"/>
      <c r="C720" s="211"/>
      <c r="D720" s="212"/>
      <c r="E720" s="213"/>
      <c r="F720" s="214"/>
    </row>
    <row r="721">
      <c r="A721" s="209"/>
      <c r="B721" s="210"/>
      <c r="C721" s="211"/>
      <c r="D721" s="212"/>
      <c r="E721" s="213"/>
      <c r="F721" s="214"/>
    </row>
    <row r="722">
      <c r="A722" s="209"/>
      <c r="B722" s="210"/>
      <c r="C722" s="211"/>
      <c r="D722" s="212"/>
      <c r="E722" s="213"/>
      <c r="F722" s="214"/>
    </row>
    <row r="723">
      <c r="A723" s="209"/>
      <c r="B723" s="210"/>
      <c r="C723" s="211"/>
      <c r="D723" s="212"/>
      <c r="E723" s="213"/>
      <c r="F723" s="214"/>
    </row>
    <row r="724">
      <c r="A724" s="209"/>
      <c r="B724" s="210"/>
      <c r="C724" s="211"/>
      <c r="D724" s="212"/>
      <c r="E724" s="213"/>
      <c r="F724" s="214"/>
    </row>
    <row r="725">
      <c r="A725" s="209"/>
      <c r="B725" s="210"/>
      <c r="C725" s="211"/>
      <c r="D725" s="212"/>
      <c r="E725" s="213"/>
      <c r="F725" s="214"/>
    </row>
    <row r="726">
      <c r="A726" s="209"/>
      <c r="B726" s="210"/>
      <c r="C726" s="211"/>
      <c r="D726" s="212"/>
      <c r="E726" s="213"/>
      <c r="F726" s="214"/>
    </row>
    <row r="727">
      <c r="A727" s="209"/>
      <c r="B727" s="210"/>
      <c r="C727" s="211"/>
      <c r="D727" s="212"/>
      <c r="E727" s="213"/>
      <c r="F727" s="214"/>
    </row>
    <row r="728">
      <c r="A728" s="209"/>
      <c r="B728" s="210"/>
      <c r="C728" s="211"/>
      <c r="D728" s="212"/>
      <c r="E728" s="213"/>
      <c r="F728" s="214"/>
    </row>
    <row r="729">
      <c r="A729" s="209"/>
      <c r="B729" s="210"/>
      <c r="C729" s="211"/>
      <c r="D729" s="212"/>
      <c r="E729" s="213"/>
      <c r="F729" s="214"/>
    </row>
    <row r="730">
      <c r="A730" s="209"/>
      <c r="B730" s="210"/>
      <c r="C730" s="211"/>
      <c r="D730" s="212"/>
      <c r="E730" s="213"/>
      <c r="F730" s="214"/>
    </row>
    <row r="731">
      <c r="A731" s="209"/>
      <c r="B731" s="210"/>
      <c r="C731" s="211"/>
      <c r="D731" s="212"/>
      <c r="E731" s="213"/>
      <c r="F731" s="214"/>
    </row>
    <row r="732">
      <c r="A732" s="209"/>
      <c r="B732" s="210"/>
      <c r="C732" s="211"/>
      <c r="D732" s="212"/>
      <c r="E732" s="213"/>
      <c r="F732" s="214"/>
    </row>
    <row r="733">
      <c r="A733" s="209"/>
      <c r="B733" s="210"/>
      <c r="C733" s="211"/>
      <c r="D733" s="212"/>
      <c r="E733" s="213"/>
      <c r="F733" s="214"/>
    </row>
    <row r="734">
      <c r="A734" s="209"/>
      <c r="B734" s="210"/>
      <c r="C734" s="211"/>
      <c r="D734" s="212"/>
      <c r="E734" s="213"/>
      <c r="F734" s="214"/>
    </row>
    <row r="735">
      <c r="A735" s="209"/>
      <c r="B735" s="210"/>
      <c r="C735" s="211"/>
      <c r="D735" s="212"/>
      <c r="E735" s="213"/>
      <c r="F735" s="214"/>
    </row>
    <row r="736">
      <c r="A736" s="209"/>
      <c r="B736" s="210"/>
      <c r="C736" s="211"/>
      <c r="D736" s="212"/>
      <c r="E736" s="213"/>
      <c r="F736" s="214"/>
    </row>
    <row r="737">
      <c r="A737" s="209"/>
      <c r="B737" s="210"/>
      <c r="C737" s="211"/>
      <c r="D737" s="212"/>
      <c r="E737" s="213"/>
      <c r="F737" s="214"/>
    </row>
    <row r="738">
      <c r="A738" s="209"/>
      <c r="B738" s="210"/>
      <c r="C738" s="211"/>
      <c r="D738" s="212"/>
      <c r="E738" s="213"/>
      <c r="F738" s="214"/>
    </row>
    <row r="739">
      <c r="A739" s="209"/>
      <c r="B739" s="210"/>
      <c r="C739" s="211"/>
      <c r="D739" s="212"/>
      <c r="E739" s="213"/>
      <c r="F739" s="214"/>
    </row>
    <row r="740">
      <c r="A740" s="209"/>
      <c r="B740" s="210"/>
      <c r="C740" s="211"/>
      <c r="D740" s="212"/>
      <c r="E740" s="213"/>
      <c r="F740" s="214"/>
    </row>
    <row r="741">
      <c r="A741" s="209"/>
      <c r="B741" s="210"/>
      <c r="C741" s="211"/>
      <c r="D741" s="212"/>
      <c r="E741" s="213"/>
      <c r="F741" s="214"/>
    </row>
    <row r="742">
      <c r="A742" s="209"/>
      <c r="B742" s="210"/>
      <c r="C742" s="211"/>
      <c r="D742" s="212"/>
      <c r="E742" s="213"/>
      <c r="F742" s="214"/>
    </row>
    <row r="743">
      <c r="A743" s="209"/>
      <c r="B743" s="210"/>
      <c r="C743" s="211"/>
      <c r="D743" s="212"/>
      <c r="E743" s="213"/>
      <c r="F743" s="214"/>
    </row>
    <row r="744">
      <c r="A744" s="209"/>
      <c r="B744" s="210"/>
      <c r="C744" s="211"/>
      <c r="D744" s="212"/>
      <c r="E744" s="213"/>
      <c r="F744" s="214"/>
    </row>
    <row r="745">
      <c r="A745" s="209"/>
      <c r="B745" s="210"/>
      <c r="C745" s="211"/>
      <c r="D745" s="212"/>
      <c r="E745" s="213"/>
      <c r="F745" s="214"/>
    </row>
    <row r="746">
      <c r="A746" s="209"/>
      <c r="B746" s="210"/>
      <c r="C746" s="211"/>
      <c r="D746" s="212"/>
      <c r="E746" s="213"/>
      <c r="F746" s="214"/>
    </row>
    <row r="747">
      <c r="A747" s="209"/>
      <c r="B747" s="210"/>
      <c r="C747" s="211"/>
      <c r="D747" s="212"/>
      <c r="E747" s="213"/>
      <c r="F747" s="214"/>
    </row>
    <row r="748">
      <c r="A748" s="209"/>
      <c r="B748" s="210"/>
      <c r="C748" s="211"/>
      <c r="D748" s="212"/>
      <c r="E748" s="213"/>
      <c r="F748" s="214"/>
    </row>
    <row r="749">
      <c r="A749" s="209"/>
      <c r="B749" s="210"/>
      <c r="C749" s="211"/>
      <c r="D749" s="212"/>
      <c r="E749" s="213"/>
      <c r="F749" s="214"/>
    </row>
    <row r="750">
      <c r="A750" s="209"/>
      <c r="B750" s="210"/>
      <c r="C750" s="211"/>
      <c r="D750" s="212"/>
      <c r="E750" s="213"/>
      <c r="F750" s="214"/>
    </row>
    <row r="751">
      <c r="A751" s="209"/>
      <c r="B751" s="210"/>
      <c r="C751" s="211"/>
      <c r="D751" s="212"/>
      <c r="E751" s="213"/>
      <c r="F751" s="214"/>
    </row>
    <row r="752">
      <c r="A752" s="209"/>
      <c r="B752" s="210"/>
      <c r="C752" s="211"/>
      <c r="D752" s="212"/>
      <c r="E752" s="213"/>
      <c r="F752" s="214"/>
    </row>
    <row r="753">
      <c r="A753" s="209"/>
      <c r="B753" s="210"/>
      <c r="C753" s="211"/>
      <c r="D753" s="212"/>
      <c r="E753" s="213"/>
      <c r="F753" s="214"/>
    </row>
    <row r="754">
      <c r="A754" s="209"/>
      <c r="B754" s="210"/>
      <c r="C754" s="211"/>
      <c r="D754" s="212"/>
      <c r="E754" s="213"/>
      <c r="F754" s="214"/>
    </row>
    <row r="755">
      <c r="A755" s="209"/>
      <c r="B755" s="210"/>
      <c r="C755" s="211"/>
      <c r="D755" s="212"/>
      <c r="E755" s="213"/>
      <c r="F755" s="214"/>
    </row>
    <row r="756">
      <c r="A756" s="209"/>
      <c r="B756" s="210"/>
      <c r="C756" s="211"/>
      <c r="D756" s="212"/>
      <c r="E756" s="213"/>
      <c r="F756" s="214"/>
    </row>
    <row r="757">
      <c r="A757" s="209"/>
      <c r="B757" s="210"/>
      <c r="C757" s="211"/>
      <c r="D757" s="212"/>
      <c r="E757" s="213"/>
      <c r="F757" s="214"/>
    </row>
    <row r="758">
      <c r="A758" s="209"/>
      <c r="B758" s="210"/>
      <c r="C758" s="211"/>
      <c r="D758" s="212"/>
      <c r="E758" s="213"/>
      <c r="F758" s="214"/>
    </row>
    <row r="759">
      <c r="A759" s="209"/>
      <c r="B759" s="210"/>
      <c r="C759" s="211"/>
      <c r="D759" s="212"/>
      <c r="E759" s="213"/>
      <c r="F759" s="214"/>
    </row>
    <row r="760">
      <c r="A760" s="209"/>
      <c r="B760" s="210"/>
      <c r="C760" s="211"/>
      <c r="D760" s="212"/>
      <c r="E760" s="213"/>
      <c r="F760" s="214"/>
    </row>
    <row r="761">
      <c r="A761" s="209"/>
      <c r="B761" s="210"/>
      <c r="C761" s="211"/>
      <c r="D761" s="212"/>
      <c r="E761" s="213"/>
      <c r="F761" s="214"/>
    </row>
    <row r="762">
      <c r="A762" s="209"/>
      <c r="B762" s="210"/>
      <c r="C762" s="211"/>
      <c r="D762" s="212"/>
      <c r="E762" s="213"/>
      <c r="F762" s="214"/>
    </row>
    <row r="763">
      <c r="A763" s="209"/>
      <c r="B763" s="210"/>
      <c r="C763" s="211"/>
      <c r="D763" s="212"/>
      <c r="E763" s="213"/>
      <c r="F763" s="214"/>
    </row>
    <row r="764">
      <c r="A764" s="209"/>
      <c r="B764" s="210"/>
      <c r="C764" s="211"/>
      <c r="D764" s="212"/>
      <c r="E764" s="213"/>
      <c r="F764" s="214"/>
    </row>
    <row r="765">
      <c r="A765" s="209"/>
      <c r="B765" s="210"/>
      <c r="C765" s="211"/>
      <c r="D765" s="212"/>
      <c r="E765" s="213"/>
      <c r="F765" s="214"/>
    </row>
    <row r="766">
      <c r="A766" s="209"/>
      <c r="B766" s="210"/>
      <c r="C766" s="211"/>
      <c r="D766" s="212"/>
      <c r="E766" s="213"/>
      <c r="F766" s="214"/>
    </row>
    <row r="767">
      <c r="A767" s="209"/>
      <c r="B767" s="210"/>
      <c r="C767" s="211"/>
      <c r="D767" s="212"/>
      <c r="E767" s="213"/>
      <c r="F767" s="214"/>
    </row>
    <row r="768">
      <c r="A768" s="209"/>
      <c r="B768" s="210"/>
      <c r="C768" s="211"/>
      <c r="D768" s="212"/>
      <c r="E768" s="213"/>
      <c r="F768" s="214"/>
    </row>
    <row r="769">
      <c r="A769" s="209"/>
      <c r="B769" s="210"/>
      <c r="C769" s="211"/>
      <c r="D769" s="212"/>
      <c r="E769" s="213"/>
      <c r="F769" s="214"/>
    </row>
    <row r="770">
      <c r="A770" s="209"/>
      <c r="B770" s="210"/>
      <c r="C770" s="211"/>
      <c r="D770" s="212"/>
      <c r="E770" s="213"/>
      <c r="F770" s="214"/>
    </row>
    <row r="771">
      <c r="A771" s="209"/>
      <c r="B771" s="210"/>
      <c r="C771" s="211"/>
      <c r="D771" s="212"/>
      <c r="E771" s="213"/>
      <c r="F771" s="214"/>
    </row>
    <row r="772">
      <c r="A772" s="209"/>
      <c r="B772" s="210"/>
      <c r="C772" s="211"/>
      <c r="D772" s="212"/>
      <c r="E772" s="213"/>
      <c r="F772" s="214"/>
    </row>
    <row r="773">
      <c r="A773" s="209"/>
      <c r="B773" s="210"/>
      <c r="C773" s="211"/>
      <c r="D773" s="212"/>
      <c r="E773" s="213"/>
      <c r="F773" s="214"/>
    </row>
    <row r="774">
      <c r="A774" s="209"/>
      <c r="B774" s="210"/>
      <c r="C774" s="211"/>
      <c r="D774" s="212"/>
      <c r="E774" s="213"/>
      <c r="F774" s="214"/>
    </row>
    <row r="775">
      <c r="A775" s="209"/>
      <c r="B775" s="210"/>
      <c r="C775" s="211"/>
      <c r="D775" s="212"/>
      <c r="E775" s="213"/>
      <c r="F775" s="214"/>
    </row>
    <row r="776">
      <c r="A776" s="209"/>
      <c r="B776" s="210"/>
      <c r="C776" s="211"/>
      <c r="D776" s="212"/>
      <c r="E776" s="213"/>
      <c r="F776" s="214"/>
    </row>
    <row r="777">
      <c r="A777" s="209"/>
      <c r="B777" s="210"/>
      <c r="C777" s="211"/>
      <c r="D777" s="212"/>
      <c r="E777" s="213"/>
      <c r="F777" s="214"/>
    </row>
    <row r="778">
      <c r="A778" s="209"/>
      <c r="B778" s="210"/>
      <c r="C778" s="211"/>
      <c r="D778" s="212"/>
      <c r="E778" s="213"/>
      <c r="F778" s="214"/>
    </row>
    <row r="779">
      <c r="A779" s="209"/>
      <c r="B779" s="210"/>
      <c r="C779" s="211"/>
      <c r="D779" s="212"/>
      <c r="E779" s="213"/>
      <c r="F779" s="214"/>
    </row>
    <row r="780">
      <c r="A780" s="209"/>
      <c r="B780" s="210"/>
      <c r="C780" s="211"/>
      <c r="D780" s="212"/>
      <c r="E780" s="213"/>
      <c r="F780" s="214"/>
    </row>
    <row r="781">
      <c r="A781" s="209"/>
      <c r="B781" s="210"/>
      <c r="C781" s="211"/>
      <c r="D781" s="212"/>
      <c r="E781" s="213"/>
      <c r="F781" s="214"/>
    </row>
    <row r="782">
      <c r="A782" s="209"/>
      <c r="B782" s="210"/>
      <c r="C782" s="211"/>
      <c r="D782" s="212"/>
      <c r="E782" s="213"/>
      <c r="F782" s="214"/>
    </row>
    <row r="783">
      <c r="A783" s="209"/>
      <c r="B783" s="210"/>
      <c r="C783" s="211"/>
      <c r="D783" s="212"/>
      <c r="E783" s="213"/>
      <c r="F783" s="214"/>
    </row>
    <row r="784">
      <c r="A784" s="209"/>
      <c r="B784" s="210"/>
      <c r="C784" s="211"/>
      <c r="D784" s="212"/>
      <c r="E784" s="213"/>
      <c r="F784" s="214"/>
    </row>
    <row r="785">
      <c r="A785" s="209"/>
      <c r="B785" s="210"/>
      <c r="C785" s="211"/>
      <c r="D785" s="212"/>
      <c r="E785" s="213"/>
      <c r="F785" s="214"/>
    </row>
    <row r="786">
      <c r="A786" s="209"/>
      <c r="B786" s="210"/>
      <c r="C786" s="211"/>
      <c r="D786" s="212"/>
      <c r="E786" s="213"/>
      <c r="F786" s="214"/>
    </row>
    <row r="787">
      <c r="A787" s="209"/>
      <c r="B787" s="210"/>
      <c r="C787" s="211"/>
      <c r="D787" s="212"/>
      <c r="E787" s="213"/>
      <c r="F787" s="214"/>
    </row>
    <row r="788">
      <c r="A788" s="209"/>
      <c r="B788" s="210"/>
      <c r="C788" s="211"/>
      <c r="D788" s="212"/>
      <c r="E788" s="213"/>
      <c r="F788" s="214"/>
    </row>
    <row r="789">
      <c r="A789" s="209"/>
      <c r="B789" s="210"/>
      <c r="C789" s="211"/>
      <c r="D789" s="212"/>
      <c r="E789" s="213"/>
      <c r="F789" s="214"/>
    </row>
    <row r="790">
      <c r="A790" s="209"/>
      <c r="B790" s="210"/>
      <c r="C790" s="211"/>
      <c r="D790" s="212"/>
      <c r="E790" s="213"/>
      <c r="F790" s="214"/>
    </row>
    <row r="791">
      <c r="A791" s="209"/>
      <c r="B791" s="210"/>
      <c r="C791" s="211"/>
      <c r="D791" s="212"/>
      <c r="E791" s="213"/>
      <c r="F791" s="214"/>
    </row>
    <row r="792">
      <c r="A792" s="209"/>
      <c r="B792" s="210"/>
      <c r="C792" s="211"/>
      <c r="D792" s="212"/>
      <c r="E792" s="213"/>
      <c r="F792" s="214"/>
    </row>
    <row r="793">
      <c r="A793" s="209"/>
      <c r="B793" s="210"/>
      <c r="C793" s="211"/>
      <c r="D793" s="212"/>
      <c r="E793" s="213"/>
      <c r="F793" s="214"/>
    </row>
    <row r="794">
      <c r="A794" s="209"/>
      <c r="B794" s="210"/>
      <c r="C794" s="211"/>
      <c r="D794" s="212"/>
      <c r="E794" s="213"/>
      <c r="F794" s="214"/>
    </row>
    <row r="795">
      <c r="A795" s="209"/>
      <c r="B795" s="210"/>
      <c r="C795" s="211"/>
      <c r="D795" s="212"/>
      <c r="E795" s="213"/>
      <c r="F795" s="214"/>
    </row>
    <row r="796">
      <c r="A796" s="209"/>
      <c r="B796" s="210"/>
      <c r="C796" s="211"/>
      <c r="D796" s="212"/>
      <c r="E796" s="213"/>
      <c r="F796" s="214"/>
    </row>
    <row r="797">
      <c r="A797" s="209"/>
      <c r="B797" s="210"/>
      <c r="C797" s="211"/>
      <c r="D797" s="212"/>
      <c r="E797" s="213"/>
      <c r="F797" s="214"/>
    </row>
    <row r="798">
      <c r="A798" s="209"/>
      <c r="B798" s="210"/>
      <c r="C798" s="211"/>
      <c r="D798" s="212"/>
      <c r="E798" s="213"/>
      <c r="F798" s="214"/>
    </row>
    <row r="799">
      <c r="A799" s="209"/>
      <c r="B799" s="210"/>
      <c r="C799" s="211"/>
      <c r="D799" s="212"/>
      <c r="E799" s="213"/>
      <c r="F799" s="214"/>
    </row>
    <row r="800">
      <c r="A800" s="209"/>
      <c r="B800" s="210"/>
      <c r="C800" s="211"/>
      <c r="D800" s="212"/>
      <c r="E800" s="213"/>
      <c r="F800" s="214"/>
    </row>
    <row r="801">
      <c r="A801" s="209"/>
      <c r="B801" s="210"/>
      <c r="C801" s="211"/>
      <c r="D801" s="212"/>
      <c r="E801" s="213"/>
      <c r="F801" s="214"/>
    </row>
    <row r="802">
      <c r="A802" s="209"/>
      <c r="B802" s="210"/>
      <c r="C802" s="211"/>
      <c r="D802" s="212"/>
      <c r="E802" s="213"/>
      <c r="F802" s="214"/>
    </row>
    <row r="803">
      <c r="A803" s="209"/>
      <c r="B803" s="210"/>
      <c r="C803" s="211"/>
      <c r="D803" s="212"/>
      <c r="E803" s="213"/>
      <c r="F803" s="214"/>
    </row>
    <row r="804">
      <c r="A804" s="209"/>
      <c r="B804" s="210"/>
      <c r="C804" s="211"/>
      <c r="D804" s="212"/>
      <c r="E804" s="213"/>
      <c r="F804" s="214"/>
    </row>
    <row r="805">
      <c r="A805" s="209"/>
      <c r="B805" s="210"/>
      <c r="C805" s="211"/>
      <c r="D805" s="212"/>
      <c r="E805" s="213"/>
      <c r="F805" s="214"/>
    </row>
    <row r="806">
      <c r="A806" s="209"/>
      <c r="B806" s="210"/>
      <c r="C806" s="211"/>
      <c r="D806" s="212"/>
      <c r="E806" s="213"/>
      <c r="F806" s="214"/>
    </row>
    <row r="807">
      <c r="A807" s="209"/>
      <c r="B807" s="210"/>
      <c r="C807" s="211"/>
      <c r="D807" s="212"/>
      <c r="E807" s="213"/>
      <c r="F807" s="214"/>
    </row>
    <row r="808">
      <c r="A808" s="209"/>
      <c r="B808" s="210"/>
      <c r="C808" s="211"/>
      <c r="D808" s="212"/>
      <c r="E808" s="213"/>
      <c r="F808" s="214"/>
    </row>
    <row r="809">
      <c r="A809" s="209"/>
      <c r="B809" s="210"/>
      <c r="C809" s="211"/>
      <c r="D809" s="212"/>
      <c r="E809" s="213"/>
      <c r="F809" s="214"/>
    </row>
    <row r="810">
      <c r="A810" s="209"/>
      <c r="B810" s="210"/>
      <c r="C810" s="211"/>
      <c r="D810" s="212"/>
      <c r="E810" s="213"/>
      <c r="F810" s="214"/>
    </row>
    <row r="811">
      <c r="A811" s="209"/>
      <c r="B811" s="210"/>
      <c r="C811" s="211"/>
      <c r="D811" s="212"/>
      <c r="E811" s="213"/>
      <c r="F811" s="214"/>
    </row>
    <row r="812">
      <c r="A812" s="209"/>
      <c r="B812" s="210"/>
      <c r="C812" s="211"/>
      <c r="D812" s="212"/>
      <c r="E812" s="213"/>
      <c r="F812" s="214"/>
    </row>
    <row r="813">
      <c r="A813" s="209"/>
      <c r="B813" s="210"/>
      <c r="C813" s="211"/>
      <c r="D813" s="212"/>
      <c r="E813" s="213"/>
      <c r="F813" s="214"/>
    </row>
    <row r="814">
      <c r="A814" s="209"/>
      <c r="B814" s="210"/>
      <c r="C814" s="211"/>
      <c r="D814" s="212"/>
      <c r="E814" s="213"/>
      <c r="F814" s="214"/>
    </row>
    <row r="815">
      <c r="A815" s="209"/>
      <c r="B815" s="210"/>
      <c r="C815" s="211"/>
      <c r="D815" s="212"/>
      <c r="E815" s="213"/>
      <c r="F815" s="214"/>
    </row>
    <row r="816">
      <c r="A816" s="209"/>
      <c r="B816" s="210"/>
      <c r="C816" s="211"/>
      <c r="D816" s="212"/>
      <c r="E816" s="213"/>
      <c r="F816" s="214"/>
    </row>
    <row r="817">
      <c r="A817" s="209"/>
      <c r="B817" s="210"/>
      <c r="C817" s="211"/>
      <c r="D817" s="212"/>
      <c r="E817" s="213"/>
      <c r="F817" s="214"/>
    </row>
    <row r="818">
      <c r="A818" s="209"/>
      <c r="B818" s="210"/>
      <c r="C818" s="211"/>
      <c r="D818" s="212"/>
      <c r="E818" s="213"/>
      <c r="F818" s="214"/>
    </row>
    <row r="819">
      <c r="A819" s="209"/>
      <c r="B819" s="210"/>
      <c r="C819" s="211"/>
      <c r="D819" s="212"/>
      <c r="E819" s="213"/>
      <c r="F819" s="214"/>
    </row>
    <row r="820">
      <c r="A820" s="209"/>
      <c r="B820" s="210"/>
      <c r="C820" s="211"/>
      <c r="D820" s="212"/>
      <c r="E820" s="213"/>
      <c r="F820" s="214"/>
    </row>
    <row r="821">
      <c r="A821" s="209"/>
      <c r="B821" s="210"/>
      <c r="C821" s="211"/>
      <c r="D821" s="212"/>
      <c r="E821" s="213"/>
      <c r="F821" s="214"/>
    </row>
    <row r="822">
      <c r="A822" s="209"/>
      <c r="B822" s="210"/>
      <c r="C822" s="211"/>
      <c r="D822" s="212"/>
      <c r="E822" s="213"/>
      <c r="F822" s="214"/>
    </row>
    <row r="823">
      <c r="A823" s="209"/>
      <c r="B823" s="210"/>
      <c r="C823" s="211"/>
      <c r="D823" s="212"/>
      <c r="E823" s="213"/>
      <c r="F823" s="214"/>
    </row>
    <row r="824">
      <c r="A824" s="209"/>
      <c r="B824" s="210"/>
      <c r="C824" s="211"/>
      <c r="D824" s="212"/>
      <c r="E824" s="213"/>
      <c r="F824" s="214"/>
    </row>
    <row r="825">
      <c r="A825" s="209"/>
      <c r="B825" s="210"/>
      <c r="C825" s="211"/>
      <c r="D825" s="212"/>
      <c r="E825" s="213"/>
      <c r="F825" s="214"/>
    </row>
    <row r="826">
      <c r="A826" s="209"/>
      <c r="B826" s="210"/>
      <c r="C826" s="211"/>
      <c r="D826" s="212"/>
      <c r="E826" s="213"/>
      <c r="F826" s="214"/>
    </row>
    <row r="827">
      <c r="A827" s="209"/>
      <c r="B827" s="210"/>
      <c r="C827" s="211"/>
      <c r="D827" s="212"/>
      <c r="E827" s="213"/>
      <c r="F827" s="214"/>
    </row>
    <row r="828">
      <c r="A828" s="209"/>
      <c r="B828" s="210"/>
      <c r="C828" s="211"/>
      <c r="D828" s="212"/>
      <c r="E828" s="213"/>
      <c r="F828" s="214"/>
    </row>
    <row r="829">
      <c r="A829" s="209"/>
      <c r="B829" s="210"/>
      <c r="C829" s="211"/>
      <c r="D829" s="212"/>
      <c r="E829" s="213"/>
      <c r="F829" s="214"/>
    </row>
    <row r="830">
      <c r="A830" s="209"/>
      <c r="B830" s="210"/>
      <c r="C830" s="211"/>
      <c r="D830" s="212"/>
      <c r="E830" s="213"/>
      <c r="F830" s="214"/>
    </row>
    <row r="831">
      <c r="A831" s="209"/>
      <c r="B831" s="210"/>
      <c r="C831" s="211"/>
      <c r="D831" s="212"/>
      <c r="E831" s="213"/>
      <c r="F831" s="214"/>
    </row>
    <row r="832">
      <c r="A832" s="209"/>
      <c r="B832" s="210"/>
      <c r="C832" s="211"/>
      <c r="D832" s="212"/>
      <c r="E832" s="213"/>
      <c r="F832" s="214"/>
    </row>
    <row r="833">
      <c r="A833" s="209"/>
      <c r="B833" s="210"/>
      <c r="C833" s="211"/>
      <c r="D833" s="212"/>
      <c r="E833" s="213"/>
      <c r="F833" s="214"/>
    </row>
    <row r="834">
      <c r="A834" s="209"/>
      <c r="B834" s="210"/>
      <c r="C834" s="211"/>
      <c r="D834" s="212"/>
      <c r="E834" s="213"/>
      <c r="F834" s="214"/>
    </row>
    <row r="835">
      <c r="A835" s="209"/>
      <c r="B835" s="210"/>
      <c r="C835" s="211"/>
      <c r="D835" s="212"/>
      <c r="E835" s="213"/>
      <c r="F835" s="214"/>
    </row>
    <row r="836">
      <c r="A836" s="209"/>
      <c r="B836" s="210"/>
      <c r="C836" s="211"/>
      <c r="D836" s="212"/>
      <c r="E836" s="213"/>
      <c r="F836" s="214"/>
    </row>
    <row r="837">
      <c r="A837" s="209"/>
      <c r="B837" s="210"/>
      <c r="C837" s="211"/>
      <c r="D837" s="212"/>
      <c r="E837" s="213"/>
      <c r="F837" s="214"/>
    </row>
    <row r="838">
      <c r="A838" s="209"/>
      <c r="B838" s="210"/>
      <c r="C838" s="211"/>
      <c r="D838" s="212"/>
      <c r="E838" s="213"/>
      <c r="F838" s="214"/>
    </row>
    <row r="839">
      <c r="A839" s="209"/>
      <c r="B839" s="210"/>
      <c r="C839" s="211"/>
      <c r="D839" s="212"/>
      <c r="E839" s="213"/>
      <c r="F839" s="214"/>
    </row>
    <row r="840">
      <c r="A840" s="209"/>
      <c r="B840" s="210"/>
      <c r="C840" s="211"/>
      <c r="D840" s="212"/>
      <c r="E840" s="213"/>
      <c r="F840" s="214"/>
    </row>
    <row r="841">
      <c r="A841" s="209"/>
      <c r="B841" s="210"/>
      <c r="C841" s="211"/>
      <c r="D841" s="212"/>
      <c r="E841" s="213"/>
      <c r="F841" s="214"/>
    </row>
    <row r="842">
      <c r="A842" s="209"/>
      <c r="B842" s="210"/>
      <c r="C842" s="211"/>
      <c r="D842" s="212"/>
      <c r="E842" s="213"/>
      <c r="F842" s="214"/>
    </row>
    <row r="843">
      <c r="A843" s="209"/>
      <c r="B843" s="210"/>
      <c r="C843" s="211"/>
      <c r="D843" s="212"/>
      <c r="E843" s="213"/>
      <c r="F843" s="214"/>
    </row>
    <row r="844">
      <c r="A844" s="209"/>
      <c r="B844" s="210"/>
      <c r="C844" s="211"/>
      <c r="D844" s="212"/>
      <c r="E844" s="213"/>
      <c r="F844" s="214"/>
    </row>
    <row r="845">
      <c r="A845" s="209"/>
      <c r="B845" s="210"/>
      <c r="C845" s="211"/>
      <c r="D845" s="212"/>
      <c r="E845" s="213"/>
      <c r="F845" s="214"/>
    </row>
    <row r="846">
      <c r="A846" s="209"/>
      <c r="B846" s="210"/>
      <c r="C846" s="211"/>
      <c r="D846" s="212"/>
      <c r="E846" s="213"/>
      <c r="F846" s="214"/>
    </row>
    <row r="847">
      <c r="A847" s="209"/>
      <c r="B847" s="210"/>
      <c r="C847" s="211"/>
      <c r="D847" s="212"/>
      <c r="E847" s="213"/>
      <c r="F847" s="214"/>
    </row>
    <row r="848">
      <c r="A848" s="209"/>
      <c r="B848" s="210"/>
      <c r="C848" s="211"/>
      <c r="D848" s="212"/>
      <c r="E848" s="213"/>
      <c r="F848" s="214"/>
    </row>
    <row r="849">
      <c r="A849" s="209"/>
      <c r="B849" s="210"/>
      <c r="C849" s="211"/>
      <c r="D849" s="212"/>
      <c r="E849" s="213"/>
      <c r="F849" s="214"/>
    </row>
    <row r="850">
      <c r="A850" s="209"/>
      <c r="B850" s="210"/>
      <c r="C850" s="211"/>
      <c r="D850" s="212"/>
      <c r="E850" s="213"/>
      <c r="F850" s="214"/>
    </row>
    <row r="851">
      <c r="A851" s="209"/>
      <c r="B851" s="210"/>
      <c r="C851" s="211"/>
      <c r="D851" s="212"/>
      <c r="E851" s="213"/>
      <c r="F851" s="214"/>
    </row>
    <row r="852">
      <c r="A852" s="209"/>
      <c r="B852" s="210"/>
      <c r="C852" s="211"/>
      <c r="D852" s="212"/>
      <c r="E852" s="213"/>
      <c r="F852" s="214"/>
    </row>
    <row r="853">
      <c r="A853" s="209"/>
      <c r="B853" s="210"/>
      <c r="C853" s="211"/>
      <c r="D853" s="212"/>
      <c r="E853" s="213"/>
      <c r="F853" s="214"/>
    </row>
    <row r="854">
      <c r="A854" s="209"/>
      <c r="B854" s="210"/>
      <c r="C854" s="211"/>
      <c r="D854" s="212"/>
      <c r="E854" s="213"/>
      <c r="F854" s="214"/>
    </row>
    <row r="855">
      <c r="A855" s="209"/>
      <c r="B855" s="210"/>
      <c r="C855" s="211"/>
      <c r="D855" s="212"/>
      <c r="E855" s="213"/>
      <c r="F855" s="214"/>
    </row>
    <row r="856">
      <c r="A856" s="209"/>
      <c r="B856" s="210"/>
      <c r="C856" s="211"/>
      <c r="D856" s="212"/>
      <c r="E856" s="213"/>
      <c r="F856" s="214"/>
    </row>
    <row r="857">
      <c r="A857" s="209"/>
      <c r="B857" s="210"/>
      <c r="C857" s="211"/>
      <c r="D857" s="212"/>
      <c r="E857" s="213"/>
      <c r="F857" s="214"/>
    </row>
    <row r="858">
      <c r="A858" s="209"/>
      <c r="B858" s="210"/>
      <c r="C858" s="211"/>
      <c r="D858" s="212"/>
      <c r="E858" s="213"/>
      <c r="F858" s="214"/>
    </row>
    <row r="859">
      <c r="A859" s="209"/>
      <c r="B859" s="210"/>
      <c r="C859" s="211"/>
      <c r="D859" s="212"/>
      <c r="E859" s="213"/>
      <c r="F859" s="214"/>
    </row>
    <row r="860">
      <c r="A860" s="209"/>
      <c r="B860" s="210"/>
      <c r="C860" s="211"/>
      <c r="D860" s="212"/>
      <c r="E860" s="213"/>
      <c r="F860" s="214"/>
    </row>
    <row r="861">
      <c r="A861" s="209"/>
      <c r="B861" s="210"/>
      <c r="C861" s="211"/>
      <c r="D861" s="212"/>
      <c r="E861" s="213"/>
      <c r="F861" s="214"/>
    </row>
    <row r="862">
      <c r="A862" s="209"/>
      <c r="B862" s="210"/>
      <c r="C862" s="211"/>
      <c r="D862" s="212"/>
      <c r="E862" s="213"/>
      <c r="F862" s="214"/>
    </row>
    <row r="863">
      <c r="A863" s="209"/>
      <c r="B863" s="210"/>
      <c r="C863" s="211"/>
      <c r="D863" s="212"/>
      <c r="E863" s="213"/>
      <c r="F863" s="214"/>
    </row>
    <row r="864">
      <c r="A864" s="209"/>
      <c r="B864" s="210"/>
      <c r="C864" s="211"/>
      <c r="D864" s="212"/>
      <c r="E864" s="213"/>
      <c r="F864" s="214"/>
    </row>
    <row r="865">
      <c r="A865" s="209"/>
      <c r="B865" s="210"/>
      <c r="C865" s="211"/>
      <c r="D865" s="212"/>
      <c r="E865" s="213"/>
      <c r="F865" s="214"/>
    </row>
    <row r="866">
      <c r="A866" s="209"/>
      <c r="B866" s="210"/>
      <c r="C866" s="211"/>
      <c r="D866" s="212"/>
      <c r="E866" s="213"/>
      <c r="F866" s="214"/>
    </row>
    <row r="867">
      <c r="A867" s="209"/>
      <c r="B867" s="210"/>
      <c r="C867" s="211"/>
      <c r="D867" s="212"/>
      <c r="E867" s="213"/>
      <c r="F867" s="214"/>
    </row>
    <row r="868">
      <c r="A868" s="209"/>
      <c r="B868" s="210"/>
      <c r="C868" s="211"/>
      <c r="D868" s="212"/>
      <c r="E868" s="213"/>
      <c r="F868" s="214"/>
    </row>
    <row r="869">
      <c r="A869" s="209"/>
      <c r="B869" s="210"/>
      <c r="C869" s="211"/>
      <c r="D869" s="212"/>
      <c r="E869" s="213"/>
      <c r="F869" s="214"/>
    </row>
    <row r="870">
      <c r="A870" s="209"/>
      <c r="B870" s="210"/>
      <c r="C870" s="211"/>
      <c r="D870" s="212"/>
      <c r="E870" s="213"/>
      <c r="F870" s="214"/>
    </row>
    <row r="871">
      <c r="A871" s="209"/>
      <c r="B871" s="210"/>
      <c r="C871" s="211"/>
      <c r="D871" s="212"/>
      <c r="E871" s="213"/>
      <c r="F871" s="214"/>
    </row>
    <row r="872">
      <c r="A872" s="209"/>
      <c r="B872" s="210"/>
      <c r="C872" s="211"/>
      <c r="D872" s="212"/>
      <c r="E872" s="213"/>
      <c r="F872" s="214"/>
    </row>
    <row r="873">
      <c r="A873" s="209"/>
      <c r="B873" s="210"/>
      <c r="C873" s="211"/>
      <c r="D873" s="212"/>
      <c r="E873" s="213"/>
      <c r="F873" s="214"/>
    </row>
    <row r="874">
      <c r="A874" s="209"/>
      <c r="B874" s="210"/>
      <c r="C874" s="211"/>
      <c r="D874" s="212"/>
      <c r="E874" s="213"/>
      <c r="F874" s="214"/>
    </row>
    <row r="875">
      <c r="A875" s="209"/>
      <c r="B875" s="210"/>
      <c r="C875" s="211"/>
      <c r="D875" s="212"/>
      <c r="E875" s="213"/>
      <c r="F875" s="214"/>
    </row>
    <row r="876">
      <c r="A876" s="209"/>
      <c r="B876" s="210"/>
      <c r="C876" s="211"/>
      <c r="D876" s="212"/>
      <c r="E876" s="213"/>
      <c r="F876" s="214"/>
    </row>
    <row r="877">
      <c r="A877" s="209"/>
      <c r="B877" s="210"/>
      <c r="C877" s="211"/>
      <c r="D877" s="212"/>
      <c r="E877" s="213"/>
      <c r="F877" s="214"/>
    </row>
    <row r="878">
      <c r="A878" s="209"/>
      <c r="B878" s="210"/>
      <c r="C878" s="211"/>
      <c r="D878" s="212"/>
      <c r="E878" s="213"/>
      <c r="F878" s="214"/>
    </row>
    <row r="879">
      <c r="A879" s="209"/>
      <c r="B879" s="210"/>
      <c r="C879" s="211"/>
      <c r="D879" s="212"/>
      <c r="E879" s="213"/>
      <c r="F879" s="214"/>
    </row>
    <row r="880">
      <c r="A880" s="209"/>
      <c r="B880" s="210"/>
      <c r="C880" s="211"/>
      <c r="D880" s="212"/>
      <c r="E880" s="213"/>
      <c r="F880" s="214"/>
    </row>
    <row r="881">
      <c r="A881" s="209"/>
      <c r="B881" s="210"/>
      <c r="C881" s="211"/>
      <c r="D881" s="212"/>
      <c r="E881" s="213"/>
      <c r="F881" s="214"/>
    </row>
    <row r="882">
      <c r="A882" s="209"/>
      <c r="B882" s="210"/>
      <c r="C882" s="211"/>
      <c r="D882" s="212"/>
      <c r="E882" s="213"/>
      <c r="F882" s="214"/>
    </row>
    <row r="883">
      <c r="A883" s="209"/>
      <c r="B883" s="210"/>
      <c r="C883" s="211"/>
      <c r="D883" s="212"/>
      <c r="E883" s="213"/>
      <c r="F883" s="214"/>
    </row>
    <row r="884">
      <c r="A884" s="209"/>
      <c r="B884" s="210"/>
      <c r="C884" s="211"/>
      <c r="D884" s="212"/>
      <c r="E884" s="213"/>
      <c r="F884" s="214"/>
    </row>
    <row r="885">
      <c r="A885" s="209"/>
      <c r="B885" s="210"/>
      <c r="C885" s="211"/>
      <c r="D885" s="212"/>
      <c r="E885" s="213"/>
      <c r="F885" s="214"/>
    </row>
    <row r="886">
      <c r="A886" s="209"/>
      <c r="B886" s="210"/>
      <c r="C886" s="211"/>
      <c r="D886" s="212"/>
      <c r="E886" s="213"/>
      <c r="F886" s="214"/>
    </row>
    <row r="887">
      <c r="A887" s="209"/>
      <c r="B887" s="210"/>
      <c r="C887" s="211"/>
      <c r="D887" s="212"/>
      <c r="E887" s="213"/>
      <c r="F887" s="214"/>
    </row>
    <row r="888">
      <c r="A888" s="209"/>
      <c r="B888" s="210"/>
      <c r="C888" s="211"/>
      <c r="D888" s="212"/>
      <c r="E888" s="213"/>
      <c r="F888" s="214"/>
    </row>
    <row r="889">
      <c r="A889" s="209"/>
      <c r="B889" s="210"/>
      <c r="C889" s="211"/>
      <c r="D889" s="212"/>
      <c r="E889" s="213"/>
      <c r="F889" s="214"/>
    </row>
    <row r="890">
      <c r="A890" s="209"/>
      <c r="B890" s="210"/>
      <c r="C890" s="211"/>
      <c r="D890" s="212"/>
      <c r="E890" s="213"/>
      <c r="F890" s="214"/>
    </row>
    <row r="891">
      <c r="A891" s="209"/>
      <c r="B891" s="210"/>
      <c r="C891" s="211"/>
      <c r="D891" s="212"/>
      <c r="E891" s="213"/>
      <c r="F891" s="214"/>
    </row>
    <row r="892">
      <c r="A892" s="209"/>
      <c r="B892" s="210"/>
      <c r="C892" s="211"/>
      <c r="D892" s="212"/>
      <c r="E892" s="213"/>
      <c r="F892" s="214"/>
    </row>
    <row r="893">
      <c r="A893" s="209"/>
      <c r="B893" s="210"/>
      <c r="C893" s="211"/>
      <c r="D893" s="212"/>
      <c r="E893" s="213"/>
      <c r="F893" s="214"/>
    </row>
    <row r="894">
      <c r="A894" s="209"/>
      <c r="B894" s="210"/>
      <c r="C894" s="211"/>
      <c r="D894" s="212"/>
      <c r="E894" s="213"/>
      <c r="F894" s="214"/>
    </row>
    <row r="895">
      <c r="A895" s="209"/>
      <c r="B895" s="210"/>
      <c r="C895" s="211"/>
      <c r="D895" s="212"/>
      <c r="E895" s="213"/>
      <c r="F895" s="214"/>
    </row>
    <row r="896">
      <c r="A896" s="209"/>
      <c r="B896" s="210"/>
      <c r="C896" s="211"/>
      <c r="D896" s="212"/>
      <c r="E896" s="213"/>
      <c r="F896" s="214"/>
    </row>
    <row r="897">
      <c r="A897" s="209"/>
      <c r="B897" s="210"/>
      <c r="C897" s="211"/>
      <c r="D897" s="212"/>
      <c r="E897" s="213"/>
      <c r="F897" s="214"/>
    </row>
    <row r="898">
      <c r="A898" s="209"/>
      <c r="B898" s="210"/>
      <c r="C898" s="211"/>
      <c r="D898" s="212"/>
      <c r="E898" s="213"/>
      <c r="F898" s="214"/>
    </row>
    <row r="899">
      <c r="A899" s="209"/>
      <c r="B899" s="210"/>
      <c r="C899" s="211"/>
      <c r="D899" s="212"/>
      <c r="E899" s="213"/>
      <c r="F899" s="214"/>
    </row>
    <row r="900">
      <c r="A900" s="209"/>
      <c r="B900" s="210"/>
      <c r="C900" s="211"/>
      <c r="D900" s="212"/>
      <c r="E900" s="213"/>
      <c r="F900" s="214"/>
    </row>
    <row r="901">
      <c r="A901" s="209"/>
      <c r="B901" s="210"/>
      <c r="C901" s="211"/>
      <c r="D901" s="212"/>
      <c r="E901" s="213"/>
      <c r="F901" s="214"/>
    </row>
    <row r="902">
      <c r="A902" s="209"/>
      <c r="B902" s="210"/>
      <c r="C902" s="211"/>
      <c r="D902" s="212"/>
      <c r="E902" s="213"/>
      <c r="F902" s="214"/>
    </row>
    <row r="903">
      <c r="A903" s="209"/>
      <c r="B903" s="210"/>
      <c r="C903" s="211"/>
      <c r="D903" s="212"/>
      <c r="E903" s="213"/>
      <c r="F903" s="214"/>
    </row>
    <row r="904">
      <c r="A904" s="209"/>
      <c r="B904" s="210"/>
      <c r="C904" s="211"/>
      <c r="D904" s="212"/>
      <c r="E904" s="213"/>
      <c r="F904" s="214"/>
    </row>
    <row r="905">
      <c r="A905" s="209"/>
      <c r="B905" s="210"/>
      <c r="C905" s="211"/>
      <c r="D905" s="212"/>
      <c r="E905" s="213"/>
      <c r="F905" s="214"/>
    </row>
    <row r="906">
      <c r="A906" s="209"/>
      <c r="B906" s="210"/>
      <c r="C906" s="211"/>
      <c r="D906" s="212"/>
      <c r="E906" s="213"/>
      <c r="F906" s="214"/>
    </row>
    <row r="907">
      <c r="A907" s="209"/>
      <c r="B907" s="210"/>
      <c r="C907" s="211"/>
      <c r="D907" s="212"/>
      <c r="E907" s="213"/>
      <c r="F907" s="214"/>
    </row>
    <row r="908">
      <c r="A908" s="209"/>
      <c r="B908" s="210"/>
      <c r="C908" s="211"/>
      <c r="D908" s="212"/>
      <c r="E908" s="213"/>
      <c r="F908" s="214"/>
    </row>
    <row r="909">
      <c r="A909" s="209"/>
      <c r="B909" s="210"/>
      <c r="C909" s="211"/>
      <c r="D909" s="212"/>
      <c r="E909" s="213"/>
      <c r="F909" s="214"/>
    </row>
    <row r="910">
      <c r="A910" s="209"/>
      <c r="B910" s="210"/>
      <c r="C910" s="211"/>
      <c r="D910" s="212"/>
      <c r="E910" s="213"/>
      <c r="F910" s="214"/>
    </row>
    <row r="911">
      <c r="A911" s="209"/>
      <c r="B911" s="210"/>
      <c r="C911" s="211"/>
      <c r="D911" s="212"/>
      <c r="E911" s="213"/>
      <c r="F911" s="214"/>
    </row>
    <row r="912">
      <c r="A912" s="209"/>
      <c r="B912" s="210"/>
      <c r="C912" s="211"/>
      <c r="D912" s="212"/>
      <c r="E912" s="213"/>
      <c r="F912" s="214"/>
    </row>
    <row r="913">
      <c r="A913" s="209"/>
      <c r="B913" s="210"/>
      <c r="C913" s="211"/>
      <c r="D913" s="212"/>
      <c r="E913" s="213"/>
      <c r="F913" s="214"/>
    </row>
    <row r="914">
      <c r="A914" s="209"/>
      <c r="B914" s="210"/>
      <c r="C914" s="211"/>
      <c r="D914" s="212"/>
      <c r="E914" s="213"/>
      <c r="F914" s="214"/>
    </row>
    <row r="915">
      <c r="A915" s="209"/>
      <c r="B915" s="210"/>
      <c r="C915" s="211"/>
      <c r="D915" s="212"/>
      <c r="E915" s="213"/>
      <c r="F915" s="214"/>
    </row>
    <row r="916">
      <c r="A916" s="209"/>
      <c r="B916" s="210"/>
      <c r="C916" s="211"/>
      <c r="D916" s="212"/>
      <c r="E916" s="213"/>
      <c r="F916" s="214"/>
    </row>
    <row r="917">
      <c r="A917" s="209"/>
      <c r="B917" s="210"/>
      <c r="C917" s="211"/>
      <c r="D917" s="212"/>
      <c r="E917" s="213"/>
      <c r="F917" s="214"/>
    </row>
    <row r="918">
      <c r="A918" s="209"/>
      <c r="B918" s="210"/>
      <c r="C918" s="211"/>
      <c r="D918" s="212"/>
      <c r="E918" s="213"/>
      <c r="F918" s="214"/>
    </row>
    <row r="919">
      <c r="A919" s="209"/>
      <c r="B919" s="210"/>
      <c r="C919" s="211"/>
      <c r="D919" s="212"/>
      <c r="E919" s="213"/>
      <c r="F919" s="214"/>
    </row>
    <row r="920">
      <c r="A920" s="209"/>
      <c r="B920" s="210"/>
      <c r="C920" s="211"/>
      <c r="D920" s="212"/>
      <c r="E920" s="213"/>
      <c r="F920" s="214"/>
    </row>
    <row r="921">
      <c r="A921" s="209"/>
      <c r="B921" s="210"/>
      <c r="C921" s="211"/>
      <c r="D921" s="212"/>
      <c r="E921" s="213"/>
      <c r="F921" s="214"/>
    </row>
    <row r="922">
      <c r="A922" s="209"/>
      <c r="B922" s="210"/>
      <c r="C922" s="211"/>
      <c r="D922" s="212"/>
      <c r="E922" s="213"/>
      <c r="F922" s="214"/>
    </row>
    <row r="923">
      <c r="A923" s="209"/>
      <c r="B923" s="210"/>
      <c r="C923" s="211"/>
      <c r="D923" s="212"/>
      <c r="E923" s="213"/>
      <c r="F923" s="214"/>
    </row>
    <row r="924">
      <c r="A924" s="209"/>
      <c r="B924" s="210"/>
      <c r="C924" s="211"/>
      <c r="D924" s="212"/>
      <c r="E924" s="213"/>
      <c r="F924" s="214"/>
    </row>
    <row r="925">
      <c r="A925" s="209"/>
      <c r="B925" s="210"/>
      <c r="C925" s="211"/>
      <c r="D925" s="212"/>
      <c r="E925" s="213"/>
      <c r="F925" s="214"/>
    </row>
    <row r="926">
      <c r="A926" s="209"/>
      <c r="B926" s="210"/>
      <c r="C926" s="211"/>
      <c r="D926" s="212"/>
      <c r="E926" s="213"/>
      <c r="F926" s="214"/>
    </row>
    <row r="927">
      <c r="A927" s="209"/>
      <c r="B927" s="210"/>
      <c r="C927" s="211"/>
      <c r="D927" s="212"/>
      <c r="E927" s="213"/>
      <c r="F927" s="214"/>
    </row>
    <row r="928">
      <c r="A928" s="209"/>
      <c r="B928" s="210"/>
      <c r="C928" s="211"/>
      <c r="D928" s="212"/>
      <c r="E928" s="213"/>
      <c r="F928" s="214"/>
    </row>
    <row r="929">
      <c r="A929" s="209"/>
      <c r="B929" s="210"/>
      <c r="C929" s="211"/>
      <c r="D929" s="212"/>
      <c r="E929" s="213"/>
      <c r="F929" s="214"/>
    </row>
    <row r="930">
      <c r="A930" s="209"/>
      <c r="B930" s="210"/>
      <c r="C930" s="211"/>
      <c r="D930" s="212"/>
      <c r="E930" s="213"/>
      <c r="F930" s="214"/>
    </row>
    <row r="931">
      <c r="A931" s="209"/>
      <c r="B931" s="210"/>
      <c r="C931" s="211"/>
      <c r="D931" s="212"/>
      <c r="E931" s="213"/>
      <c r="F931" s="214"/>
    </row>
    <row r="932">
      <c r="A932" s="209"/>
      <c r="B932" s="210"/>
      <c r="C932" s="211"/>
      <c r="D932" s="212"/>
      <c r="E932" s="213"/>
      <c r="F932" s="214"/>
    </row>
    <row r="933">
      <c r="A933" s="209"/>
      <c r="B933" s="210"/>
      <c r="C933" s="211"/>
      <c r="D933" s="212"/>
      <c r="E933" s="213"/>
      <c r="F933" s="214"/>
    </row>
    <row r="934">
      <c r="A934" s="209"/>
      <c r="B934" s="210"/>
      <c r="C934" s="211"/>
      <c r="D934" s="212"/>
      <c r="E934" s="213"/>
      <c r="F934" s="214"/>
    </row>
    <row r="935">
      <c r="A935" s="209"/>
      <c r="B935" s="210"/>
      <c r="C935" s="211"/>
      <c r="D935" s="212"/>
      <c r="E935" s="213"/>
      <c r="F935" s="214"/>
    </row>
    <row r="936">
      <c r="A936" s="209"/>
      <c r="B936" s="210"/>
      <c r="C936" s="211"/>
      <c r="D936" s="212"/>
      <c r="E936" s="213"/>
      <c r="F936" s="214"/>
    </row>
    <row r="937">
      <c r="A937" s="209"/>
      <c r="B937" s="210"/>
      <c r="C937" s="211"/>
      <c r="D937" s="212"/>
      <c r="E937" s="213"/>
      <c r="F937" s="214"/>
    </row>
    <row r="938">
      <c r="A938" s="209"/>
      <c r="B938" s="210"/>
      <c r="C938" s="211"/>
      <c r="D938" s="212"/>
      <c r="E938" s="213"/>
      <c r="F938" s="214"/>
    </row>
    <row r="939">
      <c r="A939" s="209"/>
      <c r="B939" s="210"/>
      <c r="C939" s="211"/>
      <c r="D939" s="212"/>
      <c r="E939" s="213"/>
      <c r="F939" s="214"/>
    </row>
    <row r="940">
      <c r="A940" s="209"/>
      <c r="B940" s="210"/>
      <c r="C940" s="211"/>
      <c r="D940" s="212"/>
      <c r="E940" s="213"/>
      <c r="F940" s="214"/>
    </row>
    <row r="941">
      <c r="A941" s="209"/>
      <c r="B941" s="210"/>
      <c r="C941" s="211"/>
      <c r="D941" s="212"/>
      <c r="E941" s="213"/>
      <c r="F941" s="214"/>
    </row>
    <row r="942">
      <c r="A942" s="209"/>
      <c r="B942" s="210"/>
      <c r="C942" s="211"/>
      <c r="D942" s="212"/>
      <c r="E942" s="213"/>
      <c r="F942" s="214"/>
    </row>
    <row r="943">
      <c r="A943" s="209"/>
      <c r="B943" s="210"/>
      <c r="C943" s="211"/>
      <c r="D943" s="212"/>
      <c r="E943" s="213"/>
      <c r="F943" s="214"/>
    </row>
    <row r="944">
      <c r="A944" s="209"/>
      <c r="B944" s="210"/>
      <c r="C944" s="211"/>
      <c r="D944" s="212"/>
      <c r="E944" s="213"/>
      <c r="F944" s="214"/>
    </row>
    <row r="945">
      <c r="A945" s="209"/>
      <c r="B945" s="210"/>
      <c r="C945" s="211"/>
      <c r="D945" s="212"/>
      <c r="E945" s="213"/>
      <c r="F945" s="214"/>
    </row>
    <row r="946">
      <c r="A946" s="209"/>
      <c r="B946" s="210"/>
      <c r="C946" s="211"/>
      <c r="D946" s="212"/>
      <c r="E946" s="213"/>
      <c r="F946" s="214"/>
    </row>
    <row r="947">
      <c r="A947" s="209"/>
      <c r="B947" s="210"/>
      <c r="C947" s="211"/>
      <c r="D947" s="212"/>
      <c r="E947" s="213"/>
      <c r="F947" s="214"/>
    </row>
    <row r="948">
      <c r="A948" s="209"/>
      <c r="B948" s="210"/>
      <c r="C948" s="211"/>
      <c r="D948" s="212"/>
      <c r="E948" s="213"/>
      <c r="F948" s="214"/>
    </row>
    <row r="949">
      <c r="A949" s="209"/>
      <c r="B949" s="210"/>
      <c r="C949" s="211"/>
      <c r="D949" s="212"/>
      <c r="E949" s="213"/>
      <c r="F949" s="214"/>
    </row>
    <row r="950">
      <c r="A950" s="209"/>
      <c r="B950" s="210"/>
      <c r="C950" s="211"/>
      <c r="D950" s="212"/>
      <c r="E950" s="213"/>
      <c r="F950" s="214"/>
    </row>
    <row r="951">
      <c r="A951" s="209"/>
      <c r="B951" s="210"/>
      <c r="C951" s="211"/>
      <c r="D951" s="212"/>
      <c r="E951" s="213"/>
      <c r="F951" s="214"/>
    </row>
    <row r="952">
      <c r="A952" s="209"/>
      <c r="B952" s="210"/>
      <c r="C952" s="211"/>
      <c r="D952" s="212"/>
      <c r="E952" s="213"/>
      <c r="F952" s="214"/>
    </row>
    <row r="953">
      <c r="A953" s="209"/>
      <c r="B953" s="210"/>
      <c r="C953" s="211"/>
      <c r="D953" s="212"/>
      <c r="E953" s="213"/>
      <c r="F953" s="214"/>
    </row>
    <row r="954">
      <c r="A954" s="209"/>
      <c r="B954" s="210"/>
      <c r="C954" s="211"/>
      <c r="D954" s="212"/>
      <c r="E954" s="213"/>
      <c r="F954" s="214"/>
    </row>
    <row r="955">
      <c r="A955" s="209"/>
      <c r="B955" s="210"/>
      <c r="C955" s="211"/>
      <c r="D955" s="212"/>
      <c r="E955" s="213"/>
      <c r="F955" s="214"/>
    </row>
    <row r="956">
      <c r="A956" s="209"/>
      <c r="B956" s="210"/>
      <c r="C956" s="211"/>
      <c r="D956" s="212"/>
      <c r="E956" s="213"/>
      <c r="F956" s="214"/>
    </row>
    <row r="957">
      <c r="A957" s="209"/>
      <c r="B957" s="210"/>
      <c r="C957" s="211"/>
      <c r="D957" s="212"/>
      <c r="E957" s="213"/>
      <c r="F957" s="214"/>
    </row>
    <row r="958">
      <c r="A958" s="209"/>
      <c r="B958" s="210"/>
      <c r="C958" s="211"/>
      <c r="D958" s="212"/>
      <c r="E958" s="213"/>
      <c r="F958" s="214"/>
    </row>
    <row r="959">
      <c r="A959" s="209"/>
      <c r="B959" s="210"/>
      <c r="C959" s="211"/>
      <c r="D959" s="212"/>
      <c r="E959" s="213"/>
      <c r="F959" s="214"/>
    </row>
    <row r="960">
      <c r="A960" s="209"/>
      <c r="B960" s="210"/>
      <c r="C960" s="211"/>
      <c r="D960" s="212"/>
      <c r="E960" s="213"/>
      <c r="F960" s="214"/>
    </row>
    <row r="961">
      <c r="A961" s="209"/>
      <c r="B961" s="210"/>
      <c r="C961" s="211"/>
      <c r="D961" s="212"/>
      <c r="E961" s="213"/>
      <c r="F961" s="214"/>
    </row>
    <row r="962">
      <c r="A962" s="209"/>
      <c r="B962" s="210"/>
      <c r="C962" s="211"/>
      <c r="D962" s="212"/>
      <c r="E962" s="213"/>
      <c r="F962" s="214"/>
    </row>
    <row r="963">
      <c r="A963" s="209"/>
      <c r="B963" s="210"/>
      <c r="C963" s="211"/>
      <c r="D963" s="212"/>
      <c r="E963" s="213"/>
      <c r="F963" s="214"/>
    </row>
    <row r="964">
      <c r="A964" s="209"/>
      <c r="B964" s="210"/>
      <c r="C964" s="211"/>
      <c r="D964" s="212"/>
      <c r="E964" s="213"/>
      <c r="F964" s="214"/>
    </row>
    <row r="965">
      <c r="A965" s="209"/>
      <c r="B965" s="210"/>
      <c r="C965" s="211"/>
      <c r="D965" s="212"/>
      <c r="E965" s="213"/>
      <c r="F965" s="214"/>
    </row>
    <row r="966">
      <c r="A966" s="209"/>
      <c r="B966" s="210"/>
      <c r="C966" s="211"/>
      <c r="D966" s="212"/>
      <c r="E966" s="213"/>
      <c r="F966" s="214"/>
    </row>
    <row r="967">
      <c r="A967" s="209"/>
      <c r="B967" s="210"/>
      <c r="C967" s="211"/>
      <c r="D967" s="212"/>
      <c r="E967" s="213"/>
      <c r="F967" s="214"/>
    </row>
    <row r="968">
      <c r="A968" s="209"/>
      <c r="B968" s="210"/>
      <c r="C968" s="211"/>
      <c r="D968" s="212"/>
      <c r="E968" s="213"/>
      <c r="F968" s="214"/>
    </row>
    <row r="969">
      <c r="A969" s="209"/>
      <c r="B969" s="210"/>
      <c r="C969" s="211"/>
      <c r="D969" s="212"/>
      <c r="E969" s="213"/>
      <c r="F969" s="214"/>
    </row>
    <row r="970">
      <c r="A970" s="209"/>
      <c r="B970" s="210"/>
      <c r="C970" s="211"/>
      <c r="D970" s="212"/>
      <c r="E970" s="213"/>
      <c r="F970" s="214"/>
    </row>
    <row r="971">
      <c r="A971" s="209"/>
      <c r="B971" s="210"/>
      <c r="C971" s="211"/>
      <c r="D971" s="212"/>
      <c r="E971" s="213"/>
      <c r="F971" s="214"/>
    </row>
    <row r="972">
      <c r="A972" s="209"/>
      <c r="B972" s="210"/>
      <c r="C972" s="211"/>
      <c r="D972" s="212"/>
      <c r="E972" s="213"/>
      <c r="F972" s="214"/>
    </row>
    <row r="973">
      <c r="A973" s="209"/>
      <c r="B973" s="210"/>
      <c r="C973" s="211"/>
      <c r="D973" s="212"/>
      <c r="E973" s="213"/>
      <c r="F973" s="214"/>
    </row>
    <row r="974">
      <c r="A974" s="209"/>
      <c r="B974" s="210"/>
      <c r="C974" s="211"/>
      <c r="D974" s="212"/>
      <c r="E974" s="213"/>
      <c r="F974" s="214"/>
    </row>
    <row r="975">
      <c r="A975" s="209"/>
      <c r="B975" s="210"/>
      <c r="C975" s="211"/>
      <c r="D975" s="212"/>
      <c r="E975" s="213"/>
      <c r="F975" s="214"/>
    </row>
    <row r="976">
      <c r="A976" s="209"/>
      <c r="B976" s="210"/>
      <c r="C976" s="211"/>
      <c r="D976" s="212"/>
      <c r="E976" s="213"/>
      <c r="F976" s="214"/>
    </row>
    <row r="977">
      <c r="A977" s="209"/>
      <c r="B977" s="210"/>
      <c r="C977" s="211"/>
      <c r="D977" s="212"/>
      <c r="E977" s="213"/>
      <c r="F977" s="214"/>
    </row>
    <row r="978">
      <c r="A978" s="209"/>
      <c r="B978" s="210"/>
      <c r="C978" s="211"/>
      <c r="D978" s="212"/>
      <c r="E978" s="213"/>
      <c r="F978" s="214"/>
    </row>
    <row r="979">
      <c r="A979" s="209"/>
      <c r="B979" s="210"/>
      <c r="C979" s="211"/>
      <c r="D979" s="212"/>
      <c r="E979" s="213"/>
      <c r="F979" s="214"/>
    </row>
    <row r="980">
      <c r="A980" s="209"/>
      <c r="B980" s="210"/>
      <c r="C980" s="211"/>
      <c r="D980" s="212"/>
      <c r="E980" s="213"/>
      <c r="F980" s="214"/>
    </row>
    <row r="981">
      <c r="A981" s="209"/>
      <c r="B981" s="210"/>
      <c r="C981" s="211"/>
      <c r="D981" s="212"/>
      <c r="E981" s="213"/>
      <c r="F981" s="214"/>
    </row>
    <row r="982">
      <c r="A982" s="209"/>
      <c r="B982" s="210"/>
      <c r="C982" s="211"/>
      <c r="D982" s="212"/>
      <c r="E982" s="213"/>
      <c r="F982" s="214"/>
    </row>
    <row r="983">
      <c r="A983" s="209"/>
      <c r="B983" s="210"/>
      <c r="C983" s="211"/>
      <c r="D983" s="212"/>
      <c r="E983" s="213"/>
      <c r="F983" s="214"/>
    </row>
    <row r="984">
      <c r="A984" s="209"/>
      <c r="B984" s="210"/>
      <c r="C984" s="211"/>
      <c r="D984" s="212"/>
      <c r="E984" s="213"/>
      <c r="F984" s="214"/>
    </row>
    <row r="985">
      <c r="A985" s="209"/>
      <c r="B985" s="210"/>
      <c r="C985" s="211"/>
      <c r="D985" s="212"/>
      <c r="E985" s="213"/>
      <c r="F985" s="214"/>
    </row>
    <row r="986">
      <c r="A986" s="209"/>
      <c r="B986" s="210"/>
      <c r="C986" s="211"/>
      <c r="D986" s="212"/>
      <c r="E986" s="213"/>
      <c r="F986" s="214"/>
    </row>
    <row r="987">
      <c r="A987" s="209"/>
      <c r="B987" s="210"/>
      <c r="C987" s="211"/>
      <c r="D987" s="212"/>
      <c r="E987" s="213"/>
      <c r="F987" s="214"/>
    </row>
    <row r="988">
      <c r="A988" s="209"/>
      <c r="B988" s="210"/>
      <c r="C988" s="211"/>
      <c r="D988" s="212"/>
      <c r="E988" s="213"/>
      <c r="F988" s="214"/>
    </row>
    <row r="989">
      <c r="A989" s="209"/>
      <c r="B989" s="210"/>
      <c r="C989" s="211"/>
      <c r="D989" s="212"/>
      <c r="E989" s="213"/>
      <c r="F989" s="214"/>
    </row>
    <row r="990">
      <c r="A990" s="209"/>
      <c r="B990" s="210"/>
      <c r="C990" s="211"/>
      <c r="D990" s="212"/>
      <c r="E990" s="213"/>
      <c r="F990" s="214"/>
    </row>
    <row r="991">
      <c r="A991" s="209"/>
      <c r="B991" s="210"/>
      <c r="C991" s="211"/>
      <c r="D991" s="212"/>
      <c r="E991" s="213"/>
      <c r="F991" s="214"/>
    </row>
    <row r="992">
      <c r="A992" s="209"/>
      <c r="B992" s="210"/>
      <c r="C992" s="211"/>
      <c r="D992" s="212"/>
      <c r="E992" s="213"/>
      <c r="F992" s="214"/>
    </row>
    <row r="993">
      <c r="A993" s="209"/>
      <c r="B993" s="210"/>
      <c r="C993" s="211"/>
      <c r="D993" s="212"/>
      <c r="E993" s="213"/>
      <c r="F993" s="214"/>
    </row>
    <row r="994">
      <c r="A994" s="209"/>
      <c r="B994" s="210"/>
      <c r="C994" s="211"/>
      <c r="D994" s="212"/>
      <c r="E994" s="213"/>
      <c r="F994" s="214"/>
    </row>
    <row r="995">
      <c r="A995" s="209"/>
      <c r="B995" s="210"/>
      <c r="C995" s="211"/>
      <c r="D995" s="212"/>
      <c r="E995" s="213"/>
      <c r="F995" s="214"/>
    </row>
    <row r="996">
      <c r="A996" s="209"/>
      <c r="B996" s="210"/>
      <c r="C996" s="211"/>
      <c r="D996" s="212"/>
      <c r="E996" s="213"/>
      <c r="F996" s="214"/>
    </row>
    <row r="997">
      <c r="A997" s="209"/>
      <c r="B997" s="210"/>
      <c r="C997" s="211"/>
      <c r="D997" s="212"/>
      <c r="E997" s="213"/>
      <c r="F997" s="214"/>
    </row>
    <row r="998">
      <c r="A998" s="209"/>
      <c r="B998" s="210"/>
      <c r="C998" s="211"/>
      <c r="D998" s="212"/>
      <c r="E998" s="213"/>
      <c r="F998" s="214"/>
    </row>
    <row r="999">
      <c r="A999" s="209"/>
      <c r="B999" s="210"/>
      <c r="C999" s="211"/>
      <c r="D999" s="212"/>
      <c r="E999" s="213"/>
      <c r="F999" s="214"/>
    </row>
    <row r="1000">
      <c r="A1000" s="209"/>
      <c r="B1000" s="210"/>
      <c r="C1000" s="211"/>
      <c r="D1000" s="212"/>
      <c r="E1000" s="213"/>
      <c r="F1000" s="214"/>
    </row>
    <row r="1001">
      <c r="A1001" s="209"/>
      <c r="B1001" s="210"/>
      <c r="C1001" s="211"/>
      <c r="D1001" s="212"/>
      <c r="E1001" s="213"/>
      <c r="F1001" s="214"/>
    </row>
    <row r="1002">
      <c r="A1002" s="209"/>
      <c r="B1002" s="210"/>
      <c r="C1002" s="211"/>
      <c r="D1002" s="212"/>
      <c r="E1002" s="213"/>
      <c r="F1002" s="214"/>
    </row>
    <row r="1003">
      <c r="A1003" s="209"/>
      <c r="B1003" s="210"/>
      <c r="C1003" s="211"/>
      <c r="D1003" s="212"/>
      <c r="E1003" s="213"/>
      <c r="F1003" s="214"/>
    </row>
    <row r="1004">
      <c r="A1004" s="209"/>
      <c r="B1004" s="210"/>
      <c r="C1004" s="211"/>
      <c r="D1004" s="212"/>
      <c r="E1004" s="213"/>
      <c r="F1004" s="214"/>
    </row>
    <row r="1005">
      <c r="A1005" s="209"/>
      <c r="B1005" s="210"/>
      <c r="C1005" s="211"/>
      <c r="D1005" s="212"/>
      <c r="E1005" s="213"/>
      <c r="F1005" s="214"/>
    </row>
    <row r="1006">
      <c r="A1006" s="209"/>
      <c r="B1006" s="210"/>
      <c r="C1006" s="211"/>
      <c r="D1006" s="212"/>
      <c r="E1006" s="213"/>
      <c r="F1006" s="214"/>
    </row>
    <row r="1007">
      <c r="A1007" s="209"/>
      <c r="B1007" s="210"/>
      <c r="C1007" s="211"/>
      <c r="D1007" s="212"/>
      <c r="E1007" s="213"/>
      <c r="F1007" s="214"/>
    </row>
    <row r="1008">
      <c r="A1008" s="209"/>
      <c r="B1008" s="210"/>
      <c r="C1008" s="211"/>
      <c r="D1008" s="212"/>
      <c r="E1008" s="213"/>
      <c r="F1008" s="214"/>
    </row>
    <row r="1009">
      <c r="A1009" s="209"/>
      <c r="B1009" s="210"/>
      <c r="C1009" s="211"/>
      <c r="D1009" s="212"/>
      <c r="E1009" s="213"/>
      <c r="F1009" s="214"/>
    </row>
    <row r="1010">
      <c r="A1010" s="209"/>
      <c r="B1010" s="210"/>
      <c r="C1010" s="211"/>
      <c r="D1010" s="212"/>
      <c r="E1010" s="213"/>
      <c r="F1010" s="214"/>
    </row>
    <row r="1011">
      <c r="A1011" s="209"/>
      <c r="B1011" s="210"/>
      <c r="C1011" s="211"/>
      <c r="D1011" s="212"/>
      <c r="E1011" s="213"/>
      <c r="F1011" s="214"/>
    </row>
    <row r="1012">
      <c r="A1012" s="209"/>
      <c r="B1012" s="210"/>
      <c r="C1012" s="211"/>
      <c r="D1012" s="212"/>
      <c r="E1012" s="213"/>
      <c r="F1012" s="214"/>
    </row>
    <row r="1013">
      <c r="A1013" s="209"/>
      <c r="B1013" s="210"/>
      <c r="C1013" s="211"/>
      <c r="D1013" s="212"/>
      <c r="E1013" s="213"/>
      <c r="F1013" s="214"/>
    </row>
    <row r="1014">
      <c r="A1014" s="209"/>
      <c r="B1014" s="210"/>
      <c r="C1014" s="211"/>
      <c r="D1014" s="212"/>
      <c r="E1014" s="213"/>
      <c r="F1014" s="214"/>
    </row>
    <row r="1015">
      <c r="A1015" s="209"/>
      <c r="B1015" s="210"/>
      <c r="C1015" s="211"/>
      <c r="D1015" s="212"/>
      <c r="E1015" s="213"/>
      <c r="F1015" s="214"/>
    </row>
    <row r="1016">
      <c r="A1016" s="209"/>
      <c r="B1016" s="210"/>
      <c r="C1016" s="211"/>
      <c r="D1016" s="212"/>
      <c r="E1016" s="213"/>
      <c r="F1016" s="214"/>
    </row>
    <row r="1017">
      <c r="A1017" s="209"/>
      <c r="B1017" s="210"/>
      <c r="C1017" s="211"/>
      <c r="D1017" s="212"/>
      <c r="E1017" s="213"/>
      <c r="F1017" s="214"/>
    </row>
    <row r="1018">
      <c r="A1018" s="209"/>
      <c r="B1018" s="210"/>
      <c r="C1018" s="211"/>
      <c r="D1018" s="212"/>
      <c r="E1018" s="213"/>
      <c r="F1018" s="214"/>
    </row>
    <row r="1019">
      <c r="A1019" s="209"/>
      <c r="B1019" s="210"/>
      <c r="C1019" s="211"/>
      <c r="D1019" s="212"/>
      <c r="E1019" s="213"/>
      <c r="F1019" s="214"/>
    </row>
    <row r="1020">
      <c r="A1020" s="209"/>
      <c r="B1020" s="210"/>
      <c r="C1020" s="211"/>
      <c r="D1020" s="212"/>
      <c r="E1020" s="213"/>
      <c r="F1020" s="214"/>
    </row>
    <row r="1021">
      <c r="A1021" s="209"/>
      <c r="B1021" s="210"/>
      <c r="C1021" s="211"/>
      <c r="D1021" s="212"/>
      <c r="E1021" s="213"/>
      <c r="F1021" s="214"/>
    </row>
    <row r="1022">
      <c r="A1022" s="209"/>
      <c r="B1022" s="210"/>
      <c r="C1022" s="211"/>
      <c r="D1022" s="212"/>
      <c r="E1022" s="213"/>
      <c r="F1022" s="214"/>
    </row>
    <row r="1023">
      <c r="A1023" s="209"/>
      <c r="B1023" s="210"/>
      <c r="C1023" s="211"/>
      <c r="D1023" s="212"/>
      <c r="E1023" s="213"/>
      <c r="F1023" s="214"/>
    </row>
    <row r="1024">
      <c r="A1024" s="209"/>
      <c r="B1024" s="210"/>
      <c r="C1024" s="211"/>
      <c r="D1024" s="212"/>
      <c r="E1024" s="213"/>
      <c r="F1024" s="214"/>
    </row>
    <row r="1025">
      <c r="A1025" s="209"/>
      <c r="B1025" s="210"/>
      <c r="C1025" s="211"/>
      <c r="D1025" s="212"/>
      <c r="E1025" s="213"/>
      <c r="F1025" s="214"/>
    </row>
    <row r="1026">
      <c r="A1026" s="209"/>
      <c r="B1026" s="210"/>
      <c r="C1026" s="211"/>
      <c r="D1026" s="212"/>
      <c r="E1026" s="213"/>
      <c r="F1026" s="214"/>
    </row>
    <row r="1027">
      <c r="A1027" s="209"/>
      <c r="B1027" s="210"/>
      <c r="C1027" s="211"/>
      <c r="D1027" s="212"/>
      <c r="E1027" s="213"/>
      <c r="F1027" s="214"/>
    </row>
    <row r="1028">
      <c r="A1028" s="209"/>
      <c r="B1028" s="210"/>
      <c r="C1028" s="211"/>
      <c r="D1028" s="212"/>
      <c r="E1028" s="213"/>
      <c r="F1028" s="214"/>
    </row>
    <row r="1029">
      <c r="A1029" s="209"/>
      <c r="B1029" s="210"/>
      <c r="C1029" s="211"/>
      <c r="D1029" s="212"/>
      <c r="E1029" s="213"/>
      <c r="F1029" s="214"/>
    </row>
    <row r="1030">
      <c r="A1030" s="209"/>
      <c r="B1030" s="210"/>
      <c r="C1030" s="211"/>
      <c r="D1030" s="212"/>
      <c r="E1030" s="213"/>
      <c r="F1030" s="214"/>
    </row>
    <row r="1031">
      <c r="A1031" s="209"/>
      <c r="B1031" s="210"/>
      <c r="C1031" s="211"/>
      <c r="D1031" s="212"/>
      <c r="E1031" s="213"/>
      <c r="F1031" s="214"/>
    </row>
    <row r="1032">
      <c r="A1032" s="209"/>
      <c r="B1032" s="210"/>
      <c r="C1032" s="211"/>
      <c r="D1032" s="212"/>
      <c r="E1032" s="213"/>
      <c r="F1032" s="214"/>
    </row>
    <row r="1033">
      <c r="A1033" s="209"/>
      <c r="B1033" s="210"/>
      <c r="C1033" s="211"/>
      <c r="D1033" s="212"/>
      <c r="E1033" s="213"/>
      <c r="F1033" s="214"/>
    </row>
    <row r="1034">
      <c r="A1034" s="209"/>
      <c r="B1034" s="210"/>
      <c r="C1034" s="211"/>
      <c r="D1034" s="212"/>
      <c r="E1034" s="213"/>
      <c r="F1034" s="214"/>
    </row>
    <row r="1035">
      <c r="A1035" s="209"/>
      <c r="B1035" s="210"/>
      <c r="C1035" s="211"/>
      <c r="D1035" s="212"/>
      <c r="E1035" s="213"/>
      <c r="F1035" s="214"/>
    </row>
    <row r="1036">
      <c r="A1036" s="209"/>
      <c r="B1036" s="210"/>
      <c r="C1036" s="211"/>
      <c r="D1036" s="212"/>
      <c r="E1036" s="213"/>
      <c r="F1036" s="214"/>
    </row>
    <row r="1037">
      <c r="A1037" s="209"/>
      <c r="B1037" s="210"/>
      <c r="C1037" s="211"/>
      <c r="D1037" s="212"/>
      <c r="E1037" s="213"/>
      <c r="F1037" s="214"/>
    </row>
    <row r="1038">
      <c r="A1038" s="209"/>
      <c r="B1038" s="210"/>
      <c r="C1038" s="211"/>
      <c r="D1038" s="212"/>
      <c r="E1038" s="213"/>
      <c r="F1038" s="214"/>
    </row>
    <row r="1039">
      <c r="A1039" s="209"/>
      <c r="B1039" s="210"/>
      <c r="C1039" s="211"/>
      <c r="D1039" s="212"/>
      <c r="E1039" s="213"/>
      <c r="F1039" s="214"/>
    </row>
    <row r="1040">
      <c r="A1040" s="209"/>
      <c r="B1040" s="210"/>
      <c r="C1040" s="211"/>
      <c r="D1040" s="212"/>
      <c r="E1040" s="213"/>
      <c r="F1040" s="214"/>
    </row>
    <row r="1041">
      <c r="A1041" s="209"/>
      <c r="B1041" s="210"/>
      <c r="C1041" s="211"/>
      <c r="D1041" s="212"/>
      <c r="E1041" s="213"/>
      <c r="F1041" s="214"/>
    </row>
    <row r="1042">
      <c r="A1042" s="209"/>
      <c r="B1042" s="210"/>
      <c r="C1042" s="211"/>
      <c r="D1042" s="212"/>
      <c r="E1042" s="213"/>
      <c r="F1042" s="214"/>
    </row>
    <row r="1043">
      <c r="A1043" s="209"/>
      <c r="B1043" s="210"/>
      <c r="C1043" s="211"/>
      <c r="D1043" s="212"/>
      <c r="E1043" s="213"/>
      <c r="F1043" s="214"/>
    </row>
    <row r="1044">
      <c r="A1044" s="209"/>
      <c r="B1044" s="210"/>
      <c r="C1044" s="211"/>
      <c r="D1044" s="212"/>
      <c r="E1044" s="213"/>
      <c r="F1044" s="214"/>
    </row>
    <row r="1045">
      <c r="A1045" s="209"/>
      <c r="B1045" s="210"/>
      <c r="C1045" s="211"/>
      <c r="D1045" s="212"/>
      <c r="E1045" s="213"/>
      <c r="F1045" s="214"/>
    </row>
    <row r="1046">
      <c r="A1046" s="209"/>
      <c r="B1046" s="210"/>
      <c r="C1046" s="211"/>
      <c r="D1046" s="212"/>
      <c r="E1046" s="213"/>
      <c r="F1046" s="214"/>
    </row>
    <row r="1047">
      <c r="A1047" s="209"/>
      <c r="B1047" s="210"/>
      <c r="C1047" s="211"/>
      <c r="D1047" s="212"/>
      <c r="E1047" s="213"/>
      <c r="F1047" s="214"/>
    </row>
    <row r="1048">
      <c r="A1048" s="209"/>
      <c r="B1048" s="210"/>
      <c r="C1048" s="211"/>
      <c r="D1048" s="212"/>
      <c r="E1048" s="213"/>
      <c r="F1048" s="214"/>
    </row>
    <row r="1049">
      <c r="A1049" s="209"/>
      <c r="B1049" s="210"/>
      <c r="C1049" s="211"/>
      <c r="D1049" s="212"/>
      <c r="E1049" s="213"/>
      <c r="F1049" s="214"/>
    </row>
    <row r="1050">
      <c r="A1050" s="209"/>
      <c r="B1050" s="210"/>
      <c r="C1050" s="211"/>
      <c r="D1050" s="212"/>
      <c r="E1050" s="213"/>
      <c r="F1050" s="214"/>
    </row>
    <row r="1051">
      <c r="A1051" s="209"/>
      <c r="B1051" s="210"/>
      <c r="C1051" s="211"/>
      <c r="D1051" s="212"/>
      <c r="E1051" s="213"/>
      <c r="F1051" s="214"/>
    </row>
    <row r="1052">
      <c r="A1052" s="209"/>
      <c r="B1052" s="210"/>
      <c r="C1052" s="211"/>
      <c r="D1052" s="212"/>
      <c r="E1052" s="213"/>
      <c r="F1052" s="214"/>
    </row>
    <row r="1053">
      <c r="A1053" s="209"/>
      <c r="B1053" s="210"/>
      <c r="C1053" s="211"/>
      <c r="D1053" s="212"/>
      <c r="E1053" s="213"/>
      <c r="F1053" s="214"/>
    </row>
    <row r="1054">
      <c r="A1054" s="209"/>
      <c r="B1054" s="210"/>
      <c r="C1054" s="211"/>
      <c r="D1054" s="212"/>
      <c r="E1054" s="213"/>
      <c r="F1054" s="214"/>
    </row>
    <row r="1055">
      <c r="A1055" s="209"/>
      <c r="B1055" s="210"/>
      <c r="C1055" s="211"/>
      <c r="D1055" s="212"/>
      <c r="E1055" s="213"/>
      <c r="F1055" s="214"/>
    </row>
    <row r="1056">
      <c r="A1056" s="209"/>
      <c r="B1056" s="210"/>
      <c r="C1056" s="211"/>
      <c r="D1056" s="212"/>
      <c r="E1056" s="213"/>
      <c r="F1056" s="214"/>
    </row>
    <row r="1057">
      <c r="A1057" s="209"/>
      <c r="B1057" s="210"/>
      <c r="C1057" s="211"/>
      <c r="D1057" s="212"/>
      <c r="E1057" s="213"/>
      <c r="F1057" s="214"/>
    </row>
    <row r="1058">
      <c r="A1058" s="209"/>
      <c r="B1058" s="210"/>
      <c r="C1058" s="211"/>
      <c r="D1058" s="212"/>
      <c r="E1058" s="213"/>
      <c r="F1058" s="214"/>
    </row>
    <row r="1059">
      <c r="A1059" s="209"/>
      <c r="B1059" s="210"/>
      <c r="C1059" s="211"/>
      <c r="D1059" s="212"/>
      <c r="E1059" s="213"/>
      <c r="F1059" s="214"/>
    </row>
    <row r="1060">
      <c r="A1060" s="209"/>
      <c r="B1060" s="210"/>
      <c r="C1060" s="211"/>
      <c r="D1060" s="212"/>
      <c r="E1060" s="213"/>
      <c r="F1060" s="214"/>
    </row>
    <row r="1061">
      <c r="A1061" s="209"/>
      <c r="B1061" s="210"/>
      <c r="C1061" s="211"/>
      <c r="D1061" s="212"/>
      <c r="E1061" s="213"/>
      <c r="F1061" s="214"/>
    </row>
    <row r="1062">
      <c r="A1062" s="209"/>
      <c r="B1062" s="210"/>
      <c r="C1062" s="211"/>
      <c r="D1062" s="212"/>
      <c r="E1062" s="213"/>
      <c r="F1062" s="214"/>
    </row>
    <row r="1063">
      <c r="A1063" s="209"/>
      <c r="B1063" s="210"/>
      <c r="C1063" s="211"/>
      <c r="D1063" s="212"/>
      <c r="E1063" s="213"/>
      <c r="F1063" s="214"/>
    </row>
    <row r="1064">
      <c r="A1064" s="209"/>
      <c r="B1064" s="210"/>
      <c r="C1064" s="211"/>
      <c r="D1064" s="212"/>
      <c r="E1064" s="213"/>
      <c r="F1064" s="214"/>
    </row>
    <row r="1065">
      <c r="A1065" s="209"/>
      <c r="B1065" s="210"/>
      <c r="C1065" s="211"/>
      <c r="D1065" s="212"/>
      <c r="E1065" s="213"/>
      <c r="F1065" s="214"/>
    </row>
    <row r="1066">
      <c r="A1066" s="209"/>
      <c r="B1066" s="210"/>
      <c r="C1066" s="211"/>
      <c r="D1066" s="212"/>
      <c r="E1066" s="213"/>
      <c r="F1066" s="214"/>
    </row>
    <row r="1067">
      <c r="A1067" s="209"/>
      <c r="B1067" s="210"/>
      <c r="C1067" s="211"/>
      <c r="D1067" s="212"/>
      <c r="E1067" s="213"/>
      <c r="F1067" s="214"/>
    </row>
    <row r="1068">
      <c r="A1068" s="209"/>
      <c r="B1068" s="210"/>
      <c r="C1068" s="211"/>
      <c r="D1068" s="212"/>
      <c r="E1068" s="213"/>
      <c r="F1068" s="214"/>
    </row>
    <row r="1069">
      <c r="A1069" s="209"/>
      <c r="B1069" s="210"/>
      <c r="C1069" s="211"/>
      <c r="D1069" s="212"/>
      <c r="E1069" s="213"/>
      <c r="F1069" s="214"/>
    </row>
    <row r="1070">
      <c r="A1070" s="209"/>
      <c r="B1070" s="210"/>
      <c r="C1070" s="211"/>
      <c r="D1070" s="212"/>
      <c r="E1070" s="213"/>
      <c r="F1070" s="214"/>
    </row>
    <row r="1071">
      <c r="A1071" s="209"/>
      <c r="B1071" s="210"/>
      <c r="C1071" s="211"/>
      <c r="D1071" s="212"/>
      <c r="E1071" s="213"/>
      <c r="F1071" s="214"/>
    </row>
    <row r="1072">
      <c r="A1072" s="209"/>
      <c r="B1072" s="210"/>
      <c r="C1072" s="211"/>
      <c r="D1072" s="212"/>
      <c r="E1072" s="213"/>
      <c r="F1072" s="214"/>
    </row>
    <row r="1073">
      <c r="A1073" s="209"/>
      <c r="B1073" s="210"/>
      <c r="C1073" s="211"/>
      <c r="D1073" s="212"/>
      <c r="E1073" s="213"/>
      <c r="F1073" s="214"/>
    </row>
    <row r="1074">
      <c r="A1074" s="209"/>
      <c r="B1074" s="210"/>
      <c r="C1074" s="211"/>
      <c r="D1074" s="212"/>
      <c r="E1074" s="213"/>
      <c r="F1074" s="214"/>
    </row>
    <row r="1075">
      <c r="A1075" s="209"/>
      <c r="B1075" s="210"/>
      <c r="C1075" s="211"/>
      <c r="D1075" s="212"/>
      <c r="E1075" s="213"/>
      <c r="F1075" s="214"/>
    </row>
    <row r="1076">
      <c r="A1076" s="209"/>
      <c r="B1076" s="210"/>
      <c r="C1076" s="211"/>
      <c r="D1076" s="212"/>
      <c r="E1076" s="213"/>
      <c r="F1076" s="214"/>
    </row>
    <row r="1077">
      <c r="A1077" s="209"/>
      <c r="B1077" s="210"/>
      <c r="C1077" s="211"/>
      <c r="D1077" s="212"/>
      <c r="E1077" s="213"/>
      <c r="F1077" s="214"/>
    </row>
    <row r="1078">
      <c r="A1078" s="209"/>
      <c r="B1078" s="210"/>
      <c r="C1078" s="211"/>
      <c r="D1078" s="212"/>
      <c r="E1078" s="213"/>
      <c r="F1078" s="214"/>
    </row>
    <row r="1079">
      <c r="A1079" s="209"/>
      <c r="B1079" s="210"/>
      <c r="C1079" s="211"/>
      <c r="D1079" s="212"/>
      <c r="E1079" s="213"/>
      <c r="F1079" s="214"/>
    </row>
    <row r="1080">
      <c r="A1080" s="209"/>
      <c r="B1080" s="210"/>
      <c r="C1080" s="211"/>
      <c r="D1080" s="212"/>
      <c r="E1080" s="213"/>
      <c r="F1080" s="214"/>
    </row>
    <row r="1081">
      <c r="A1081" s="209"/>
      <c r="B1081" s="210"/>
      <c r="C1081" s="211"/>
      <c r="D1081" s="212"/>
      <c r="E1081" s="213"/>
      <c r="F1081" s="214"/>
    </row>
    <row r="1082">
      <c r="A1082" s="209"/>
      <c r="B1082" s="210"/>
      <c r="C1082" s="211"/>
      <c r="D1082" s="212"/>
      <c r="E1082" s="213"/>
      <c r="F1082" s="214"/>
    </row>
    <row r="1083">
      <c r="A1083" s="209"/>
      <c r="B1083" s="210"/>
      <c r="C1083" s="211"/>
      <c r="D1083" s="212"/>
      <c r="E1083" s="213"/>
      <c r="F1083" s="214"/>
    </row>
    <row r="1084">
      <c r="A1084" s="209"/>
      <c r="B1084" s="210"/>
      <c r="C1084" s="211"/>
      <c r="D1084" s="212"/>
      <c r="E1084" s="213"/>
      <c r="F1084" s="214"/>
    </row>
    <row r="1085">
      <c r="A1085" s="209"/>
      <c r="B1085" s="210"/>
      <c r="C1085" s="211"/>
      <c r="D1085" s="212"/>
      <c r="E1085" s="213"/>
      <c r="F1085" s="214"/>
    </row>
    <row r="1086">
      <c r="A1086" s="209"/>
      <c r="B1086" s="210"/>
      <c r="C1086" s="211"/>
      <c r="D1086" s="212"/>
      <c r="E1086" s="213"/>
      <c r="F1086" s="214"/>
    </row>
    <row r="1087">
      <c r="A1087" s="209"/>
      <c r="B1087" s="210"/>
      <c r="C1087" s="211"/>
      <c r="D1087" s="212"/>
      <c r="E1087" s="213"/>
      <c r="F1087" s="214"/>
    </row>
    <row r="1088">
      <c r="A1088" s="209"/>
      <c r="B1088" s="210"/>
      <c r="C1088" s="211"/>
      <c r="D1088" s="212"/>
      <c r="E1088" s="213"/>
      <c r="F1088" s="214"/>
    </row>
    <row r="1089">
      <c r="A1089" s="209"/>
      <c r="B1089" s="210"/>
      <c r="C1089" s="211"/>
      <c r="D1089" s="212"/>
      <c r="E1089" s="213"/>
      <c r="F1089" s="214"/>
    </row>
    <row r="1090">
      <c r="A1090" s="209"/>
      <c r="B1090" s="210"/>
      <c r="C1090" s="211"/>
      <c r="D1090" s="212"/>
      <c r="E1090" s="213"/>
      <c r="F1090" s="214"/>
    </row>
    <row r="1091">
      <c r="A1091" s="209"/>
      <c r="B1091" s="210"/>
      <c r="C1091" s="211"/>
      <c r="D1091" s="212"/>
      <c r="E1091" s="213"/>
      <c r="F1091" s="214"/>
    </row>
    <row r="1092">
      <c r="A1092" s="209"/>
      <c r="B1092" s="210"/>
      <c r="C1092" s="211"/>
      <c r="D1092" s="212"/>
      <c r="E1092" s="213"/>
      <c r="F1092" s="214"/>
    </row>
    <row r="1093">
      <c r="A1093" s="209"/>
      <c r="B1093" s="210"/>
      <c r="C1093" s="211"/>
      <c r="D1093" s="212"/>
      <c r="E1093" s="213"/>
      <c r="F1093" s="214"/>
    </row>
    <row r="1094">
      <c r="A1094" s="209"/>
      <c r="B1094" s="210"/>
      <c r="C1094" s="211"/>
      <c r="D1094" s="212"/>
      <c r="E1094" s="213"/>
      <c r="F1094" s="214"/>
    </row>
    <row r="1095">
      <c r="A1095" s="209"/>
      <c r="B1095" s="210"/>
      <c r="C1095" s="211"/>
      <c r="D1095" s="212"/>
      <c r="E1095" s="213"/>
      <c r="F1095" s="214"/>
    </row>
    <row r="1096">
      <c r="A1096" s="209"/>
      <c r="B1096" s="210"/>
      <c r="C1096" s="211"/>
      <c r="D1096" s="212"/>
      <c r="E1096" s="213"/>
      <c r="F1096" s="214"/>
    </row>
    <row r="1097">
      <c r="A1097" s="209"/>
      <c r="B1097" s="210"/>
      <c r="C1097" s="211"/>
      <c r="D1097" s="212"/>
      <c r="E1097" s="213"/>
      <c r="F1097" s="214"/>
    </row>
    <row r="1098">
      <c r="A1098" s="209"/>
      <c r="B1098" s="210"/>
      <c r="C1098" s="211"/>
      <c r="D1098" s="212"/>
      <c r="E1098" s="213"/>
      <c r="F1098" s="214"/>
    </row>
    <row r="1099">
      <c r="A1099" s="209"/>
      <c r="B1099" s="210"/>
      <c r="C1099" s="211"/>
      <c r="D1099" s="212"/>
      <c r="E1099" s="213"/>
      <c r="F1099" s="214"/>
    </row>
    <row r="1100">
      <c r="A1100" s="209"/>
      <c r="B1100" s="210"/>
      <c r="C1100" s="211"/>
      <c r="D1100" s="212"/>
      <c r="E1100" s="213"/>
      <c r="F1100" s="214"/>
    </row>
    <row r="1101">
      <c r="A1101" s="209"/>
      <c r="B1101" s="210"/>
      <c r="C1101" s="211"/>
      <c r="D1101" s="212"/>
      <c r="E1101" s="213"/>
      <c r="F1101" s="214"/>
    </row>
    <row r="1102">
      <c r="A1102" s="209"/>
      <c r="B1102" s="210"/>
      <c r="C1102" s="211"/>
      <c r="D1102" s="212"/>
      <c r="E1102" s="213"/>
      <c r="F1102" s="214"/>
    </row>
    <row r="1103">
      <c r="A1103" s="209"/>
      <c r="B1103" s="210"/>
      <c r="C1103" s="211"/>
      <c r="D1103" s="212"/>
      <c r="E1103" s="213"/>
      <c r="F1103" s="214"/>
    </row>
    <row r="1104">
      <c r="A1104" s="209"/>
      <c r="B1104" s="210"/>
      <c r="C1104" s="211"/>
      <c r="D1104" s="212"/>
      <c r="E1104" s="213"/>
      <c r="F1104" s="214"/>
    </row>
    <row r="1105">
      <c r="A1105" s="209"/>
      <c r="B1105" s="210"/>
      <c r="C1105" s="211"/>
      <c r="D1105" s="212"/>
      <c r="E1105" s="213"/>
      <c r="F1105" s="214"/>
    </row>
    <row r="1106">
      <c r="A1106" s="209"/>
      <c r="B1106" s="210"/>
      <c r="C1106" s="211"/>
      <c r="D1106" s="212"/>
      <c r="E1106" s="213"/>
      <c r="F1106" s="214"/>
    </row>
    <row r="1107">
      <c r="A1107" s="209"/>
      <c r="B1107" s="210"/>
      <c r="C1107" s="211"/>
      <c r="D1107" s="212"/>
      <c r="E1107" s="213"/>
      <c r="F1107" s="214"/>
    </row>
    <row r="1108">
      <c r="A1108" s="209"/>
      <c r="B1108" s="210"/>
      <c r="C1108" s="211"/>
      <c r="D1108" s="212"/>
      <c r="E1108" s="213"/>
      <c r="F1108" s="214"/>
    </row>
    <row r="1109">
      <c r="A1109" s="209"/>
      <c r="B1109" s="210"/>
      <c r="C1109" s="211"/>
      <c r="D1109" s="212"/>
      <c r="E1109" s="213"/>
      <c r="F1109" s="214"/>
    </row>
    <row r="1110">
      <c r="A1110" s="209"/>
      <c r="B1110" s="210"/>
      <c r="C1110" s="211"/>
      <c r="D1110" s="212"/>
      <c r="E1110" s="213"/>
      <c r="F1110" s="214"/>
    </row>
  </sheetData>
  <dataValidations>
    <dataValidation type="list" allowBlank="1" showErrorMessage="1" sqref="R2:R41">
      <formula1>LEGEND!$A$3:$A$5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3" width="15.75"/>
    <col customWidth="1" min="4" max="4" width="17.13"/>
    <col customWidth="1" min="5" max="5" width="19.88"/>
    <col customWidth="1" min="6" max="6" width="22.88"/>
    <col customWidth="1" min="7" max="7" width="13.38"/>
    <col customWidth="1" min="8" max="8" width="23.25"/>
    <col customWidth="1" min="9" max="9" width="12.13"/>
    <col customWidth="1" min="10" max="12" width="20.13"/>
    <col customWidth="1" min="13" max="13" width="17.13"/>
    <col customWidth="1" min="14" max="14" width="26.75"/>
    <col customWidth="1" min="15" max="15" width="14.38"/>
    <col customWidth="1" min="16" max="16" width="19.38"/>
    <col customWidth="1" min="17" max="17" width="2.5"/>
  </cols>
  <sheetData>
    <row r="1">
      <c r="A1" s="124" t="s">
        <v>63</v>
      </c>
      <c r="B1" s="125"/>
      <c r="C1" s="126"/>
      <c r="D1" s="4" t="s">
        <v>6</v>
      </c>
      <c r="E1" s="10"/>
      <c r="F1" s="10"/>
      <c r="G1" s="10"/>
      <c r="H1" s="10"/>
      <c r="I1" s="10"/>
      <c r="J1" s="10"/>
      <c r="K1" s="10"/>
      <c r="L1" s="10"/>
      <c r="M1" s="15" t="s">
        <v>57</v>
      </c>
      <c r="O1" s="114"/>
      <c r="P1" s="114"/>
      <c r="Q1" s="159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>
      <c r="A2" s="82" t="s">
        <v>2</v>
      </c>
      <c r="B2" s="82" t="s">
        <v>4</v>
      </c>
      <c r="C2" s="82" t="s">
        <v>42</v>
      </c>
      <c r="D2" s="8" t="s">
        <v>7</v>
      </c>
      <c r="E2" s="11" t="s">
        <v>31</v>
      </c>
      <c r="F2" s="11" t="s">
        <v>10</v>
      </c>
      <c r="G2" s="11" t="s">
        <v>35</v>
      </c>
      <c r="H2" s="11" t="s">
        <v>13</v>
      </c>
      <c r="I2" s="5" t="s">
        <v>59</v>
      </c>
      <c r="J2" s="5" t="s">
        <v>60</v>
      </c>
      <c r="K2" s="127" t="s">
        <v>37</v>
      </c>
      <c r="L2" s="127" t="s">
        <v>18</v>
      </c>
      <c r="M2" s="128" t="s">
        <v>27</v>
      </c>
      <c r="N2" s="129" t="s">
        <v>61</v>
      </c>
      <c r="O2" s="160"/>
      <c r="P2" s="160"/>
      <c r="Q2" s="159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</row>
    <row r="3">
      <c r="A3" s="74" t="str">
        <f t="shared" ref="A3:A178" si="1">IF(ISBLANK(B3),"",TEXT(B3,"dddd"))</f>
        <v>Tuesday</v>
      </c>
      <c r="B3" s="49">
        <v>46266.0</v>
      </c>
      <c r="C3" s="86">
        <v>1.0</v>
      </c>
      <c r="D3" s="87">
        <v>49908.72</v>
      </c>
      <c r="E3" s="131">
        <f>IFERROR(__xludf.DUMMYFUNCTION("IFNA(FILTER(BUY_SEP!$L$2:$L$1218, BUY_SEP!$H$2:$H$1218=B3, BUY_SEP!$I$2:$I$1218=C3), ""-"")"),17631.61273918904)</f>
        <v>17631.61274</v>
      </c>
      <c r="F3" s="132">
        <f t="shared" ref="F3:F178" si="2">IFERROR(VALUE(E3)*VALUE(D3), "-")</f>
        <v>879971223.3</v>
      </c>
      <c r="G3" s="162">
        <v>17675.0</v>
      </c>
      <c r="H3" s="134">
        <f t="shared" ref="H3:H178" si="3">IFERROR(VALUE(G3)*VALUE(D3), "-")</f>
        <v>882136626</v>
      </c>
      <c r="I3" s="100">
        <v>0.0</v>
      </c>
      <c r="J3" s="135">
        <f t="shared" ref="J3:J178" si="4">IF(OR(I3="-", F3="-", I3="", F3=""), "-", VALUE(I3)%*VALUE(F3))</f>
        <v>0</v>
      </c>
      <c r="K3" s="152">
        <f t="shared" ref="K3:K178" si="5">IF(OR(H3="-", F3="-", H3="", F3=""), "-", VALUE(H3)-VALUE(F3))</f>
        <v>2165402.651</v>
      </c>
      <c r="L3" s="137">
        <f t="shared" ref="L3:L178" si="6">IF(OR(H3="-", F3="-", J3="-", H3="", F3="", J3=""), "-", VALUE(H3)-VALUE(F3)-VALUE(J3))</f>
        <v>2165402.651</v>
      </c>
      <c r="M3" s="138">
        <f t="array" ref="M3:M23">UNIQUE(B3:B101)</f>
        <v>46266</v>
      </c>
      <c r="N3" s="139">
        <f t="shared" ref="N3:N178" si="7">SUMIF(B$3:B$900, M3, L$3:L$900)</f>
        <v>8103901.164</v>
      </c>
      <c r="O3" s="165"/>
      <c r="P3" s="167"/>
      <c r="Q3" s="159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</row>
    <row r="4">
      <c r="A4" s="74" t="str">
        <f t="shared" si="1"/>
        <v>Tuesday</v>
      </c>
      <c r="B4" s="49">
        <v>46266.0</v>
      </c>
      <c r="C4" s="86">
        <v>1.0</v>
      </c>
      <c r="D4" s="87">
        <v>63245.45</v>
      </c>
      <c r="E4" s="131">
        <f>IFERROR(__xludf.DUMMYFUNCTION("IFNA(FILTER(BUY_SEP!$L$2:$L$1218, BUY_SEP!$H$2:$H$1218=B4, BUY_SEP!$I$2:$I$1218=C4), ""-"")"),17631.61273918904)</f>
        <v>17631.61274</v>
      </c>
      <c r="F4" s="132">
        <f t="shared" si="2"/>
        <v>1115119282</v>
      </c>
      <c r="G4" s="162">
        <v>17675.0</v>
      </c>
      <c r="H4" s="134">
        <f t="shared" si="3"/>
        <v>1117863329</v>
      </c>
      <c r="I4" s="100">
        <v>0.0</v>
      </c>
      <c r="J4" s="135">
        <f t="shared" si="4"/>
        <v>0</v>
      </c>
      <c r="K4" s="152">
        <f t="shared" si="5"/>
        <v>2744046.834</v>
      </c>
      <c r="L4" s="137">
        <f t="shared" si="6"/>
        <v>2744046.834</v>
      </c>
      <c r="M4" s="138">
        <v>46267.0</v>
      </c>
      <c r="N4" s="139">
        <f t="shared" si="7"/>
        <v>12366953.26</v>
      </c>
      <c r="O4" s="165"/>
      <c r="P4" s="167"/>
      <c r="Q4" s="159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</row>
    <row r="5">
      <c r="A5" s="74" t="str">
        <f t="shared" si="1"/>
        <v>Tuesday</v>
      </c>
      <c r="B5" s="49">
        <v>46266.0</v>
      </c>
      <c r="C5" s="86">
        <v>1.0</v>
      </c>
      <c r="D5" s="87">
        <v>28312.57</v>
      </c>
      <c r="E5" s="131">
        <f>IFERROR(__xludf.DUMMYFUNCTION("IFNA(FILTER(BUY_SEP!$L$2:$L$1218, BUY_SEP!$H$2:$H$1218=B5, BUY_SEP!$I$2:$I$1218=C5), ""-"")"),17631.61273918904)</f>
        <v>17631.61274</v>
      </c>
      <c r="F5" s="132">
        <f t="shared" si="2"/>
        <v>499196269.9</v>
      </c>
      <c r="G5" s="162">
        <v>17660.0</v>
      </c>
      <c r="H5" s="134">
        <f t="shared" si="3"/>
        <v>499999986.2</v>
      </c>
      <c r="I5" s="100">
        <v>0.0</v>
      </c>
      <c r="J5" s="135">
        <f t="shared" si="4"/>
        <v>0</v>
      </c>
      <c r="K5" s="152">
        <f t="shared" si="5"/>
        <v>803716.3088</v>
      </c>
      <c r="L5" s="137">
        <f t="shared" si="6"/>
        <v>803716.3088</v>
      </c>
      <c r="M5" s="138">
        <v>46268.0</v>
      </c>
      <c r="N5" s="139">
        <f t="shared" si="7"/>
        <v>19989581.5</v>
      </c>
      <c r="O5" s="165"/>
      <c r="P5" s="167"/>
      <c r="Q5" s="114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</row>
    <row r="6">
      <c r="A6" s="74" t="str">
        <f t="shared" si="1"/>
        <v>Tuesday</v>
      </c>
      <c r="B6" s="49">
        <v>46266.0</v>
      </c>
      <c r="C6" s="86">
        <v>1.0</v>
      </c>
      <c r="D6" s="87">
        <v>30000.0</v>
      </c>
      <c r="E6" s="131">
        <f>IFERROR(__xludf.DUMMYFUNCTION("IFNA(FILTER(BUY_SEP!$L$2:$L$1218, BUY_SEP!$H$2:$H$1218=B6, BUY_SEP!$I$2:$I$1218=C6), ""-"")"),17631.61273918904)</f>
        <v>17631.61274</v>
      </c>
      <c r="F6" s="132">
        <f t="shared" si="2"/>
        <v>528948382.2</v>
      </c>
      <c r="G6" s="162">
        <v>17665.0</v>
      </c>
      <c r="H6" s="134">
        <f t="shared" si="3"/>
        <v>529950000</v>
      </c>
      <c r="I6" s="100">
        <v>0.0</v>
      </c>
      <c r="J6" s="135">
        <f t="shared" si="4"/>
        <v>0</v>
      </c>
      <c r="K6" s="152">
        <f t="shared" si="5"/>
        <v>1001617.824</v>
      </c>
      <c r="L6" s="137">
        <f t="shared" si="6"/>
        <v>1001617.824</v>
      </c>
      <c r="M6" s="138">
        <v>46269.0</v>
      </c>
      <c r="N6" s="139">
        <f t="shared" si="7"/>
        <v>25595748.71</v>
      </c>
      <c r="O6" s="165"/>
      <c r="P6" s="167"/>
      <c r="Q6" s="114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</row>
    <row r="7">
      <c r="A7" s="74" t="str">
        <f t="shared" si="1"/>
        <v>Tuesday</v>
      </c>
      <c r="B7" s="49">
        <v>46266.0</v>
      </c>
      <c r="C7" s="86">
        <v>1.0</v>
      </c>
      <c r="D7" s="87">
        <v>3401.93</v>
      </c>
      <c r="E7" s="131">
        <f>IFERROR(__xludf.DUMMYFUNCTION("IFNA(FILTER(BUY_SEP!$L$2:$L$1218, BUY_SEP!$H$2:$H$1218=B7, BUY_SEP!$I$2:$I$1218=C7), ""-"")"),17631.61273918904)</f>
        <v>17631.61274</v>
      </c>
      <c r="F7" s="132">
        <f t="shared" si="2"/>
        <v>59981512.33</v>
      </c>
      <c r="G7" s="162">
        <v>17637.0</v>
      </c>
      <c r="H7" s="134">
        <f t="shared" si="3"/>
        <v>59999839.41</v>
      </c>
      <c r="I7" s="100">
        <v>0.05</v>
      </c>
      <c r="J7" s="135">
        <f t="shared" si="4"/>
        <v>29990.75616</v>
      </c>
      <c r="K7" s="152">
        <f t="shared" si="5"/>
        <v>18327.08417</v>
      </c>
      <c r="L7" s="137">
        <f t="shared" si="6"/>
        <v>-11663.67199</v>
      </c>
      <c r="M7" s="138">
        <v>46270.0</v>
      </c>
      <c r="N7" s="139">
        <f t="shared" si="7"/>
        <v>2133712.5</v>
      </c>
      <c r="O7" s="165"/>
      <c r="P7" s="167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</row>
    <row r="8">
      <c r="A8" s="74" t="str">
        <f t="shared" si="1"/>
        <v>Tuesday</v>
      </c>
      <c r="B8" s="49">
        <v>46266.0</v>
      </c>
      <c r="C8" s="86">
        <v>1.0</v>
      </c>
      <c r="D8" s="87">
        <v>15126.62</v>
      </c>
      <c r="E8" s="131">
        <f>IFERROR(__xludf.DUMMYFUNCTION("IFNA(FILTER(BUY_SEP!$L$2:$L$1218, BUY_SEP!$H$2:$H$1218=B8, BUY_SEP!$I$2:$I$1218=C8), ""-"")"),17631.61273918904)</f>
        <v>17631.61274</v>
      </c>
      <c r="F8" s="132">
        <f t="shared" si="2"/>
        <v>266706705.9</v>
      </c>
      <c r="G8" s="162">
        <v>17651.0</v>
      </c>
      <c r="H8" s="134">
        <f t="shared" si="3"/>
        <v>266999969.6</v>
      </c>
      <c r="I8" s="100">
        <v>0.05</v>
      </c>
      <c r="J8" s="135">
        <f t="shared" si="4"/>
        <v>133353.3529</v>
      </c>
      <c r="K8" s="152">
        <f t="shared" si="5"/>
        <v>293263.7271</v>
      </c>
      <c r="L8" s="137">
        <f t="shared" si="6"/>
        <v>159910.3742</v>
      </c>
      <c r="M8" s="138">
        <v>46272.0</v>
      </c>
      <c r="N8" s="139">
        <f t="shared" si="7"/>
        <v>1613297.434</v>
      </c>
      <c r="O8" s="165"/>
      <c r="P8" s="167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</row>
    <row r="9">
      <c r="A9" s="74" t="str">
        <f t="shared" si="1"/>
        <v>Tuesday</v>
      </c>
      <c r="B9" s="49">
        <v>46266.0</v>
      </c>
      <c r="C9" s="106">
        <v>2.0</v>
      </c>
      <c r="D9" s="87">
        <v>73612.68</v>
      </c>
      <c r="E9" s="131">
        <f>IFERROR(__xludf.DUMMYFUNCTION("IFNA(FILTER(BUY_SEP!$L$2:$L$1218, BUY_SEP!$H$2:$H$1218=B9, BUY_SEP!$I$2:$I$1218=C9), ""-"")"),17634.32608288917)</f>
        <v>17634.32608</v>
      </c>
      <c r="F9" s="132">
        <f t="shared" si="2"/>
        <v>1298110003</v>
      </c>
      <c r="G9" s="145">
        <v>17660.0</v>
      </c>
      <c r="H9" s="134">
        <f t="shared" si="3"/>
        <v>1299999929</v>
      </c>
      <c r="I9" s="100">
        <v>0.05</v>
      </c>
      <c r="J9" s="135">
        <f t="shared" si="4"/>
        <v>649055.0015</v>
      </c>
      <c r="K9" s="152">
        <f t="shared" si="5"/>
        <v>1889925.845</v>
      </c>
      <c r="L9" s="137">
        <f t="shared" si="6"/>
        <v>1240870.843</v>
      </c>
      <c r="M9" s="146">
        <v>46273.0</v>
      </c>
      <c r="N9" s="139">
        <f t="shared" si="7"/>
        <v>6771268.596</v>
      </c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</row>
    <row r="10">
      <c r="A10" s="74" t="str">
        <f t="shared" si="1"/>
        <v>Wednesday</v>
      </c>
      <c r="B10" s="49">
        <v>46267.0</v>
      </c>
      <c r="C10" s="106">
        <v>1.0</v>
      </c>
      <c r="D10" s="87">
        <v>45209.01</v>
      </c>
      <c r="E10" s="131">
        <f>IFERROR(__xludf.DUMMYFUNCTION("IFNA(FILTER(BUY_SEP!$L$2:$L$1218, BUY_SEP!$H$2:$H$1218=B10, BUY_SEP!$I$2:$I$1218=C10), ""-"")"),17669.94174431459)</f>
        <v>17669.94174</v>
      </c>
      <c r="F10" s="132">
        <f t="shared" si="2"/>
        <v>798840573</v>
      </c>
      <c r="G10" s="145">
        <v>17695.0</v>
      </c>
      <c r="H10" s="134">
        <f t="shared" si="3"/>
        <v>799973432</v>
      </c>
      <c r="I10" s="100">
        <v>0.05</v>
      </c>
      <c r="J10" s="135">
        <f t="shared" si="4"/>
        <v>399420.2865</v>
      </c>
      <c r="K10" s="152">
        <f t="shared" si="5"/>
        <v>1132858.932</v>
      </c>
      <c r="L10" s="137">
        <f t="shared" si="6"/>
        <v>733438.6454</v>
      </c>
      <c r="M10" s="146">
        <v>46274.0</v>
      </c>
      <c r="N10" s="139">
        <f t="shared" si="7"/>
        <v>1073974.648</v>
      </c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</row>
    <row r="11">
      <c r="A11" s="74" t="str">
        <f t="shared" si="1"/>
        <v>Wednesday</v>
      </c>
      <c r="B11" s="49">
        <v>46267.0</v>
      </c>
      <c r="C11" s="106">
        <v>1.0</v>
      </c>
      <c r="D11" s="87">
        <v>69511.16</v>
      </c>
      <c r="E11" s="131">
        <f>IFERROR(__xludf.DUMMYFUNCTION("IFNA(FILTER(BUY_SEP!$L$2:$L$1218, BUY_SEP!$H$2:$H$1218=B11, BUY_SEP!$I$2:$I$1218=C11), ""-"")"),17669.94174431459)</f>
        <v>17669.94174</v>
      </c>
      <c r="F11" s="132">
        <f t="shared" si="2"/>
        <v>1228258148</v>
      </c>
      <c r="G11" s="145">
        <v>17700.0</v>
      </c>
      <c r="H11" s="134">
        <f t="shared" si="3"/>
        <v>1230347532</v>
      </c>
      <c r="I11" s="100">
        <v>0.05</v>
      </c>
      <c r="J11" s="135">
        <f t="shared" si="4"/>
        <v>614129.0739</v>
      </c>
      <c r="K11" s="152">
        <f t="shared" si="5"/>
        <v>2089384.22</v>
      </c>
      <c r="L11" s="137">
        <f t="shared" si="6"/>
        <v>1475255.146</v>
      </c>
      <c r="M11" s="146">
        <v>46275.0</v>
      </c>
      <c r="N11" s="139">
        <f t="shared" si="7"/>
        <v>2455721.05</v>
      </c>
      <c r="O11" s="169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</row>
    <row r="12">
      <c r="A12" s="74" t="str">
        <f t="shared" si="1"/>
        <v>Wednesday</v>
      </c>
      <c r="B12" s="49">
        <v>46267.0</v>
      </c>
      <c r="C12" s="106">
        <v>1.0</v>
      </c>
      <c r="D12" s="87">
        <v>56983.05</v>
      </c>
      <c r="E12" s="131">
        <f>IFERROR(__xludf.DUMMYFUNCTION("IFNA(FILTER(BUY_SEP!$L$2:$L$1218, BUY_SEP!$H$2:$H$1218=B12, BUY_SEP!$I$2:$I$1218=C12), ""-"")"),17669.94174431459)</f>
        <v>17669.94174</v>
      </c>
      <c r="F12" s="132">
        <f t="shared" si="2"/>
        <v>1006887174</v>
      </c>
      <c r="G12" s="145">
        <v>17700.0</v>
      </c>
      <c r="H12" s="134">
        <f t="shared" si="3"/>
        <v>1008599985</v>
      </c>
      <c r="I12" s="100">
        <v>0.05</v>
      </c>
      <c r="J12" s="135">
        <f t="shared" si="4"/>
        <v>503443.587</v>
      </c>
      <c r="K12" s="152">
        <f t="shared" si="5"/>
        <v>1712811.087</v>
      </c>
      <c r="L12" s="137">
        <f t="shared" si="6"/>
        <v>1209367.5</v>
      </c>
      <c r="M12" s="146">
        <v>46276.0</v>
      </c>
      <c r="N12" s="139">
        <f t="shared" si="7"/>
        <v>2368814.15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</row>
    <row r="13">
      <c r="A13" s="74" t="str">
        <f t="shared" si="1"/>
        <v>Wednesday</v>
      </c>
      <c r="B13" s="49">
        <v>46267.0</v>
      </c>
      <c r="C13" s="106">
        <v>2.0</v>
      </c>
      <c r="D13" s="87">
        <v>56497.17</v>
      </c>
      <c r="E13" s="131">
        <f>IFERROR(__xludf.DUMMYFUNCTION("IFNA(FILTER(BUY_SEP!$L$2:$L$1218, BUY_SEP!$H$2:$H$1218=B13, BUY_SEP!$I$2:$I$1218=C13), ""-"")"),17661.391109734985)</f>
        <v>17661.39111</v>
      </c>
      <c r="F13" s="132">
        <f t="shared" si="2"/>
        <v>997818616</v>
      </c>
      <c r="G13" s="145">
        <v>17700.0</v>
      </c>
      <c r="H13" s="134">
        <f t="shared" si="3"/>
        <v>999999909</v>
      </c>
      <c r="I13" s="100">
        <v>0.05</v>
      </c>
      <c r="J13" s="135">
        <f t="shared" si="4"/>
        <v>498909.308</v>
      </c>
      <c r="K13" s="152">
        <f t="shared" si="5"/>
        <v>2181293.037</v>
      </c>
      <c r="L13" s="137">
        <f t="shared" si="6"/>
        <v>1682383.729</v>
      </c>
      <c r="M13" s="146">
        <v>46277.0</v>
      </c>
      <c r="N13" s="139">
        <f t="shared" si="7"/>
        <v>3663145.8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</row>
    <row r="14">
      <c r="A14" s="74" t="str">
        <f t="shared" si="1"/>
        <v>Wednesday</v>
      </c>
      <c r="B14" s="49">
        <v>46267.0</v>
      </c>
      <c r="C14" s="106">
        <v>3.0</v>
      </c>
      <c r="D14" s="87">
        <v>113058.22</v>
      </c>
      <c r="E14" s="131">
        <f>IFERROR(__xludf.DUMMYFUNCTION("IFNA(FILTER(BUY_SEP!$L$2:$L$1218, BUY_SEP!$H$2:$H$1218=B14, BUY_SEP!$I$2:$I$1218=C14), ""-"")"),17641.78883570009)</f>
        <v>17641.78884</v>
      </c>
      <c r="F14" s="132">
        <f t="shared" si="2"/>
        <v>1994549243</v>
      </c>
      <c r="G14" s="145">
        <v>17690.0</v>
      </c>
      <c r="H14" s="134">
        <f t="shared" si="3"/>
        <v>1999999912</v>
      </c>
      <c r="I14" s="100">
        <v>0.05</v>
      </c>
      <c r="J14" s="135">
        <f t="shared" si="4"/>
        <v>997274.6217</v>
      </c>
      <c r="K14" s="152">
        <f t="shared" si="5"/>
        <v>5450668.42</v>
      </c>
      <c r="L14" s="137">
        <f t="shared" si="6"/>
        <v>4453393.798</v>
      </c>
      <c r="M14" s="170">
        <v>46278.0</v>
      </c>
      <c r="N14" s="139">
        <f t="shared" si="7"/>
        <v>7167687</v>
      </c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</row>
    <row r="15">
      <c r="A15" s="74" t="str">
        <f t="shared" si="1"/>
        <v>Wednesday</v>
      </c>
      <c r="B15" s="49">
        <v>46267.0</v>
      </c>
      <c r="C15" s="106">
        <v>4.0</v>
      </c>
      <c r="D15" s="87">
        <v>28264.55</v>
      </c>
      <c r="E15" s="131">
        <f>IFERROR(__xludf.DUMMYFUNCTION("IFNA(FILTER(BUY_SEP!$L$2:$L$1218, BUY_SEP!$H$2:$H$1218=B15, BUY_SEP!$I$2:$I$1218=C15), ""-"")"),17644.0)</f>
        <v>17644</v>
      </c>
      <c r="F15" s="132">
        <f t="shared" si="2"/>
        <v>498699720.2</v>
      </c>
      <c r="G15" s="145">
        <v>17690.0</v>
      </c>
      <c r="H15" s="134">
        <f t="shared" si="3"/>
        <v>499999889.5</v>
      </c>
      <c r="I15" s="100">
        <v>0.05</v>
      </c>
      <c r="J15" s="135">
        <f t="shared" si="4"/>
        <v>249349.8601</v>
      </c>
      <c r="K15" s="152">
        <f t="shared" si="5"/>
        <v>1300169.3</v>
      </c>
      <c r="L15" s="137">
        <f t="shared" si="6"/>
        <v>1050819.44</v>
      </c>
      <c r="M15" s="170">
        <v>46279.0</v>
      </c>
      <c r="N15" s="139">
        <f t="shared" si="7"/>
        <v>10436185.15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</row>
    <row r="16">
      <c r="A16" s="74" t="str">
        <f t="shared" si="1"/>
        <v>Wednesday</v>
      </c>
      <c r="B16" s="49">
        <v>46267.0</v>
      </c>
      <c r="C16" s="106">
        <v>5.0</v>
      </c>
      <c r="D16" s="87">
        <v>56529.11</v>
      </c>
      <c r="E16" s="131">
        <f>IFERROR(__xludf.DUMMYFUNCTION("IFNA(FILTER(BUY_SEP!$L$2:$L$1218, BUY_SEP!$H$2:$H$1218=B16, BUY_SEP!$I$2:$I$1218=C16), ""-"")"),17650.0)</f>
        <v>17650</v>
      </c>
      <c r="F16" s="132">
        <f t="shared" si="2"/>
        <v>997738791.5</v>
      </c>
      <c r="G16" s="145">
        <v>17690.0</v>
      </c>
      <c r="H16" s="134">
        <f t="shared" si="3"/>
        <v>999999955.9</v>
      </c>
      <c r="I16" s="100">
        <v>0.05</v>
      </c>
      <c r="J16" s="135">
        <f t="shared" si="4"/>
        <v>498869.3958</v>
      </c>
      <c r="K16" s="152">
        <f t="shared" si="5"/>
        <v>2261164.4</v>
      </c>
      <c r="L16" s="137">
        <f t="shared" si="6"/>
        <v>1762295.004</v>
      </c>
      <c r="M16" s="170">
        <v>46280.0</v>
      </c>
      <c r="N16" s="139">
        <f t="shared" si="7"/>
        <v>1304964.5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</row>
    <row r="17">
      <c r="A17" s="74" t="str">
        <f t="shared" si="1"/>
        <v>Thursday</v>
      </c>
      <c r="B17" s="49">
        <v>46268.0</v>
      </c>
      <c r="C17" s="106">
        <v>1.0</v>
      </c>
      <c r="D17" s="87">
        <v>141522.78</v>
      </c>
      <c r="E17" s="131">
        <f>IFERROR(__xludf.DUMMYFUNCTION("IFNA(FILTER(BUY_SEP!$L$2:$L$1218, BUY_SEP!$H$2:$H$1218=B17, BUY_SEP!$I$2:$I$1218=C17), ""-"")"),17628.226888880523)</f>
        <v>17628.22689</v>
      </c>
      <c r="F17" s="172">
        <f t="shared" si="2"/>
        <v>2494795676</v>
      </c>
      <c r="G17" s="162">
        <v>17665.0</v>
      </c>
      <c r="H17" s="134">
        <f t="shared" si="3"/>
        <v>2499999909</v>
      </c>
      <c r="I17" s="100">
        <v>0.0</v>
      </c>
      <c r="J17" s="135">
        <f t="shared" si="4"/>
        <v>0</v>
      </c>
      <c r="K17" s="152">
        <f t="shared" si="5"/>
        <v>5204232.915</v>
      </c>
      <c r="L17" s="136">
        <f t="shared" si="6"/>
        <v>5204232.915</v>
      </c>
      <c r="M17" s="170">
        <v>46281.0</v>
      </c>
      <c r="N17" s="139">
        <f t="shared" si="7"/>
        <v>13974642.41</v>
      </c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</row>
    <row r="18">
      <c r="A18" s="74" t="str">
        <f t="shared" si="1"/>
        <v>Thursday</v>
      </c>
      <c r="B18" s="49">
        <v>46268.0</v>
      </c>
      <c r="C18" s="106">
        <v>1.0</v>
      </c>
      <c r="D18" s="87">
        <v>33172.94</v>
      </c>
      <c r="E18" s="131">
        <f>IFERROR(__xludf.DUMMYFUNCTION("IFNA(FILTER(BUY_SEP!$L$2:$L$1218, BUY_SEP!$H$2:$H$1218=B18, BUY_SEP!$I$2:$I$1218=C18), ""-"")"),17628.226888880523)</f>
        <v>17628.22689</v>
      </c>
      <c r="F18" s="172">
        <f t="shared" si="2"/>
        <v>584780112.9</v>
      </c>
      <c r="G18" s="162">
        <v>17665.0</v>
      </c>
      <c r="H18" s="134">
        <f t="shared" si="3"/>
        <v>585999985.1</v>
      </c>
      <c r="I18" s="100">
        <v>0.0</v>
      </c>
      <c r="J18" s="135">
        <f t="shared" si="4"/>
        <v>0</v>
      </c>
      <c r="K18" s="152">
        <f t="shared" si="5"/>
        <v>1219872.209</v>
      </c>
      <c r="L18" s="136">
        <f t="shared" si="6"/>
        <v>1219872.209</v>
      </c>
      <c r="M18" s="170">
        <v>46282.0</v>
      </c>
      <c r="N18" s="139">
        <f t="shared" si="7"/>
        <v>4908642.114</v>
      </c>
      <c r="O18" s="169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</row>
    <row r="19">
      <c r="A19" s="74" t="str">
        <f t="shared" si="1"/>
        <v>Thursday</v>
      </c>
      <c r="B19" s="49">
        <v>46268.0</v>
      </c>
      <c r="C19" s="106">
        <v>1.0</v>
      </c>
      <c r="D19" s="87">
        <v>135900.33</v>
      </c>
      <c r="E19" s="131">
        <f>IFERROR(__xludf.DUMMYFUNCTION("IFNA(FILTER(BUY_SEP!$L$2:$L$1218, BUY_SEP!$H$2:$H$1218=B19, BUY_SEP!$I$2:$I$1218=C19), ""-"")"),17628.226888880523)</f>
        <v>17628.22689</v>
      </c>
      <c r="F19" s="172">
        <f t="shared" si="2"/>
        <v>2395681852</v>
      </c>
      <c r="G19" s="162">
        <v>17660.0</v>
      </c>
      <c r="H19" s="134">
        <f t="shared" si="3"/>
        <v>2399999828</v>
      </c>
      <c r="I19" s="100">
        <v>0.0</v>
      </c>
      <c r="J19" s="135">
        <f t="shared" si="4"/>
        <v>0</v>
      </c>
      <c r="K19" s="152">
        <f t="shared" si="5"/>
        <v>4317976.286</v>
      </c>
      <c r="L19" s="136">
        <f t="shared" si="6"/>
        <v>4317976.286</v>
      </c>
      <c r="M19" s="170">
        <v>46283.0</v>
      </c>
      <c r="N19" s="139">
        <f t="shared" si="7"/>
        <v>19150721.52</v>
      </c>
      <c r="O19" s="169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</row>
    <row r="20">
      <c r="A20" s="74" t="str">
        <f t="shared" si="1"/>
        <v>Thursday</v>
      </c>
      <c r="B20" s="49">
        <v>46268.0</v>
      </c>
      <c r="C20" s="106">
        <v>1.0</v>
      </c>
      <c r="D20" s="87">
        <v>45325.77</v>
      </c>
      <c r="E20" s="131">
        <f>IFERROR(__xludf.DUMMYFUNCTION("IFNA(FILTER(BUY_SEP!$L$2:$L$1218, BUY_SEP!$H$2:$H$1218=B20, BUY_SEP!$I$2:$I$1218=C20), ""-"")"),17628.226888880523)</f>
        <v>17628.22689</v>
      </c>
      <c r="F20" s="172">
        <f t="shared" si="2"/>
        <v>799012957.5</v>
      </c>
      <c r="G20" s="162">
        <v>17650.0</v>
      </c>
      <c r="H20" s="134">
        <f t="shared" si="3"/>
        <v>799999840.5</v>
      </c>
      <c r="I20" s="100">
        <v>0.0</v>
      </c>
      <c r="J20" s="135">
        <f t="shared" si="4"/>
        <v>0</v>
      </c>
      <c r="K20" s="152">
        <f t="shared" si="5"/>
        <v>986883.0268</v>
      </c>
      <c r="L20" s="136">
        <f t="shared" si="6"/>
        <v>986883.0268</v>
      </c>
      <c r="M20" s="170">
        <v>46284.0</v>
      </c>
      <c r="N20" s="139">
        <f t="shared" si="7"/>
        <v>16222262.69</v>
      </c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</row>
    <row r="21">
      <c r="A21" s="74" t="str">
        <f t="shared" si="1"/>
        <v>Thursday</v>
      </c>
      <c r="B21" s="49">
        <v>46268.0</v>
      </c>
      <c r="C21" s="106">
        <v>1.0</v>
      </c>
      <c r="D21" s="87">
        <v>79320.11</v>
      </c>
      <c r="E21" s="131">
        <f>IFERROR(__xludf.DUMMYFUNCTION("IFNA(FILTER(BUY_SEP!$L$2:$L$1218, BUY_SEP!$H$2:$H$1218=B21, BUY_SEP!$I$2:$I$1218=C21), ""-"")"),17628.226888880523)</f>
        <v>17628.22689</v>
      </c>
      <c r="F21" s="172">
        <f t="shared" si="2"/>
        <v>1398272896</v>
      </c>
      <c r="G21" s="162">
        <v>17650.0</v>
      </c>
      <c r="H21" s="134">
        <f t="shared" si="3"/>
        <v>1399999942</v>
      </c>
      <c r="I21" s="100">
        <v>0.0</v>
      </c>
      <c r="J21" s="135">
        <f t="shared" si="4"/>
        <v>0</v>
      </c>
      <c r="K21" s="152">
        <f t="shared" si="5"/>
        <v>1727045.569</v>
      </c>
      <c r="L21" s="136">
        <f t="shared" si="6"/>
        <v>1727045.569</v>
      </c>
      <c r="M21" s="170">
        <v>46285.0</v>
      </c>
      <c r="N21" s="139">
        <f t="shared" si="7"/>
        <v>12686598.28</v>
      </c>
      <c r="O21" s="169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</row>
    <row r="22">
      <c r="A22" s="74" t="str">
        <f t="shared" si="1"/>
        <v>Thursday</v>
      </c>
      <c r="B22" s="49">
        <v>46268.0</v>
      </c>
      <c r="C22" s="106">
        <v>2.0</v>
      </c>
      <c r="D22" s="87">
        <v>107693.67</v>
      </c>
      <c r="E22" s="131">
        <f>IFERROR(__xludf.DUMMYFUNCTION("IFNA(FILTER(BUY_SEP!$L$2:$L$1218, BUY_SEP!$H$2:$H$1218=B22, BUY_SEP!$I$2:$I$1218=C22), ""-"")"),17587.29300109465)</f>
        <v>17587.293</v>
      </c>
      <c r="F22" s="172">
        <f t="shared" si="2"/>
        <v>1894040129</v>
      </c>
      <c r="G22" s="162">
        <v>17640.0</v>
      </c>
      <c r="H22" s="134">
        <f t="shared" si="3"/>
        <v>1899716339</v>
      </c>
      <c r="I22" s="100">
        <v>0.05</v>
      </c>
      <c r="J22" s="135">
        <f t="shared" si="4"/>
        <v>947020.0643</v>
      </c>
      <c r="K22" s="152">
        <f t="shared" si="5"/>
        <v>5676210.147</v>
      </c>
      <c r="L22" s="136">
        <f t="shared" si="6"/>
        <v>4729190.082</v>
      </c>
      <c r="M22" s="170">
        <v>46286.0</v>
      </c>
      <c r="N22" s="139">
        <f t="shared" si="7"/>
        <v>13484027.54</v>
      </c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</row>
    <row r="23">
      <c r="A23" s="74" t="str">
        <f t="shared" si="1"/>
        <v>Thursday</v>
      </c>
      <c r="B23" s="49">
        <v>46268.0</v>
      </c>
      <c r="C23" s="106">
        <v>2.0</v>
      </c>
      <c r="D23" s="87">
        <v>62406.51</v>
      </c>
      <c r="E23" s="131">
        <f>IFERROR(__xludf.DUMMYFUNCTION("IFNA(FILTER(BUY_SEP!$L$2:$L$1218, BUY_SEP!$H$2:$H$1218=B23, BUY_SEP!$I$2:$I$1218=C23), ""-"")"),17587.29300109465)</f>
        <v>17587.293</v>
      </c>
      <c r="F23" s="172">
        <f t="shared" si="2"/>
        <v>1097561577</v>
      </c>
      <c r="G23" s="162">
        <v>17625.0</v>
      </c>
      <c r="H23" s="134">
        <f t="shared" si="3"/>
        <v>1099914739</v>
      </c>
      <c r="I23" s="100">
        <v>0.05</v>
      </c>
      <c r="J23" s="135">
        <f t="shared" si="4"/>
        <v>548780.7883</v>
      </c>
      <c r="K23" s="152">
        <f t="shared" si="5"/>
        <v>2353162.204</v>
      </c>
      <c r="L23" s="136">
        <f t="shared" si="6"/>
        <v>1804381.416</v>
      </c>
      <c r="M23" s="170">
        <v>46287.0</v>
      </c>
      <c r="N23" s="139">
        <f t="shared" si="7"/>
        <v>20974340.93</v>
      </c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</row>
    <row r="24">
      <c r="A24" s="74" t="str">
        <f t="shared" si="1"/>
        <v>Friday</v>
      </c>
      <c r="B24" s="49">
        <v>46269.0</v>
      </c>
      <c r="C24" s="106">
        <v>1.0</v>
      </c>
      <c r="D24" s="87">
        <v>266893.81</v>
      </c>
      <c r="E24" s="131">
        <f>IFERROR(__xludf.DUMMYFUNCTION("IFNA(FILTER(BUY_SEP!$L$2:$L$1218, BUY_SEP!$H$2:$H$1218=B24, BUY_SEP!$I$2:$I$1218=C24), ""-"")"),17570.0)</f>
        <v>17570</v>
      </c>
      <c r="F24" s="172">
        <f t="shared" si="2"/>
        <v>4689324242</v>
      </c>
      <c r="G24" s="162">
        <v>17610.0</v>
      </c>
      <c r="H24" s="134">
        <f t="shared" si="3"/>
        <v>4699999994</v>
      </c>
      <c r="I24" s="100">
        <v>0.0</v>
      </c>
      <c r="J24" s="135">
        <f t="shared" si="4"/>
        <v>0</v>
      </c>
      <c r="K24" s="152">
        <f t="shared" si="5"/>
        <v>10675752.4</v>
      </c>
      <c r="L24" s="136">
        <f t="shared" si="6"/>
        <v>10675752.4</v>
      </c>
      <c r="M24" s="173">
        <v>46288.0</v>
      </c>
      <c r="N24" s="139">
        <f t="shared" si="7"/>
        <v>7197091.544</v>
      </c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</row>
    <row r="25">
      <c r="A25" s="74" t="str">
        <f t="shared" si="1"/>
        <v>Friday</v>
      </c>
      <c r="B25" s="49">
        <v>46269.0</v>
      </c>
      <c r="C25" s="86">
        <v>2.0</v>
      </c>
      <c r="D25" s="87">
        <v>113571.0</v>
      </c>
      <c r="E25" s="131">
        <f>IFERROR(__xludf.DUMMYFUNCTION("IFNA(FILTER(BUY_SEP!$L$2:$L$1218, BUY_SEP!$H$2:$H$1218=B25, BUY_SEP!$I$2:$I$1218=C25), ""-"")"),17570.0)</f>
        <v>17570</v>
      </c>
      <c r="F25" s="172">
        <f t="shared" si="2"/>
        <v>1995442470</v>
      </c>
      <c r="G25" s="162">
        <v>17610.0</v>
      </c>
      <c r="H25" s="134">
        <f t="shared" si="3"/>
        <v>1999985310</v>
      </c>
      <c r="I25" s="100">
        <v>0.0</v>
      </c>
      <c r="J25" s="135">
        <f t="shared" si="4"/>
        <v>0</v>
      </c>
      <c r="K25" s="152">
        <f t="shared" si="5"/>
        <v>4542840</v>
      </c>
      <c r="L25" s="174">
        <f t="shared" si="6"/>
        <v>4542840</v>
      </c>
      <c r="M25" s="173">
        <v>46289.0</v>
      </c>
      <c r="N25" s="139">
        <f t="shared" si="7"/>
        <v>20411989.94</v>
      </c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</row>
    <row r="26">
      <c r="A26" s="74" t="str">
        <f t="shared" si="1"/>
        <v>Friday</v>
      </c>
      <c r="B26" s="49">
        <v>46269.0</v>
      </c>
      <c r="C26" s="150">
        <v>2.0</v>
      </c>
      <c r="D26" s="87">
        <v>17050.29</v>
      </c>
      <c r="E26" s="131">
        <f>IFERROR(__xludf.DUMMYFUNCTION("IFNA(FILTER(BUY_SEP!$L$2:$L$1218, BUY_SEP!$H$2:$H$1218=B26, BUY_SEP!$I$2:$I$1218=C26), ""-"")"),17570.0)</f>
        <v>17570</v>
      </c>
      <c r="F26" s="172">
        <f t="shared" si="2"/>
        <v>299573595.3</v>
      </c>
      <c r="G26" s="162">
        <v>17595.0</v>
      </c>
      <c r="H26" s="134">
        <f t="shared" si="3"/>
        <v>299999852.6</v>
      </c>
      <c r="I26" s="100">
        <v>0.0</v>
      </c>
      <c r="J26" s="135">
        <f t="shared" si="4"/>
        <v>0</v>
      </c>
      <c r="K26" s="152">
        <f t="shared" si="5"/>
        <v>426257.25</v>
      </c>
      <c r="L26" s="175">
        <f t="shared" si="6"/>
        <v>426257.25</v>
      </c>
      <c r="M26" s="173">
        <v>46290.0</v>
      </c>
      <c r="N26" s="139">
        <f t="shared" si="7"/>
        <v>22878630.16</v>
      </c>
      <c r="O26" s="169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</row>
    <row r="27">
      <c r="A27" s="74" t="str">
        <f t="shared" si="1"/>
        <v>Friday</v>
      </c>
      <c r="B27" s="49">
        <v>46269.0</v>
      </c>
      <c r="C27" s="106">
        <v>3.0</v>
      </c>
      <c r="D27" s="87">
        <v>92355.78</v>
      </c>
      <c r="E27" s="131">
        <f>IFERROR(__xludf.DUMMYFUNCTION("IFNA(FILTER(BUY_SEP!$L$2:$L$1218, BUY_SEP!$H$2:$H$1218=B27, BUY_SEP!$I$2:$I$1218=C27), ""-"")"),17565.0)</f>
        <v>17565</v>
      </c>
      <c r="F27" s="172">
        <f t="shared" si="2"/>
        <v>1622229276</v>
      </c>
      <c r="G27" s="162">
        <v>17595.0</v>
      </c>
      <c r="H27" s="134">
        <f t="shared" si="3"/>
        <v>1624999949</v>
      </c>
      <c r="I27" s="100">
        <v>0.0</v>
      </c>
      <c r="J27" s="135">
        <f t="shared" si="4"/>
        <v>0</v>
      </c>
      <c r="K27" s="152">
        <f t="shared" si="5"/>
        <v>2770673.4</v>
      </c>
      <c r="L27" s="136">
        <f t="shared" si="6"/>
        <v>2770673.4</v>
      </c>
      <c r="M27" s="173">
        <v>46291.0</v>
      </c>
      <c r="N27" s="139">
        <f t="shared" si="7"/>
        <v>15258059.02</v>
      </c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</row>
    <row r="28">
      <c r="A28" s="74" t="str">
        <f t="shared" si="1"/>
        <v>Friday</v>
      </c>
      <c r="B28" s="49">
        <v>46269.0</v>
      </c>
      <c r="C28" s="106">
        <v>4.0</v>
      </c>
      <c r="D28" s="87">
        <v>73947.66</v>
      </c>
      <c r="E28" s="131">
        <f>IFERROR(__xludf.DUMMYFUNCTION("IFNA(FILTER(BUY_SEP!$L$2:$L$1218, BUY_SEP!$H$2:$H$1218=B28, BUY_SEP!$I$2:$I$1218=C28), ""-"")"),17545.0)</f>
        <v>17545</v>
      </c>
      <c r="F28" s="172">
        <f t="shared" si="2"/>
        <v>1297411695</v>
      </c>
      <c r="G28" s="162">
        <v>17580.0</v>
      </c>
      <c r="H28" s="134">
        <f t="shared" si="3"/>
        <v>1299999863</v>
      </c>
      <c r="I28" s="100">
        <v>0.0</v>
      </c>
      <c r="J28" s="135">
        <f t="shared" si="4"/>
        <v>0</v>
      </c>
      <c r="K28" s="152">
        <f t="shared" si="5"/>
        <v>2588168.1</v>
      </c>
      <c r="L28" s="136">
        <f t="shared" si="6"/>
        <v>2588168.1</v>
      </c>
      <c r="M28" s="173">
        <v>46292.0</v>
      </c>
      <c r="N28" s="139">
        <f t="shared" si="7"/>
        <v>6385818.161</v>
      </c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</row>
    <row r="29">
      <c r="A29" s="74" t="str">
        <f t="shared" si="1"/>
        <v>Friday</v>
      </c>
      <c r="B29" s="49">
        <v>46269.0</v>
      </c>
      <c r="C29" s="106">
        <v>5.0</v>
      </c>
      <c r="D29" s="87">
        <v>56866.64</v>
      </c>
      <c r="E29" s="131">
        <f>IFERROR(__xludf.DUMMYFUNCTION("IFNA(FILTER(BUY_SEP!$L$2:$L$1218, BUY_SEP!$H$2:$H$1218=B29, BUY_SEP!$I$2:$I$1218=C29), ""-"")"),17546.084400490337)</f>
        <v>17546.0844</v>
      </c>
      <c r="F29" s="172">
        <f t="shared" si="2"/>
        <v>997786865</v>
      </c>
      <c r="G29" s="162">
        <v>17585.0</v>
      </c>
      <c r="H29" s="134">
        <f t="shared" si="3"/>
        <v>999999864.4</v>
      </c>
      <c r="I29" s="100">
        <v>0.05</v>
      </c>
      <c r="J29" s="135">
        <f t="shared" si="4"/>
        <v>498893.4325</v>
      </c>
      <c r="K29" s="152">
        <f t="shared" si="5"/>
        <v>2212999.388</v>
      </c>
      <c r="L29" s="136">
        <f t="shared" si="6"/>
        <v>1714105.955</v>
      </c>
      <c r="M29" s="173">
        <v>46293.0</v>
      </c>
      <c r="N29" s="139">
        <f t="shared" si="7"/>
        <v>9169580.739</v>
      </c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</row>
    <row r="30">
      <c r="A30" s="74" t="str">
        <f t="shared" si="1"/>
        <v>Friday</v>
      </c>
      <c r="B30" s="49">
        <v>46269.0</v>
      </c>
      <c r="C30" s="106">
        <v>4.0</v>
      </c>
      <c r="D30" s="87">
        <v>95931.72</v>
      </c>
      <c r="E30" s="131">
        <f>IFERROR(__xludf.DUMMYFUNCTION("IFNA(FILTER(BUY_SEP!$L$2:$L$1218, BUY_SEP!$H$2:$H$1218=B30, BUY_SEP!$I$2:$I$1218=C30), ""-"")"),17545.0)</f>
        <v>17545</v>
      </c>
      <c r="F30" s="172">
        <f t="shared" si="2"/>
        <v>1683122027</v>
      </c>
      <c r="G30" s="162">
        <v>17575.0</v>
      </c>
      <c r="H30" s="134">
        <f t="shared" si="3"/>
        <v>1685999979</v>
      </c>
      <c r="I30" s="100">
        <v>0.0</v>
      </c>
      <c r="J30" s="135">
        <f t="shared" si="4"/>
        <v>0</v>
      </c>
      <c r="K30" s="152">
        <f t="shared" si="5"/>
        <v>2877951.6</v>
      </c>
      <c r="L30" s="136">
        <f t="shared" si="6"/>
        <v>2877951.6</v>
      </c>
      <c r="M30" s="173">
        <v>46294.0</v>
      </c>
      <c r="N30" s="139">
        <f t="shared" si="7"/>
        <v>5900321.047</v>
      </c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</row>
    <row r="31">
      <c r="A31" s="74" t="str">
        <f t="shared" si="1"/>
        <v>Saturday</v>
      </c>
      <c r="B31" s="49">
        <v>46270.0</v>
      </c>
      <c r="C31" s="106">
        <v>1.0</v>
      </c>
      <c r="D31" s="87">
        <v>85348.5</v>
      </c>
      <c r="E31" s="131">
        <f>IFERROR(__xludf.DUMMYFUNCTION("IFNA(FILTER(BUY_SEP!$L$2:$L$1218, BUY_SEP!$H$2:$H$1218=B31, BUY_SEP!$I$2:$I$1218=C31), ""-"")"),17550.0)</f>
        <v>17550</v>
      </c>
      <c r="F31" s="172">
        <f t="shared" si="2"/>
        <v>1497866175</v>
      </c>
      <c r="G31" s="162">
        <v>17575.0</v>
      </c>
      <c r="H31" s="134">
        <f t="shared" si="3"/>
        <v>1499999888</v>
      </c>
      <c r="I31" s="100">
        <v>0.0</v>
      </c>
      <c r="J31" s="135">
        <f t="shared" si="4"/>
        <v>0</v>
      </c>
      <c r="K31" s="152">
        <f t="shared" si="5"/>
        <v>2133712.5</v>
      </c>
      <c r="L31" s="136">
        <f t="shared" si="6"/>
        <v>2133712.5</v>
      </c>
      <c r="M31" s="173">
        <v>46295.0</v>
      </c>
      <c r="N31" s="139">
        <f t="shared" si="7"/>
        <v>0</v>
      </c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</row>
    <row r="32">
      <c r="A32" s="74" t="str">
        <f t="shared" si="1"/>
        <v>Monday</v>
      </c>
      <c r="B32" s="49">
        <v>46272.0</v>
      </c>
      <c r="C32" s="106">
        <v>1.0</v>
      </c>
      <c r="D32" s="87">
        <v>56899.01</v>
      </c>
      <c r="E32" s="131">
        <f>IFERROR(__xludf.DUMMYFUNCTION("IFNA(FILTER(BUY_SEP!$L$2:$L$1218, BUY_SEP!$H$2:$H$1218=B32, BUY_SEP!$I$2:$I$1218=C32), ""-"")"),17559.53413496284)</f>
        <v>17559.53413</v>
      </c>
      <c r="F32" s="172">
        <f t="shared" si="2"/>
        <v>999120108.3</v>
      </c>
      <c r="G32" s="162">
        <v>17575.0</v>
      </c>
      <c r="H32" s="134">
        <f t="shared" si="3"/>
        <v>1000000101</v>
      </c>
      <c r="I32" s="100">
        <v>0.05</v>
      </c>
      <c r="J32" s="135">
        <f t="shared" si="4"/>
        <v>499560.0542</v>
      </c>
      <c r="K32" s="152">
        <f t="shared" si="5"/>
        <v>879992.4094</v>
      </c>
      <c r="L32" s="136">
        <f t="shared" si="6"/>
        <v>380432.3552</v>
      </c>
      <c r="M32" s="176"/>
      <c r="N32" s="139">
        <f t="shared" si="7"/>
        <v>0</v>
      </c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</row>
    <row r="33">
      <c r="A33" s="74" t="str">
        <f t="shared" si="1"/>
        <v>Monday</v>
      </c>
      <c r="B33" s="49">
        <v>46272.0</v>
      </c>
      <c r="C33" s="106">
        <v>1.0</v>
      </c>
      <c r="D33" s="87">
        <v>56850.48</v>
      </c>
      <c r="E33" s="131">
        <f>IFERROR(__xludf.DUMMYFUNCTION("IFNA(FILTER(BUY_SEP!$L$2:$L$1218, BUY_SEP!$H$2:$H$1218=B33, BUY_SEP!$I$2:$I$1218=C33), ""-"")"),17559.53413496284)</f>
        <v>17559.53413</v>
      </c>
      <c r="F33" s="172">
        <f t="shared" si="2"/>
        <v>998267944.1</v>
      </c>
      <c r="G33" s="162">
        <v>17590.0</v>
      </c>
      <c r="H33" s="134">
        <f t="shared" si="3"/>
        <v>999999943.2</v>
      </c>
      <c r="I33" s="100">
        <v>0.05</v>
      </c>
      <c r="J33" s="135">
        <f t="shared" si="4"/>
        <v>499133.9721</v>
      </c>
      <c r="K33" s="152">
        <f t="shared" si="5"/>
        <v>1731999.051</v>
      </c>
      <c r="L33" s="136">
        <f t="shared" si="6"/>
        <v>1232865.079</v>
      </c>
      <c r="M33" s="176"/>
      <c r="N33" s="139">
        <f t="shared" si="7"/>
        <v>0</v>
      </c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</row>
    <row r="34">
      <c r="A34" s="74" t="str">
        <f t="shared" si="1"/>
        <v>Tuesday</v>
      </c>
      <c r="B34" s="49">
        <v>46273.0</v>
      </c>
      <c r="C34" s="106">
        <v>1.0</v>
      </c>
      <c r="D34" s="87">
        <v>65930.23</v>
      </c>
      <c r="E34" s="131">
        <f>IFERROR(__xludf.DUMMYFUNCTION("IFNA(FILTER(BUY_SEP!$L$2:$L$1218, BUY_SEP!$H$2:$H$1218=B34, BUY_SEP!$I$2:$I$1218=C34), ""-"")"),17556.0)</f>
        <v>17556</v>
      </c>
      <c r="F34" s="172">
        <f t="shared" si="2"/>
        <v>1157471118</v>
      </c>
      <c r="G34" s="162">
        <v>17572.0</v>
      </c>
      <c r="H34" s="134">
        <f t="shared" si="3"/>
        <v>1158526002</v>
      </c>
      <c r="I34" s="100">
        <v>0.0</v>
      </c>
      <c r="J34" s="135">
        <f t="shared" si="4"/>
        <v>0</v>
      </c>
      <c r="K34" s="152">
        <f t="shared" si="5"/>
        <v>1054883.68</v>
      </c>
      <c r="L34" s="136">
        <f t="shared" si="6"/>
        <v>1054883.68</v>
      </c>
      <c r="M34" s="170"/>
      <c r="N34" s="139">
        <f t="shared" si="7"/>
        <v>0</v>
      </c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</row>
    <row r="35">
      <c r="A35" s="74" t="str">
        <f t="shared" si="1"/>
        <v>Tuesday</v>
      </c>
      <c r="B35" s="49">
        <v>46273.0</v>
      </c>
      <c r="C35" s="106">
        <v>2.0</v>
      </c>
      <c r="D35" s="87">
        <v>113817.43</v>
      </c>
      <c r="E35" s="131">
        <f>IFERROR(__xludf.DUMMYFUNCTION("IFNA(FILTER(BUY_SEP!$L$2:$L$1218, BUY_SEP!$H$2:$H$1218=B35, BUY_SEP!$I$2:$I$1218=C35), ""-"")"),17556.0)</f>
        <v>17556</v>
      </c>
      <c r="F35" s="172">
        <f t="shared" si="2"/>
        <v>1998178801</v>
      </c>
      <c r="G35" s="162">
        <v>17572.0</v>
      </c>
      <c r="H35" s="134">
        <f t="shared" si="3"/>
        <v>1999999880</v>
      </c>
      <c r="I35" s="100">
        <v>0.0</v>
      </c>
      <c r="J35" s="135">
        <f t="shared" si="4"/>
        <v>0</v>
      </c>
      <c r="K35" s="152">
        <f t="shared" si="5"/>
        <v>1821078.88</v>
      </c>
      <c r="L35" s="136">
        <f t="shared" si="6"/>
        <v>1821078.88</v>
      </c>
      <c r="M35" s="170"/>
      <c r="N35" s="139">
        <f t="shared" si="7"/>
        <v>0</v>
      </c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</row>
    <row r="36">
      <c r="A36" s="74" t="str">
        <f t="shared" si="1"/>
        <v>Tuesday</v>
      </c>
      <c r="B36" s="49">
        <v>46273.0</v>
      </c>
      <c r="C36" s="106">
        <v>3.0</v>
      </c>
      <c r="D36" s="87">
        <v>28454.35</v>
      </c>
      <c r="E36" s="131">
        <f>IFERROR(__xludf.DUMMYFUNCTION("IFNA(FILTER(BUY_SEP!$L$2:$L$1218, BUY_SEP!$H$2:$H$1218=B36, BUY_SEP!$I$2:$I$1218=C36), ""-"")"),17556.0)</f>
        <v>17556</v>
      </c>
      <c r="F36" s="172">
        <f t="shared" si="2"/>
        <v>499544568.6</v>
      </c>
      <c r="G36" s="162">
        <v>17572.0</v>
      </c>
      <c r="H36" s="134">
        <f t="shared" si="3"/>
        <v>499999838.2</v>
      </c>
      <c r="I36" s="100">
        <v>0.0</v>
      </c>
      <c r="J36" s="135">
        <f t="shared" si="4"/>
        <v>0</v>
      </c>
      <c r="K36" s="152">
        <f t="shared" si="5"/>
        <v>455269.6</v>
      </c>
      <c r="L36" s="136">
        <f t="shared" si="6"/>
        <v>455269.6</v>
      </c>
      <c r="M36" s="170"/>
      <c r="N36" s="139">
        <f t="shared" si="7"/>
        <v>0</v>
      </c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</row>
    <row r="37">
      <c r="A37" s="74" t="str">
        <f t="shared" si="1"/>
        <v>Tuesday</v>
      </c>
      <c r="B37" s="49">
        <v>46273.0</v>
      </c>
      <c r="C37" s="106">
        <v>4.0</v>
      </c>
      <c r="D37" s="87">
        <v>131345.32</v>
      </c>
      <c r="E37" s="131">
        <f>IFERROR(__xludf.DUMMYFUNCTION("IFNA(FILTER(BUY_SEP!$L$2:$L$1218, BUY_SEP!$H$2:$H$1218=B37, BUY_SEP!$I$2:$I$1218=C37), ""-"")"),17557.0)</f>
        <v>17557</v>
      </c>
      <c r="F37" s="172">
        <f t="shared" si="2"/>
        <v>2306029783</v>
      </c>
      <c r="G37" s="162">
        <v>17572.0</v>
      </c>
      <c r="H37" s="134">
        <f t="shared" si="3"/>
        <v>2307999963</v>
      </c>
      <c r="I37" s="100">
        <v>0.0</v>
      </c>
      <c r="J37" s="135">
        <f t="shared" si="4"/>
        <v>0</v>
      </c>
      <c r="K37" s="152">
        <f t="shared" si="5"/>
        <v>1970179.8</v>
      </c>
      <c r="L37" s="136">
        <f t="shared" si="6"/>
        <v>1970179.8</v>
      </c>
      <c r="M37" s="170"/>
      <c r="N37" s="139">
        <f t="shared" si="7"/>
        <v>0</v>
      </c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</row>
    <row r="38">
      <c r="A38" s="74" t="str">
        <f t="shared" si="1"/>
        <v>Tuesday</v>
      </c>
      <c r="B38" s="49">
        <v>46273.0</v>
      </c>
      <c r="C38" s="106">
        <v>5.0</v>
      </c>
      <c r="D38" s="87">
        <v>56908.71</v>
      </c>
      <c r="E38" s="131">
        <f>IFERROR(__xludf.DUMMYFUNCTION("IFNA(FILTER(BUY_SEP!$L$2:$L$1218, BUY_SEP!$H$2:$H$1218=B38, BUY_SEP!$I$2:$I$1218=C38), ""-"")"),17537.40297389023)</f>
        <v>17537.40297</v>
      </c>
      <c r="F38" s="172">
        <f t="shared" si="2"/>
        <v>998030980</v>
      </c>
      <c r="G38" s="162">
        <v>17572.0</v>
      </c>
      <c r="H38" s="134">
        <f t="shared" si="3"/>
        <v>999999852.1</v>
      </c>
      <c r="I38" s="100">
        <v>0.05</v>
      </c>
      <c r="J38" s="135">
        <f t="shared" si="4"/>
        <v>499015.49</v>
      </c>
      <c r="K38" s="152">
        <f t="shared" si="5"/>
        <v>1968872.126</v>
      </c>
      <c r="L38" s="136">
        <f t="shared" si="6"/>
        <v>1469856.636</v>
      </c>
      <c r="M38" s="170"/>
      <c r="N38" s="139">
        <f t="shared" si="7"/>
        <v>0</v>
      </c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</row>
    <row r="39">
      <c r="A39" s="74" t="str">
        <f t="shared" si="1"/>
        <v>Wednesday</v>
      </c>
      <c r="B39" s="49">
        <v>46274.0</v>
      </c>
      <c r="C39" s="106">
        <v>1.0</v>
      </c>
      <c r="D39" s="87">
        <v>57208.23</v>
      </c>
      <c r="E39" s="131">
        <f>IFERROR(__xludf.DUMMYFUNCTION("IFNA(FILTER(BUY_SEP!$L$2:$L$1218, BUY_SEP!$H$2:$H$1218=B39, BUY_SEP!$I$2:$I$1218=C39), ""-"")"),17452.500670195415)</f>
        <v>17452.50067</v>
      </c>
      <c r="F39" s="172">
        <f t="shared" si="2"/>
        <v>998426672.4</v>
      </c>
      <c r="G39" s="162">
        <v>17480.0</v>
      </c>
      <c r="H39" s="134">
        <f t="shared" si="3"/>
        <v>999999860.4</v>
      </c>
      <c r="I39" s="100">
        <v>0.05</v>
      </c>
      <c r="J39" s="135">
        <f t="shared" si="4"/>
        <v>499213.3362</v>
      </c>
      <c r="K39" s="152">
        <f t="shared" si="5"/>
        <v>1573187.984</v>
      </c>
      <c r="L39" s="136">
        <f t="shared" si="6"/>
        <v>1073974.648</v>
      </c>
      <c r="M39" s="149"/>
      <c r="N39" s="139">
        <f t="shared" si="7"/>
        <v>0</v>
      </c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</row>
    <row r="40">
      <c r="A40" s="74" t="str">
        <f t="shared" si="1"/>
        <v>Thursday</v>
      </c>
      <c r="B40" s="49">
        <v>46275.0</v>
      </c>
      <c r="C40" s="106">
        <v>1.0</v>
      </c>
      <c r="D40" s="87">
        <v>57142.85</v>
      </c>
      <c r="E40" s="131">
        <f>IFERROR(__xludf.DUMMYFUNCTION("IFNA(FILTER(BUY_SEP!$L$2:$L$1218, BUY_SEP!$H$2:$H$1218=B40, BUY_SEP!$I$2:$I$1218=C40), ""-"")"),17480.0)</f>
        <v>17480</v>
      </c>
      <c r="F40" s="172">
        <f t="shared" si="2"/>
        <v>998857018</v>
      </c>
      <c r="G40" s="162">
        <v>17500.0</v>
      </c>
      <c r="H40" s="134">
        <f t="shared" si="3"/>
        <v>999999875</v>
      </c>
      <c r="I40" s="100">
        <v>0.0</v>
      </c>
      <c r="J40" s="135">
        <f t="shared" si="4"/>
        <v>0</v>
      </c>
      <c r="K40" s="152">
        <f t="shared" si="5"/>
        <v>1142857</v>
      </c>
      <c r="L40" s="136">
        <f t="shared" si="6"/>
        <v>1142857</v>
      </c>
      <c r="M40" s="149"/>
      <c r="N40" s="139">
        <f t="shared" si="7"/>
        <v>0</v>
      </c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</row>
    <row r="41">
      <c r="A41" s="74" t="str">
        <f t="shared" si="1"/>
        <v>Thursday</v>
      </c>
      <c r="B41" s="49">
        <v>46275.0</v>
      </c>
      <c r="C41" s="86">
        <v>2.0</v>
      </c>
      <c r="D41" s="87">
        <v>68571.42</v>
      </c>
      <c r="E41" s="131">
        <f>IFERROR(__xludf.DUMMYFUNCTION("IFNA(FILTER(BUY_SEP!$L$2:$L$1218, BUY_SEP!$H$2:$H$1218=B41, BUY_SEP!$I$2:$I$1218=C41), ""-"")"),17485.0)</f>
        <v>17485</v>
      </c>
      <c r="F41" s="172">
        <f t="shared" si="2"/>
        <v>1198971279</v>
      </c>
      <c r="G41" s="162">
        <v>17500.0</v>
      </c>
      <c r="H41" s="134">
        <f t="shared" si="3"/>
        <v>1199999850</v>
      </c>
      <c r="I41" s="100">
        <v>0.0</v>
      </c>
      <c r="J41" s="135">
        <f t="shared" si="4"/>
        <v>0</v>
      </c>
      <c r="K41" s="152">
        <f t="shared" si="5"/>
        <v>1028571.3</v>
      </c>
      <c r="L41" s="174">
        <f t="shared" si="6"/>
        <v>1028571.3</v>
      </c>
      <c r="M41" s="149"/>
      <c r="N41" s="139">
        <f t="shared" si="7"/>
        <v>0</v>
      </c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</row>
    <row r="42">
      <c r="A42" s="74" t="str">
        <f t="shared" si="1"/>
        <v>Thursday</v>
      </c>
      <c r="B42" s="49">
        <v>46275.0</v>
      </c>
      <c r="C42" s="86">
        <v>3.0</v>
      </c>
      <c r="D42" s="87">
        <v>18952.85</v>
      </c>
      <c r="E42" s="131">
        <f>IFERROR(__xludf.DUMMYFUNCTION("IFNA(FILTER(BUY_SEP!$L$2:$L$1218, BUY_SEP!$H$2:$H$1218=B42, BUY_SEP!$I$2:$I$1218=C42), ""-"")"),17485.0)</f>
        <v>17485</v>
      </c>
      <c r="F42" s="172">
        <f t="shared" si="2"/>
        <v>331390582.3</v>
      </c>
      <c r="G42" s="162">
        <v>17500.0</v>
      </c>
      <c r="H42" s="134">
        <f t="shared" si="3"/>
        <v>331674875</v>
      </c>
      <c r="I42" s="100">
        <v>0.0</v>
      </c>
      <c r="J42" s="135">
        <f t="shared" si="4"/>
        <v>0</v>
      </c>
      <c r="K42" s="152">
        <f t="shared" si="5"/>
        <v>284292.75</v>
      </c>
      <c r="L42" s="175">
        <f t="shared" si="6"/>
        <v>284292.75</v>
      </c>
      <c r="M42" s="149"/>
      <c r="N42" s="139">
        <f t="shared" si="7"/>
        <v>0</v>
      </c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</row>
    <row r="43">
      <c r="A43" s="74" t="str">
        <f t="shared" si="1"/>
        <v>Friday</v>
      </c>
      <c r="B43" s="49">
        <v>46276.0</v>
      </c>
      <c r="C43" s="106">
        <v>1.0</v>
      </c>
      <c r="D43" s="87">
        <v>28506.27</v>
      </c>
      <c r="E43" s="131">
        <f>IFERROR(__xludf.DUMMYFUNCTION("IFNA(FILTER(BUY_SEP!$L$2:$L$1218, BUY_SEP!$H$2:$H$1218=B43, BUY_SEP!$I$2:$I$1218=C43), ""-"")"),17516.302133926034)</f>
        <v>17516.30213</v>
      </c>
      <c r="F43" s="172">
        <f t="shared" si="2"/>
        <v>499324438</v>
      </c>
      <c r="G43" s="162">
        <v>17540.0</v>
      </c>
      <c r="H43" s="134">
        <f t="shared" si="3"/>
        <v>499999975.8</v>
      </c>
      <c r="I43" s="100">
        <v>0.05</v>
      </c>
      <c r="J43" s="135">
        <f t="shared" si="4"/>
        <v>249662.219</v>
      </c>
      <c r="K43" s="152">
        <f t="shared" si="5"/>
        <v>675537.7687</v>
      </c>
      <c r="L43" s="136">
        <f t="shared" si="6"/>
        <v>425875.5497</v>
      </c>
      <c r="M43" s="149"/>
      <c r="N43" s="139">
        <f t="shared" si="7"/>
        <v>0</v>
      </c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</row>
    <row r="44">
      <c r="A44" s="74" t="str">
        <f t="shared" si="1"/>
        <v>Friday</v>
      </c>
      <c r="B44" s="49">
        <v>46276.0</v>
      </c>
      <c r="C44" s="106">
        <v>2.0</v>
      </c>
      <c r="D44" s="87">
        <v>129529.24</v>
      </c>
      <c r="E44" s="131">
        <f>IFERROR(__xludf.DUMMYFUNCTION("IFNA(FILTER(BUY_SEP!$L$2:$L$1218, BUY_SEP!$H$2:$H$1218=B44, BUY_SEP!$I$2:$I$1218=C44), ""-"")"),17510.0)</f>
        <v>17510</v>
      </c>
      <c r="F44" s="172">
        <f t="shared" si="2"/>
        <v>2268056992</v>
      </c>
      <c r="G44" s="162">
        <v>17525.0</v>
      </c>
      <c r="H44" s="134">
        <f t="shared" si="3"/>
        <v>2269999931</v>
      </c>
      <c r="I44" s="100">
        <v>0.0</v>
      </c>
      <c r="J44" s="135">
        <f t="shared" si="4"/>
        <v>0</v>
      </c>
      <c r="K44" s="152">
        <f t="shared" si="5"/>
        <v>1942938.6</v>
      </c>
      <c r="L44" s="136">
        <f t="shared" si="6"/>
        <v>1942938.6</v>
      </c>
      <c r="M44" s="149"/>
      <c r="N44" s="139">
        <f t="shared" si="7"/>
        <v>0</v>
      </c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</row>
    <row r="45">
      <c r="A45" s="74" t="str">
        <f t="shared" si="1"/>
        <v>Saturday</v>
      </c>
      <c r="B45" s="49">
        <v>46277.0</v>
      </c>
      <c r="C45" s="106">
        <v>1.0</v>
      </c>
      <c r="D45" s="87">
        <v>183157.29</v>
      </c>
      <c r="E45" s="131">
        <f>IFERROR(__xludf.DUMMYFUNCTION("IFNA(FILTER(BUY_SEP!$L$2:$L$1218, BUY_SEP!$H$2:$H$1218=B45, BUY_SEP!$I$2:$I$1218=C45), ""-"")"),17495.0)</f>
        <v>17495</v>
      </c>
      <c r="F45" s="172">
        <f t="shared" si="2"/>
        <v>3204336789</v>
      </c>
      <c r="G45" s="162">
        <v>17515.0</v>
      </c>
      <c r="H45" s="134">
        <f t="shared" si="3"/>
        <v>3207999934</v>
      </c>
      <c r="I45" s="100">
        <v>0.0</v>
      </c>
      <c r="J45" s="135">
        <f t="shared" si="4"/>
        <v>0</v>
      </c>
      <c r="K45" s="152">
        <f t="shared" si="5"/>
        <v>3663145.8</v>
      </c>
      <c r="L45" s="136">
        <f t="shared" si="6"/>
        <v>3663145.8</v>
      </c>
      <c r="M45" s="149"/>
      <c r="N45" s="139">
        <f t="shared" si="7"/>
        <v>0</v>
      </c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</row>
    <row r="46">
      <c r="A46" s="74" t="str">
        <f t="shared" si="1"/>
        <v>Sunday</v>
      </c>
      <c r="B46" s="49">
        <v>46278.0</v>
      </c>
      <c r="C46" s="106">
        <v>1.0</v>
      </c>
      <c r="D46" s="87">
        <v>57236.68</v>
      </c>
      <c r="E46" s="131">
        <f>IFERROR(__xludf.DUMMYFUNCTION("IFNA(FILTER(BUY_SEP!$L$2:$L$1218, BUY_SEP!$H$2:$H$1218=B46, BUY_SEP!$I$2:$I$1218=C46), ""-"")"),17490.0)</f>
        <v>17490</v>
      </c>
      <c r="F46" s="172">
        <f t="shared" si="2"/>
        <v>1001069533</v>
      </c>
      <c r="G46" s="162">
        <v>17515.0</v>
      </c>
      <c r="H46" s="134">
        <f t="shared" si="3"/>
        <v>1002500450</v>
      </c>
      <c r="I46" s="100">
        <v>0.0</v>
      </c>
      <c r="J46" s="135">
        <f t="shared" si="4"/>
        <v>0</v>
      </c>
      <c r="K46" s="152">
        <f t="shared" si="5"/>
        <v>1430917</v>
      </c>
      <c r="L46" s="136">
        <f t="shared" si="6"/>
        <v>1430917</v>
      </c>
      <c r="M46" s="149"/>
      <c r="N46" s="139">
        <f t="shared" si="7"/>
        <v>0</v>
      </c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</row>
    <row r="47">
      <c r="A47" s="74" t="str">
        <f t="shared" si="1"/>
        <v>Sunday</v>
      </c>
      <c r="B47" s="49">
        <v>46278.0</v>
      </c>
      <c r="C47" s="106">
        <v>2.0</v>
      </c>
      <c r="D47" s="87">
        <v>128497.99</v>
      </c>
      <c r="E47" s="131">
        <f>IFERROR(__xludf.DUMMYFUNCTION("IFNA(FILTER(BUY_SEP!$L$2:$L$1218, BUY_SEP!$H$2:$H$1218=B47, BUY_SEP!$I$2:$I$1218=C47), ""-"")"),17490.0)</f>
        <v>17490</v>
      </c>
      <c r="F47" s="172">
        <f t="shared" si="2"/>
        <v>2247429845</v>
      </c>
      <c r="G47" s="162">
        <v>17510.0</v>
      </c>
      <c r="H47" s="134">
        <f t="shared" si="3"/>
        <v>2249999805</v>
      </c>
      <c r="I47" s="100">
        <v>0.0</v>
      </c>
      <c r="J47" s="135">
        <f t="shared" si="4"/>
        <v>0</v>
      </c>
      <c r="K47" s="152">
        <f t="shared" si="5"/>
        <v>2569959.8</v>
      </c>
      <c r="L47" s="136">
        <f t="shared" si="6"/>
        <v>2569959.8</v>
      </c>
      <c r="M47" s="176"/>
      <c r="N47" s="139">
        <f t="shared" si="7"/>
        <v>0</v>
      </c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</row>
    <row r="48">
      <c r="A48" s="74" t="str">
        <f t="shared" si="1"/>
        <v>Sunday</v>
      </c>
      <c r="B48" s="49">
        <v>46278.0</v>
      </c>
      <c r="C48" s="106">
        <v>3.0</v>
      </c>
      <c r="D48" s="87">
        <v>158340.51</v>
      </c>
      <c r="E48" s="131">
        <f>IFERROR(__xludf.DUMMYFUNCTION("IFNA(FILTER(BUY_SEP!$L$2:$L$1218, BUY_SEP!$H$2:$H$1218=B48, BUY_SEP!$I$2:$I$1218=C48), ""-"")"),17490.0)</f>
        <v>17490</v>
      </c>
      <c r="F48" s="172">
        <f t="shared" si="2"/>
        <v>2769375520</v>
      </c>
      <c r="G48" s="162">
        <v>17510.0</v>
      </c>
      <c r="H48" s="134">
        <f t="shared" si="3"/>
        <v>2772542330</v>
      </c>
      <c r="I48" s="100">
        <v>0.0</v>
      </c>
      <c r="J48" s="135">
        <f t="shared" si="4"/>
        <v>0</v>
      </c>
      <c r="K48" s="152">
        <f t="shared" si="5"/>
        <v>3166810.2</v>
      </c>
      <c r="L48" s="136">
        <f t="shared" si="6"/>
        <v>3166810.2</v>
      </c>
      <c r="M48" s="176"/>
      <c r="N48" s="139">
        <f t="shared" si="7"/>
        <v>0</v>
      </c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</row>
    <row r="49">
      <c r="A49" s="74" t="str">
        <f t="shared" si="1"/>
        <v>Monday</v>
      </c>
      <c r="B49" s="49">
        <v>46279.0</v>
      </c>
      <c r="C49" s="106">
        <v>1.0</v>
      </c>
      <c r="D49" s="87">
        <v>99573.25</v>
      </c>
      <c r="E49" s="131">
        <f>IFERROR(__xludf.DUMMYFUNCTION("IFNA(FILTER(BUY_SEP!$L$2:$L$1218, BUY_SEP!$H$2:$H$1218=B49, BUY_SEP!$I$2:$I$1218=C49), ""-"")"),17555.0)</f>
        <v>17555</v>
      </c>
      <c r="F49" s="172">
        <f t="shared" si="2"/>
        <v>1748008404</v>
      </c>
      <c r="G49" s="162">
        <v>17575.0</v>
      </c>
      <c r="H49" s="134">
        <f t="shared" si="3"/>
        <v>1749999869</v>
      </c>
      <c r="I49" s="100">
        <v>0.0</v>
      </c>
      <c r="J49" s="135">
        <f t="shared" si="4"/>
        <v>0</v>
      </c>
      <c r="K49" s="152">
        <f t="shared" si="5"/>
        <v>1991465</v>
      </c>
      <c r="L49" s="136">
        <f t="shared" si="6"/>
        <v>1991465</v>
      </c>
      <c r="M49" s="176"/>
      <c r="N49" s="139">
        <f t="shared" si="7"/>
        <v>0</v>
      </c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</row>
    <row r="50">
      <c r="A50" s="74" t="str">
        <f t="shared" si="1"/>
        <v>Monday</v>
      </c>
      <c r="B50" s="49">
        <v>46279.0</v>
      </c>
      <c r="C50" s="187">
        <v>1.0</v>
      </c>
      <c r="D50" s="87">
        <v>42832.66</v>
      </c>
      <c r="E50" s="131">
        <f>IFERROR(__xludf.DUMMYFUNCTION("IFNA(FILTER(BUY_SEP!$L$2:$L$1218, BUY_SEP!$H$2:$H$1218=B50, BUY_SEP!$I$2:$I$1218=C50), ""-"")"),17555.0)</f>
        <v>17555</v>
      </c>
      <c r="F50" s="172">
        <f t="shared" si="2"/>
        <v>751927346.3</v>
      </c>
      <c r="G50" s="162">
        <v>17510.0</v>
      </c>
      <c r="H50" s="134">
        <f t="shared" si="3"/>
        <v>749999876.6</v>
      </c>
      <c r="I50" s="100">
        <v>0.0</v>
      </c>
      <c r="J50" s="135">
        <f t="shared" si="4"/>
        <v>0</v>
      </c>
      <c r="K50" s="152">
        <f t="shared" si="5"/>
        <v>-1927469.7</v>
      </c>
      <c r="L50" s="134">
        <f t="shared" si="6"/>
        <v>-1927469.7</v>
      </c>
      <c r="M50" s="138"/>
      <c r="N50" s="139">
        <f t="shared" si="7"/>
        <v>0</v>
      </c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</row>
    <row r="51">
      <c r="A51" s="74" t="str">
        <f t="shared" si="1"/>
        <v>Monday</v>
      </c>
      <c r="B51" s="49">
        <v>46279.0</v>
      </c>
      <c r="C51" s="150">
        <v>2.0</v>
      </c>
      <c r="D51" s="87">
        <v>113798.0</v>
      </c>
      <c r="E51" s="131">
        <f>IFERROR(__xludf.DUMMYFUNCTION("IFNA(FILTER(BUY_SEP!$L$2:$L$1218, BUY_SEP!$H$2:$H$1218=B51, BUY_SEP!$I$2:$I$1218=C51), ""-"")"),17555.0)</f>
        <v>17555</v>
      </c>
      <c r="F51" s="172">
        <f t="shared" si="2"/>
        <v>1997723890</v>
      </c>
      <c r="G51" s="162">
        <v>17575.0</v>
      </c>
      <c r="H51" s="134">
        <f t="shared" si="3"/>
        <v>1999999850</v>
      </c>
      <c r="I51" s="100">
        <v>0.0</v>
      </c>
      <c r="J51" s="135">
        <f t="shared" si="4"/>
        <v>0</v>
      </c>
      <c r="K51" s="152">
        <f t="shared" si="5"/>
        <v>2275960</v>
      </c>
      <c r="L51" s="134">
        <f t="shared" si="6"/>
        <v>2275960</v>
      </c>
      <c r="M51" s="138"/>
      <c r="N51" s="139">
        <f t="shared" si="7"/>
        <v>0</v>
      </c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</row>
    <row r="52">
      <c r="A52" s="74" t="str">
        <f t="shared" si="1"/>
        <v>Monday</v>
      </c>
      <c r="B52" s="49">
        <v>46279.0</v>
      </c>
      <c r="C52" s="150">
        <v>3.0</v>
      </c>
      <c r="D52" s="87">
        <v>113798.0</v>
      </c>
      <c r="E52" s="131">
        <f>IFERROR(__xludf.DUMMYFUNCTION("IFNA(FILTER(BUY_SEP!$L$2:$L$1218, BUY_SEP!$H$2:$H$1218=B52, BUY_SEP!$I$2:$I$1218=C52), ""-"")"),17555.0)</f>
        <v>17555</v>
      </c>
      <c r="F52" s="172">
        <f t="shared" si="2"/>
        <v>1997723890</v>
      </c>
      <c r="G52" s="162">
        <v>17575.0</v>
      </c>
      <c r="H52" s="134">
        <f t="shared" si="3"/>
        <v>1999999850</v>
      </c>
      <c r="I52" s="100">
        <v>0.0</v>
      </c>
      <c r="J52" s="135">
        <f t="shared" si="4"/>
        <v>0</v>
      </c>
      <c r="K52" s="152">
        <f t="shared" si="5"/>
        <v>2275960</v>
      </c>
      <c r="L52" s="134">
        <f t="shared" si="6"/>
        <v>2275960</v>
      </c>
      <c r="M52" s="138"/>
      <c r="N52" s="139">
        <f t="shared" si="7"/>
        <v>0</v>
      </c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</row>
    <row r="53">
      <c r="A53" s="74" t="str">
        <f t="shared" si="1"/>
        <v>Monday</v>
      </c>
      <c r="B53" s="49">
        <v>46279.0</v>
      </c>
      <c r="C53" s="86">
        <v>4.0</v>
      </c>
      <c r="D53" s="87">
        <v>148909.75</v>
      </c>
      <c r="E53" s="131">
        <f>IFERROR(__xludf.DUMMYFUNCTION("IFNA(FILTER(BUY_SEP!$L$2:$L$1218, BUY_SEP!$H$2:$H$1218=B53, BUY_SEP!$I$2:$I$1218=C53), ""-"")"),17560.0)</f>
        <v>17560</v>
      </c>
      <c r="F53" s="172">
        <f t="shared" si="2"/>
        <v>2614855210</v>
      </c>
      <c r="G53" s="162">
        <v>17575.0</v>
      </c>
      <c r="H53" s="134">
        <f t="shared" si="3"/>
        <v>2617088856</v>
      </c>
      <c r="I53" s="100">
        <v>0.0</v>
      </c>
      <c r="J53" s="135">
        <f t="shared" si="4"/>
        <v>0</v>
      </c>
      <c r="K53" s="152">
        <f t="shared" si="5"/>
        <v>2233646.25</v>
      </c>
      <c r="L53" s="134">
        <f t="shared" si="6"/>
        <v>2233646.25</v>
      </c>
      <c r="M53" s="138"/>
      <c r="N53" s="139">
        <f t="shared" si="7"/>
        <v>0</v>
      </c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</row>
    <row r="54">
      <c r="A54" s="74" t="str">
        <f t="shared" si="1"/>
        <v>Monday</v>
      </c>
      <c r="B54" s="49">
        <v>46279.0</v>
      </c>
      <c r="C54" s="86">
        <v>5.0</v>
      </c>
      <c r="D54" s="87">
        <v>58605.97</v>
      </c>
      <c r="E54" s="131">
        <f>IFERROR(__xludf.DUMMYFUNCTION("IFNA(FILTER(BUY_SEP!$L$2:$L$1218, BUY_SEP!$H$2:$H$1218=B54, BUY_SEP!$I$2:$I$1218=C54), ""-"")"),17560.0)</f>
        <v>17560</v>
      </c>
      <c r="F54" s="172">
        <f t="shared" si="2"/>
        <v>1029120833</v>
      </c>
      <c r="G54" s="162">
        <v>17575.0</v>
      </c>
      <c r="H54" s="134">
        <f t="shared" si="3"/>
        <v>1029999923</v>
      </c>
      <c r="I54" s="100">
        <v>0.0</v>
      </c>
      <c r="J54" s="135">
        <f t="shared" si="4"/>
        <v>0</v>
      </c>
      <c r="K54" s="152">
        <f t="shared" si="5"/>
        <v>879089.55</v>
      </c>
      <c r="L54" s="134">
        <f t="shared" si="6"/>
        <v>879089.55</v>
      </c>
      <c r="M54" s="193"/>
      <c r="N54" s="139">
        <f t="shared" si="7"/>
        <v>0</v>
      </c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</row>
    <row r="55">
      <c r="A55" s="74" t="str">
        <f t="shared" si="1"/>
        <v>Monday</v>
      </c>
      <c r="B55" s="49">
        <v>46279.0</v>
      </c>
      <c r="C55" s="86">
        <v>5.0</v>
      </c>
      <c r="D55" s="87">
        <v>134970.12</v>
      </c>
      <c r="E55" s="131">
        <f>IFERROR(__xludf.DUMMYFUNCTION("IFNA(FILTER(BUY_SEP!$L$2:$L$1218, BUY_SEP!$H$2:$H$1218=B55, BUY_SEP!$I$2:$I$1218=C55), ""-"")"),17560.0)</f>
        <v>17560</v>
      </c>
      <c r="F55" s="172">
        <f t="shared" si="2"/>
        <v>2370075307</v>
      </c>
      <c r="G55" s="162">
        <v>17575.0</v>
      </c>
      <c r="H55" s="134">
        <f t="shared" si="3"/>
        <v>2372099859</v>
      </c>
      <c r="I55" s="100">
        <v>0.0</v>
      </c>
      <c r="J55" s="135">
        <f t="shared" si="4"/>
        <v>0</v>
      </c>
      <c r="K55" s="152">
        <f t="shared" si="5"/>
        <v>2024551.8</v>
      </c>
      <c r="L55" s="134">
        <f t="shared" si="6"/>
        <v>2024551.8</v>
      </c>
      <c r="M55" s="154"/>
      <c r="N55" s="139">
        <f t="shared" si="7"/>
        <v>0</v>
      </c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</row>
    <row r="56">
      <c r="A56" s="74" t="str">
        <f t="shared" si="1"/>
        <v>Monday</v>
      </c>
      <c r="B56" s="49">
        <v>46279.0</v>
      </c>
      <c r="C56" s="86">
        <v>6.0</v>
      </c>
      <c r="D56" s="87">
        <v>45532.15</v>
      </c>
      <c r="E56" s="131">
        <f>IFERROR(__xludf.DUMMYFUNCTION("IFNA(FILTER(BUY_SEP!$L$2:$L$1218, BUY_SEP!$H$2:$H$1218=B56, BUY_SEP!$I$2:$I$1218=C56), ""-"")"),17555.0)</f>
        <v>17555</v>
      </c>
      <c r="F56" s="172">
        <f t="shared" si="2"/>
        <v>799316893.3</v>
      </c>
      <c r="G56" s="162">
        <v>17570.0</v>
      </c>
      <c r="H56" s="134">
        <f t="shared" si="3"/>
        <v>799999875.5</v>
      </c>
      <c r="I56" s="100">
        <v>0.0</v>
      </c>
      <c r="J56" s="135">
        <f t="shared" si="4"/>
        <v>0</v>
      </c>
      <c r="K56" s="152">
        <f t="shared" si="5"/>
        <v>682982.25</v>
      </c>
      <c r="L56" s="134">
        <f t="shared" si="6"/>
        <v>682982.25</v>
      </c>
      <c r="M56" s="154"/>
      <c r="N56" s="139">
        <f t="shared" si="7"/>
        <v>0</v>
      </c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</row>
    <row r="57">
      <c r="A57" s="74" t="str">
        <f t="shared" si="1"/>
        <v>Tuesday</v>
      </c>
      <c r="B57" s="49">
        <v>46280.0</v>
      </c>
      <c r="C57" s="150">
        <v>1.0</v>
      </c>
      <c r="D57" s="87">
        <v>130496.45</v>
      </c>
      <c r="E57" s="131">
        <f>IFERROR(__xludf.DUMMYFUNCTION("IFNA(FILTER(BUY_SEP!$L$2:$L$1218, BUY_SEP!$H$2:$H$1218=B57, BUY_SEP!$I$2:$I$1218=C57), ""-"")"),17615.0)</f>
        <v>17615</v>
      </c>
      <c r="F57" s="172">
        <f t="shared" si="2"/>
        <v>2298694967</v>
      </c>
      <c r="G57" s="162">
        <v>17625.0</v>
      </c>
      <c r="H57" s="134">
        <f t="shared" si="3"/>
        <v>2299999931</v>
      </c>
      <c r="I57" s="100">
        <v>0.0</v>
      </c>
      <c r="J57" s="135">
        <f t="shared" si="4"/>
        <v>0</v>
      </c>
      <c r="K57" s="152">
        <f t="shared" si="5"/>
        <v>1304964.5</v>
      </c>
      <c r="L57" s="174">
        <f t="shared" si="6"/>
        <v>1304964.5</v>
      </c>
      <c r="M57" s="154"/>
      <c r="N57" s="139">
        <f t="shared" si="7"/>
        <v>0</v>
      </c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</row>
    <row r="58">
      <c r="A58" s="74" t="str">
        <f t="shared" si="1"/>
        <v>Wednesday</v>
      </c>
      <c r="B58" s="49">
        <v>46281.0</v>
      </c>
      <c r="C58" s="86">
        <v>1.0</v>
      </c>
      <c r="D58" s="87">
        <v>28392.95</v>
      </c>
      <c r="E58" s="131">
        <f>IFERROR(__xludf.DUMMYFUNCTION("IFNA(FILTER(BUY_SEP!$L$2:$L$1218, BUY_SEP!$H$2:$H$1218=B58, BUY_SEP!$I$2:$I$1218=C58), ""-"")"),17582.045894924104)</f>
        <v>17582.04589</v>
      </c>
      <c r="F58" s="172">
        <f t="shared" si="2"/>
        <v>499206150</v>
      </c>
      <c r="G58" s="162">
        <v>17610.0</v>
      </c>
      <c r="H58" s="134">
        <f t="shared" si="3"/>
        <v>499999849.5</v>
      </c>
      <c r="I58" s="100">
        <v>0.05</v>
      </c>
      <c r="J58" s="135">
        <f t="shared" si="4"/>
        <v>249603.075</v>
      </c>
      <c r="K58" s="152">
        <f t="shared" si="5"/>
        <v>793699.5077</v>
      </c>
      <c r="L58" s="175">
        <f t="shared" si="6"/>
        <v>544096.4327</v>
      </c>
      <c r="M58" s="154"/>
      <c r="N58" s="139">
        <f t="shared" si="7"/>
        <v>0</v>
      </c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</row>
    <row r="59">
      <c r="A59" s="74" t="str">
        <f t="shared" si="1"/>
        <v>Wednesday</v>
      </c>
      <c r="B59" s="49">
        <v>46281.0</v>
      </c>
      <c r="C59" s="86">
        <v>2.0</v>
      </c>
      <c r="D59" s="87">
        <v>28392.95</v>
      </c>
      <c r="E59" s="131">
        <f>IFERROR(__xludf.DUMMYFUNCTION("IFNA(FILTER(BUY_SEP!$L$2:$L$1218, BUY_SEP!$H$2:$H$1218=B59, BUY_SEP!$I$2:$I$1218=C59), ""-"")"),17584.18157592714)</f>
        <v>17584.18158</v>
      </c>
      <c r="F59" s="172">
        <f t="shared" si="2"/>
        <v>499266788.3</v>
      </c>
      <c r="G59" s="162">
        <v>17610.0</v>
      </c>
      <c r="H59" s="134">
        <f t="shared" si="3"/>
        <v>499999849.5</v>
      </c>
      <c r="I59" s="100">
        <v>0.05</v>
      </c>
      <c r="J59" s="135">
        <f t="shared" si="4"/>
        <v>249633.3941</v>
      </c>
      <c r="K59" s="152">
        <f t="shared" si="5"/>
        <v>733061.2238</v>
      </c>
      <c r="L59" s="136">
        <f t="shared" si="6"/>
        <v>483427.8296</v>
      </c>
      <c r="M59" s="154"/>
      <c r="N59" s="139">
        <f t="shared" si="7"/>
        <v>0</v>
      </c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</row>
    <row r="60">
      <c r="A60" s="74" t="str">
        <f t="shared" si="1"/>
        <v>Wednesday</v>
      </c>
      <c r="B60" s="49">
        <v>46281.0</v>
      </c>
      <c r="C60" s="86">
        <v>3.0</v>
      </c>
      <c r="D60" s="87">
        <v>26032.82</v>
      </c>
      <c r="E60" s="131">
        <f>IFERROR(__xludf.DUMMYFUNCTION("IFNA(FILTER(BUY_SEP!$L$2:$L$1218, BUY_SEP!$H$2:$H$1218=B60, BUY_SEP!$I$2:$I$1218=C60), ""-"")"),17640.0)</f>
        <v>17640</v>
      </c>
      <c r="F60" s="172">
        <f t="shared" si="2"/>
        <v>459218944.8</v>
      </c>
      <c r="G60" s="162">
        <v>17670.0</v>
      </c>
      <c r="H60" s="134">
        <f t="shared" si="3"/>
        <v>459999929.4</v>
      </c>
      <c r="I60" s="151">
        <v>0.0</v>
      </c>
      <c r="J60" s="135">
        <f t="shared" si="4"/>
        <v>0</v>
      </c>
      <c r="K60" s="152">
        <f t="shared" si="5"/>
        <v>780984.6</v>
      </c>
      <c r="L60" s="136">
        <f t="shared" si="6"/>
        <v>780984.6</v>
      </c>
      <c r="M60" s="154"/>
      <c r="N60" s="139">
        <f t="shared" si="7"/>
        <v>0</v>
      </c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</row>
    <row r="61">
      <c r="A61" s="74" t="str">
        <f t="shared" si="1"/>
        <v>Wednesday</v>
      </c>
      <c r="B61" s="49">
        <v>46281.0</v>
      </c>
      <c r="C61" s="86">
        <v>4.0</v>
      </c>
      <c r="D61" s="87">
        <v>28401.02</v>
      </c>
      <c r="E61" s="131">
        <f>IFERROR(__xludf.DUMMYFUNCTION("IFNA(FILTER(BUY_SEP!$L$2:$L$1218, BUY_SEP!$H$2:$H$1218=B61, BUY_SEP!$I$2:$I$1218=C61), ""-"")"),17565.0)</f>
        <v>17565</v>
      </c>
      <c r="F61" s="172">
        <f t="shared" si="2"/>
        <v>498863916.3</v>
      </c>
      <c r="G61" s="162">
        <v>17605.0</v>
      </c>
      <c r="H61" s="134">
        <f t="shared" si="3"/>
        <v>499999957.1</v>
      </c>
      <c r="I61" s="151">
        <v>0.0</v>
      </c>
      <c r="J61" s="135">
        <f t="shared" si="4"/>
        <v>0</v>
      </c>
      <c r="K61" s="152">
        <f t="shared" si="5"/>
        <v>1136040.8</v>
      </c>
      <c r="L61" s="136">
        <f t="shared" si="6"/>
        <v>1136040.8</v>
      </c>
      <c r="M61" s="154"/>
      <c r="N61" s="139">
        <f t="shared" si="7"/>
        <v>0</v>
      </c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</row>
    <row r="62">
      <c r="A62" s="74" t="str">
        <f t="shared" si="1"/>
        <v>Wednesday</v>
      </c>
      <c r="B62" s="49">
        <v>46281.0</v>
      </c>
      <c r="C62" s="86">
        <v>4.0</v>
      </c>
      <c r="D62" s="87">
        <v>56834.32</v>
      </c>
      <c r="E62" s="131">
        <f>IFERROR(__xludf.DUMMYFUNCTION("IFNA(FILTER(BUY_SEP!$L$2:$L$1218, BUY_SEP!$H$2:$H$1218=B62, BUY_SEP!$I$2:$I$1218=C62), ""-"")"),17565.0)</f>
        <v>17565</v>
      </c>
      <c r="F62" s="172">
        <f t="shared" si="2"/>
        <v>998294830.8</v>
      </c>
      <c r="G62" s="162">
        <v>17595.0</v>
      </c>
      <c r="H62" s="134">
        <f t="shared" si="3"/>
        <v>999999860.4</v>
      </c>
      <c r="I62" s="151">
        <v>0.0</v>
      </c>
      <c r="J62" s="135">
        <f t="shared" si="4"/>
        <v>0</v>
      </c>
      <c r="K62" s="152">
        <f t="shared" si="5"/>
        <v>1705029.6</v>
      </c>
      <c r="L62" s="136">
        <f t="shared" si="6"/>
        <v>1705029.6</v>
      </c>
      <c r="M62" s="154"/>
      <c r="N62" s="139">
        <f t="shared" si="7"/>
        <v>0</v>
      </c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</row>
    <row r="63">
      <c r="A63" s="74" t="str">
        <f t="shared" si="1"/>
        <v>Wednesday</v>
      </c>
      <c r="B63" s="49">
        <v>46281.0</v>
      </c>
      <c r="C63" s="86">
        <v>5.0</v>
      </c>
      <c r="D63" s="87">
        <v>125071.06</v>
      </c>
      <c r="E63" s="131">
        <f>IFERROR(__xludf.DUMMYFUNCTION("IFNA(FILTER(BUY_SEP!$L$2:$L$1218, BUY_SEP!$H$2:$H$1218=B63, BUY_SEP!$I$2:$I$1218=C63), ""-"")"),17560.0)</f>
        <v>17560</v>
      </c>
      <c r="F63" s="172">
        <f t="shared" si="2"/>
        <v>2196247814</v>
      </c>
      <c r="G63" s="162">
        <v>17590.0</v>
      </c>
      <c r="H63" s="134">
        <f t="shared" si="3"/>
        <v>2199999945</v>
      </c>
      <c r="I63" s="151">
        <v>0.0</v>
      </c>
      <c r="J63" s="135">
        <f t="shared" si="4"/>
        <v>0</v>
      </c>
      <c r="K63" s="152">
        <f t="shared" si="5"/>
        <v>3752131.8</v>
      </c>
      <c r="L63" s="136">
        <f t="shared" si="6"/>
        <v>3752131.8</v>
      </c>
      <c r="M63" s="154"/>
      <c r="N63" s="139">
        <f t="shared" si="7"/>
        <v>0</v>
      </c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</row>
    <row r="64">
      <c r="A64" s="74" t="str">
        <f t="shared" si="1"/>
        <v>Wednesday</v>
      </c>
      <c r="B64" s="49">
        <v>46281.0</v>
      </c>
      <c r="C64" s="86">
        <v>6.0</v>
      </c>
      <c r="D64" s="87">
        <v>159226.61</v>
      </c>
      <c r="E64" s="131">
        <f>IFERROR(__xludf.DUMMYFUNCTION("IFNA(FILTER(BUY_SEP!$L$2:$L$1218, BUY_SEP!$H$2:$H$1218=B64, BUY_SEP!$I$2:$I$1218=C64), ""-"")"),17550.0)</f>
        <v>17550</v>
      </c>
      <c r="F64" s="172">
        <f t="shared" si="2"/>
        <v>2794427006</v>
      </c>
      <c r="G64" s="162">
        <v>17585.0</v>
      </c>
      <c r="H64" s="134">
        <f t="shared" si="3"/>
        <v>2799999937</v>
      </c>
      <c r="I64" s="151">
        <v>0.0</v>
      </c>
      <c r="J64" s="135">
        <f t="shared" si="4"/>
        <v>0</v>
      </c>
      <c r="K64" s="152">
        <f t="shared" si="5"/>
        <v>5572931.35</v>
      </c>
      <c r="L64" s="136">
        <f t="shared" si="6"/>
        <v>5572931.35</v>
      </c>
      <c r="M64" s="154"/>
      <c r="N64" s="139">
        <f t="shared" si="7"/>
        <v>0</v>
      </c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</row>
    <row r="65">
      <c r="A65" s="74" t="str">
        <f t="shared" si="1"/>
        <v>Thursday</v>
      </c>
      <c r="B65" s="49">
        <v>46282.0</v>
      </c>
      <c r="C65" s="86">
        <v>1.0</v>
      </c>
      <c r="D65" s="87">
        <v>14722.53</v>
      </c>
      <c r="E65" s="131">
        <f>IFERROR(__xludf.DUMMYFUNCTION("IFNA(FILTER(BUY_SEP!$L$2:$L$1218, BUY_SEP!$H$2:$H$1218=B65, BUY_SEP!$I$2:$I$1218=C65), ""-"")"),17640.0)</f>
        <v>17640</v>
      </c>
      <c r="F65" s="172">
        <f t="shared" si="2"/>
        <v>259705429.2</v>
      </c>
      <c r="G65" s="162">
        <v>17660.0</v>
      </c>
      <c r="H65" s="134">
        <f t="shared" si="3"/>
        <v>259999879.8</v>
      </c>
      <c r="I65" s="151">
        <v>0.0</v>
      </c>
      <c r="J65" s="135">
        <f t="shared" si="4"/>
        <v>0</v>
      </c>
      <c r="K65" s="152">
        <f t="shared" si="5"/>
        <v>294450.6</v>
      </c>
      <c r="L65" s="136">
        <f t="shared" si="6"/>
        <v>294450.6</v>
      </c>
      <c r="M65" s="154"/>
      <c r="N65" s="139">
        <f t="shared" si="7"/>
        <v>0</v>
      </c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</row>
    <row r="66">
      <c r="A66" s="74" t="str">
        <f t="shared" si="1"/>
        <v>Thursday</v>
      </c>
      <c r="B66" s="49">
        <v>46282.0</v>
      </c>
      <c r="C66" s="106">
        <v>2.0</v>
      </c>
      <c r="D66" s="87">
        <v>84937.71</v>
      </c>
      <c r="E66" s="131">
        <f>IFERROR(__xludf.DUMMYFUNCTION("IFNA(FILTER(BUY_SEP!$L$2:$L$1218, BUY_SEP!$H$2:$H$1218=B66, BUY_SEP!$I$2:$I$1218=C66), ""-"")"),17645.0)</f>
        <v>17645</v>
      </c>
      <c r="F66" s="172">
        <f t="shared" si="2"/>
        <v>1498725893</v>
      </c>
      <c r="G66" s="162">
        <v>17660.0</v>
      </c>
      <c r="H66" s="134">
        <f t="shared" si="3"/>
        <v>1499999959</v>
      </c>
      <c r="I66" s="100">
        <v>0.0</v>
      </c>
      <c r="J66" s="135">
        <f t="shared" si="4"/>
        <v>0</v>
      </c>
      <c r="K66" s="152">
        <f t="shared" si="5"/>
        <v>1274065.65</v>
      </c>
      <c r="L66" s="136">
        <f t="shared" si="6"/>
        <v>1274065.65</v>
      </c>
      <c r="M66" s="176"/>
      <c r="N66" s="139">
        <f t="shared" si="7"/>
        <v>0</v>
      </c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</row>
    <row r="67">
      <c r="A67" s="74" t="str">
        <f t="shared" si="1"/>
        <v>Thursday</v>
      </c>
      <c r="B67" s="49">
        <v>46282.0</v>
      </c>
      <c r="C67" s="106">
        <v>3.0</v>
      </c>
      <c r="D67" s="87">
        <v>28328.61</v>
      </c>
      <c r="E67" s="131">
        <f>IFERROR(__xludf.DUMMYFUNCTION("IFNA(FILTER(BUY_SEP!$L$2:$L$1218, BUY_SEP!$H$2:$H$1218=B67, BUY_SEP!$I$2:$I$1218=C67), ""-"")"),17617.0)</f>
        <v>17617</v>
      </c>
      <c r="F67" s="172">
        <f t="shared" si="2"/>
        <v>499065122.4</v>
      </c>
      <c r="G67" s="162">
        <v>17650.0</v>
      </c>
      <c r="H67" s="134">
        <f t="shared" si="3"/>
        <v>499999966.5</v>
      </c>
      <c r="I67" s="100">
        <v>0.05</v>
      </c>
      <c r="J67" s="135">
        <f t="shared" si="4"/>
        <v>249532.5612</v>
      </c>
      <c r="K67" s="152">
        <f t="shared" si="5"/>
        <v>934844.13</v>
      </c>
      <c r="L67" s="136">
        <f t="shared" si="6"/>
        <v>685311.5688</v>
      </c>
      <c r="M67" s="176"/>
      <c r="N67" s="139">
        <f t="shared" si="7"/>
        <v>0</v>
      </c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</row>
    <row r="68">
      <c r="A68" s="74" t="str">
        <f t="shared" si="1"/>
        <v>Thursday</v>
      </c>
      <c r="B68" s="49">
        <v>46282.0</v>
      </c>
      <c r="C68" s="106">
        <v>4.0</v>
      </c>
      <c r="D68" s="87">
        <v>56657.22</v>
      </c>
      <c r="E68" s="131">
        <f>IFERROR(__xludf.DUMMYFUNCTION("IFNA(FILTER(BUY_SEP!$L$2:$L$1218, BUY_SEP!$H$2:$H$1218=B68, BUY_SEP!$I$2:$I$1218=C68), ""-"")"),17615.0)</f>
        <v>17615</v>
      </c>
      <c r="F68" s="172">
        <f t="shared" si="2"/>
        <v>998016930.3</v>
      </c>
      <c r="G68" s="162">
        <v>17650.0</v>
      </c>
      <c r="H68" s="134">
        <f t="shared" si="3"/>
        <v>999999933</v>
      </c>
      <c r="I68" s="100">
        <v>0.05</v>
      </c>
      <c r="J68" s="135">
        <f t="shared" si="4"/>
        <v>499008.4652</v>
      </c>
      <c r="K68" s="152">
        <f t="shared" si="5"/>
        <v>1983002.7</v>
      </c>
      <c r="L68" s="136">
        <f t="shared" si="6"/>
        <v>1483994.235</v>
      </c>
      <c r="M68" s="176"/>
      <c r="N68" s="139">
        <f t="shared" si="7"/>
        <v>0</v>
      </c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</row>
    <row r="69">
      <c r="A69" s="74" t="str">
        <f t="shared" si="1"/>
        <v>Thursday</v>
      </c>
      <c r="B69" s="49">
        <v>46282.0</v>
      </c>
      <c r="C69" s="86">
        <v>5.0</v>
      </c>
      <c r="D69" s="87">
        <v>56687.84</v>
      </c>
      <c r="E69" s="131">
        <f>IFERROR(__xludf.DUMMYFUNCTION("IFNA(FILTER(BUY_SEP!$L$2:$L$1218, BUY_SEP!$H$2:$H$1218=B69, BUY_SEP!$I$2:$I$1218=C69), ""-"")"),17610.540916309703)</f>
        <v>17610.54092</v>
      </c>
      <c r="F69" s="172">
        <f t="shared" si="2"/>
        <v>998303525.8</v>
      </c>
      <c r="G69" s="162">
        <v>17640.0</v>
      </c>
      <c r="H69" s="134">
        <f t="shared" si="3"/>
        <v>999973497.6</v>
      </c>
      <c r="I69" s="100">
        <v>0.05</v>
      </c>
      <c r="J69" s="135">
        <f t="shared" si="4"/>
        <v>499151.7629</v>
      </c>
      <c r="K69" s="152">
        <f t="shared" si="5"/>
        <v>1669971.823</v>
      </c>
      <c r="L69" s="134">
        <f t="shared" si="6"/>
        <v>1170820.06</v>
      </c>
      <c r="M69" s="138"/>
      <c r="N69" s="139">
        <f t="shared" si="7"/>
        <v>0</v>
      </c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</row>
    <row r="70">
      <c r="A70" s="74" t="str">
        <f t="shared" si="1"/>
        <v>Friday</v>
      </c>
      <c r="B70" s="49">
        <v>46283.0</v>
      </c>
      <c r="C70" s="86">
        <v>1.0</v>
      </c>
      <c r="D70" s="87">
        <v>113314.44</v>
      </c>
      <c r="E70" s="131">
        <f>IFERROR(__xludf.DUMMYFUNCTION("IFNA(FILTER(BUY_SEP!$L$2:$L$1218, BUY_SEP!$H$2:$H$1218=B70, BUY_SEP!$I$2:$I$1218=C70), ""-"")"),17614.687437208722)</f>
        <v>17614.68744</v>
      </c>
      <c r="F70" s="172">
        <f t="shared" si="2"/>
        <v>1995998443</v>
      </c>
      <c r="G70" s="162">
        <v>17650.0</v>
      </c>
      <c r="H70" s="134">
        <f t="shared" si="3"/>
        <v>1999999866</v>
      </c>
      <c r="I70" s="100">
        <v>0.05</v>
      </c>
      <c r="J70" s="135">
        <f t="shared" si="4"/>
        <v>997999.2214</v>
      </c>
      <c r="K70" s="152">
        <f t="shared" si="5"/>
        <v>4001423.278</v>
      </c>
      <c r="L70" s="134">
        <f t="shared" si="6"/>
        <v>3003424.056</v>
      </c>
      <c r="M70" s="138"/>
      <c r="N70" s="139">
        <f t="shared" si="7"/>
        <v>0</v>
      </c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</row>
    <row r="71">
      <c r="A71" s="74" t="str">
        <f t="shared" si="1"/>
        <v>Friday</v>
      </c>
      <c r="B71" s="49">
        <v>46283.0</v>
      </c>
      <c r="C71" s="86">
        <v>2.0</v>
      </c>
      <c r="D71" s="87">
        <v>35781.49</v>
      </c>
      <c r="E71" s="131">
        <f>IFERROR(__xludf.DUMMYFUNCTION("IFNA(FILTER(BUY_SEP!$L$2:$L$1218, BUY_SEP!$H$2:$H$1218=B71, BUY_SEP!$I$2:$I$1218=C71), ""-"")"),17615.0)</f>
        <v>17615</v>
      </c>
      <c r="F71" s="172">
        <f t="shared" si="2"/>
        <v>630290946.4</v>
      </c>
      <c r="G71" s="162">
        <v>17645.0</v>
      </c>
      <c r="H71" s="134">
        <f t="shared" si="3"/>
        <v>631364391.1</v>
      </c>
      <c r="I71" s="100">
        <v>0.0</v>
      </c>
      <c r="J71" s="135">
        <f t="shared" si="4"/>
        <v>0</v>
      </c>
      <c r="K71" s="152">
        <f t="shared" si="5"/>
        <v>1073444.7</v>
      </c>
      <c r="L71" s="134">
        <f t="shared" si="6"/>
        <v>1073444.7</v>
      </c>
      <c r="M71" s="138"/>
      <c r="N71" s="139">
        <f t="shared" si="7"/>
        <v>0</v>
      </c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</row>
    <row r="72">
      <c r="A72" s="74" t="str">
        <f t="shared" si="1"/>
        <v>Friday</v>
      </c>
      <c r="B72" s="49">
        <v>46283.0</v>
      </c>
      <c r="C72" s="86">
        <v>3.0</v>
      </c>
      <c r="D72" s="87">
        <v>186915.88</v>
      </c>
      <c r="E72" s="131">
        <f>IFERROR(__xludf.DUMMYFUNCTION("IFNA(FILTER(BUY_SEP!$L$2:$L$1218, BUY_SEP!$H$2:$H$1218=B72, BUY_SEP!$I$2:$I$1218=C72), ""-"")"),17619.938152616727)</f>
        <v>17619.93815</v>
      </c>
      <c r="F72" s="172">
        <f t="shared" si="2"/>
        <v>3293446245</v>
      </c>
      <c r="G72" s="162">
        <v>17655.0</v>
      </c>
      <c r="H72" s="134">
        <f t="shared" si="3"/>
        <v>3299999861</v>
      </c>
      <c r="I72" s="100">
        <v>0.05</v>
      </c>
      <c r="J72" s="135">
        <f t="shared" si="4"/>
        <v>1646723.123</v>
      </c>
      <c r="K72" s="152">
        <f t="shared" si="5"/>
        <v>6553616.058</v>
      </c>
      <c r="L72" s="134">
        <f t="shared" si="6"/>
        <v>4906892.935</v>
      </c>
      <c r="M72" s="138"/>
      <c r="N72" s="139">
        <f t="shared" si="7"/>
        <v>0</v>
      </c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</row>
    <row r="73">
      <c r="A73" s="74" t="str">
        <f t="shared" si="1"/>
        <v>Friday</v>
      </c>
      <c r="B73" s="49">
        <v>46283.0</v>
      </c>
      <c r="C73" s="86">
        <v>4.0</v>
      </c>
      <c r="D73" s="87">
        <v>104875.28</v>
      </c>
      <c r="E73" s="131">
        <f>IFERROR(__xludf.DUMMYFUNCTION("IFNA(FILTER(BUY_SEP!$L$2:$L$1218, BUY_SEP!$H$2:$H$1218=B73, BUY_SEP!$I$2:$I$1218=C73), ""-"")"),17610.0)</f>
        <v>17610</v>
      </c>
      <c r="F73" s="172">
        <f t="shared" si="2"/>
        <v>1846853681</v>
      </c>
      <c r="G73" s="162">
        <v>17640.0</v>
      </c>
      <c r="H73" s="134">
        <f t="shared" si="3"/>
        <v>1849999939</v>
      </c>
      <c r="I73" s="100">
        <v>0.0</v>
      </c>
      <c r="J73" s="135">
        <f t="shared" si="4"/>
        <v>0</v>
      </c>
      <c r="K73" s="152">
        <f t="shared" si="5"/>
        <v>3146258.4</v>
      </c>
      <c r="L73" s="134">
        <f t="shared" si="6"/>
        <v>3146258.4</v>
      </c>
      <c r="M73" s="193"/>
      <c r="N73" s="139">
        <f t="shared" si="7"/>
        <v>0</v>
      </c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</row>
    <row r="74">
      <c r="A74" s="74" t="str">
        <f t="shared" si="1"/>
        <v>Friday</v>
      </c>
      <c r="B74" s="49">
        <v>46283.0</v>
      </c>
      <c r="C74" s="86">
        <v>5.0</v>
      </c>
      <c r="D74" s="87">
        <v>83730.15</v>
      </c>
      <c r="E74" s="131">
        <f>IFERROR(__xludf.DUMMYFUNCTION("IFNA(FILTER(BUY_SEP!$L$2:$L$1218, BUY_SEP!$H$2:$H$1218=B74, BUY_SEP!$I$2:$I$1218=C74), ""-"")"),17610.0)</f>
        <v>17610</v>
      </c>
      <c r="F74" s="172">
        <f t="shared" si="2"/>
        <v>1474487942</v>
      </c>
      <c r="G74" s="162">
        <v>17640.0</v>
      </c>
      <c r="H74" s="134">
        <f t="shared" si="3"/>
        <v>1476999846</v>
      </c>
      <c r="I74" s="100">
        <v>0.0</v>
      </c>
      <c r="J74" s="135">
        <f t="shared" si="4"/>
        <v>0</v>
      </c>
      <c r="K74" s="152">
        <f t="shared" si="5"/>
        <v>2511904.5</v>
      </c>
      <c r="L74" s="134">
        <f t="shared" si="6"/>
        <v>2511904.5</v>
      </c>
      <c r="M74" s="154"/>
      <c r="N74" s="139">
        <f t="shared" si="7"/>
        <v>0</v>
      </c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</row>
    <row r="75">
      <c r="A75" s="74" t="str">
        <f t="shared" si="1"/>
        <v>Friday</v>
      </c>
      <c r="B75" s="49">
        <v>46283.0</v>
      </c>
      <c r="C75" s="86">
        <v>6.0</v>
      </c>
      <c r="D75" s="87">
        <v>226628.89</v>
      </c>
      <c r="E75" s="131">
        <f>IFERROR(__xludf.DUMMYFUNCTION("IFNA(FILTER(BUY_SEP!$L$2:$L$1218, BUY_SEP!$H$2:$H$1218=B75, BUY_SEP!$I$2:$I$1218=C75), ""-"")"),17621.294285974538)</f>
        <v>17621.29429</v>
      </c>
      <c r="F75" s="172">
        <f t="shared" si="2"/>
        <v>3993494364</v>
      </c>
      <c r="G75" s="162">
        <v>17650.0</v>
      </c>
      <c r="H75" s="134">
        <f t="shared" si="3"/>
        <v>3999999909</v>
      </c>
      <c r="I75" s="100">
        <v>0.05</v>
      </c>
      <c r="J75" s="135">
        <f t="shared" si="4"/>
        <v>1996747.182</v>
      </c>
      <c r="K75" s="152">
        <f t="shared" si="5"/>
        <v>6505544.106</v>
      </c>
      <c r="L75" s="134">
        <f t="shared" si="6"/>
        <v>4508796.924</v>
      </c>
      <c r="M75" s="154"/>
      <c r="N75" s="139">
        <f t="shared" si="7"/>
        <v>0</v>
      </c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</row>
    <row r="76">
      <c r="A76" s="74" t="str">
        <f t="shared" si="1"/>
        <v>Saturday</v>
      </c>
      <c r="B76" s="49">
        <v>46284.0</v>
      </c>
      <c r="C76" s="150">
        <v>1.0</v>
      </c>
      <c r="D76" s="87">
        <v>59772.72</v>
      </c>
      <c r="E76" s="131">
        <f>IFERROR(__xludf.DUMMYFUNCTION("IFNA(FILTER(BUY_SEP!$L$2:$L$1218, BUY_SEP!$H$2:$H$1218=B76, BUY_SEP!$I$2:$I$1218=C76), ""-"")"),17560.0)</f>
        <v>17560</v>
      </c>
      <c r="F76" s="172">
        <f t="shared" si="2"/>
        <v>1049608963</v>
      </c>
      <c r="G76" s="162">
        <v>17600.0</v>
      </c>
      <c r="H76" s="134">
        <f t="shared" si="3"/>
        <v>1051999872</v>
      </c>
      <c r="I76" s="100">
        <v>0.0</v>
      </c>
      <c r="J76" s="135">
        <f t="shared" si="4"/>
        <v>0</v>
      </c>
      <c r="K76" s="152">
        <f t="shared" si="5"/>
        <v>2390908.8</v>
      </c>
      <c r="L76" s="174">
        <f t="shared" si="6"/>
        <v>2390908.8</v>
      </c>
      <c r="M76" s="154"/>
      <c r="N76" s="139">
        <f t="shared" si="7"/>
        <v>0</v>
      </c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</row>
    <row r="77">
      <c r="A77" s="74" t="str">
        <f t="shared" si="1"/>
        <v>Saturday</v>
      </c>
      <c r="B77" s="49">
        <v>46284.0</v>
      </c>
      <c r="C77" s="150">
        <v>2.0</v>
      </c>
      <c r="D77" s="87">
        <v>28409.09</v>
      </c>
      <c r="E77" s="131">
        <f>IFERROR(__xludf.DUMMYFUNCTION("IFNA(FILTER(BUY_SEP!$L$2:$L$1218, BUY_SEP!$H$2:$H$1218=B77, BUY_SEP!$I$2:$I$1218=C77), ""-"")"),17575.0)</f>
        <v>17575</v>
      </c>
      <c r="F77" s="172">
        <f t="shared" si="2"/>
        <v>499289756.8</v>
      </c>
      <c r="G77" s="162">
        <v>17600.0</v>
      </c>
      <c r="H77" s="134">
        <f t="shared" si="3"/>
        <v>499999984</v>
      </c>
      <c r="I77" s="100">
        <v>0.05</v>
      </c>
      <c r="J77" s="135">
        <f t="shared" si="4"/>
        <v>249644.8784</v>
      </c>
      <c r="K77" s="152">
        <f t="shared" si="5"/>
        <v>710227.25</v>
      </c>
      <c r="L77" s="175">
        <f t="shared" si="6"/>
        <v>460582.3716</v>
      </c>
      <c r="M77" s="154"/>
      <c r="N77" s="139">
        <f t="shared" si="7"/>
        <v>0</v>
      </c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</row>
    <row r="78">
      <c r="A78" s="74" t="str">
        <f t="shared" si="1"/>
        <v>Saturday</v>
      </c>
      <c r="B78" s="49">
        <v>46284.0</v>
      </c>
      <c r="C78" s="86">
        <v>3.0</v>
      </c>
      <c r="D78" s="87">
        <v>57389.11</v>
      </c>
      <c r="E78" s="131">
        <f>IFERROR(__xludf.DUMMYFUNCTION("IFNA(FILTER(BUY_SEP!$L$2:$L$1218, BUY_SEP!$H$2:$H$1218=B78, BUY_SEP!$I$2:$I$1218=C78), ""-"")"),17559.00841093299)</f>
        <v>17559.00841</v>
      </c>
      <c r="F78" s="172">
        <f t="shared" si="2"/>
        <v>1007695865</v>
      </c>
      <c r="G78" s="162">
        <v>17600.0</v>
      </c>
      <c r="H78" s="134">
        <f t="shared" si="3"/>
        <v>1010048336</v>
      </c>
      <c r="I78" s="100">
        <v>0.05</v>
      </c>
      <c r="J78" s="135">
        <f t="shared" si="4"/>
        <v>503847.9326</v>
      </c>
      <c r="K78" s="152">
        <f t="shared" si="5"/>
        <v>2352470.814</v>
      </c>
      <c r="L78" s="136">
        <f t="shared" si="6"/>
        <v>1848622.881</v>
      </c>
      <c r="M78" s="154"/>
      <c r="N78" s="139">
        <f t="shared" si="7"/>
        <v>0</v>
      </c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</row>
    <row r="79">
      <c r="A79" s="74" t="str">
        <f t="shared" si="1"/>
        <v>Saturday</v>
      </c>
      <c r="B79" s="49">
        <v>46284.0</v>
      </c>
      <c r="C79" s="86">
        <v>4.0</v>
      </c>
      <c r="D79" s="87">
        <v>56818.18</v>
      </c>
      <c r="E79" s="131">
        <f>IFERROR(__xludf.DUMMYFUNCTION("IFNA(FILTER(BUY_SEP!$L$2:$L$1218, BUY_SEP!$H$2:$H$1218=B79, BUY_SEP!$I$2:$I$1218=C79), ""-"")"),17550.0)</f>
        <v>17550</v>
      </c>
      <c r="F79" s="172">
        <f t="shared" si="2"/>
        <v>997159059</v>
      </c>
      <c r="G79" s="162">
        <v>17600.0</v>
      </c>
      <c r="H79" s="134">
        <f t="shared" si="3"/>
        <v>999999968</v>
      </c>
      <c r="I79" s="100">
        <v>0.05</v>
      </c>
      <c r="J79" s="135">
        <f t="shared" si="4"/>
        <v>498579.5295</v>
      </c>
      <c r="K79" s="152">
        <f t="shared" si="5"/>
        <v>2840909</v>
      </c>
      <c r="L79" s="136">
        <f t="shared" si="6"/>
        <v>2342329.471</v>
      </c>
      <c r="M79" s="154"/>
      <c r="N79" s="139">
        <f t="shared" si="7"/>
        <v>0</v>
      </c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</row>
    <row r="80">
      <c r="A80" s="74" t="str">
        <f t="shared" si="1"/>
        <v>Saturday</v>
      </c>
      <c r="B80" s="49">
        <v>46284.0</v>
      </c>
      <c r="C80" s="150">
        <v>5.0</v>
      </c>
      <c r="D80" s="87">
        <v>113765.64</v>
      </c>
      <c r="E80" s="131">
        <f>IFERROR(__xludf.DUMMYFUNCTION("IFNA(FILTER(BUY_SEP!$L$2:$L$1218, BUY_SEP!$H$2:$H$1218=B80, BUY_SEP!$I$2:$I$1218=C80), ""-"")"),17540.0)</f>
        <v>17540</v>
      </c>
      <c r="F80" s="172">
        <f t="shared" si="2"/>
        <v>1995449326</v>
      </c>
      <c r="G80" s="162">
        <v>17580.0</v>
      </c>
      <c r="H80" s="134">
        <f t="shared" si="3"/>
        <v>1999999951</v>
      </c>
      <c r="I80" s="151">
        <v>0.0</v>
      </c>
      <c r="J80" s="135">
        <f t="shared" si="4"/>
        <v>0</v>
      </c>
      <c r="K80" s="152">
        <f t="shared" si="5"/>
        <v>4550625.6</v>
      </c>
      <c r="L80" s="136">
        <f t="shared" si="6"/>
        <v>4550625.6</v>
      </c>
      <c r="M80" s="154"/>
      <c r="N80" s="139">
        <f t="shared" si="7"/>
        <v>0</v>
      </c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</row>
    <row r="81">
      <c r="A81" s="74" t="str">
        <f t="shared" si="1"/>
        <v>Saturday</v>
      </c>
      <c r="B81" s="49">
        <v>46284.0</v>
      </c>
      <c r="C81" s="86">
        <v>6.0</v>
      </c>
      <c r="D81" s="87">
        <v>56882.882</v>
      </c>
      <c r="E81" s="131">
        <f>IFERROR(__xludf.DUMMYFUNCTION("IFNA(FILTER(BUY_SEP!$L$2:$L$1218, BUY_SEP!$H$2:$H$1218=B81, BUY_SEP!$I$2:$I$1218=C81), ""-"")"),17552.26242784093)</f>
        <v>17552.26243</v>
      </c>
      <c r="F81" s="172">
        <f t="shared" si="2"/>
        <v>998423272.5</v>
      </c>
      <c r="G81" s="162">
        <v>17580.0</v>
      </c>
      <c r="H81" s="134">
        <f t="shared" si="3"/>
        <v>1000001066</v>
      </c>
      <c r="I81" s="151">
        <v>0.0</v>
      </c>
      <c r="J81" s="135">
        <f t="shared" si="4"/>
        <v>0</v>
      </c>
      <c r="K81" s="152">
        <f t="shared" si="5"/>
        <v>1577793.044</v>
      </c>
      <c r="L81" s="136">
        <f t="shared" si="6"/>
        <v>1577793.044</v>
      </c>
      <c r="M81" s="154"/>
      <c r="N81" s="139">
        <f t="shared" si="7"/>
        <v>0</v>
      </c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</row>
    <row r="82">
      <c r="A82" s="74" t="str">
        <f t="shared" si="1"/>
        <v>Saturday</v>
      </c>
      <c r="B82" s="49">
        <v>46284.0</v>
      </c>
      <c r="C82" s="86">
        <v>6.0</v>
      </c>
      <c r="D82" s="87">
        <v>113765.64</v>
      </c>
      <c r="E82" s="131">
        <f>IFERROR(__xludf.DUMMYFUNCTION("IFNA(FILTER(BUY_SEP!$L$2:$L$1218, BUY_SEP!$H$2:$H$1218=B82, BUY_SEP!$I$2:$I$1218=C82), ""-"")"),17552.26242784093)</f>
        <v>17552.26243</v>
      </c>
      <c r="F82" s="172">
        <f t="shared" si="2"/>
        <v>1996844369</v>
      </c>
      <c r="G82" s="162">
        <v>17580.0</v>
      </c>
      <c r="H82" s="134">
        <f t="shared" si="3"/>
        <v>1999999951</v>
      </c>
      <c r="I82" s="100">
        <v>0.05</v>
      </c>
      <c r="J82" s="135">
        <f t="shared" si="4"/>
        <v>998422.1843</v>
      </c>
      <c r="K82" s="152">
        <f t="shared" si="5"/>
        <v>3155582.649</v>
      </c>
      <c r="L82" s="136">
        <f t="shared" si="6"/>
        <v>2157160.464</v>
      </c>
      <c r="M82" s="154"/>
      <c r="N82" s="139">
        <f t="shared" si="7"/>
        <v>0</v>
      </c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</row>
    <row r="83">
      <c r="A83" s="74" t="str">
        <f t="shared" si="1"/>
        <v>Saturday</v>
      </c>
      <c r="B83" s="49">
        <v>46284.0</v>
      </c>
      <c r="C83" s="86">
        <v>7.0</v>
      </c>
      <c r="D83" s="87">
        <v>28465.69</v>
      </c>
      <c r="E83" s="131">
        <f>IFERROR(__xludf.DUMMYFUNCTION("IFNA(FILTER(BUY_SEP!$L$2:$L$1218, BUY_SEP!$H$2:$H$1218=B83, BUY_SEP!$I$2:$I$1218=C83), ""-"")"),17524.822925577417)</f>
        <v>17524.82293</v>
      </c>
      <c r="F83" s="172">
        <f t="shared" si="2"/>
        <v>498856176.7</v>
      </c>
      <c r="G83" s="162">
        <v>17565.0</v>
      </c>
      <c r="H83" s="134">
        <f t="shared" si="3"/>
        <v>499999844.9</v>
      </c>
      <c r="I83" s="100">
        <v>0.05</v>
      </c>
      <c r="J83" s="135">
        <f t="shared" si="4"/>
        <v>249428.0884</v>
      </c>
      <c r="K83" s="152">
        <f t="shared" si="5"/>
        <v>1143668.146</v>
      </c>
      <c r="L83" s="136">
        <f t="shared" si="6"/>
        <v>894240.0573</v>
      </c>
      <c r="M83" s="154"/>
      <c r="N83" s="139">
        <f t="shared" si="7"/>
        <v>0</v>
      </c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</row>
    <row r="84">
      <c r="A84" s="74" t="str">
        <f t="shared" si="1"/>
        <v>Sunday</v>
      </c>
      <c r="B84" s="49">
        <v>46285.0</v>
      </c>
      <c r="C84" s="86">
        <v>1.0</v>
      </c>
      <c r="D84" s="87">
        <v>85324.23</v>
      </c>
      <c r="E84" s="131">
        <f>IFERROR(__xludf.DUMMYFUNCTION("IFNA(FILTER(BUY_SEP!$L$2:$L$1218, BUY_SEP!$H$2:$H$1218=B84, BUY_SEP!$I$2:$I$1218=C84), ""-"")"),17537.167388945163)</f>
        <v>17537.16739</v>
      </c>
      <c r="F84" s="172">
        <f t="shared" si="2"/>
        <v>1496345304</v>
      </c>
      <c r="G84" s="162">
        <v>17580.0</v>
      </c>
      <c r="H84" s="134">
        <f t="shared" si="3"/>
        <v>1499999963</v>
      </c>
      <c r="I84" s="100">
        <v>0.05</v>
      </c>
      <c r="J84" s="135">
        <f t="shared" si="4"/>
        <v>748172.6519</v>
      </c>
      <c r="K84" s="152">
        <f t="shared" si="5"/>
        <v>3654659.557</v>
      </c>
      <c r="L84" s="136">
        <f t="shared" si="6"/>
        <v>2906486.905</v>
      </c>
      <c r="M84" s="154"/>
      <c r="N84" s="139">
        <f t="shared" si="7"/>
        <v>0</v>
      </c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</row>
    <row r="85">
      <c r="A85" s="74" t="str">
        <f t="shared" si="1"/>
        <v>Sunday</v>
      </c>
      <c r="B85" s="49">
        <v>46285.0</v>
      </c>
      <c r="C85" s="106">
        <v>1.0</v>
      </c>
      <c r="D85" s="87">
        <v>66894.19</v>
      </c>
      <c r="E85" s="131">
        <f>IFERROR(__xludf.DUMMYFUNCTION("IFNA(FILTER(BUY_SEP!$L$2:$L$1218, BUY_SEP!$H$2:$H$1218=B85, BUY_SEP!$I$2:$I$1218=C85), ""-"")"),17537.167388945163)</f>
        <v>17537.16739</v>
      </c>
      <c r="F85" s="172">
        <f t="shared" si="2"/>
        <v>1173134607</v>
      </c>
      <c r="G85" s="162">
        <v>17580.0</v>
      </c>
      <c r="H85" s="134">
        <f t="shared" si="3"/>
        <v>1175999860</v>
      </c>
      <c r="I85" s="100">
        <v>0.05</v>
      </c>
      <c r="J85" s="135">
        <f t="shared" si="4"/>
        <v>586567.3037</v>
      </c>
      <c r="K85" s="152">
        <f t="shared" si="5"/>
        <v>2865252.822</v>
      </c>
      <c r="L85" s="136">
        <f t="shared" si="6"/>
        <v>2278685.518</v>
      </c>
      <c r="M85" s="176"/>
      <c r="N85" s="139">
        <f t="shared" si="7"/>
        <v>0</v>
      </c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</row>
    <row r="86">
      <c r="A86" s="74" t="str">
        <f t="shared" si="1"/>
        <v>Sunday</v>
      </c>
      <c r="B86" s="49">
        <v>46285.0</v>
      </c>
      <c r="C86" s="106">
        <v>1.0</v>
      </c>
      <c r="D86" s="87">
        <v>56882.82</v>
      </c>
      <c r="E86" s="131">
        <f>IFERROR(__xludf.DUMMYFUNCTION("IFNA(FILTER(BUY_SEP!$L$2:$L$1218, BUY_SEP!$H$2:$H$1218=B86, BUY_SEP!$I$2:$I$1218=C86), ""-"")"),17537.167388945163)</f>
        <v>17537.16739</v>
      </c>
      <c r="F86" s="172">
        <f t="shared" si="2"/>
        <v>997563535.9</v>
      </c>
      <c r="G86" s="162">
        <v>17580.0</v>
      </c>
      <c r="H86" s="134">
        <f t="shared" si="3"/>
        <v>999999975.6</v>
      </c>
      <c r="I86" s="100">
        <v>0.05</v>
      </c>
      <c r="J86" s="135">
        <f t="shared" si="4"/>
        <v>498781.7679</v>
      </c>
      <c r="K86" s="152">
        <f t="shared" si="5"/>
        <v>2436439.705</v>
      </c>
      <c r="L86" s="136">
        <f t="shared" si="6"/>
        <v>1937657.937</v>
      </c>
      <c r="M86" s="176"/>
      <c r="N86" s="139">
        <f t="shared" si="7"/>
        <v>0</v>
      </c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</row>
    <row r="87">
      <c r="A87" s="74" t="str">
        <f t="shared" si="1"/>
        <v>Sunday</v>
      </c>
      <c r="B87" s="49">
        <v>46285.0</v>
      </c>
      <c r="C87" s="106">
        <v>1.0</v>
      </c>
      <c r="D87" s="87">
        <v>56882.82</v>
      </c>
      <c r="E87" s="131">
        <f>IFERROR(__xludf.DUMMYFUNCTION("IFNA(FILTER(BUY_SEP!$L$2:$L$1218, BUY_SEP!$H$2:$H$1218=B87, BUY_SEP!$I$2:$I$1218=C87), ""-"")"),17537.167388945163)</f>
        <v>17537.16739</v>
      </c>
      <c r="F87" s="172">
        <f t="shared" si="2"/>
        <v>997563535.9</v>
      </c>
      <c r="G87" s="162">
        <v>17580.0</v>
      </c>
      <c r="H87" s="134">
        <f t="shared" si="3"/>
        <v>999999975.6</v>
      </c>
      <c r="I87" s="100">
        <v>0.05</v>
      </c>
      <c r="J87" s="135">
        <f t="shared" si="4"/>
        <v>498781.7679</v>
      </c>
      <c r="K87" s="152">
        <f t="shared" si="5"/>
        <v>2436439.705</v>
      </c>
      <c r="L87" s="136">
        <f t="shared" si="6"/>
        <v>1937657.937</v>
      </c>
      <c r="M87" s="176"/>
      <c r="N87" s="139">
        <f t="shared" si="7"/>
        <v>0</v>
      </c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</row>
    <row r="88">
      <c r="A88" s="74" t="str">
        <f t="shared" si="1"/>
        <v>Sunday</v>
      </c>
      <c r="B88" s="49">
        <v>46285.0</v>
      </c>
      <c r="C88" s="187">
        <v>1.0</v>
      </c>
      <c r="D88" s="87">
        <v>28441.41</v>
      </c>
      <c r="E88" s="131">
        <f>IFERROR(__xludf.DUMMYFUNCTION("IFNA(FILTER(BUY_SEP!$L$2:$L$1218, BUY_SEP!$H$2:$H$1218=B88, BUY_SEP!$I$2:$I$1218=C88), ""-"")"),17537.167388945163)</f>
        <v>17537.16739</v>
      </c>
      <c r="F88" s="172">
        <f t="shared" si="2"/>
        <v>498781767.9</v>
      </c>
      <c r="G88" s="162">
        <v>17580.0</v>
      </c>
      <c r="H88" s="134">
        <f t="shared" si="3"/>
        <v>499999987.8</v>
      </c>
      <c r="I88" s="100">
        <v>0.0</v>
      </c>
      <c r="J88" s="135">
        <f t="shared" si="4"/>
        <v>0</v>
      </c>
      <c r="K88" s="152">
        <f t="shared" si="5"/>
        <v>1218219.852</v>
      </c>
      <c r="L88" s="134">
        <f t="shared" si="6"/>
        <v>1218219.852</v>
      </c>
      <c r="M88" s="138"/>
      <c r="N88" s="139">
        <f t="shared" si="7"/>
        <v>0</v>
      </c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</row>
    <row r="89">
      <c r="A89" s="74" t="str">
        <f t="shared" si="1"/>
        <v>Sunday</v>
      </c>
      <c r="B89" s="49">
        <v>46285.0</v>
      </c>
      <c r="C89" s="86">
        <v>1.0</v>
      </c>
      <c r="D89" s="87">
        <v>45545.11</v>
      </c>
      <c r="E89" s="131">
        <f>IFERROR(__xludf.DUMMYFUNCTION("IFNA(FILTER(BUY_SEP!$L$2:$L$1218, BUY_SEP!$H$2:$H$1218=B89, BUY_SEP!$I$2:$I$1218=C89), ""-"")"),17537.167388945163)</f>
        <v>17537.16739</v>
      </c>
      <c r="F89" s="172">
        <f t="shared" si="2"/>
        <v>798732217.8</v>
      </c>
      <c r="G89" s="162">
        <v>17565.0</v>
      </c>
      <c r="H89" s="134">
        <f t="shared" si="3"/>
        <v>799999857.2</v>
      </c>
      <c r="I89" s="100">
        <v>0.0</v>
      </c>
      <c r="J89" s="135">
        <f t="shared" si="4"/>
        <v>0</v>
      </c>
      <c r="K89" s="152">
        <f t="shared" si="5"/>
        <v>1267639.332</v>
      </c>
      <c r="L89" s="134">
        <f t="shared" si="6"/>
        <v>1267639.332</v>
      </c>
      <c r="M89" s="138"/>
      <c r="N89" s="139">
        <f t="shared" si="7"/>
        <v>0</v>
      </c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</row>
    <row r="90">
      <c r="A90" s="74" t="str">
        <f t="shared" si="1"/>
        <v>Sunday</v>
      </c>
      <c r="B90" s="49">
        <v>46285.0</v>
      </c>
      <c r="C90" s="86">
        <v>2.0</v>
      </c>
      <c r="D90" s="87">
        <v>57012.54</v>
      </c>
      <c r="E90" s="131">
        <f>IFERROR(__xludf.DUMMYFUNCTION("IFNA(FILTER(BUY_SEP!$L$2:$L$1218, BUY_SEP!$H$2:$H$1218=B90, BUY_SEP!$I$2:$I$1218=C90), ""-"")"),17520.0)</f>
        <v>17520</v>
      </c>
      <c r="F90" s="172">
        <f t="shared" si="2"/>
        <v>998859700.8</v>
      </c>
      <c r="G90" s="162">
        <v>17540.0</v>
      </c>
      <c r="H90" s="134">
        <f t="shared" si="3"/>
        <v>999999951.6</v>
      </c>
      <c r="I90" s="100">
        <v>0.0</v>
      </c>
      <c r="J90" s="135">
        <f t="shared" si="4"/>
        <v>0</v>
      </c>
      <c r="K90" s="152">
        <f t="shared" si="5"/>
        <v>1140250.8</v>
      </c>
      <c r="L90" s="134">
        <f t="shared" si="6"/>
        <v>1140250.8</v>
      </c>
      <c r="M90" s="138"/>
      <c r="N90" s="139">
        <f t="shared" si="7"/>
        <v>0</v>
      </c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</row>
    <row r="91">
      <c r="A91" s="74" t="str">
        <f t="shared" si="1"/>
        <v>Monday</v>
      </c>
      <c r="B91" s="49">
        <v>46286.0</v>
      </c>
      <c r="C91" s="150">
        <v>1.0</v>
      </c>
      <c r="D91" s="87">
        <v>59937.8</v>
      </c>
      <c r="E91" s="131">
        <f>IFERROR(__xludf.DUMMYFUNCTION("IFNA(FILTER(BUY_SEP!$L$2:$L$1218, BUY_SEP!$H$2:$H$1218=B91, BUY_SEP!$I$2:$I$1218=C91), ""-"")"),17660.430256656822)</f>
        <v>17660.43026</v>
      </c>
      <c r="F91" s="172">
        <f t="shared" si="2"/>
        <v>1058527337</v>
      </c>
      <c r="G91" s="162">
        <v>17685.0</v>
      </c>
      <c r="H91" s="134">
        <f t="shared" si="3"/>
        <v>1059999993</v>
      </c>
      <c r="I91" s="100">
        <v>0.05</v>
      </c>
      <c r="J91" s="135">
        <f t="shared" si="4"/>
        <v>529263.6683</v>
      </c>
      <c r="K91" s="152">
        <f t="shared" si="5"/>
        <v>1472656.363</v>
      </c>
      <c r="L91" s="134">
        <f t="shared" si="6"/>
        <v>943392.6942</v>
      </c>
      <c r="M91" s="138"/>
      <c r="N91" s="139">
        <f t="shared" si="7"/>
        <v>0</v>
      </c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</row>
    <row r="92">
      <c r="A92" s="74" t="str">
        <f t="shared" si="1"/>
        <v>Monday</v>
      </c>
      <c r="B92" s="49">
        <v>46286.0</v>
      </c>
      <c r="C92" s="86">
        <v>1.0</v>
      </c>
      <c r="D92" s="87">
        <v>99491.23</v>
      </c>
      <c r="E92" s="131">
        <f>IFERROR(__xludf.DUMMYFUNCTION("IFNA(FILTER(BUY_SEP!$L$2:$L$1218, BUY_SEP!$H$2:$H$1218=B92, BUY_SEP!$I$2:$I$1218=C92), ""-"")"),17660.430256656822)</f>
        <v>17660.43026</v>
      </c>
      <c r="F92" s="172">
        <f t="shared" si="2"/>
        <v>1757057929</v>
      </c>
      <c r="G92" s="162">
        <v>17690.0</v>
      </c>
      <c r="H92" s="134">
        <f t="shared" si="3"/>
        <v>1759999859</v>
      </c>
      <c r="I92" s="100">
        <v>0.05</v>
      </c>
      <c r="J92" s="135">
        <f t="shared" si="4"/>
        <v>878528.9643</v>
      </c>
      <c r="K92" s="152">
        <f t="shared" si="5"/>
        <v>2941930.136</v>
      </c>
      <c r="L92" s="134">
        <f t="shared" si="6"/>
        <v>2063401.172</v>
      </c>
      <c r="M92" s="193"/>
      <c r="N92" s="139">
        <f t="shared" si="7"/>
        <v>0</v>
      </c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</row>
    <row r="93">
      <c r="A93" s="74" t="str">
        <f t="shared" si="1"/>
        <v>Monday</v>
      </c>
      <c r="B93" s="49">
        <v>46286.0</v>
      </c>
      <c r="C93" s="150">
        <v>1.0</v>
      </c>
      <c r="D93" s="87">
        <v>56529.11</v>
      </c>
      <c r="E93" s="131">
        <f>IFERROR(__xludf.DUMMYFUNCTION("IFNA(FILTER(BUY_SEP!$L$2:$L$1218, BUY_SEP!$H$2:$H$1218=B93, BUY_SEP!$I$2:$I$1218=C93), ""-"")"),17660.430256656822)</f>
        <v>17660.43026</v>
      </c>
      <c r="F93" s="172">
        <f t="shared" si="2"/>
        <v>998328404.6</v>
      </c>
      <c r="G93" s="162">
        <v>17690.0</v>
      </c>
      <c r="H93" s="134">
        <f t="shared" si="3"/>
        <v>999999955.9</v>
      </c>
      <c r="I93" s="100">
        <v>0.05</v>
      </c>
      <c r="J93" s="135">
        <f t="shared" si="4"/>
        <v>499164.2023</v>
      </c>
      <c r="K93" s="152">
        <f t="shared" si="5"/>
        <v>1671551.274</v>
      </c>
      <c r="L93" s="134">
        <f t="shared" si="6"/>
        <v>1172387.072</v>
      </c>
      <c r="M93" s="154"/>
      <c r="N93" s="139">
        <f t="shared" si="7"/>
        <v>0</v>
      </c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</row>
    <row r="94">
      <c r="A94" s="74" t="str">
        <f t="shared" si="1"/>
        <v>Monday</v>
      </c>
      <c r="B94" s="49">
        <v>46286.0</v>
      </c>
      <c r="C94" s="150">
        <v>2.0</v>
      </c>
      <c r="D94" s="87">
        <v>114124.61</v>
      </c>
      <c r="E94" s="131">
        <f>IFERROR(__xludf.DUMMYFUNCTION("IFNA(FILTER(BUY_SEP!$L$2:$L$1218, BUY_SEP!$H$2:$H$1218=B94, BUY_SEP!$I$2:$I$1218=C94), ""-"")"),17688.349844198838)</f>
        <v>17688.34984</v>
      </c>
      <c r="F94" s="172">
        <f t="shared" si="2"/>
        <v>2018676028</v>
      </c>
      <c r="G94" s="162">
        <v>17735.0</v>
      </c>
      <c r="H94" s="134">
        <f t="shared" si="3"/>
        <v>2023999958</v>
      </c>
      <c r="I94" s="100">
        <v>0.05</v>
      </c>
      <c r="J94" s="135">
        <f t="shared" si="4"/>
        <v>1009338.014</v>
      </c>
      <c r="K94" s="152">
        <f t="shared" si="5"/>
        <v>5323930.837</v>
      </c>
      <c r="L94" s="134">
        <f t="shared" si="6"/>
        <v>4314592.823</v>
      </c>
      <c r="M94" s="154"/>
      <c r="N94" s="139">
        <f t="shared" si="7"/>
        <v>0</v>
      </c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</row>
    <row r="95">
      <c r="A95" s="74" t="str">
        <f t="shared" si="1"/>
        <v>Monday</v>
      </c>
      <c r="B95" s="49">
        <v>46286.0</v>
      </c>
      <c r="C95" s="86">
        <v>2.0</v>
      </c>
      <c r="D95" s="87">
        <v>56385.67</v>
      </c>
      <c r="E95" s="131">
        <f>IFERROR(__xludf.DUMMYFUNCTION("IFNA(FILTER(BUY_SEP!$L$2:$L$1218, BUY_SEP!$H$2:$H$1218=B95, BUY_SEP!$I$2:$I$1218=C95), ""-"")"),17688.349844198838)</f>
        <v>17688.34984</v>
      </c>
      <c r="F95" s="172">
        <f t="shared" si="2"/>
        <v>997369457.2</v>
      </c>
      <c r="G95" s="162">
        <v>17735.0</v>
      </c>
      <c r="H95" s="134">
        <f t="shared" si="3"/>
        <v>999999857.5</v>
      </c>
      <c r="I95" s="100">
        <v>0.05</v>
      </c>
      <c r="J95" s="135">
        <f t="shared" si="4"/>
        <v>498684.7286</v>
      </c>
      <c r="K95" s="152">
        <f t="shared" si="5"/>
        <v>2630400.29</v>
      </c>
      <c r="L95" s="174">
        <f t="shared" si="6"/>
        <v>2131715.562</v>
      </c>
      <c r="M95" s="154"/>
      <c r="N95" s="139">
        <f t="shared" si="7"/>
        <v>0</v>
      </c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</row>
    <row r="96">
      <c r="A96" s="74" t="str">
        <f t="shared" si="1"/>
        <v>Monday</v>
      </c>
      <c r="B96" s="49">
        <v>46286.0</v>
      </c>
      <c r="C96" s="86">
        <v>3.0</v>
      </c>
      <c r="D96" s="87">
        <v>56385.67</v>
      </c>
      <c r="E96" s="131">
        <f>IFERROR(__xludf.DUMMYFUNCTION("IFNA(FILTER(BUY_SEP!$L$2:$L$1218, BUY_SEP!$H$2:$H$1218=B96, BUY_SEP!$I$2:$I$1218=C96), ""-"")"),17697.948465284662)</f>
        <v>17697.94847</v>
      </c>
      <c r="F96" s="172">
        <f t="shared" si="2"/>
        <v>997910681.8</v>
      </c>
      <c r="G96" s="162">
        <v>17745.0</v>
      </c>
      <c r="H96" s="134">
        <f t="shared" si="3"/>
        <v>1000563714</v>
      </c>
      <c r="I96" s="100">
        <v>0.05</v>
      </c>
      <c r="J96" s="135">
        <f t="shared" si="4"/>
        <v>498955.3409</v>
      </c>
      <c r="K96" s="152">
        <f t="shared" si="5"/>
        <v>2653032.309</v>
      </c>
      <c r="L96" s="175">
        <f t="shared" si="6"/>
        <v>2154076.969</v>
      </c>
      <c r="M96" s="154"/>
      <c r="N96" s="139">
        <f t="shared" si="7"/>
        <v>0</v>
      </c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</row>
    <row r="97">
      <c r="A97" s="74" t="str">
        <f t="shared" si="1"/>
        <v>Monday</v>
      </c>
      <c r="B97" s="49">
        <v>46286.0</v>
      </c>
      <c r="C97" s="86">
        <v>4.0</v>
      </c>
      <c r="D97" s="87">
        <v>28178.45</v>
      </c>
      <c r="E97" s="131">
        <f>IFERROR(__xludf.DUMMYFUNCTION("IFNA(FILTER(BUY_SEP!$L$2:$L$1218, BUY_SEP!$H$2:$H$1218=B97, BUY_SEP!$I$2:$I$1218=C97), ""-"")"),17720.0)</f>
        <v>17720</v>
      </c>
      <c r="F97" s="172">
        <f t="shared" si="2"/>
        <v>499322134</v>
      </c>
      <c r="G97" s="162">
        <v>17745.0</v>
      </c>
      <c r="H97" s="134">
        <f t="shared" si="3"/>
        <v>500026595.3</v>
      </c>
      <c r="I97" s="151">
        <v>0.0</v>
      </c>
      <c r="J97" s="135">
        <f t="shared" si="4"/>
        <v>0</v>
      </c>
      <c r="K97" s="152">
        <f t="shared" si="5"/>
        <v>704461.25</v>
      </c>
      <c r="L97" s="136">
        <f t="shared" si="6"/>
        <v>704461.25</v>
      </c>
      <c r="M97" s="154"/>
      <c r="N97" s="139">
        <f t="shared" si="7"/>
        <v>0</v>
      </c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</row>
    <row r="98">
      <c r="A98" s="74" t="str">
        <f t="shared" si="1"/>
        <v>Tuesday</v>
      </c>
      <c r="B98" s="49">
        <v>46287.0</v>
      </c>
      <c r="C98" s="86">
        <v>1.0</v>
      </c>
      <c r="D98" s="87">
        <v>112422.7</v>
      </c>
      <c r="E98" s="131">
        <f>IFERROR(__xludf.DUMMYFUNCTION("IFNA(FILTER(BUY_SEP!$L$2:$L$1218, BUY_SEP!$H$2:$H$1218=B98, BUY_SEP!$I$2:$I$1218=C98), ""-"")"),17750.0)</f>
        <v>17750</v>
      </c>
      <c r="F98" s="172">
        <f t="shared" si="2"/>
        <v>1995502925</v>
      </c>
      <c r="G98" s="162">
        <v>17790.0</v>
      </c>
      <c r="H98" s="134">
        <f t="shared" si="3"/>
        <v>1999999833</v>
      </c>
      <c r="I98" s="100">
        <v>0.05</v>
      </c>
      <c r="J98" s="135">
        <f t="shared" si="4"/>
        <v>997751.4625</v>
      </c>
      <c r="K98" s="152">
        <f t="shared" si="5"/>
        <v>4496908</v>
      </c>
      <c r="L98" s="136">
        <f t="shared" si="6"/>
        <v>3499156.538</v>
      </c>
      <c r="M98" s="154"/>
      <c r="N98" s="139">
        <f t="shared" si="7"/>
        <v>0</v>
      </c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</row>
    <row r="99">
      <c r="A99" s="74" t="str">
        <f t="shared" si="1"/>
        <v>Tuesday</v>
      </c>
      <c r="B99" s="49">
        <v>46287.0</v>
      </c>
      <c r="C99" s="86">
        <v>2.0</v>
      </c>
      <c r="D99" s="87">
        <v>112422.7</v>
      </c>
      <c r="E99" s="131">
        <f>IFERROR(__xludf.DUMMYFUNCTION("IFNA(FILTER(BUY_SEP!$L$2:$L$1218, BUY_SEP!$H$2:$H$1218=B99, BUY_SEP!$I$2:$I$1218=C99), ""-"")"),17750.0)</f>
        <v>17750</v>
      </c>
      <c r="F99" s="172">
        <f t="shared" si="2"/>
        <v>1995502925</v>
      </c>
      <c r="G99" s="162">
        <v>17790.0</v>
      </c>
      <c r="H99" s="134">
        <f t="shared" si="3"/>
        <v>1999999833</v>
      </c>
      <c r="I99" s="100">
        <v>0.05</v>
      </c>
      <c r="J99" s="135">
        <f t="shared" si="4"/>
        <v>997751.4625</v>
      </c>
      <c r="K99" s="152">
        <f t="shared" si="5"/>
        <v>4496908</v>
      </c>
      <c r="L99" s="136">
        <f t="shared" si="6"/>
        <v>3499156.538</v>
      </c>
      <c r="M99" s="154"/>
      <c r="N99" s="139">
        <f t="shared" si="7"/>
        <v>0</v>
      </c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</row>
    <row r="100">
      <c r="A100" s="74" t="str">
        <f t="shared" si="1"/>
        <v>Tuesday</v>
      </c>
      <c r="B100" s="49">
        <v>46287.0</v>
      </c>
      <c r="C100" s="86">
        <v>3.0</v>
      </c>
      <c r="D100" s="87">
        <v>101237.34</v>
      </c>
      <c r="E100" s="131">
        <f>IFERROR(__xludf.DUMMYFUNCTION("IFNA(FILTER(BUY_SEP!$L$2:$L$1218, BUY_SEP!$H$2:$H$1218=B100, BUY_SEP!$I$2:$I$1218=C100), ""-"")"),17735.25800539501)</f>
        <v>17735.25801</v>
      </c>
      <c r="F100" s="172">
        <f t="shared" si="2"/>
        <v>1795470345</v>
      </c>
      <c r="G100" s="162">
        <v>17780.0</v>
      </c>
      <c r="H100" s="134">
        <f t="shared" si="3"/>
        <v>1799999905</v>
      </c>
      <c r="I100" s="100">
        <v>0.05</v>
      </c>
      <c r="J100" s="135">
        <f t="shared" si="4"/>
        <v>897735.1723</v>
      </c>
      <c r="K100" s="152">
        <f t="shared" si="5"/>
        <v>4529560.52</v>
      </c>
      <c r="L100" s="136">
        <f t="shared" si="6"/>
        <v>3631825.348</v>
      </c>
      <c r="M100" s="154"/>
      <c r="N100" s="139">
        <f t="shared" si="7"/>
        <v>0</v>
      </c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</row>
    <row r="101">
      <c r="A101" s="74" t="str">
        <f t="shared" si="1"/>
        <v>Tuesday</v>
      </c>
      <c r="B101" s="49">
        <v>46287.0</v>
      </c>
      <c r="C101" s="86">
        <v>4.0</v>
      </c>
      <c r="D101" s="87">
        <v>56242.96</v>
      </c>
      <c r="E101" s="131">
        <f>IFERROR(__xludf.DUMMYFUNCTION("IFNA(FILTER(BUY_SEP!$L$2:$L$1218, BUY_SEP!$H$2:$H$1218=B101, BUY_SEP!$I$2:$I$1218=C101), ""-"")"),17753.12216609054)</f>
        <v>17753.12217</v>
      </c>
      <c r="F101" s="172">
        <f t="shared" si="2"/>
        <v>998488139.9</v>
      </c>
      <c r="G101" s="162">
        <v>17780.0</v>
      </c>
      <c r="H101" s="134">
        <f t="shared" si="3"/>
        <v>999999828.8</v>
      </c>
      <c r="I101" s="100">
        <v>0.05</v>
      </c>
      <c r="J101" s="135">
        <f t="shared" si="4"/>
        <v>499244.0699</v>
      </c>
      <c r="K101" s="152">
        <f t="shared" si="5"/>
        <v>1511688.937</v>
      </c>
      <c r="L101" s="136">
        <f t="shared" si="6"/>
        <v>1012444.868</v>
      </c>
      <c r="M101" s="154"/>
      <c r="N101" s="139">
        <f t="shared" si="7"/>
        <v>0</v>
      </c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</row>
    <row r="102">
      <c r="A102" s="74" t="str">
        <f t="shared" si="1"/>
        <v>Tuesday</v>
      </c>
      <c r="B102" s="49">
        <v>46287.0</v>
      </c>
      <c r="C102" s="150">
        <v>5.0</v>
      </c>
      <c r="D102" s="87">
        <v>56242.96</v>
      </c>
      <c r="E102" s="131">
        <f>IFERROR(__xludf.DUMMYFUNCTION("IFNA(FILTER(BUY_SEP!$L$2:$L$1218, BUY_SEP!$H$2:$H$1218=B102, BUY_SEP!$I$2:$I$1218=C102), ""-"")"),17760.0)</f>
        <v>17760</v>
      </c>
      <c r="F102" s="172">
        <f t="shared" si="2"/>
        <v>998874969.6</v>
      </c>
      <c r="G102" s="162">
        <v>17780.0</v>
      </c>
      <c r="H102" s="134">
        <f t="shared" si="3"/>
        <v>999999828.8</v>
      </c>
      <c r="I102" s="100">
        <v>0.05</v>
      </c>
      <c r="J102" s="135">
        <f t="shared" si="4"/>
        <v>499437.4848</v>
      </c>
      <c r="K102" s="152">
        <f t="shared" si="5"/>
        <v>1124859.2</v>
      </c>
      <c r="L102" s="136">
        <f t="shared" si="6"/>
        <v>625421.7152</v>
      </c>
      <c r="M102" s="154"/>
      <c r="N102" s="139">
        <f t="shared" si="7"/>
        <v>0</v>
      </c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</row>
    <row r="103">
      <c r="A103" s="74" t="str">
        <f t="shared" si="1"/>
        <v>Tuesday</v>
      </c>
      <c r="B103" s="49">
        <v>46287.0</v>
      </c>
      <c r="C103" s="86">
        <v>6.0</v>
      </c>
      <c r="D103" s="87">
        <v>99662.73</v>
      </c>
      <c r="E103" s="131">
        <f>IFERROR(__xludf.DUMMYFUNCTION("IFNA(FILTER(BUY_SEP!$L$2:$L$1218, BUY_SEP!$H$2:$H$1218=B103, BUY_SEP!$I$2:$I$1218=C103), ""-"")"),17755.0)</f>
        <v>17755</v>
      </c>
      <c r="F103" s="172">
        <f t="shared" si="2"/>
        <v>1769511771</v>
      </c>
      <c r="G103" s="162">
        <v>17790.0</v>
      </c>
      <c r="H103" s="134">
        <f t="shared" si="3"/>
        <v>1772999967</v>
      </c>
      <c r="I103" s="151">
        <v>0.0</v>
      </c>
      <c r="J103" s="135">
        <f t="shared" si="4"/>
        <v>0</v>
      </c>
      <c r="K103" s="152">
        <f t="shared" si="5"/>
        <v>3488195.55</v>
      </c>
      <c r="L103" s="136">
        <f t="shared" si="6"/>
        <v>3488195.55</v>
      </c>
      <c r="M103" s="154"/>
      <c r="N103" s="139">
        <f t="shared" si="7"/>
        <v>0</v>
      </c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</row>
    <row r="104">
      <c r="A104" s="74" t="str">
        <f t="shared" si="1"/>
        <v>Tuesday</v>
      </c>
      <c r="B104" s="49">
        <v>46287.0</v>
      </c>
      <c r="C104" s="106">
        <v>7.0</v>
      </c>
      <c r="D104" s="87">
        <v>56211.35</v>
      </c>
      <c r="E104" s="131">
        <f>IFERROR(__xludf.DUMMYFUNCTION("IFNA(FILTER(BUY_SEP!$L$2:$L$1218, BUY_SEP!$H$2:$H$1218=B104, BUY_SEP!$I$2:$I$1218=C104), ""-"")"),17758.290129960937)</f>
        <v>17758.29013</v>
      </c>
      <c r="F104" s="172">
        <f t="shared" si="2"/>
        <v>998217461.9</v>
      </c>
      <c r="G104" s="162">
        <v>17790.0</v>
      </c>
      <c r="H104" s="134">
        <f t="shared" si="3"/>
        <v>999999916.5</v>
      </c>
      <c r="I104" s="100">
        <v>0.05</v>
      </c>
      <c r="J104" s="135">
        <f t="shared" si="4"/>
        <v>499108.7309</v>
      </c>
      <c r="K104" s="152">
        <f t="shared" si="5"/>
        <v>1782454.603</v>
      </c>
      <c r="L104" s="136">
        <f t="shared" si="6"/>
        <v>1283345.872</v>
      </c>
      <c r="M104" s="176"/>
      <c r="N104" s="139">
        <f t="shared" si="7"/>
        <v>0</v>
      </c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</row>
    <row r="105">
      <c r="A105" s="74" t="str">
        <f t="shared" si="1"/>
        <v>Tuesday</v>
      </c>
      <c r="B105" s="49">
        <v>46287.0</v>
      </c>
      <c r="C105" s="106">
        <v>8.0</v>
      </c>
      <c r="D105" s="87">
        <v>112422.7</v>
      </c>
      <c r="E105" s="131">
        <f>IFERROR(__xludf.DUMMYFUNCTION("IFNA(FILTER(BUY_SEP!$L$2:$L$1218, BUY_SEP!$H$2:$H$1218=B105, BUY_SEP!$I$2:$I$1218=C105), ""-"")"),17755.0)</f>
        <v>17755</v>
      </c>
      <c r="F105" s="172">
        <f t="shared" si="2"/>
        <v>1996065039</v>
      </c>
      <c r="G105" s="162">
        <v>17790.0</v>
      </c>
      <c r="H105" s="134">
        <f t="shared" si="3"/>
        <v>1999999833</v>
      </c>
      <c r="I105" s="100">
        <v>0.0</v>
      </c>
      <c r="J105" s="135">
        <f t="shared" si="4"/>
        <v>0</v>
      </c>
      <c r="K105" s="152">
        <f t="shared" si="5"/>
        <v>3934794.5</v>
      </c>
      <c r="L105" s="136">
        <f t="shared" si="6"/>
        <v>3934794.5</v>
      </c>
      <c r="M105" s="176"/>
      <c r="N105" s="139">
        <f t="shared" si="7"/>
        <v>0</v>
      </c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</row>
    <row r="106">
      <c r="A106" s="74" t="str">
        <f t="shared" si="1"/>
        <v>Wednesday</v>
      </c>
      <c r="B106" s="49">
        <v>46288.0</v>
      </c>
      <c r="C106" s="106">
        <v>1.0</v>
      </c>
      <c r="D106" s="87">
        <v>56211.35</v>
      </c>
      <c r="E106" s="131">
        <f>IFERROR(__xludf.DUMMYFUNCTION("IFNA(FILTER(BUY_SEP!$L$2:$L$1218, BUY_SEP!$H$2:$H$1218=B106, BUY_SEP!$I$2:$I$1218=C106), ""-"")"),17764.860600943943)</f>
        <v>17764.8606</v>
      </c>
      <c r="F106" s="172">
        <f t="shared" si="2"/>
        <v>998586796.9</v>
      </c>
      <c r="G106" s="162">
        <v>17790.0</v>
      </c>
      <c r="H106" s="134">
        <f t="shared" si="3"/>
        <v>999999916.5</v>
      </c>
      <c r="I106" s="100">
        <v>0.05</v>
      </c>
      <c r="J106" s="135">
        <f t="shared" si="4"/>
        <v>499293.3985</v>
      </c>
      <c r="K106" s="152">
        <f t="shared" si="5"/>
        <v>1413119.559</v>
      </c>
      <c r="L106" s="136">
        <f t="shared" si="6"/>
        <v>913826.1607</v>
      </c>
      <c r="M106" s="176"/>
      <c r="N106" s="139">
        <f t="shared" si="7"/>
        <v>0</v>
      </c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</row>
    <row r="107">
      <c r="A107" s="74" t="str">
        <f t="shared" si="1"/>
        <v>Wednesday</v>
      </c>
      <c r="B107" s="49">
        <v>46288.0</v>
      </c>
      <c r="C107" s="86">
        <v>2.0</v>
      </c>
      <c r="D107" s="87">
        <v>56211.35</v>
      </c>
      <c r="E107" s="131">
        <f>IFERROR(__xludf.DUMMYFUNCTION("IFNA(FILTER(BUY_SEP!$L$2:$L$1218, BUY_SEP!$H$2:$H$1218=B107, BUY_SEP!$I$2:$I$1218=C107), ""-"")"),17755.0)</f>
        <v>17755</v>
      </c>
      <c r="F107" s="172">
        <f t="shared" si="2"/>
        <v>998032519.3</v>
      </c>
      <c r="G107" s="162">
        <v>17790.0</v>
      </c>
      <c r="H107" s="134">
        <f t="shared" si="3"/>
        <v>999999916.5</v>
      </c>
      <c r="I107" s="100">
        <v>0.0</v>
      </c>
      <c r="J107" s="135">
        <f t="shared" si="4"/>
        <v>0</v>
      </c>
      <c r="K107" s="152">
        <f t="shared" si="5"/>
        <v>1967397.25</v>
      </c>
      <c r="L107" s="134">
        <f t="shared" si="6"/>
        <v>1967397.25</v>
      </c>
      <c r="M107" s="138"/>
      <c r="N107" s="139">
        <f t="shared" si="7"/>
        <v>0</v>
      </c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</row>
    <row r="108">
      <c r="A108" s="74" t="str">
        <f t="shared" si="1"/>
        <v>Wednesday</v>
      </c>
      <c r="B108" s="49">
        <v>46288.0</v>
      </c>
      <c r="C108" s="86">
        <v>2.0</v>
      </c>
      <c r="D108" s="87">
        <v>168728.9</v>
      </c>
      <c r="E108" s="131">
        <f>IFERROR(__xludf.DUMMYFUNCTION("IFNA(FILTER(BUY_SEP!$L$2:$L$1218, BUY_SEP!$H$2:$H$1218=B108, BUY_SEP!$I$2:$I$1218=C108), ""-"")"),17755.0)</f>
        <v>17755</v>
      </c>
      <c r="F108" s="172">
        <f t="shared" si="2"/>
        <v>2995781620</v>
      </c>
      <c r="G108" s="162">
        <v>17780.0</v>
      </c>
      <c r="H108" s="134">
        <f t="shared" si="3"/>
        <v>2999999842</v>
      </c>
      <c r="I108" s="100">
        <v>0.0</v>
      </c>
      <c r="J108" s="135">
        <f t="shared" si="4"/>
        <v>0</v>
      </c>
      <c r="K108" s="152">
        <f t="shared" si="5"/>
        <v>4218222.5</v>
      </c>
      <c r="L108" s="134">
        <f t="shared" si="6"/>
        <v>4218222.5</v>
      </c>
      <c r="M108" s="138"/>
      <c r="N108" s="139">
        <f t="shared" si="7"/>
        <v>0</v>
      </c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</row>
    <row r="109">
      <c r="A109" s="74" t="str">
        <f t="shared" si="1"/>
        <v>Wednesday</v>
      </c>
      <c r="B109" s="49">
        <v>46288.0</v>
      </c>
      <c r="C109" s="150">
        <v>3.0</v>
      </c>
      <c r="D109" s="87">
        <v>31271.62</v>
      </c>
      <c r="E109" s="131">
        <f>IFERROR(__xludf.DUMMYFUNCTION("IFNA(FILTER(BUY_SEP!$L$2:$L$1218, BUY_SEP!$H$2:$H$1218=B109, BUY_SEP!$I$2:$I$1218=C109), ""-"")"),17755.0)</f>
        <v>17755</v>
      </c>
      <c r="F109" s="172">
        <f t="shared" si="2"/>
        <v>555227613.1</v>
      </c>
      <c r="G109" s="162">
        <v>17767.0</v>
      </c>
      <c r="H109" s="134">
        <f t="shared" si="3"/>
        <v>555602872.5</v>
      </c>
      <c r="I109" s="100">
        <v>0.05</v>
      </c>
      <c r="J109" s="135">
        <f t="shared" si="4"/>
        <v>277613.8066</v>
      </c>
      <c r="K109" s="152">
        <f t="shared" si="5"/>
        <v>375259.44</v>
      </c>
      <c r="L109" s="134">
        <f t="shared" si="6"/>
        <v>97645.63345</v>
      </c>
      <c r="M109" s="138"/>
      <c r="N109" s="139">
        <f t="shared" si="7"/>
        <v>0</v>
      </c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</row>
    <row r="110">
      <c r="A110" s="74" t="str">
        <f t="shared" si="1"/>
        <v>Thursday</v>
      </c>
      <c r="B110" s="49">
        <v>46289.0</v>
      </c>
      <c r="C110" s="150">
        <v>1.0</v>
      </c>
      <c r="D110" s="87">
        <v>112359.55</v>
      </c>
      <c r="E110" s="131">
        <f>IFERROR(__xludf.DUMMYFUNCTION("IFNA(FILTER(BUY_SEP!$L$2:$L$1218, BUY_SEP!$H$2:$H$1218=B110, BUY_SEP!$I$2:$I$1218=C110), ""-"")"),17771.892147587514)</f>
        <v>17771.89215</v>
      </c>
      <c r="F110" s="172">
        <f t="shared" si="2"/>
        <v>1996841804</v>
      </c>
      <c r="G110" s="162">
        <v>17800.0</v>
      </c>
      <c r="H110" s="134">
        <f t="shared" si="3"/>
        <v>1999999990</v>
      </c>
      <c r="I110" s="100">
        <v>0.05</v>
      </c>
      <c r="J110" s="135">
        <f t="shared" si="4"/>
        <v>998420.9022</v>
      </c>
      <c r="K110" s="152">
        <f t="shared" si="5"/>
        <v>3158185.649</v>
      </c>
      <c r="L110" s="134">
        <f t="shared" si="6"/>
        <v>2159764.746</v>
      </c>
      <c r="M110" s="138"/>
      <c r="N110" s="139">
        <f t="shared" si="7"/>
        <v>0</v>
      </c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</row>
    <row r="111">
      <c r="A111" s="74" t="str">
        <f t="shared" si="1"/>
        <v>Thursday</v>
      </c>
      <c r="B111" s="49">
        <v>46289.0</v>
      </c>
      <c r="C111" s="150">
        <v>2.0</v>
      </c>
      <c r="D111" s="87">
        <v>28089.88</v>
      </c>
      <c r="E111" s="131">
        <f>IFERROR(__xludf.DUMMYFUNCTION("IFNA(FILTER(BUY_SEP!$L$2:$L$1218, BUY_SEP!$H$2:$H$1218=B111, BUY_SEP!$I$2:$I$1218=C111), ""-"")"),17805.0)</f>
        <v>17805</v>
      </c>
      <c r="F111" s="172">
        <f t="shared" si="2"/>
        <v>500140313.4</v>
      </c>
      <c r="G111" s="162">
        <v>17800.0</v>
      </c>
      <c r="H111" s="134">
        <f t="shared" si="3"/>
        <v>499999864</v>
      </c>
      <c r="I111" s="100">
        <v>0.0</v>
      </c>
      <c r="J111" s="135">
        <f t="shared" si="4"/>
        <v>0</v>
      </c>
      <c r="K111" s="152">
        <f t="shared" si="5"/>
        <v>-140449.4</v>
      </c>
      <c r="L111" s="134">
        <f t="shared" si="6"/>
        <v>-140449.4</v>
      </c>
      <c r="M111" s="193"/>
      <c r="N111" s="139">
        <f t="shared" si="7"/>
        <v>0</v>
      </c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</row>
    <row r="112">
      <c r="A112" s="74" t="str">
        <f t="shared" si="1"/>
        <v>Thursday</v>
      </c>
      <c r="B112" s="49">
        <v>46289.0</v>
      </c>
      <c r="C112" s="86">
        <v>3.0</v>
      </c>
      <c r="D112" s="87">
        <v>112359.55</v>
      </c>
      <c r="E112" s="131">
        <f>IFERROR(__xludf.DUMMYFUNCTION("IFNA(FILTER(BUY_SEP!$L$2:$L$1218, BUY_SEP!$H$2:$H$1218=B112, BUY_SEP!$I$2:$I$1218=C112), ""-"")"),17765.0)</f>
        <v>17765</v>
      </c>
      <c r="F112" s="172">
        <f t="shared" si="2"/>
        <v>1996067406</v>
      </c>
      <c r="G112" s="162">
        <v>17800.0</v>
      </c>
      <c r="H112" s="134">
        <f t="shared" si="3"/>
        <v>1999999990</v>
      </c>
      <c r="I112" s="100">
        <v>0.0</v>
      </c>
      <c r="J112" s="135">
        <f t="shared" si="4"/>
        <v>0</v>
      </c>
      <c r="K112" s="152">
        <f t="shared" si="5"/>
        <v>3932584.25</v>
      </c>
      <c r="L112" s="134">
        <f t="shared" si="6"/>
        <v>3932584.25</v>
      </c>
      <c r="M112" s="154"/>
      <c r="N112" s="139">
        <f t="shared" si="7"/>
        <v>0</v>
      </c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</row>
    <row r="113">
      <c r="A113" s="74" t="str">
        <f t="shared" si="1"/>
        <v>Thursday</v>
      </c>
      <c r="B113" s="49">
        <v>46289.0</v>
      </c>
      <c r="C113" s="86">
        <v>4.0</v>
      </c>
      <c r="D113" s="87">
        <v>140449.43</v>
      </c>
      <c r="E113" s="131">
        <f>IFERROR(__xludf.DUMMYFUNCTION("IFNA(FILTER(BUY_SEP!$L$2:$L$1218, BUY_SEP!$H$2:$H$1218=B113, BUY_SEP!$I$2:$I$1218=C113), ""-"")"),17765.0)</f>
        <v>17765</v>
      </c>
      <c r="F113" s="172">
        <f t="shared" si="2"/>
        <v>2495084124</v>
      </c>
      <c r="G113" s="162">
        <v>17800.0</v>
      </c>
      <c r="H113" s="134">
        <f t="shared" si="3"/>
        <v>2499999854</v>
      </c>
      <c r="I113" s="100">
        <v>0.0</v>
      </c>
      <c r="J113" s="135">
        <f t="shared" si="4"/>
        <v>0</v>
      </c>
      <c r="K113" s="152">
        <f t="shared" si="5"/>
        <v>4915730.05</v>
      </c>
      <c r="L113" s="134">
        <f t="shared" si="6"/>
        <v>4915730.05</v>
      </c>
      <c r="M113" s="154"/>
      <c r="N113" s="139">
        <f t="shared" si="7"/>
        <v>0</v>
      </c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</row>
    <row r="114">
      <c r="A114" s="74" t="str">
        <f t="shared" si="1"/>
        <v>Thursday</v>
      </c>
      <c r="B114" s="49">
        <v>46289.0</v>
      </c>
      <c r="C114" s="86">
        <v>5.0</v>
      </c>
      <c r="D114" s="87">
        <v>128996.07</v>
      </c>
      <c r="E114" s="131">
        <f>IFERROR(__xludf.DUMMYFUNCTION("IFNA(FILTER(BUY_SEP!$L$2:$L$1218, BUY_SEP!$H$2:$H$1218=B114, BUY_SEP!$I$2:$I$1218=C114), ""-"")"),17808.842898410912)</f>
        <v>17808.8429</v>
      </c>
      <c r="F114" s="172">
        <f t="shared" si="2"/>
        <v>2297270745</v>
      </c>
      <c r="G114" s="162">
        <v>17830.0</v>
      </c>
      <c r="H114" s="134">
        <f t="shared" si="3"/>
        <v>2299999928</v>
      </c>
      <c r="I114" s="100">
        <v>0.05</v>
      </c>
      <c r="J114" s="135">
        <f t="shared" si="4"/>
        <v>1148635.373</v>
      </c>
      <c r="K114" s="152">
        <f t="shared" si="5"/>
        <v>2729182.958</v>
      </c>
      <c r="L114" s="174">
        <f t="shared" si="6"/>
        <v>1580547.585</v>
      </c>
      <c r="M114" s="154"/>
      <c r="N114" s="139">
        <f t="shared" si="7"/>
        <v>0</v>
      </c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</row>
    <row r="115">
      <c r="A115" s="74" t="str">
        <f t="shared" si="1"/>
        <v>Thursday</v>
      </c>
      <c r="B115" s="49">
        <v>46289.0</v>
      </c>
      <c r="C115" s="86">
        <v>5.0</v>
      </c>
      <c r="D115" s="87">
        <v>56085.24</v>
      </c>
      <c r="E115" s="131">
        <f>IFERROR(__xludf.DUMMYFUNCTION("IFNA(FILTER(BUY_SEP!$L$2:$L$1218, BUY_SEP!$H$2:$H$1218=B115, BUY_SEP!$I$2:$I$1218=C115), ""-"")"),17808.842898410912)</f>
        <v>17808.8429</v>
      </c>
      <c r="F115" s="172">
        <f t="shared" si="2"/>
        <v>998813228.1</v>
      </c>
      <c r="G115" s="162">
        <v>17830.0</v>
      </c>
      <c r="H115" s="134">
        <f t="shared" si="3"/>
        <v>999999829.2</v>
      </c>
      <c r="I115" s="100">
        <v>0.05</v>
      </c>
      <c r="J115" s="135">
        <f t="shared" si="4"/>
        <v>499406.614</v>
      </c>
      <c r="K115" s="152">
        <f t="shared" si="5"/>
        <v>1186601.12</v>
      </c>
      <c r="L115" s="175">
        <f t="shared" si="6"/>
        <v>687194.5063</v>
      </c>
      <c r="M115" s="154"/>
      <c r="N115" s="139">
        <f t="shared" si="7"/>
        <v>0</v>
      </c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</row>
    <row r="116">
      <c r="A116" s="74" t="str">
        <f t="shared" si="1"/>
        <v>Thursday</v>
      </c>
      <c r="B116" s="155">
        <v>46289.0</v>
      </c>
      <c r="C116" s="150">
        <v>5.0</v>
      </c>
      <c r="D116" s="87">
        <v>56085.24</v>
      </c>
      <c r="E116" s="131">
        <f>IFERROR(__xludf.DUMMYFUNCTION("IFNA(FILTER(BUY_SEP!$L$2:$L$1218, BUY_SEP!$H$2:$H$1218=B116, BUY_SEP!$I$2:$I$1218=C116), ""-"")"),17808.842898410912)</f>
        <v>17808.8429</v>
      </c>
      <c r="F116" s="172">
        <f t="shared" si="2"/>
        <v>998813228.1</v>
      </c>
      <c r="G116" s="162">
        <v>17830.0</v>
      </c>
      <c r="H116" s="134">
        <f t="shared" si="3"/>
        <v>999999829.2</v>
      </c>
      <c r="I116" s="100">
        <v>0.05</v>
      </c>
      <c r="J116" s="135">
        <f t="shared" si="4"/>
        <v>499406.614</v>
      </c>
      <c r="K116" s="152">
        <f t="shared" si="5"/>
        <v>1186601.12</v>
      </c>
      <c r="L116" s="136">
        <f t="shared" si="6"/>
        <v>687194.5063</v>
      </c>
      <c r="M116" s="154"/>
      <c r="N116" s="139">
        <f t="shared" si="7"/>
        <v>0</v>
      </c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</row>
    <row r="117">
      <c r="A117" s="74" t="str">
        <f t="shared" si="1"/>
        <v>Thursday</v>
      </c>
      <c r="B117" s="49">
        <v>46289.0</v>
      </c>
      <c r="C117" s="86">
        <v>5.0</v>
      </c>
      <c r="D117" s="87">
        <v>84080.71</v>
      </c>
      <c r="E117" s="131">
        <f>IFERROR(__xludf.DUMMYFUNCTION("IFNA(FILTER(BUY_SEP!$L$2:$L$1218, BUY_SEP!$H$2:$H$1218=B117, BUY_SEP!$I$2:$I$1218=C117), ""-"")"),17808.842898410912)</f>
        <v>17808.8429</v>
      </c>
      <c r="F117" s="172">
        <f t="shared" si="2"/>
        <v>1497380155</v>
      </c>
      <c r="G117" s="162">
        <v>17840.0</v>
      </c>
      <c r="H117" s="134">
        <f t="shared" si="3"/>
        <v>1499999866</v>
      </c>
      <c r="I117" s="100">
        <v>0.05</v>
      </c>
      <c r="J117" s="135">
        <f t="shared" si="4"/>
        <v>748690.0776</v>
      </c>
      <c r="K117" s="152">
        <f t="shared" si="5"/>
        <v>2619711.223</v>
      </c>
      <c r="L117" s="174">
        <f t="shared" si="6"/>
        <v>1871021.146</v>
      </c>
      <c r="M117" s="154"/>
      <c r="N117" s="139">
        <f t="shared" si="7"/>
        <v>0</v>
      </c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</row>
    <row r="118">
      <c r="A118" s="74" t="str">
        <f t="shared" si="1"/>
        <v>Thursday</v>
      </c>
      <c r="B118" s="49">
        <v>46289.0</v>
      </c>
      <c r="C118" s="86">
        <v>5.0</v>
      </c>
      <c r="D118" s="87">
        <v>56053.81</v>
      </c>
      <c r="E118" s="131">
        <f>IFERROR(__xludf.DUMMYFUNCTION("IFNA(FILTER(BUY_SEP!$L$2:$L$1218, BUY_SEP!$H$2:$H$1218=B118, BUY_SEP!$I$2:$I$1218=C118), ""-"")"),17808.842898410912)</f>
        <v>17808.8429</v>
      </c>
      <c r="F118" s="172">
        <f t="shared" si="2"/>
        <v>998253496.1</v>
      </c>
      <c r="G118" s="162">
        <v>17840.0</v>
      </c>
      <c r="H118" s="134">
        <f t="shared" si="3"/>
        <v>999999970.4</v>
      </c>
      <c r="I118" s="100">
        <v>0.05</v>
      </c>
      <c r="J118" s="135">
        <f t="shared" si="4"/>
        <v>499126.7481</v>
      </c>
      <c r="K118" s="152">
        <f t="shared" si="5"/>
        <v>1746474.253</v>
      </c>
      <c r="L118" s="175">
        <f t="shared" si="6"/>
        <v>1247347.505</v>
      </c>
      <c r="M118" s="154"/>
      <c r="N118" s="139">
        <f t="shared" si="7"/>
        <v>0</v>
      </c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</row>
    <row r="119">
      <c r="A119" s="74" t="str">
        <f t="shared" si="1"/>
        <v>Thursday</v>
      </c>
      <c r="B119" s="155">
        <v>46289.0</v>
      </c>
      <c r="C119" s="150">
        <v>5.0</v>
      </c>
      <c r="D119" s="87">
        <v>50448.46</v>
      </c>
      <c r="E119" s="131">
        <f>IFERROR(__xludf.DUMMYFUNCTION("IFNA(FILTER(BUY_SEP!$L$2:$L$1218, BUY_SEP!$H$2:$H$1218=B119, BUY_SEP!$I$2:$I$1218=C119), ""-"")"),17808.842898410912)</f>
        <v>17808.8429</v>
      </c>
      <c r="F119" s="172">
        <f t="shared" si="2"/>
        <v>898428698.6</v>
      </c>
      <c r="G119" s="162">
        <v>17840.0</v>
      </c>
      <c r="H119" s="134">
        <f t="shared" si="3"/>
        <v>900000526.4</v>
      </c>
      <c r="I119" s="100">
        <v>0.05</v>
      </c>
      <c r="J119" s="135">
        <f t="shared" si="4"/>
        <v>449214.3493</v>
      </c>
      <c r="K119" s="152">
        <f t="shared" si="5"/>
        <v>1571827.793</v>
      </c>
      <c r="L119" s="136">
        <f t="shared" si="6"/>
        <v>1122613.444</v>
      </c>
      <c r="M119" s="154"/>
      <c r="N119" s="139">
        <f t="shared" si="7"/>
        <v>0</v>
      </c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</row>
    <row r="120">
      <c r="A120" s="74" t="str">
        <f t="shared" si="1"/>
        <v>Thursday</v>
      </c>
      <c r="B120" s="49">
        <v>46289.0</v>
      </c>
      <c r="C120" s="86">
        <v>6.0</v>
      </c>
      <c r="D120" s="87">
        <v>89635.85</v>
      </c>
      <c r="E120" s="131">
        <f>IFERROR(__xludf.DUMMYFUNCTION("IFNA(FILTER(BUY_SEP!$L$2:$L$1218, BUY_SEP!$H$2:$H$1218=B120, BUY_SEP!$I$2:$I$1218=C120), ""-"")"),17823.133481160563)</f>
        <v>17823.13348</v>
      </c>
      <c r="F120" s="172">
        <f t="shared" si="2"/>
        <v>1597591719</v>
      </c>
      <c r="G120" s="162">
        <v>17850.0</v>
      </c>
      <c r="H120" s="134">
        <f t="shared" si="3"/>
        <v>1599999923</v>
      </c>
      <c r="I120" s="100">
        <v>0.05</v>
      </c>
      <c r="J120" s="135">
        <f t="shared" si="4"/>
        <v>798795.8596</v>
      </c>
      <c r="K120" s="152">
        <f t="shared" si="5"/>
        <v>2408203.253</v>
      </c>
      <c r="L120" s="136">
        <f t="shared" si="6"/>
        <v>1609407.393</v>
      </c>
      <c r="M120" s="154"/>
      <c r="N120" s="139">
        <f t="shared" si="7"/>
        <v>0</v>
      </c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</row>
    <row r="121">
      <c r="A121" s="74" t="str">
        <f t="shared" si="1"/>
        <v>Thursday</v>
      </c>
      <c r="B121" s="49">
        <v>46289.0</v>
      </c>
      <c r="C121" s="86">
        <v>7.0</v>
      </c>
      <c r="D121" s="87">
        <v>35033.62</v>
      </c>
      <c r="E121" s="131">
        <f>IFERROR(__xludf.DUMMYFUNCTION("IFNA(FILTER(BUY_SEP!$L$2:$L$1218, BUY_SEP!$H$2:$H$1218=B121, BUY_SEP!$I$2:$I$1218=C121), ""-"")"),17810.0)</f>
        <v>17810</v>
      </c>
      <c r="F121" s="172">
        <f t="shared" si="2"/>
        <v>623948772.2</v>
      </c>
      <c r="G121" s="162">
        <v>17840.0</v>
      </c>
      <c r="H121" s="134">
        <f t="shared" si="3"/>
        <v>624999780.8</v>
      </c>
      <c r="I121" s="100">
        <v>0.05</v>
      </c>
      <c r="J121" s="135">
        <f t="shared" si="4"/>
        <v>311974.3861</v>
      </c>
      <c r="K121" s="152">
        <f t="shared" si="5"/>
        <v>1051008.6</v>
      </c>
      <c r="L121" s="136">
        <f t="shared" si="6"/>
        <v>739034.2139</v>
      </c>
      <c r="M121" s="154"/>
      <c r="N121" s="139">
        <f t="shared" si="7"/>
        <v>0</v>
      </c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</row>
    <row r="122">
      <c r="A122" s="74" t="str">
        <f t="shared" si="1"/>
        <v>Friday</v>
      </c>
      <c r="B122" s="49">
        <v>46290.0</v>
      </c>
      <c r="C122" s="86">
        <v>1.0</v>
      </c>
      <c r="D122" s="87">
        <v>117515.38</v>
      </c>
      <c r="E122" s="131">
        <f>IFERROR(__xludf.DUMMYFUNCTION("IFNA(FILTER(BUY_SEP!$L$2:$L$1218, BUY_SEP!$H$2:$H$1218=B122, BUY_SEP!$I$2:$I$1218=C122), ""-"")"),17826.0)</f>
        <v>17826</v>
      </c>
      <c r="F122" s="172">
        <f t="shared" si="2"/>
        <v>2094829164</v>
      </c>
      <c r="G122" s="162">
        <v>17870.0</v>
      </c>
      <c r="H122" s="134">
        <f t="shared" si="3"/>
        <v>2099999841</v>
      </c>
      <c r="I122" s="100">
        <v>0.05</v>
      </c>
      <c r="J122" s="135">
        <f t="shared" si="4"/>
        <v>1047414.582</v>
      </c>
      <c r="K122" s="152">
        <f t="shared" si="5"/>
        <v>5170676.72</v>
      </c>
      <c r="L122" s="136">
        <f t="shared" si="6"/>
        <v>4123262.138</v>
      </c>
      <c r="M122" s="154"/>
      <c r="N122" s="139">
        <f t="shared" si="7"/>
        <v>0</v>
      </c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</row>
    <row r="123">
      <c r="A123" s="74" t="str">
        <f t="shared" si="1"/>
        <v>Friday</v>
      </c>
      <c r="B123" s="49">
        <v>46290.0</v>
      </c>
      <c r="C123" s="86">
        <v>2.0</v>
      </c>
      <c r="D123" s="87">
        <v>258968.6</v>
      </c>
      <c r="E123" s="131">
        <f>IFERROR(__xludf.DUMMYFUNCTION("IFNA(FILTER(BUY_SEP!$L$2:$L$1218, BUY_SEP!$H$2:$H$1218=B123, BUY_SEP!$I$2:$I$1218=C123), ""-"")"),17810.0)</f>
        <v>17810</v>
      </c>
      <c r="F123" s="172">
        <f t="shared" si="2"/>
        <v>4612230766</v>
      </c>
      <c r="G123" s="162">
        <v>17840.0</v>
      </c>
      <c r="H123" s="134">
        <f t="shared" si="3"/>
        <v>4619999824</v>
      </c>
      <c r="I123" s="151">
        <v>0.0</v>
      </c>
      <c r="J123" s="135">
        <f t="shared" si="4"/>
        <v>0</v>
      </c>
      <c r="K123" s="152">
        <f t="shared" si="5"/>
        <v>7769058</v>
      </c>
      <c r="L123" s="136">
        <f t="shared" si="6"/>
        <v>7769058</v>
      </c>
      <c r="M123" s="154"/>
      <c r="N123" s="139">
        <f t="shared" si="7"/>
        <v>0</v>
      </c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</row>
    <row r="124">
      <c r="A124" s="74" t="str">
        <f t="shared" si="1"/>
        <v>Friday</v>
      </c>
      <c r="B124" s="49">
        <v>46290.0</v>
      </c>
      <c r="C124" s="86">
        <v>3.0</v>
      </c>
      <c r="D124" s="87">
        <v>75865.5</v>
      </c>
      <c r="E124" s="131">
        <f>IFERROR(__xludf.DUMMYFUNCTION("IFNA(FILTER(BUY_SEP!$L$2:$L$1218, BUY_SEP!$H$2:$H$1218=B124, BUY_SEP!$I$2:$I$1218=C124), ""-"")"),17762.0)</f>
        <v>17762</v>
      </c>
      <c r="F124" s="172">
        <f t="shared" si="2"/>
        <v>1347523011</v>
      </c>
      <c r="G124" s="162">
        <v>17795.0</v>
      </c>
      <c r="H124" s="134">
        <f t="shared" si="3"/>
        <v>1350026573</v>
      </c>
      <c r="I124" s="100">
        <v>0.05</v>
      </c>
      <c r="J124" s="135">
        <f t="shared" si="4"/>
        <v>673761.5055</v>
      </c>
      <c r="K124" s="152">
        <f t="shared" si="5"/>
        <v>2503561.5</v>
      </c>
      <c r="L124" s="136">
        <f t="shared" si="6"/>
        <v>1829799.995</v>
      </c>
      <c r="M124" s="154"/>
      <c r="N124" s="139">
        <f t="shared" si="7"/>
        <v>0</v>
      </c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</row>
    <row r="125">
      <c r="A125" s="74" t="str">
        <f t="shared" si="1"/>
        <v>Friday</v>
      </c>
      <c r="B125" s="49">
        <v>46290.0</v>
      </c>
      <c r="C125" s="86">
        <v>4.0</v>
      </c>
      <c r="D125" s="87">
        <v>78280.41</v>
      </c>
      <c r="E125" s="131">
        <f>IFERROR(__xludf.DUMMYFUNCTION("IFNA(FILTER(BUY_SEP!$L$2:$L$1218, BUY_SEP!$H$2:$H$1218=B125, BUY_SEP!$I$2:$I$1218=C125), ""-"")"),17760.0)</f>
        <v>17760</v>
      </c>
      <c r="F125" s="172">
        <f t="shared" si="2"/>
        <v>1390260082</v>
      </c>
      <c r="G125" s="162">
        <v>17795.0</v>
      </c>
      <c r="H125" s="134">
        <f t="shared" si="3"/>
        <v>1392999896</v>
      </c>
      <c r="I125" s="151">
        <v>0.0</v>
      </c>
      <c r="J125" s="135">
        <f t="shared" si="4"/>
        <v>0</v>
      </c>
      <c r="K125" s="152">
        <f t="shared" si="5"/>
        <v>2739814.35</v>
      </c>
      <c r="L125" s="136">
        <f t="shared" si="6"/>
        <v>2739814.35</v>
      </c>
      <c r="M125" s="154"/>
      <c r="N125" s="139">
        <f t="shared" si="7"/>
        <v>0</v>
      </c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</row>
    <row r="126">
      <c r="A126" s="74" t="str">
        <f t="shared" si="1"/>
        <v>Friday</v>
      </c>
      <c r="B126" s="49">
        <v>46290.0</v>
      </c>
      <c r="C126" s="106">
        <v>5.0</v>
      </c>
      <c r="D126" s="87">
        <v>34110.7</v>
      </c>
      <c r="E126" s="131">
        <f>IFERROR(__xludf.DUMMYFUNCTION("IFNA(FILTER(BUY_SEP!$L$2:$L$1218, BUY_SEP!$H$2:$H$1218=B126, BUY_SEP!$I$2:$I$1218=C126), ""-"")"),17752.73932739318)</f>
        <v>17752.73933</v>
      </c>
      <c r="F126" s="172">
        <f t="shared" si="2"/>
        <v>605558365.4</v>
      </c>
      <c r="G126" s="162">
        <v>17795.0</v>
      </c>
      <c r="H126" s="134">
        <f t="shared" si="3"/>
        <v>606999906.5</v>
      </c>
      <c r="I126" s="100">
        <v>0.05</v>
      </c>
      <c r="J126" s="135">
        <f t="shared" si="4"/>
        <v>302779.1827</v>
      </c>
      <c r="K126" s="152">
        <f t="shared" si="5"/>
        <v>1441541.125</v>
      </c>
      <c r="L126" s="136">
        <f t="shared" si="6"/>
        <v>1138761.942</v>
      </c>
      <c r="M126" s="176"/>
      <c r="N126" s="139">
        <f t="shared" si="7"/>
        <v>0</v>
      </c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</row>
    <row r="127">
      <c r="A127" s="74" t="str">
        <f t="shared" si="1"/>
        <v>Friday</v>
      </c>
      <c r="B127" s="49">
        <v>46290.0</v>
      </c>
      <c r="C127" s="106">
        <v>6.0</v>
      </c>
      <c r="D127" s="87">
        <v>28129.39</v>
      </c>
      <c r="E127" s="131">
        <f>IFERROR(__xludf.DUMMYFUNCTION("IFNA(FILTER(BUY_SEP!$L$2:$L$1218, BUY_SEP!$H$2:$H$1218=B127, BUY_SEP!$I$2:$I$1218=C127), ""-"")"),17740.998943731047)</f>
        <v>17740.99894</v>
      </c>
      <c r="F127" s="172">
        <f t="shared" si="2"/>
        <v>499043478.3</v>
      </c>
      <c r="G127" s="162">
        <v>17775.0</v>
      </c>
      <c r="H127" s="134">
        <f t="shared" si="3"/>
        <v>499999907.3</v>
      </c>
      <c r="I127" s="100">
        <v>0.05</v>
      </c>
      <c r="J127" s="135">
        <f t="shared" si="4"/>
        <v>249521.7391</v>
      </c>
      <c r="K127" s="152">
        <f t="shared" si="5"/>
        <v>956428.9722</v>
      </c>
      <c r="L127" s="136">
        <f t="shared" si="6"/>
        <v>706907.2331</v>
      </c>
      <c r="M127" s="176"/>
      <c r="N127" s="139">
        <f t="shared" si="7"/>
        <v>0</v>
      </c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</row>
    <row r="128">
      <c r="A128" s="74" t="str">
        <f t="shared" si="1"/>
        <v>Friday</v>
      </c>
      <c r="B128" s="49">
        <v>46290.0</v>
      </c>
      <c r="C128" s="106">
        <v>7.0</v>
      </c>
      <c r="D128" s="87">
        <v>182841.06</v>
      </c>
      <c r="E128" s="131">
        <f>IFERROR(__xludf.DUMMYFUNCTION("IFNA(FILTER(BUY_SEP!$L$2:$L$1218, BUY_SEP!$H$2:$H$1218=B128, BUY_SEP!$I$2:$I$1218=C128), ""-"")"),17750.0)</f>
        <v>17750</v>
      </c>
      <c r="F128" s="172">
        <f t="shared" si="2"/>
        <v>3245428815</v>
      </c>
      <c r="G128" s="162">
        <v>17775.0</v>
      </c>
      <c r="H128" s="134">
        <f t="shared" si="3"/>
        <v>3249999842</v>
      </c>
      <c r="I128" s="100">
        <v>0.0</v>
      </c>
      <c r="J128" s="135">
        <f t="shared" si="4"/>
        <v>0</v>
      </c>
      <c r="K128" s="152">
        <f t="shared" si="5"/>
        <v>4571026.5</v>
      </c>
      <c r="L128" s="136">
        <f t="shared" si="6"/>
        <v>4571026.5</v>
      </c>
      <c r="M128" s="176"/>
      <c r="N128" s="139">
        <f t="shared" si="7"/>
        <v>0</v>
      </c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</row>
    <row r="129">
      <c r="A129" s="74" t="str">
        <f t="shared" si="1"/>
        <v>Saturday</v>
      </c>
      <c r="B129" s="49">
        <v>46291.0</v>
      </c>
      <c r="C129" s="187">
        <v>1.0</v>
      </c>
      <c r="D129" s="87">
        <v>56274.62</v>
      </c>
      <c r="E129" s="131">
        <f>IFERROR(__xludf.DUMMYFUNCTION("IFNA(FILTER(BUY_SEP!$L$2:$L$1218, BUY_SEP!$H$2:$H$1218=B129, BUY_SEP!$I$2:$I$1218=C129), ""-"")"),17735.604469365175)</f>
        <v>17735.60447</v>
      </c>
      <c r="F129" s="172">
        <f t="shared" si="2"/>
        <v>998064402</v>
      </c>
      <c r="G129" s="162">
        <v>17770.0</v>
      </c>
      <c r="H129" s="134">
        <f t="shared" si="3"/>
        <v>999999997.4</v>
      </c>
      <c r="I129" s="100">
        <v>0.05</v>
      </c>
      <c r="J129" s="135">
        <f t="shared" si="4"/>
        <v>499032.201</v>
      </c>
      <c r="K129" s="152">
        <f t="shared" si="5"/>
        <v>1935595.416</v>
      </c>
      <c r="L129" s="134">
        <f t="shared" si="6"/>
        <v>1436563.215</v>
      </c>
      <c r="M129" s="138"/>
      <c r="N129" s="139">
        <f t="shared" si="7"/>
        <v>0</v>
      </c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</row>
    <row r="130">
      <c r="A130" s="74" t="str">
        <f t="shared" si="1"/>
        <v>Saturday</v>
      </c>
      <c r="B130" s="49">
        <v>46291.0</v>
      </c>
      <c r="C130" s="150">
        <v>2.0</v>
      </c>
      <c r="D130" s="87">
        <v>258717.66</v>
      </c>
      <c r="E130" s="131">
        <f>IFERROR(__xludf.DUMMYFUNCTION("IFNA(FILTER(BUY_SEP!$L$2:$L$1218, BUY_SEP!$H$2:$H$1218=B130, BUY_SEP!$I$2:$I$1218=C130), ""-"")"),17750.0)</f>
        <v>17750</v>
      </c>
      <c r="F130" s="172">
        <f t="shared" si="2"/>
        <v>4592238465</v>
      </c>
      <c r="G130" s="162">
        <v>17780.0</v>
      </c>
      <c r="H130" s="134">
        <f t="shared" si="3"/>
        <v>4599999995</v>
      </c>
      <c r="I130" s="100">
        <v>0.0</v>
      </c>
      <c r="J130" s="135">
        <f t="shared" si="4"/>
        <v>0</v>
      </c>
      <c r="K130" s="152">
        <f t="shared" si="5"/>
        <v>7761529.8</v>
      </c>
      <c r="L130" s="134">
        <f t="shared" si="6"/>
        <v>7761529.8</v>
      </c>
      <c r="M130" s="138"/>
      <c r="N130" s="139">
        <f t="shared" si="7"/>
        <v>0</v>
      </c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</row>
    <row r="131">
      <c r="A131" s="74" t="str">
        <f t="shared" si="1"/>
        <v>Saturday</v>
      </c>
      <c r="B131" s="49">
        <v>46291.0</v>
      </c>
      <c r="C131" s="150">
        <v>3.0</v>
      </c>
      <c r="D131" s="87">
        <v>149211.71</v>
      </c>
      <c r="E131" s="131">
        <f>IFERROR(__xludf.DUMMYFUNCTION("IFNA(FILTER(BUY_SEP!$L$2:$L$1218, BUY_SEP!$H$2:$H$1218=B131, BUY_SEP!$I$2:$I$1218=C131), ""-"")"),17735.0)</f>
        <v>17735</v>
      </c>
      <c r="F131" s="172">
        <f t="shared" si="2"/>
        <v>2646269677</v>
      </c>
      <c r="G131" s="162">
        <v>17760.0</v>
      </c>
      <c r="H131" s="134">
        <f t="shared" si="3"/>
        <v>2649999970</v>
      </c>
      <c r="I131" s="100">
        <v>0.0</v>
      </c>
      <c r="J131" s="135">
        <f t="shared" si="4"/>
        <v>0</v>
      </c>
      <c r="K131" s="152">
        <f t="shared" si="5"/>
        <v>3730292.75</v>
      </c>
      <c r="L131" s="134">
        <f t="shared" si="6"/>
        <v>3730292.75</v>
      </c>
      <c r="M131" s="138"/>
      <c r="N131" s="139">
        <f t="shared" si="7"/>
        <v>0</v>
      </c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</row>
    <row r="132">
      <c r="A132" s="74" t="str">
        <f t="shared" si="1"/>
        <v>Saturday</v>
      </c>
      <c r="B132" s="49">
        <v>46291.0</v>
      </c>
      <c r="C132" s="86">
        <v>4.0</v>
      </c>
      <c r="D132" s="87">
        <v>93186.93</v>
      </c>
      <c r="E132" s="131">
        <f>IFERROR(__xludf.DUMMYFUNCTION("IFNA(FILTER(BUY_SEP!$L$2:$L$1218, BUY_SEP!$H$2:$H$1218=B132, BUY_SEP!$I$2:$I$1218=C132), ""-"")"),17735.0)</f>
        <v>17735</v>
      </c>
      <c r="F132" s="172">
        <f t="shared" si="2"/>
        <v>1652670204</v>
      </c>
      <c r="G132" s="162">
        <v>17760.0</v>
      </c>
      <c r="H132" s="134">
        <f t="shared" si="3"/>
        <v>1654999877</v>
      </c>
      <c r="I132" s="100">
        <v>0.0</v>
      </c>
      <c r="J132" s="135">
        <f t="shared" si="4"/>
        <v>0</v>
      </c>
      <c r="K132" s="152">
        <f t="shared" si="5"/>
        <v>2329673.25</v>
      </c>
      <c r="L132" s="134">
        <f t="shared" si="6"/>
        <v>2329673.25</v>
      </c>
      <c r="M132" s="138"/>
      <c r="N132" s="139">
        <f t="shared" si="7"/>
        <v>0</v>
      </c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</row>
    <row r="133">
      <c r="A133" s="74" t="str">
        <f t="shared" si="1"/>
        <v>Sunday</v>
      </c>
      <c r="B133" s="49">
        <v>46292.0</v>
      </c>
      <c r="C133" s="86">
        <v>1.0</v>
      </c>
      <c r="D133" s="87">
        <v>151387.72</v>
      </c>
      <c r="E133" s="131">
        <f>IFERROR(__xludf.DUMMYFUNCTION("IFNA(FILTER(BUY_SEP!$L$2:$L$1218, BUY_SEP!$H$2:$H$1218=B133, BUY_SEP!$I$2:$I$1218=C133), ""-"")"),17815.0)</f>
        <v>17815</v>
      </c>
      <c r="F133" s="172">
        <f t="shared" si="2"/>
        <v>2696972232</v>
      </c>
      <c r="G133" s="162">
        <v>17835.0</v>
      </c>
      <c r="H133" s="134">
        <f t="shared" si="3"/>
        <v>2699999986</v>
      </c>
      <c r="I133" s="100">
        <v>0.05</v>
      </c>
      <c r="J133" s="135">
        <f t="shared" si="4"/>
        <v>1348486.116</v>
      </c>
      <c r="K133" s="152">
        <f t="shared" si="5"/>
        <v>3027754.4</v>
      </c>
      <c r="L133" s="134">
        <f t="shared" si="6"/>
        <v>1679268.284</v>
      </c>
      <c r="M133" s="193"/>
      <c r="N133" s="139">
        <f t="shared" si="7"/>
        <v>0</v>
      </c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</row>
    <row r="134">
      <c r="A134" s="74" t="str">
        <f t="shared" si="1"/>
        <v>Sunday</v>
      </c>
      <c r="B134" s="49">
        <v>46292.0</v>
      </c>
      <c r="C134" s="86">
        <v>2.0</v>
      </c>
      <c r="D134" s="87">
        <v>109335.57</v>
      </c>
      <c r="E134" s="131">
        <f>IFERROR(__xludf.DUMMYFUNCTION("IFNA(FILTER(BUY_SEP!$L$2:$L$1218, BUY_SEP!$H$2:$H$1218=B134, BUY_SEP!$I$2:$I$1218=C134), ""-"")"),17800.0)</f>
        <v>17800</v>
      </c>
      <c r="F134" s="172">
        <f t="shared" si="2"/>
        <v>1946173146</v>
      </c>
      <c r="G134" s="162">
        <v>17835.0</v>
      </c>
      <c r="H134" s="134">
        <f t="shared" si="3"/>
        <v>1949999891</v>
      </c>
      <c r="I134" s="100">
        <v>0.05</v>
      </c>
      <c r="J134" s="135">
        <f t="shared" si="4"/>
        <v>973086.573</v>
      </c>
      <c r="K134" s="152">
        <f t="shared" si="5"/>
        <v>3826744.95</v>
      </c>
      <c r="L134" s="134">
        <f t="shared" si="6"/>
        <v>2853658.377</v>
      </c>
      <c r="M134" s="154"/>
      <c r="N134" s="139">
        <f t="shared" si="7"/>
        <v>0</v>
      </c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</row>
    <row r="135">
      <c r="A135" s="74" t="str">
        <f t="shared" si="1"/>
        <v>Sunday</v>
      </c>
      <c r="B135" s="49">
        <v>46292.0</v>
      </c>
      <c r="C135" s="86">
        <v>3.0</v>
      </c>
      <c r="D135" s="87">
        <v>61763.05</v>
      </c>
      <c r="E135" s="131">
        <f>IFERROR(__xludf.DUMMYFUNCTION("IFNA(FILTER(BUY_SEP!$L$2:$L$1218, BUY_SEP!$H$2:$H$1218=B135, BUY_SEP!$I$2:$I$1218=C135), ""-"")"),17780.0)</f>
        <v>17780</v>
      </c>
      <c r="F135" s="172">
        <f t="shared" si="2"/>
        <v>1098147029</v>
      </c>
      <c r="G135" s="162">
        <v>17810.0</v>
      </c>
      <c r="H135" s="134">
        <f t="shared" si="3"/>
        <v>1099999921</v>
      </c>
      <c r="I135" s="100">
        <v>0.0</v>
      </c>
      <c r="J135" s="135">
        <f t="shared" si="4"/>
        <v>0</v>
      </c>
      <c r="K135" s="152">
        <f t="shared" si="5"/>
        <v>1852891.5</v>
      </c>
      <c r="L135" s="134">
        <f t="shared" si="6"/>
        <v>1852891.5</v>
      </c>
      <c r="M135" s="154"/>
      <c r="N135" s="139">
        <f t="shared" si="7"/>
        <v>0</v>
      </c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</row>
    <row r="136">
      <c r="A136" s="74" t="str">
        <f t="shared" si="1"/>
        <v>Monday</v>
      </c>
      <c r="B136" s="49">
        <v>46293.0</v>
      </c>
      <c r="C136" s="150">
        <v>1.0</v>
      </c>
      <c r="D136" s="87">
        <v>55000.0</v>
      </c>
      <c r="E136" s="131">
        <f>IFERROR(__xludf.DUMMYFUNCTION("IFNA(FILTER(BUY_SEP!$L$2:$L$1218, BUY_SEP!$H$2:$H$1218=B136, BUY_SEP!$I$2:$I$1218=C136), ""-"")"),17840.0)</f>
        <v>17840</v>
      </c>
      <c r="F136" s="172">
        <f t="shared" si="2"/>
        <v>981200000</v>
      </c>
      <c r="G136" s="162">
        <v>17875.0</v>
      </c>
      <c r="H136" s="134">
        <f t="shared" si="3"/>
        <v>983125000</v>
      </c>
      <c r="I136" s="100">
        <v>0.0</v>
      </c>
      <c r="J136" s="135">
        <f t="shared" si="4"/>
        <v>0</v>
      </c>
      <c r="K136" s="152">
        <f t="shared" si="5"/>
        <v>1925000</v>
      </c>
      <c r="L136" s="174">
        <f t="shared" si="6"/>
        <v>1925000</v>
      </c>
      <c r="M136" s="154"/>
      <c r="N136" s="139">
        <f t="shared" si="7"/>
        <v>0</v>
      </c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</row>
    <row r="137">
      <c r="A137" s="74" t="str">
        <f t="shared" si="1"/>
        <v>Monday</v>
      </c>
      <c r="B137" s="49">
        <v>46293.0</v>
      </c>
      <c r="C137" s="150">
        <v>2.0</v>
      </c>
      <c r="D137" s="87">
        <v>88776.22</v>
      </c>
      <c r="E137" s="131">
        <f>IFERROR(__xludf.DUMMYFUNCTION("IFNA(FILTER(BUY_SEP!$L$2:$L$1218, BUY_SEP!$H$2:$H$1218=B137, BUY_SEP!$I$2:$I$1218=C137), ""-"")"),17845.0)</f>
        <v>17845</v>
      </c>
      <c r="F137" s="172">
        <f t="shared" si="2"/>
        <v>1584211646</v>
      </c>
      <c r="G137" s="162">
        <v>17875.0</v>
      </c>
      <c r="H137" s="134">
        <f t="shared" si="3"/>
        <v>1586874933</v>
      </c>
      <c r="I137" s="100">
        <v>0.0</v>
      </c>
      <c r="J137" s="135">
        <f t="shared" si="4"/>
        <v>0</v>
      </c>
      <c r="K137" s="152">
        <f t="shared" si="5"/>
        <v>2663286.6</v>
      </c>
      <c r="L137" s="175">
        <f t="shared" si="6"/>
        <v>2663286.6</v>
      </c>
      <c r="M137" s="154"/>
      <c r="N137" s="139">
        <f t="shared" si="7"/>
        <v>0</v>
      </c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</row>
    <row r="138">
      <c r="A138" s="74" t="str">
        <f t="shared" si="1"/>
        <v>Monday</v>
      </c>
      <c r="B138" s="49">
        <v>46293.0</v>
      </c>
      <c r="C138" s="86">
        <v>3.0</v>
      </c>
      <c r="D138" s="87">
        <v>83798.88</v>
      </c>
      <c r="E138" s="131">
        <f>IFERROR(__xludf.DUMMYFUNCTION("IFNA(FILTER(BUY_SEP!$L$2:$L$1218, BUY_SEP!$H$2:$H$1218=B138, BUY_SEP!$I$2:$I$1218=C138), ""-"")"),17870.0)</f>
        <v>17870</v>
      </c>
      <c r="F138" s="172">
        <f t="shared" si="2"/>
        <v>1497485986</v>
      </c>
      <c r="G138" s="162">
        <v>17900.0</v>
      </c>
      <c r="H138" s="134">
        <f t="shared" si="3"/>
        <v>1499999952</v>
      </c>
      <c r="I138" s="100">
        <v>0.05</v>
      </c>
      <c r="J138" s="135">
        <f t="shared" si="4"/>
        <v>748742.9928</v>
      </c>
      <c r="K138" s="152">
        <f t="shared" si="5"/>
        <v>2513966.4</v>
      </c>
      <c r="L138" s="136">
        <f t="shared" si="6"/>
        <v>1765223.407</v>
      </c>
      <c r="M138" s="154"/>
      <c r="N138" s="139">
        <f t="shared" si="7"/>
        <v>0</v>
      </c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</row>
    <row r="139">
      <c r="A139" s="74" t="str">
        <f t="shared" si="1"/>
        <v>Monday</v>
      </c>
      <c r="B139" s="49">
        <v>46293.0</v>
      </c>
      <c r="C139" s="86">
        <v>4.0</v>
      </c>
      <c r="D139" s="87">
        <v>60731.23</v>
      </c>
      <c r="E139" s="131">
        <f>IFERROR(__xludf.DUMMYFUNCTION("IFNA(FILTER(BUY_SEP!$L$2:$L$1218, BUY_SEP!$H$2:$H$1218=B139, BUY_SEP!$I$2:$I$1218=C139), ""-"")"),17880.0)</f>
        <v>17880</v>
      </c>
      <c r="F139" s="172">
        <f t="shared" si="2"/>
        <v>1085874392</v>
      </c>
      <c r="G139" s="162">
        <v>17915.0</v>
      </c>
      <c r="H139" s="134">
        <f t="shared" si="3"/>
        <v>1087999985</v>
      </c>
      <c r="I139" s="100">
        <v>0.05</v>
      </c>
      <c r="J139" s="135">
        <f t="shared" si="4"/>
        <v>542937.1962</v>
      </c>
      <c r="K139" s="152">
        <f t="shared" si="5"/>
        <v>2125593.05</v>
      </c>
      <c r="L139" s="174">
        <f t="shared" si="6"/>
        <v>1582655.854</v>
      </c>
      <c r="M139" s="154"/>
      <c r="N139" s="139">
        <f t="shared" si="7"/>
        <v>0</v>
      </c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</row>
    <row r="140">
      <c r="A140" s="74" t="str">
        <f t="shared" si="1"/>
        <v>Monday</v>
      </c>
      <c r="B140" s="49">
        <v>46293.0</v>
      </c>
      <c r="C140" s="86">
        <v>5.0</v>
      </c>
      <c r="D140" s="87">
        <v>55819.14</v>
      </c>
      <c r="E140" s="131">
        <f>IFERROR(__xludf.DUMMYFUNCTION("IFNA(FILTER(BUY_SEP!$L$2:$L$1218, BUY_SEP!$H$2:$H$1218=B140, BUY_SEP!$I$2:$I$1218=C140), ""-"")"),17885.0)</f>
        <v>17885</v>
      </c>
      <c r="F140" s="172">
        <f t="shared" si="2"/>
        <v>998325318.9</v>
      </c>
      <c r="G140" s="162">
        <v>17915.0</v>
      </c>
      <c r="H140" s="134">
        <f t="shared" si="3"/>
        <v>999999893.1</v>
      </c>
      <c r="I140" s="100">
        <v>0.05</v>
      </c>
      <c r="J140" s="135">
        <f t="shared" si="4"/>
        <v>499162.6595</v>
      </c>
      <c r="K140" s="152">
        <f t="shared" si="5"/>
        <v>1674574.2</v>
      </c>
      <c r="L140" s="175">
        <f t="shared" si="6"/>
        <v>1175411.541</v>
      </c>
      <c r="M140" s="154"/>
      <c r="N140" s="139">
        <f t="shared" si="7"/>
        <v>0</v>
      </c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</row>
    <row r="141">
      <c r="A141" s="74" t="str">
        <f t="shared" si="1"/>
        <v>Monday</v>
      </c>
      <c r="B141" s="49">
        <v>46293.0</v>
      </c>
      <c r="C141" s="86">
        <v>6.0</v>
      </c>
      <c r="D141" s="87">
        <v>55772.44</v>
      </c>
      <c r="E141" s="131">
        <f>IFERROR(__xludf.DUMMYFUNCTION("IFNA(FILTER(BUY_SEP!$L$2:$L$1218, BUY_SEP!$H$2:$H$1218=B141, BUY_SEP!$I$2:$I$1218=C141), ""-"")"),17920.0)</f>
        <v>17920</v>
      </c>
      <c r="F141" s="172">
        <f t="shared" si="2"/>
        <v>999442124.8</v>
      </c>
      <c r="G141" s="162">
        <v>17930.0</v>
      </c>
      <c r="H141" s="134">
        <f t="shared" si="3"/>
        <v>999999849.2</v>
      </c>
      <c r="I141" s="100">
        <v>0.05</v>
      </c>
      <c r="J141" s="135">
        <f t="shared" si="4"/>
        <v>499721.0624</v>
      </c>
      <c r="K141" s="152">
        <f t="shared" si="5"/>
        <v>557724.4</v>
      </c>
      <c r="L141" s="136">
        <f t="shared" si="6"/>
        <v>58003.3376</v>
      </c>
      <c r="M141" s="154"/>
      <c r="N141" s="139">
        <f t="shared" si="7"/>
        <v>0</v>
      </c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  <c r="AB141" s="159"/>
      <c r="AC141" s="159"/>
    </row>
    <row r="142">
      <c r="A142" s="74" t="str">
        <f t="shared" si="1"/>
        <v>Tuesday</v>
      </c>
      <c r="B142" s="49">
        <v>46294.0</v>
      </c>
      <c r="C142" s="86">
        <v>1.0</v>
      </c>
      <c r="D142" s="87">
        <v>111420.61</v>
      </c>
      <c r="E142" s="131">
        <f>IFERROR(__xludf.DUMMYFUNCTION("IFNA(FILTER(BUY_SEP!$L$2:$L$1218, BUY_SEP!$H$2:$H$1218=B142, BUY_SEP!$I$2:$I$1218=C142), ""-"")"),17927.521775346693)</f>
        <v>17927.52178</v>
      </c>
      <c r="F142" s="172">
        <f t="shared" si="2"/>
        <v>1997495412</v>
      </c>
      <c r="G142" s="162">
        <v>17950.0</v>
      </c>
      <c r="H142" s="134">
        <f t="shared" si="3"/>
        <v>1999999950</v>
      </c>
      <c r="I142" s="100">
        <v>0.05</v>
      </c>
      <c r="J142" s="135">
        <f t="shared" si="4"/>
        <v>998747.706</v>
      </c>
      <c r="K142" s="152">
        <f t="shared" si="5"/>
        <v>2504537.503</v>
      </c>
      <c r="L142" s="136">
        <f t="shared" si="6"/>
        <v>1505789.797</v>
      </c>
      <c r="M142" s="154"/>
      <c r="N142" s="139">
        <f t="shared" si="7"/>
        <v>0</v>
      </c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  <c r="AC142" s="159"/>
    </row>
    <row r="143">
      <c r="A143" s="74" t="str">
        <f t="shared" si="1"/>
        <v>Tuesday</v>
      </c>
      <c r="B143" s="49">
        <v>46294.0</v>
      </c>
      <c r="C143" s="86">
        <v>2.0</v>
      </c>
      <c r="D143" s="87">
        <v>292968.75</v>
      </c>
      <c r="E143" s="131">
        <f>IFERROR(__xludf.DUMMYFUNCTION("IFNA(FILTER(BUY_SEP!$L$2:$L$1218, BUY_SEP!$H$2:$H$1218=B143, BUY_SEP!$I$2:$I$1218=C143), ""-"")"),17905.0)</f>
        <v>17905</v>
      </c>
      <c r="F143" s="172">
        <f t="shared" si="2"/>
        <v>5245605469</v>
      </c>
      <c r="G143" s="162">
        <v>17920.0</v>
      </c>
      <c r="H143" s="134">
        <f t="shared" si="3"/>
        <v>5250000000</v>
      </c>
      <c r="I143" s="151">
        <v>0.0</v>
      </c>
      <c r="J143" s="135">
        <f t="shared" si="4"/>
        <v>0</v>
      </c>
      <c r="K143" s="152">
        <f t="shared" si="5"/>
        <v>4394531.25</v>
      </c>
      <c r="L143" s="136">
        <f t="shared" si="6"/>
        <v>4394531.25</v>
      </c>
      <c r="M143" s="154"/>
      <c r="N143" s="139">
        <f t="shared" si="7"/>
        <v>0</v>
      </c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  <c r="AB143" s="159"/>
      <c r="AC143" s="159"/>
    </row>
    <row r="144">
      <c r="A144" s="74" t="str">
        <f t="shared" si="1"/>
        <v>Wednesday</v>
      </c>
      <c r="B144" s="49">
        <v>46295.0</v>
      </c>
      <c r="C144" s="150">
        <v>5.0</v>
      </c>
      <c r="D144" s="87"/>
      <c r="E144" s="131" t="str">
        <f>IFERROR(__xludf.DUMMYFUNCTION("IFNA(FILTER(BUY_SEP!$L$2:$L$1218, BUY_SEP!$H$2:$H$1218=B144, BUY_SEP!$I$2:$I$1218=C144), ""-"")"),"-")</f>
        <v>-</v>
      </c>
      <c r="F144" s="172" t="str">
        <f t="shared" si="2"/>
        <v>-</v>
      </c>
      <c r="G144" s="162"/>
      <c r="H144" s="134">
        <f t="shared" si="3"/>
        <v>0</v>
      </c>
      <c r="I144" s="151">
        <v>0.0</v>
      </c>
      <c r="J144" s="135" t="str">
        <f t="shared" si="4"/>
        <v>-</v>
      </c>
      <c r="K144" s="152" t="str">
        <f t="shared" si="5"/>
        <v>-</v>
      </c>
      <c r="L144" s="136" t="str">
        <f t="shared" si="6"/>
        <v>-</v>
      </c>
      <c r="M144" s="154"/>
      <c r="N144" s="139">
        <f t="shared" si="7"/>
        <v>0</v>
      </c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  <c r="AB144" s="159"/>
      <c r="AC144" s="159"/>
    </row>
    <row r="145">
      <c r="A145" s="74" t="str">
        <f t="shared" si="1"/>
        <v>Wednesday</v>
      </c>
      <c r="B145" s="49">
        <v>46295.0</v>
      </c>
      <c r="C145" s="150">
        <v>5.0</v>
      </c>
      <c r="D145" s="87"/>
      <c r="E145" s="131" t="str">
        <f>IFERROR(__xludf.DUMMYFUNCTION("IFNA(FILTER(BUY_SEP!$L$2:$L$1218, BUY_SEP!$H$2:$H$1218=B145, BUY_SEP!$I$2:$I$1218=C145), ""-"")"),"-")</f>
        <v>-</v>
      </c>
      <c r="F145" s="172" t="str">
        <f t="shared" si="2"/>
        <v>-</v>
      </c>
      <c r="G145" s="162"/>
      <c r="H145" s="134">
        <f t="shared" si="3"/>
        <v>0</v>
      </c>
      <c r="I145" s="151">
        <v>0.0</v>
      </c>
      <c r="J145" s="135" t="str">
        <f t="shared" si="4"/>
        <v>-</v>
      </c>
      <c r="K145" s="152" t="str">
        <f t="shared" si="5"/>
        <v>-</v>
      </c>
      <c r="L145" s="136" t="str">
        <f t="shared" si="6"/>
        <v>-</v>
      </c>
      <c r="M145" s="154"/>
      <c r="N145" s="139">
        <f t="shared" si="7"/>
        <v>0</v>
      </c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  <c r="AB145" s="159"/>
      <c r="AC145" s="159"/>
    </row>
    <row r="146">
      <c r="A146" s="74" t="str">
        <f t="shared" si="1"/>
        <v>Tuesday</v>
      </c>
      <c r="B146" s="155">
        <v>46294.0</v>
      </c>
      <c r="C146" s="150">
        <v>5.0</v>
      </c>
      <c r="D146" s="87"/>
      <c r="E146" s="131" t="str">
        <f>IFERROR(__xludf.DUMMYFUNCTION("IFNA(FILTER(BUY_SEP!$L$2:$L$1218, BUY_SEP!$H$2:$H$1218=B146, BUY_SEP!$I$2:$I$1218=C146), ""-"")"),"-")</f>
        <v>-</v>
      </c>
      <c r="F146" s="172" t="str">
        <f t="shared" si="2"/>
        <v>-</v>
      </c>
      <c r="G146" s="162"/>
      <c r="H146" s="134">
        <f t="shared" si="3"/>
        <v>0</v>
      </c>
      <c r="I146" s="151">
        <v>0.0</v>
      </c>
      <c r="J146" s="135" t="str">
        <f t="shared" si="4"/>
        <v>-</v>
      </c>
      <c r="K146" s="152" t="str">
        <f t="shared" si="5"/>
        <v>-</v>
      </c>
      <c r="L146" s="136" t="str">
        <f t="shared" si="6"/>
        <v>-</v>
      </c>
      <c r="M146" s="154"/>
      <c r="N146" s="139">
        <f t="shared" si="7"/>
        <v>0</v>
      </c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  <c r="AB146" s="159"/>
      <c r="AC146" s="159"/>
    </row>
    <row r="147">
      <c r="A147" s="74" t="str">
        <f t="shared" si="1"/>
        <v>Wednesday</v>
      </c>
      <c r="B147" s="155">
        <v>46295.0</v>
      </c>
      <c r="C147" s="150">
        <v>5.0</v>
      </c>
      <c r="D147" s="87"/>
      <c r="E147" s="131" t="str">
        <f>IFERROR(__xludf.DUMMYFUNCTION("IFNA(FILTER(BUY_SEP!$L$2:$L$1218, BUY_SEP!$H$2:$H$1218=B147, BUY_SEP!$I$2:$I$1218=C147), ""-"")"),"-")</f>
        <v>-</v>
      </c>
      <c r="F147" s="172" t="str">
        <f t="shared" si="2"/>
        <v>-</v>
      </c>
      <c r="G147" s="162"/>
      <c r="H147" s="134">
        <f t="shared" si="3"/>
        <v>0</v>
      </c>
      <c r="I147" s="151">
        <v>0.0</v>
      </c>
      <c r="J147" s="135" t="str">
        <f t="shared" si="4"/>
        <v>-</v>
      </c>
      <c r="K147" s="152" t="str">
        <f t="shared" si="5"/>
        <v>-</v>
      </c>
      <c r="L147" s="136" t="str">
        <f t="shared" si="6"/>
        <v>-</v>
      </c>
      <c r="M147" s="154"/>
      <c r="N147" s="139">
        <f t="shared" si="7"/>
        <v>0</v>
      </c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  <c r="AB147" s="159"/>
      <c r="AC147" s="159"/>
    </row>
    <row r="148">
      <c r="A148" s="74" t="str">
        <f t="shared" si="1"/>
        <v>Wednesday</v>
      </c>
      <c r="B148" s="49">
        <v>46295.0</v>
      </c>
      <c r="C148" s="106">
        <v>5.0</v>
      </c>
      <c r="D148" s="87"/>
      <c r="E148" s="131" t="str">
        <f>IFERROR(__xludf.DUMMYFUNCTION("IFNA(FILTER(BUY_SEP!$L$2:$L$1218, BUY_SEP!$H$2:$H$1218=B148, BUY_SEP!$I$2:$I$1218=C148), ""-"")"),"-")</f>
        <v>-</v>
      </c>
      <c r="F148" s="172" t="str">
        <f t="shared" si="2"/>
        <v>-</v>
      </c>
      <c r="G148" s="162"/>
      <c r="H148" s="134">
        <f t="shared" si="3"/>
        <v>0</v>
      </c>
      <c r="I148" s="100">
        <v>0.0</v>
      </c>
      <c r="J148" s="135" t="str">
        <f t="shared" si="4"/>
        <v>-</v>
      </c>
      <c r="K148" s="152" t="str">
        <f t="shared" si="5"/>
        <v>-</v>
      </c>
      <c r="L148" s="136" t="str">
        <f t="shared" si="6"/>
        <v>-</v>
      </c>
      <c r="M148" s="176"/>
      <c r="N148" s="139">
        <f t="shared" si="7"/>
        <v>0</v>
      </c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</row>
    <row r="149">
      <c r="A149" s="74" t="str">
        <f t="shared" si="1"/>
        <v>Tuesday</v>
      </c>
      <c r="B149" s="49">
        <v>46294.0</v>
      </c>
      <c r="C149" s="106">
        <v>5.0</v>
      </c>
      <c r="D149" s="87"/>
      <c r="E149" s="131" t="str">
        <f>IFERROR(__xludf.DUMMYFUNCTION("IFNA(FILTER(BUY_SEP!$L$2:$L$1218, BUY_SEP!$H$2:$H$1218=B149, BUY_SEP!$I$2:$I$1218=C149), ""-"")"),"-")</f>
        <v>-</v>
      </c>
      <c r="F149" s="172" t="str">
        <f t="shared" si="2"/>
        <v>-</v>
      </c>
      <c r="G149" s="162"/>
      <c r="H149" s="134">
        <f t="shared" si="3"/>
        <v>0</v>
      </c>
      <c r="I149" s="100">
        <v>0.0</v>
      </c>
      <c r="J149" s="135" t="str">
        <f t="shared" si="4"/>
        <v>-</v>
      </c>
      <c r="K149" s="152" t="str">
        <f t="shared" si="5"/>
        <v>-</v>
      </c>
      <c r="L149" s="136" t="str">
        <f t="shared" si="6"/>
        <v>-</v>
      </c>
      <c r="M149" s="176"/>
      <c r="N149" s="139">
        <f t="shared" si="7"/>
        <v>0</v>
      </c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</row>
    <row r="150">
      <c r="A150" s="74" t="str">
        <f t="shared" si="1"/>
        <v>Wednesday</v>
      </c>
      <c r="B150" s="49">
        <v>46295.0</v>
      </c>
      <c r="C150" s="106">
        <v>5.0</v>
      </c>
      <c r="D150" s="87"/>
      <c r="E150" s="131" t="str">
        <f>IFERROR(__xludf.DUMMYFUNCTION("IFNA(FILTER(BUY_SEP!$L$2:$L$1218, BUY_SEP!$H$2:$H$1218=B150, BUY_SEP!$I$2:$I$1218=C150), ""-"")"),"-")</f>
        <v>-</v>
      </c>
      <c r="F150" s="172" t="str">
        <f t="shared" si="2"/>
        <v>-</v>
      </c>
      <c r="G150" s="162"/>
      <c r="H150" s="134">
        <f t="shared" si="3"/>
        <v>0</v>
      </c>
      <c r="I150" s="100">
        <v>0.0</v>
      </c>
      <c r="J150" s="135" t="str">
        <f t="shared" si="4"/>
        <v>-</v>
      </c>
      <c r="K150" s="152" t="str">
        <f t="shared" si="5"/>
        <v>-</v>
      </c>
      <c r="L150" s="136" t="str">
        <f t="shared" si="6"/>
        <v>-</v>
      </c>
      <c r="M150" s="176"/>
      <c r="N150" s="139">
        <f t="shared" si="7"/>
        <v>0</v>
      </c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</row>
    <row r="151">
      <c r="A151" s="74" t="str">
        <f t="shared" si="1"/>
        <v>Wednesday</v>
      </c>
      <c r="B151" s="49">
        <v>46295.0</v>
      </c>
      <c r="C151" s="187">
        <v>1.0</v>
      </c>
      <c r="D151" s="87"/>
      <c r="E151" s="131" t="str">
        <f>IFERROR(__xludf.DUMMYFUNCTION("IFNA(FILTER(BUY_SEP!$L$2:$L$1218, BUY_SEP!$H$2:$H$1218=B151, BUY_SEP!$I$2:$I$1218=C151), ""-"")"),"-")</f>
        <v>-</v>
      </c>
      <c r="F151" s="172" t="str">
        <f t="shared" si="2"/>
        <v>-</v>
      </c>
      <c r="G151" s="162"/>
      <c r="H151" s="134">
        <f t="shared" si="3"/>
        <v>0</v>
      </c>
      <c r="I151" s="100">
        <v>0.0</v>
      </c>
      <c r="J151" s="135" t="str">
        <f t="shared" si="4"/>
        <v>-</v>
      </c>
      <c r="K151" s="152" t="str">
        <f t="shared" si="5"/>
        <v>-</v>
      </c>
      <c r="L151" s="134" t="str">
        <f t="shared" si="6"/>
        <v>-</v>
      </c>
      <c r="M151" s="138"/>
      <c r="N151" s="139">
        <f t="shared" si="7"/>
        <v>0</v>
      </c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159"/>
      <c r="AC151" s="159"/>
    </row>
    <row r="152">
      <c r="A152" s="74" t="str">
        <f t="shared" si="1"/>
        <v>Wednesday</v>
      </c>
      <c r="B152" s="49">
        <v>46295.0</v>
      </c>
      <c r="C152" s="150">
        <v>2.0</v>
      </c>
      <c r="D152" s="87"/>
      <c r="E152" s="131" t="str">
        <f>IFERROR(__xludf.DUMMYFUNCTION("IFNA(FILTER(BUY_SEP!$L$2:$L$1218, BUY_SEP!$H$2:$H$1218=B152, BUY_SEP!$I$2:$I$1218=C152), ""-"")"),"-")</f>
        <v>-</v>
      </c>
      <c r="F152" s="172" t="str">
        <f t="shared" si="2"/>
        <v>-</v>
      </c>
      <c r="G152" s="162"/>
      <c r="H152" s="134">
        <f t="shared" si="3"/>
        <v>0</v>
      </c>
      <c r="I152" s="100">
        <v>0.0</v>
      </c>
      <c r="J152" s="135" t="str">
        <f t="shared" si="4"/>
        <v>-</v>
      </c>
      <c r="K152" s="152" t="str">
        <f t="shared" si="5"/>
        <v>-</v>
      </c>
      <c r="L152" s="134" t="str">
        <f t="shared" si="6"/>
        <v>-</v>
      </c>
      <c r="M152" s="138"/>
      <c r="N152" s="139">
        <f t="shared" si="7"/>
        <v>0</v>
      </c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159"/>
      <c r="AC152" s="159"/>
    </row>
    <row r="153">
      <c r="A153" s="74" t="str">
        <f t="shared" si="1"/>
        <v>Wednesday</v>
      </c>
      <c r="B153" s="49">
        <v>46295.0</v>
      </c>
      <c r="C153" s="150">
        <v>3.0</v>
      </c>
      <c r="D153" s="87"/>
      <c r="E153" s="131" t="str">
        <f>IFERROR(__xludf.DUMMYFUNCTION("IFNA(FILTER(BUY_SEP!$L$2:$L$1218, BUY_SEP!$H$2:$H$1218=B153, BUY_SEP!$I$2:$I$1218=C153), ""-"")"),"-")</f>
        <v>-</v>
      </c>
      <c r="F153" s="172" t="str">
        <f t="shared" si="2"/>
        <v>-</v>
      </c>
      <c r="G153" s="162"/>
      <c r="H153" s="134">
        <f t="shared" si="3"/>
        <v>0</v>
      </c>
      <c r="I153" s="100">
        <v>0.0</v>
      </c>
      <c r="J153" s="135" t="str">
        <f t="shared" si="4"/>
        <v>-</v>
      </c>
      <c r="K153" s="152" t="str">
        <f t="shared" si="5"/>
        <v>-</v>
      </c>
      <c r="L153" s="134" t="str">
        <f t="shared" si="6"/>
        <v>-</v>
      </c>
      <c r="M153" s="138"/>
      <c r="N153" s="139">
        <f t="shared" si="7"/>
        <v>0</v>
      </c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159"/>
      <c r="AC153" s="159"/>
    </row>
    <row r="154">
      <c r="A154" s="74" t="str">
        <f t="shared" si="1"/>
        <v>Wednesday</v>
      </c>
      <c r="B154" s="49">
        <v>46295.0</v>
      </c>
      <c r="C154" s="150">
        <v>1.0</v>
      </c>
      <c r="D154" s="87"/>
      <c r="E154" s="131" t="str">
        <f>IFERROR(__xludf.DUMMYFUNCTION("IFNA(FILTER(BUY_SEP!$L$2:$L$1218, BUY_SEP!$H$2:$H$1218=B154, BUY_SEP!$I$2:$I$1218=C154), ""-"")"),"-")</f>
        <v>-</v>
      </c>
      <c r="F154" s="172" t="str">
        <f t="shared" si="2"/>
        <v>-</v>
      </c>
      <c r="G154" s="162"/>
      <c r="H154" s="134">
        <f t="shared" si="3"/>
        <v>0</v>
      </c>
      <c r="I154" s="100">
        <v>0.0</v>
      </c>
      <c r="J154" s="135" t="str">
        <f t="shared" si="4"/>
        <v>-</v>
      </c>
      <c r="K154" s="152" t="str">
        <f t="shared" si="5"/>
        <v>-</v>
      </c>
      <c r="L154" s="134" t="str">
        <f t="shared" si="6"/>
        <v>-</v>
      </c>
      <c r="M154" s="138"/>
      <c r="N154" s="139">
        <f t="shared" si="7"/>
        <v>0</v>
      </c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  <c r="AB154" s="159"/>
      <c r="AC154" s="159"/>
    </row>
    <row r="155">
      <c r="A155" s="74" t="str">
        <f t="shared" si="1"/>
        <v>Wednesday</v>
      </c>
      <c r="B155" s="49">
        <v>46295.0</v>
      </c>
      <c r="C155" s="150">
        <v>2.0</v>
      </c>
      <c r="D155" s="87"/>
      <c r="E155" s="131" t="str">
        <f>IFERROR(__xludf.DUMMYFUNCTION("IFNA(FILTER(BUY_SEP!$L$2:$L$1218, BUY_SEP!$H$2:$H$1218=B155, BUY_SEP!$I$2:$I$1218=C155), ""-"")"),"-")</f>
        <v>-</v>
      </c>
      <c r="F155" s="172" t="str">
        <f t="shared" si="2"/>
        <v>-</v>
      </c>
      <c r="G155" s="162"/>
      <c r="H155" s="134">
        <f t="shared" si="3"/>
        <v>0</v>
      </c>
      <c r="I155" s="100">
        <v>0.0</v>
      </c>
      <c r="J155" s="135" t="str">
        <f t="shared" si="4"/>
        <v>-</v>
      </c>
      <c r="K155" s="152" t="str">
        <f t="shared" si="5"/>
        <v>-</v>
      </c>
      <c r="L155" s="134" t="str">
        <f t="shared" si="6"/>
        <v>-</v>
      </c>
      <c r="M155" s="193"/>
      <c r="N155" s="139">
        <f t="shared" si="7"/>
        <v>0</v>
      </c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  <c r="AB155" s="159"/>
      <c r="AC155" s="159"/>
    </row>
    <row r="156">
      <c r="A156" s="74" t="str">
        <f t="shared" si="1"/>
        <v>Wednesday</v>
      </c>
      <c r="B156" s="49">
        <v>46295.0</v>
      </c>
      <c r="C156" s="150">
        <v>1.0</v>
      </c>
      <c r="D156" s="87"/>
      <c r="E156" s="131" t="str">
        <f>IFERROR(__xludf.DUMMYFUNCTION("IFNA(FILTER(BUY_SEP!$L$2:$L$1218, BUY_SEP!$H$2:$H$1218=B156, BUY_SEP!$I$2:$I$1218=C156), ""-"")"),"-")</f>
        <v>-</v>
      </c>
      <c r="F156" s="172" t="str">
        <f t="shared" si="2"/>
        <v>-</v>
      </c>
      <c r="G156" s="162"/>
      <c r="H156" s="134">
        <f t="shared" si="3"/>
        <v>0</v>
      </c>
      <c r="I156" s="100">
        <v>0.0</v>
      </c>
      <c r="J156" s="135" t="str">
        <f t="shared" si="4"/>
        <v>-</v>
      </c>
      <c r="K156" s="152" t="str">
        <f t="shared" si="5"/>
        <v>-</v>
      </c>
      <c r="L156" s="134" t="str">
        <f t="shared" si="6"/>
        <v>-</v>
      </c>
      <c r="M156" s="154"/>
      <c r="N156" s="139">
        <f t="shared" si="7"/>
        <v>0</v>
      </c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  <c r="AB156" s="159"/>
      <c r="AC156" s="159"/>
    </row>
    <row r="157">
      <c r="A157" s="74" t="str">
        <f t="shared" si="1"/>
        <v>Wednesday</v>
      </c>
      <c r="B157" s="49">
        <v>46295.0</v>
      </c>
      <c r="C157" s="150">
        <v>2.0</v>
      </c>
      <c r="D157" s="87"/>
      <c r="E157" s="131" t="str">
        <f>IFERROR(__xludf.DUMMYFUNCTION("IFNA(FILTER(BUY_SEP!$L$2:$L$1218, BUY_SEP!$H$2:$H$1218=B157, BUY_SEP!$I$2:$I$1218=C157), ""-"")"),"-")</f>
        <v>-</v>
      </c>
      <c r="F157" s="172" t="str">
        <f t="shared" si="2"/>
        <v>-</v>
      </c>
      <c r="G157" s="162"/>
      <c r="H157" s="134">
        <f t="shared" si="3"/>
        <v>0</v>
      </c>
      <c r="I157" s="100">
        <v>0.0</v>
      </c>
      <c r="J157" s="135" t="str">
        <f t="shared" si="4"/>
        <v>-</v>
      </c>
      <c r="K157" s="152" t="str">
        <f t="shared" si="5"/>
        <v>-</v>
      </c>
      <c r="L157" s="134" t="str">
        <f t="shared" si="6"/>
        <v>-</v>
      </c>
      <c r="M157" s="154"/>
      <c r="N157" s="139">
        <f t="shared" si="7"/>
        <v>0</v>
      </c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  <c r="AB157" s="159"/>
      <c r="AC157" s="159"/>
    </row>
    <row r="158">
      <c r="A158" s="74" t="str">
        <f t="shared" si="1"/>
        <v>Wednesday</v>
      </c>
      <c r="B158" s="49">
        <v>46295.0</v>
      </c>
      <c r="C158" s="150">
        <v>2.0</v>
      </c>
      <c r="D158" s="87"/>
      <c r="E158" s="131" t="str">
        <f>IFERROR(__xludf.DUMMYFUNCTION("IFNA(FILTER(BUY_SEP!$L$2:$L$1218, BUY_SEP!$H$2:$H$1218=B158, BUY_SEP!$I$2:$I$1218=C158), ""-"")"),"-")</f>
        <v>-</v>
      </c>
      <c r="F158" s="172" t="str">
        <f t="shared" si="2"/>
        <v>-</v>
      </c>
      <c r="G158" s="162"/>
      <c r="H158" s="134">
        <f t="shared" si="3"/>
        <v>0</v>
      </c>
      <c r="I158" s="100">
        <v>0.0</v>
      </c>
      <c r="J158" s="135" t="str">
        <f t="shared" si="4"/>
        <v>-</v>
      </c>
      <c r="K158" s="152" t="str">
        <f t="shared" si="5"/>
        <v>-</v>
      </c>
      <c r="L158" s="175" t="str">
        <f t="shared" si="6"/>
        <v>-</v>
      </c>
      <c r="M158" s="154"/>
      <c r="N158" s="139">
        <f t="shared" si="7"/>
        <v>0</v>
      </c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  <c r="AB158" s="159"/>
      <c r="AC158" s="159"/>
    </row>
    <row r="159">
      <c r="A159" s="74" t="str">
        <f t="shared" si="1"/>
        <v>Wednesday</v>
      </c>
      <c r="B159" s="49">
        <v>46295.0</v>
      </c>
      <c r="C159" s="150">
        <v>5.0</v>
      </c>
      <c r="D159" s="87"/>
      <c r="E159" s="131" t="str">
        <f>IFERROR(__xludf.DUMMYFUNCTION("IFNA(FILTER(BUY_SEP!$L$2:$L$1218, BUY_SEP!$H$2:$H$1218=B159, BUY_SEP!$I$2:$I$1218=C159), ""-"")"),"-")</f>
        <v>-</v>
      </c>
      <c r="F159" s="172" t="str">
        <f t="shared" si="2"/>
        <v>-</v>
      </c>
      <c r="G159" s="162"/>
      <c r="H159" s="134">
        <f t="shared" si="3"/>
        <v>0</v>
      </c>
      <c r="I159" s="151">
        <v>0.0</v>
      </c>
      <c r="J159" s="135" t="str">
        <f t="shared" si="4"/>
        <v>-</v>
      </c>
      <c r="K159" s="152" t="str">
        <f t="shared" si="5"/>
        <v>-</v>
      </c>
      <c r="L159" s="136" t="str">
        <f t="shared" si="6"/>
        <v>-</v>
      </c>
      <c r="M159" s="154"/>
      <c r="N159" s="139">
        <f t="shared" si="7"/>
        <v>0</v>
      </c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  <c r="AB159" s="159"/>
      <c r="AC159" s="159"/>
    </row>
    <row r="160">
      <c r="A160" s="74" t="str">
        <f t="shared" si="1"/>
        <v>Wednesday</v>
      </c>
      <c r="B160" s="49">
        <v>46295.0</v>
      </c>
      <c r="C160" s="150">
        <v>1.0</v>
      </c>
      <c r="D160" s="87"/>
      <c r="E160" s="131" t="str">
        <f>IFERROR(__xludf.DUMMYFUNCTION("IFNA(FILTER(BUY_SEP!$L$2:$L$1218, BUY_SEP!$H$2:$H$1218=B160, BUY_SEP!$I$2:$I$1218=C160), ""-"")"),"-")</f>
        <v>-</v>
      </c>
      <c r="F160" s="172" t="str">
        <f t="shared" si="2"/>
        <v>-</v>
      </c>
      <c r="G160" s="162"/>
      <c r="H160" s="134">
        <f t="shared" si="3"/>
        <v>0</v>
      </c>
      <c r="I160" s="100">
        <v>0.0</v>
      </c>
      <c r="J160" s="135" t="str">
        <f t="shared" si="4"/>
        <v>-</v>
      </c>
      <c r="K160" s="152" t="str">
        <f t="shared" si="5"/>
        <v>-</v>
      </c>
      <c r="L160" s="174" t="str">
        <f t="shared" si="6"/>
        <v>-</v>
      </c>
      <c r="M160" s="154"/>
      <c r="N160" s="139">
        <f t="shared" si="7"/>
        <v>0</v>
      </c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159"/>
      <c r="AC160" s="159"/>
    </row>
    <row r="161">
      <c r="A161" s="74" t="str">
        <f t="shared" si="1"/>
        <v>Wednesday</v>
      </c>
      <c r="B161" s="49">
        <v>46295.0</v>
      </c>
      <c r="C161" s="150">
        <v>2.0</v>
      </c>
      <c r="D161" s="87"/>
      <c r="E161" s="131" t="str">
        <f>IFERROR(__xludf.DUMMYFUNCTION("IFNA(FILTER(BUY_SEP!$L$2:$L$1218, BUY_SEP!$H$2:$H$1218=B161, BUY_SEP!$I$2:$I$1218=C161), ""-"")"),"-")</f>
        <v>-</v>
      </c>
      <c r="F161" s="172" t="str">
        <f t="shared" si="2"/>
        <v>-</v>
      </c>
      <c r="G161" s="162"/>
      <c r="H161" s="134">
        <f t="shared" si="3"/>
        <v>0</v>
      </c>
      <c r="I161" s="100">
        <v>0.0</v>
      </c>
      <c r="J161" s="135" t="str">
        <f t="shared" si="4"/>
        <v>-</v>
      </c>
      <c r="K161" s="152" t="str">
        <f t="shared" si="5"/>
        <v>-</v>
      </c>
      <c r="L161" s="175" t="str">
        <f t="shared" si="6"/>
        <v>-</v>
      </c>
      <c r="M161" s="154"/>
      <c r="N161" s="139">
        <f t="shared" si="7"/>
        <v>0</v>
      </c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  <c r="AB161" s="159"/>
      <c r="AC161" s="159"/>
    </row>
    <row r="162">
      <c r="A162" s="74" t="str">
        <f t="shared" si="1"/>
        <v>Wednesday</v>
      </c>
      <c r="B162" s="49">
        <v>46295.0</v>
      </c>
      <c r="C162" s="150">
        <v>5.0</v>
      </c>
      <c r="D162" s="87"/>
      <c r="E162" s="131" t="str">
        <f>IFERROR(__xludf.DUMMYFUNCTION("IFNA(FILTER(BUY_SEP!$L$2:$L$1218, BUY_SEP!$H$2:$H$1218=B162, BUY_SEP!$I$2:$I$1218=C162), ""-"")"),"-")</f>
        <v>-</v>
      </c>
      <c r="F162" s="172" t="str">
        <f t="shared" si="2"/>
        <v>-</v>
      </c>
      <c r="G162" s="162"/>
      <c r="H162" s="134">
        <f t="shared" si="3"/>
        <v>0</v>
      </c>
      <c r="I162" s="151">
        <v>0.0</v>
      </c>
      <c r="J162" s="135" t="str">
        <f t="shared" si="4"/>
        <v>-</v>
      </c>
      <c r="K162" s="152" t="str">
        <f t="shared" si="5"/>
        <v>-</v>
      </c>
      <c r="L162" s="136" t="str">
        <f t="shared" si="6"/>
        <v>-</v>
      </c>
      <c r="M162" s="154"/>
      <c r="N162" s="139">
        <f t="shared" si="7"/>
        <v>0</v>
      </c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  <c r="AB162" s="159"/>
      <c r="AC162" s="159"/>
    </row>
    <row r="163">
      <c r="A163" s="74" t="str">
        <f t="shared" si="1"/>
        <v>Wednesday</v>
      </c>
      <c r="B163" s="49">
        <v>46295.0</v>
      </c>
      <c r="C163" s="150">
        <v>5.0</v>
      </c>
      <c r="D163" s="87"/>
      <c r="E163" s="131" t="str">
        <f>IFERROR(__xludf.DUMMYFUNCTION("IFNA(FILTER(BUY_SEP!$L$2:$L$1218, BUY_SEP!$H$2:$H$1218=B163, BUY_SEP!$I$2:$I$1218=C163), ""-"")"),"-")</f>
        <v>-</v>
      </c>
      <c r="F163" s="172" t="str">
        <f t="shared" si="2"/>
        <v>-</v>
      </c>
      <c r="G163" s="162"/>
      <c r="H163" s="134">
        <f t="shared" si="3"/>
        <v>0</v>
      </c>
      <c r="I163" s="151">
        <v>0.0</v>
      </c>
      <c r="J163" s="135" t="str">
        <f t="shared" si="4"/>
        <v>-</v>
      </c>
      <c r="K163" s="152" t="str">
        <f t="shared" si="5"/>
        <v>-</v>
      </c>
      <c r="L163" s="136" t="str">
        <f t="shared" si="6"/>
        <v>-</v>
      </c>
      <c r="M163" s="154"/>
      <c r="N163" s="139">
        <f t="shared" si="7"/>
        <v>0</v>
      </c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  <c r="AB163" s="159"/>
      <c r="AC163" s="159"/>
    </row>
    <row r="164">
      <c r="A164" s="74" t="str">
        <f t="shared" si="1"/>
        <v>Saturday</v>
      </c>
      <c r="B164" s="155">
        <v>46291.0</v>
      </c>
      <c r="C164" s="150">
        <v>5.0</v>
      </c>
      <c r="D164" s="87"/>
      <c r="E164" s="131" t="str">
        <f>IFERROR(__xludf.DUMMYFUNCTION("IFNA(FILTER(BUY_SEP!$L$2:$L$1218, BUY_SEP!$H$2:$H$1218=B164, BUY_SEP!$I$2:$I$1218=C164), ""-"")"),"-")</f>
        <v>-</v>
      </c>
      <c r="F164" s="172" t="str">
        <f t="shared" si="2"/>
        <v>-</v>
      </c>
      <c r="G164" s="162"/>
      <c r="H164" s="134">
        <f t="shared" si="3"/>
        <v>0</v>
      </c>
      <c r="I164" s="151">
        <v>0.0</v>
      </c>
      <c r="J164" s="135" t="str">
        <f t="shared" si="4"/>
        <v>-</v>
      </c>
      <c r="K164" s="152" t="str">
        <f t="shared" si="5"/>
        <v>-</v>
      </c>
      <c r="L164" s="136" t="str">
        <f t="shared" si="6"/>
        <v>-</v>
      </c>
      <c r="M164" s="154"/>
      <c r="N164" s="139">
        <f t="shared" si="7"/>
        <v>0</v>
      </c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  <c r="AB164" s="159"/>
      <c r="AC164" s="159"/>
    </row>
    <row r="165">
      <c r="A165" s="74" t="str">
        <f t="shared" si="1"/>
        <v>Sunday</v>
      </c>
      <c r="B165" s="155">
        <v>46292.0</v>
      </c>
      <c r="C165" s="150">
        <v>5.0</v>
      </c>
      <c r="D165" s="87"/>
      <c r="E165" s="131" t="str">
        <f>IFERROR(__xludf.DUMMYFUNCTION("IFNA(FILTER(BUY_SEP!$L$2:$L$1218, BUY_SEP!$H$2:$H$1218=B165, BUY_SEP!$I$2:$I$1218=C165), ""-"")"),"-")</f>
        <v>-</v>
      </c>
      <c r="F165" s="172" t="str">
        <f t="shared" si="2"/>
        <v>-</v>
      </c>
      <c r="G165" s="162"/>
      <c r="H165" s="134">
        <f t="shared" si="3"/>
        <v>0</v>
      </c>
      <c r="I165" s="151">
        <v>0.0</v>
      </c>
      <c r="J165" s="135" t="str">
        <f t="shared" si="4"/>
        <v>-</v>
      </c>
      <c r="K165" s="152" t="str">
        <f t="shared" si="5"/>
        <v>-</v>
      </c>
      <c r="L165" s="136" t="str">
        <f t="shared" si="6"/>
        <v>-</v>
      </c>
      <c r="M165" s="154"/>
      <c r="N165" s="139">
        <f t="shared" si="7"/>
        <v>0</v>
      </c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  <c r="AB165" s="159"/>
      <c r="AC165" s="159"/>
    </row>
    <row r="166">
      <c r="A166" s="74" t="str">
        <f t="shared" si="1"/>
        <v>Wednesday</v>
      </c>
      <c r="B166" s="49">
        <v>46295.0</v>
      </c>
      <c r="C166" s="150">
        <v>5.0</v>
      </c>
      <c r="D166" s="87"/>
      <c r="E166" s="131" t="str">
        <f>IFERROR(__xludf.DUMMYFUNCTION("IFNA(FILTER(BUY_SEP!$L$2:$L$1218, BUY_SEP!$H$2:$H$1218=B166, BUY_SEP!$I$2:$I$1218=C166), ""-"")"),"-")</f>
        <v>-</v>
      </c>
      <c r="F166" s="172" t="str">
        <f t="shared" si="2"/>
        <v>-</v>
      </c>
      <c r="G166" s="162"/>
      <c r="H166" s="134">
        <f t="shared" si="3"/>
        <v>0</v>
      </c>
      <c r="I166" s="151">
        <v>0.0</v>
      </c>
      <c r="J166" s="135" t="str">
        <f t="shared" si="4"/>
        <v>-</v>
      </c>
      <c r="K166" s="152" t="str">
        <f t="shared" si="5"/>
        <v>-</v>
      </c>
      <c r="L166" s="136" t="str">
        <f t="shared" si="6"/>
        <v>-</v>
      </c>
      <c r="M166" s="154"/>
      <c r="N166" s="139">
        <f t="shared" si="7"/>
        <v>0</v>
      </c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</row>
    <row r="167">
      <c r="A167" s="74" t="str">
        <f t="shared" si="1"/>
        <v>Tuesday</v>
      </c>
      <c r="B167" s="155">
        <v>46294.0</v>
      </c>
      <c r="C167" s="150">
        <v>5.0</v>
      </c>
      <c r="D167" s="87"/>
      <c r="E167" s="131" t="str">
        <f>IFERROR(__xludf.DUMMYFUNCTION("IFNA(FILTER(BUY_SEP!$L$2:$L$1218, BUY_SEP!$H$2:$H$1218=B167, BUY_SEP!$I$2:$I$1218=C167), ""-"")"),"-")</f>
        <v>-</v>
      </c>
      <c r="F167" s="172" t="str">
        <f t="shared" si="2"/>
        <v>-</v>
      </c>
      <c r="G167" s="162"/>
      <c r="H167" s="134">
        <f t="shared" si="3"/>
        <v>0</v>
      </c>
      <c r="I167" s="151">
        <v>0.0</v>
      </c>
      <c r="J167" s="135" t="str">
        <f t="shared" si="4"/>
        <v>-</v>
      </c>
      <c r="K167" s="152" t="str">
        <f t="shared" si="5"/>
        <v>-</v>
      </c>
      <c r="L167" s="136" t="str">
        <f t="shared" si="6"/>
        <v>-</v>
      </c>
      <c r="M167" s="154"/>
      <c r="N167" s="139">
        <f t="shared" si="7"/>
        <v>0</v>
      </c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  <c r="AB167" s="159"/>
      <c r="AC167" s="159"/>
    </row>
    <row r="168">
      <c r="A168" s="74" t="str">
        <f t="shared" si="1"/>
        <v>Wednesday</v>
      </c>
      <c r="B168" s="155">
        <v>46295.0</v>
      </c>
      <c r="C168" s="150">
        <v>5.0</v>
      </c>
      <c r="D168" s="87"/>
      <c r="E168" s="131" t="str">
        <f>IFERROR(__xludf.DUMMYFUNCTION("IFNA(FILTER(BUY_SEP!$L$2:$L$1218, BUY_SEP!$H$2:$H$1218=B168, BUY_SEP!$I$2:$I$1218=C168), ""-"")"),"-")</f>
        <v>-</v>
      </c>
      <c r="F168" s="172" t="str">
        <f t="shared" si="2"/>
        <v>-</v>
      </c>
      <c r="G168" s="162"/>
      <c r="H168" s="134">
        <f t="shared" si="3"/>
        <v>0</v>
      </c>
      <c r="I168" s="151">
        <v>0.0</v>
      </c>
      <c r="J168" s="135" t="str">
        <f t="shared" si="4"/>
        <v>-</v>
      </c>
      <c r="K168" s="152" t="str">
        <f t="shared" si="5"/>
        <v>-</v>
      </c>
      <c r="L168" s="136" t="str">
        <f t="shared" si="6"/>
        <v>-</v>
      </c>
      <c r="M168" s="154"/>
      <c r="N168" s="139">
        <f t="shared" si="7"/>
        <v>0</v>
      </c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  <c r="AB168" s="159"/>
      <c r="AC168" s="159"/>
    </row>
    <row r="169">
      <c r="A169" s="74" t="str">
        <f t="shared" si="1"/>
        <v>Wednesday</v>
      </c>
      <c r="B169" s="49">
        <v>46295.0</v>
      </c>
      <c r="C169" s="106">
        <v>5.0</v>
      </c>
      <c r="D169" s="87"/>
      <c r="E169" s="131" t="str">
        <f>IFERROR(__xludf.DUMMYFUNCTION("IFNA(FILTER(BUY_SEP!$L$2:$L$1218, BUY_SEP!$H$2:$H$1218=B169, BUY_SEP!$I$2:$I$1218=C169), ""-"")"),"-")</f>
        <v>-</v>
      </c>
      <c r="F169" s="172" t="str">
        <f t="shared" si="2"/>
        <v>-</v>
      </c>
      <c r="G169" s="162"/>
      <c r="H169" s="134">
        <f t="shared" si="3"/>
        <v>0</v>
      </c>
      <c r="I169" s="100">
        <v>0.0</v>
      </c>
      <c r="J169" s="135" t="str">
        <f t="shared" si="4"/>
        <v>-</v>
      </c>
      <c r="K169" s="152" t="str">
        <f t="shared" si="5"/>
        <v>-</v>
      </c>
      <c r="L169" s="136" t="str">
        <f t="shared" si="6"/>
        <v>-</v>
      </c>
      <c r="M169" s="176"/>
      <c r="N169" s="139">
        <f t="shared" si="7"/>
        <v>0</v>
      </c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</row>
    <row r="170">
      <c r="A170" s="74" t="str">
        <f t="shared" si="1"/>
        <v>Tuesday</v>
      </c>
      <c r="B170" s="49">
        <v>46294.0</v>
      </c>
      <c r="C170" s="106">
        <v>5.0</v>
      </c>
      <c r="D170" s="87"/>
      <c r="E170" s="131" t="str">
        <f>IFERROR(__xludf.DUMMYFUNCTION("IFNA(FILTER(BUY_SEP!$L$2:$L$1218, BUY_SEP!$H$2:$H$1218=B170, BUY_SEP!$I$2:$I$1218=C170), ""-"")"),"-")</f>
        <v>-</v>
      </c>
      <c r="F170" s="172" t="str">
        <f t="shared" si="2"/>
        <v>-</v>
      </c>
      <c r="G170" s="162"/>
      <c r="H170" s="134">
        <f t="shared" si="3"/>
        <v>0</v>
      </c>
      <c r="I170" s="100">
        <v>0.0</v>
      </c>
      <c r="J170" s="135" t="str">
        <f t="shared" si="4"/>
        <v>-</v>
      </c>
      <c r="K170" s="152" t="str">
        <f t="shared" si="5"/>
        <v>-</v>
      </c>
      <c r="L170" s="136" t="str">
        <f t="shared" si="6"/>
        <v>-</v>
      </c>
      <c r="M170" s="176"/>
      <c r="N170" s="139">
        <f t="shared" si="7"/>
        <v>0</v>
      </c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</row>
    <row r="171">
      <c r="A171" s="74" t="str">
        <f t="shared" si="1"/>
        <v>Wednesday</v>
      </c>
      <c r="B171" s="49">
        <v>46295.0</v>
      </c>
      <c r="C171" s="106">
        <v>5.0</v>
      </c>
      <c r="D171" s="87"/>
      <c r="E171" s="131" t="str">
        <f>IFERROR(__xludf.DUMMYFUNCTION("IFNA(FILTER(BUY_SEP!$L$2:$L$1218, BUY_SEP!$H$2:$H$1218=B171, BUY_SEP!$I$2:$I$1218=C171), ""-"")"),"-")</f>
        <v>-</v>
      </c>
      <c r="F171" s="172" t="str">
        <f t="shared" si="2"/>
        <v>-</v>
      </c>
      <c r="G171" s="162"/>
      <c r="H171" s="134">
        <f t="shared" si="3"/>
        <v>0</v>
      </c>
      <c r="I171" s="100">
        <v>0.0</v>
      </c>
      <c r="J171" s="135" t="str">
        <f t="shared" si="4"/>
        <v>-</v>
      </c>
      <c r="K171" s="152" t="str">
        <f t="shared" si="5"/>
        <v>-</v>
      </c>
      <c r="L171" s="136" t="str">
        <f t="shared" si="6"/>
        <v>-</v>
      </c>
      <c r="M171" s="176"/>
      <c r="N171" s="139">
        <f t="shared" si="7"/>
        <v>0</v>
      </c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</row>
    <row r="172">
      <c r="A172" s="74" t="str">
        <f t="shared" si="1"/>
        <v>Wednesday</v>
      </c>
      <c r="B172" s="49">
        <v>46295.0</v>
      </c>
      <c r="C172" s="187">
        <v>1.0</v>
      </c>
      <c r="D172" s="87"/>
      <c r="E172" s="131" t="str">
        <f>IFERROR(__xludf.DUMMYFUNCTION("IFNA(FILTER(BUY_SEP!$L$2:$L$1218, BUY_SEP!$H$2:$H$1218=B172, BUY_SEP!$I$2:$I$1218=C172), ""-"")"),"-")</f>
        <v>-</v>
      </c>
      <c r="F172" s="172" t="str">
        <f t="shared" si="2"/>
        <v>-</v>
      </c>
      <c r="G172" s="162"/>
      <c r="H172" s="134">
        <f t="shared" si="3"/>
        <v>0</v>
      </c>
      <c r="I172" s="100">
        <v>0.0</v>
      </c>
      <c r="J172" s="135" t="str">
        <f t="shared" si="4"/>
        <v>-</v>
      </c>
      <c r="K172" s="152" t="str">
        <f t="shared" si="5"/>
        <v>-</v>
      </c>
      <c r="L172" s="134" t="str">
        <f t="shared" si="6"/>
        <v>-</v>
      </c>
      <c r="M172" s="138"/>
      <c r="N172" s="139">
        <f t="shared" si="7"/>
        <v>0</v>
      </c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  <c r="AB172" s="159"/>
      <c r="AC172" s="159"/>
    </row>
    <row r="173">
      <c r="A173" s="74" t="str">
        <f t="shared" si="1"/>
        <v>Wednesday</v>
      </c>
      <c r="B173" s="49">
        <v>46295.0</v>
      </c>
      <c r="C173" s="150">
        <v>2.0</v>
      </c>
      <c r="D173" s="87"/>
      <c r="E173" s="131" t="str">
        <f>IFERROR(__xludf.DUMMYFUNCTION("IFNA(FILTER(BUY_SEP!$L$2:$L$1218, BUY_SEP!$H$2:$H$1218=B173, BUY_SEP!$I$2:$I$1218=C173), ""-"")"),"-")</f>
        <v>-</v>
      </c>
      <c r="F173" s="172" t="str">
        <f t="shared" si="2"/>
        <v>-</v>
      </c>
      <c r="G173" s="162"/>
      <c r="H173" s="134">
        <f t="shared" si="3"/>
        <v>0</v>
      </c>
      <c r="I173" s="100">
        <v>0.0</v>
      </c>
      <c r="J173" s="135" t="str">
        <f t="shared" si="4"/>
        <v>-</v>
      </c>
      <c r="K173" s="152" t="str">
        <f t="shared" si="5"/>
        <v>-</v>
      </c>
      <c r="L173" s="134" t="str">
        <f t="shared" si="6"/>
        <v>-</v>
      </c>
      <c r="M173" s="138"/>
      <c r="N173" s="139">
        <f t="shared" si="7"/>
        <v>0</v>
      </c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  <c r="AB173" s="159"/>
      <c r="AC173" s="159"/>
    </row>
    <row r="174">
      <c r="A174" s="74" t="str">
        <f t="shared" si="1"/>
        <v>Wednesday</v>
      </c>
      <c r="B174" s="49">
        <v>46295.0</v>
      </c>
      <c r="C174" s="150">
        <v>3.0</v>
      </c>
      <c r="D174" s="87"/>
      <c r="E174" s="131" t="str">
        <f>IFERROR(__xludf.DUMMYFUNCTION("IFNA(FILTER(BUY_SEP!$L$2:$L$1218, BUY_SEP!$H$2:$H$1218=B174, BUY_SEP!$I$2:$I$1218=C174), ""-"")"),"-")</f>
        <v>-</v>
      </c>
      <c r="F174" s="172" t="str">
        <f t="shared" si="2"/>
        <v>-</v>
      </c>
      <c r="G174" s="162"/>
      <c r="H174" s="134">
        <f t="shared" si="3"/>
        <v>0</v>
      </c>
      <c r="I174" s="100">
        <v>0.0</v>
      </c>
      <c r="J174" s="135" t="str">
        <f t="shared" si="4"/>
        <v>-</v>
      </c>
      <c r="K174" s="152" t="str">
        <f t="shared" si="5"/>
        <v>-</v>
      </c>
      <c r="L174" s="134" t="str">
        <f t="shared" si="6"/>
        <v>-</v>
      </c>
      <c r="M174" s="138"/>
      <c r="N174" s="139">
        <f t="shared" si="7"/>
        <v>0</v>
      </c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  <c r="AB174" s="159"/>
      <c r="AC174" s="159"/>
    </row>
    <row r="175">
      <c r="A175" s="74" t="str">
        <f t="shared" si="1"/>
        <v>Wednesday</v>
      </c>
      <c r="B175" s="49">
        <v>46295.0</v>
      </c>
      <c r="C175" s="150">
        <v>1.0</v>
      </c>
      <c r="D175" s="87"/>
      <c r="E175" s="131" t="str">
        <f>IFERROR(__xludf.DUMMYFUNCTION("IFNA(FILTER(BUY_SEP!$L$2:$L$1218, BUY_SEP!$H$2:$H$1218=B175, BUY_SEP!$I$2:$I$1218=C175), ""-"")"),"-")</f>
        <v>-</v>
      </c>
      <c r="F175" s="172" t="str">
        <f t="shared" si="2"/>
        <v>-</v>
      </c>
      <c r="G175" s="162"/>
      <c r="H175" s="134">
        <f t="shared" si="3"/>
        <v>0</v>
      </c>
      <c r="I175" s="100">
        <v>0.0</v>
      </c>
      <c r="J175" s="135" t="str">
        <f t="shared" si="4"/>
        <v>-</v>
      </c>
      <c r="K175" s="152" t="str">
        <f t="shared" si="5"/>
        <v>-</v>
      </c>
      <c r="L175" s="134" t="str">
        <f t="shared" si="6"/>
        <v>-</v>
      </c>
      <c r="M175" s="138"/>
      <c r="N175" s="139">
        <f t="shared" si="7"/>
        <v>0</v>
      </c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  <c r="AB175" s="159"/>
      <c r="AC175" s="159"/>
    </row>
    <row r="176">
      <c r="A176" s="74" t="str">
        <f t="shared" si="1"/>
        <v>Wednesday</v>
      </c>
      <c r="B176" s="49">
        <v>46295.0</v>
      </c>
      <c r="C176" s="150">
        <v>2.0</v>
      </c>
      <c r="D176" s="87"/>
      <c r="E176" s="131" t="str">
        <f>IFERROR(__xludf.DUMMYFUNCTION("IFNA(FILTER(BUY_SEP!$L$2:$L$1218, BUY_SEP!$H$2:$H$1218=B176, BUY_SEP!$I$2:$I$1218=C176), ""-"")"),"-")</f>
        <v>-</v>
      </c>
      <c r="F176" s="172" t="str">
        <f t="shared" si="2"/>
        <v>-</v>
      </c>
      <c r="G176" s="162"/>
      <c r="H176" s="134">
        <f t="shared" si="3"/>
        <v>0</v>
      </c>
      <c r="I176" s="100">
        <v>0.0</v>
      </c>
      <c r="J176" s="135" t="str">
        <f t="shared" si="4"/>
        <v>-</v>
      </c>
      <c r="K176" s="152" t="str">
        <f t="shared" si="5"/>
        <v>-</v>
      </c>
      <c r="L176" s="134" t="str">
        <f t="shared" si="6"/>
        <v>-</v>
      </c>
      <c r="M176" s="193"/>
      <c r="N176" s="139">
        <f t="shared" si="7"/>
        <v>0</v>
      </c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  <c r="AB176" s="159"/>
      <c r="AC176" s="159"/>
    </row>
    <row r="177">
      <c r="A177" s="74" t="str">
        <f t="shared" si="1"/>
        <v>Wednesday</v>
      </c>
      <c r="B177" s="49">
        <v>46295.0</v>
      </c>
      <c r="C177" s="150">
        <v>1.0</v>
      </c>
      <c r="D177" s="87"/>
      <c r="E177" s="131" t="str">
        <f>IFERROR(__xludf.DUMMYFUNCTION("IFNA(FILTER(BUY_SEP!$L$2:$L$1218, BUY_SEP!$H$2:$H$1218=B177, BUY_SEP!$I$2:$I$1218=C177), ""-"")"),"-")</f>
        <v>-</v>
      </c>
      <c r="F177" s="172" t="str">
        <f t="shared" si="2"/>
        <v>-</v>
      </c>
      <c r="G177" s="162"/>
      <c r="H177" s="134">
        <f t="shared" si="3"/>
        <v>0</v>
      </c>
      <c r="I177" s="100">
        <v>0.0</v>
      </c>
      <c r="J177" s="135" t="str">
        <f t="shared" si="4"/>
        <v>-</v>
      </c>
      <c r="K177" s="152" t="str">
        <f t="shared" si="5"/>
        <v>-</v>
      </c>
      <c r="L177" s="134" t="str">
        <f t="shared" si="6"/>
        <v>-</v>
      </c>
      <c r="M177" s="154"/>
      <c r="N177" s="139">
        <f t="shared" si="7"/>
        <v>0</v>
      </c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  <c r="AB177" s="159"/>
      <c r="AC177" s="159"/>
    </row>
    <row r="178">
      <c r="A178" s="74" t="str">
        <f t="shared" si="1"/>
        <v>Wednesday</v>
      </c>
      <c r="B178" s="49">
        <v>46295.0</v>
      </c>
      <c r="C178" s="150">
        <v>2.0</v>
      </c>
      <c r="D178" s="87"/>
      <c r="E178" s="131" t="str">
        <f>IFERROR(__xludf.DUMMYFUNCTION("IFNA(FILTER(BUY_SEP!$L$2:$L$1218, BUY_SEP!$H$2:$H$1218=B178, BUY_SEP!$I$2:$I$1218=C178), ""-"")"),"-")</f>
        <v>-</v>
      </c>
      <c r="F178" s="172" t="str">
        <f t="shared" si="2"/>
        <v>-</v>
      </c>
      <c r="G178" s="162"/>
      <c r="H178" s="134">
        <f t="shared" si="3"/>
        <v>0</v>
      </c>
      <c r="I178" s="100">
        <v>0.0</v>
      </c>
      <c r="J178" s="135" t="str">
        <f t="shared" si="4"/>
        <v>-</v>
      </c>
      <c r="K178" s="152" t="str">
        <f t="shared" si="5"/>
        <v>-</v>
      </c>
      <c r="L178" s="134" t="str">
        <f t="shared" si="6"/>
        <v>-</v>
      </c>
      <c r="M178" s="154"/>
      <c r="N178" s="139">
        <f t="shared" si="7"/>
        <v>0</v>
      </c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  <c r="AB178" s="159"/>
      <c r="AC178" s="159"/>
    </row>
    <row r="179">
      <c r="C179" s="104"/>
      <c r="D179" s="221"/>
    </row>
    <row r="180">
      <c r="C180" s="104"/>
      <c r="D180" s="221"/>
    </row>
    <row r="181">
      <c r="C181" s="104"/>
      <c r="D181" s="221"/>
    </row>
    <row r="182">
      <c r="C182" s="104"/>
      <c r="D182" s="221"/>
    </row>
    <row r="183">
      <c r="C183" s="104"/>
      <c r="D183" s="221"/>
    </row>
    <row r="184">
      <c r="C184" s="104"/>
      <c r="D184" s="221"/>
    </row>
    <row r="185">
      <c r="C185" s="104"/>
      <c r="D185" s="221"/>
    </row>
    <row r="186">
      <c r="C186" s="104"/>
      <c r="D186" s="221"/>
    </row>
    <row r="187">
      <c r="C187" s="104"/>
      <c r="D187" s="221"/>
    </row>
    <row r="188">
      <c r="C188" s="104"/>
      <c r="D188" s="221"/>
    </row>
    <row r="189">
      <c r="C189" s="104"/>
      <c r="D189" s="221"/>
    </row>
    <row r="190">
      <c r="C190" s="104"/>
      <c r="D190" s="221"/>
    </row>
    <row r="191">
      <c r="C191" s="104"/>
      <c r="D191" s="221"/>
    </row>
    <row r="192">
      <c r="C192" s="104"/>
      <c r="D192" s="221"/>
    </row>
    <row r="193">
      <c r="C193" s="104"/>
      <c r="D193" s="221"/>
    </row>
    <row r="194">
      <c r="C194" s="104"/>
      <c r="D194" s="221"/>
    </row>
    <row r="195">
      <c r="C195" s="104"/>
      <c r="D195" s="221"/>
    </row>
    <row r="196">
      <c r="C196" s="104"/>
      <c r="D196" s="221"/>
    </row>
    <row r="197">
      <c r="C197" s="104"/>
      <c r="D197" s="221"/>
    </row>
    <row r="198">
      <c r="C198" s="104"/>
      <c r="D198" s="221"/>
    </row>
    <row r="199">
      <c r="C199" s="104"/>
      <c r="D199" s="221"/>
    </row>
    <row r="200">
      <c r="C200" s="104"/>
      <c r="D200" s="221"/>
    </row>
    <row r="201">
      <c r="C201" s="104"/>
      <c r="D201" s="221"/>
    </row>
    <row r="202">
      <c r="C202" s="104"/>
      <c r="D202" s="221"/>
    </row>
    <row r="203">
      <c r="C203" s="104"/>
      <c r="D203" s="221"/>
    </row>
    <row r="204">
      <c r="C204" s="104"/>
      <c r="D204" s="221"/>
    </row>
    <row r="205">
      <c r="C205" s="104"/>
      <c r="D205" s="221"/>
    </row>
    <row r="206">
      <c r="C206" s="104"/>
      <c r="D206" s="221"/>
    </row>
    <row r="207">
      <c r="C207" s="104"/>
      <c r="D207" s="221"/>
    </row>
    <row r="208">
      <c r="C208" s="104"/>
      <c r="D208" s="221"/>
    </row>
    <row r="209">
      <c r="C209" s="104"/>
      <c r="D209" s="221"/>
    </row>
    <row r="210">
      <c r="C210" s="104"/>
      <c r="D210" s="221"/>
    </row>
    <row r="211">
      <c r="C211" s="104"/>
      <c r="D211" s="221"/>
    </row>
    <row r="212">
      <c r="C212" s="104"/>
      <c r="D212" s="221"/>
    </row>
    <row r="213">
      <c r="C213" s="104"/>
      <c r="D213" s="221"/>
    </row>
    <row r="214">
      <c r="C214" s="104"/>
      <c r="D214" s="221"/>
    </row>
    <row r="215">
      <c r="C215" s="104"/>
      <c r="D215" s="221"/>
    </row>
    <row r="216">
      <c r="C216" s="104"/>
      <c r="D216" s="221"/>
    </row>
    <row r="217">
      <c r="C217" s="104"/>
      <c r="D217" s="221"/>
    </row>
    <row r="218">
      <c r="C218" s="104"/>
      <c r="D218" s="221"/>
    </row>
    <row r="219">
      <c r="C219" s="104"/>
      <c r="D219" s="221"/>
    </row>
    <row r="220">
      <c r="C220" s="104"/>
      <c r="D220" s="221"/>
    </row>
    <row r="221">
      <c r="C221" s="104"/>
      <c r="D221" s="221"/>
    </row>
    <row r="222">
      <c r="C222" s="104"/>
      <c r="D222" s="221"/>
    </row>
    <row r="223">
      <c r="C223" s="104"/>
      <c r="D223" s="221"/>
    </row>
    <row r="224">
      <c r="C224" s="104"/>
      <c r="D224" s="221"/>
    </row>
    <row r="225">
      <c r="C225" s="104"/>
      <c r="D225" s="221"/>
    </row>
    <row r="226">
      <c r="C226" s="104"/>
      <c r="D226" s="221"/>
    </row>
    <row r="227">
      <c r="C227" s="104"/>
      <c r="D227" s="221"/>
    </row>
    <row r="228">
      <c r="C228" s="104"/>
      <c r="D228" s="221"/>
    </row>
    <row r="229">
      <c r="C229" s="104"/>
      <c r="D229" s="221"/>
    </row>
    <row r="230">
      <c r="C230" s="104"/>
      <c r="D230" s="221"/>
    </row>
    <row r="231">
      <c r="C231" s="104"/>
      <c r="D231" s="221"/>
    </row>
    <row r="232">
      <c r="C232" s="104"/>
      <c r="D232" s="221"/>
    </row>
    <row r="233">
      <c r="C233" s="104"/>
      <c r="D233" s="221"/>
    </row>
    <row r="234">
      <c r="C234" s="104"/>
      <c r="D234" s="221"/>
    </row>
    <row r="235">
      <c r="C235" s="104"/>
      <c r="D235" s="221"/>
    </row>
    <row r="236">
      <c r="C236" s="104"/>
      <c r="D236" s="221"/>
    </row>
    <row r="237">
      <c r="C237" s="104"/>
      <c r="D237" s="221"/>
    </row>
    <row r="238">
      <c r="C238" s="104"/>
      <c r="D238" s="221"/>
    </row>
    <row r="239">
      <c r="C239" s="104"/>
      <c r="D239" s="221"/>
    </row>
    <row r="240">
      <c r="C240" s="104"/>
      <c r="D240" s="221"/>
    </row>
    <row r="241">
      <c r="C241" s="104"/>
      <c r="D241" s="221"/>
    </row>
    <row r="242">
      <c r="C242" s="104"/>
      <c r="D242" s="221"/>
    </row>
    <row r="243">
      <c r="C243" s="104"/>
      <c r="D243" s="221"/>
    </row>
    <row r="244">
      <c r="C244" s="104"/>
      <c r="D244" s="221"/>
    </row>
    <row r="245">
      <c r="C245" s="104"/>
      <c r="D245" s="221"/>
    </row>
    <row r="246">
      <c r="C246" s="104"/>
      <c r="D246" s="221"/>
    </row>
    <row r="247">
      <c r="C247" s="104"/>
      <c r="D247" s="221"/>
    </row>
    <row r="248">
      <c r="C248" s="104"/>
      <c r="D248" s="221"/>
    </row>
    <row r="249">
      <c r="C249" s="104"/>
      <c r="D249" s="221"/>
    </row>
    <row r="250">
      <c r="C250" s="104"/>
      <c r="D250" s="221"/>
    </row>
    <row r="251">
      <c r="C251" s="104"/>
      <c r="D251" s="221"/>
    </row>
    <row r="252">
      <c r="C252" s="104"/>
      <c r="D252" s="221"/>
    </row>
    <row r="253">
      <c r="C253" s="104"/>
      <c r="D253" s="221"/>
    </row>
    <row r="254">
      <c r="C254" s="104"/>
      <c r="D254" s="221"/>
    </row>
    <row r="255">
      <c r="C255" s="104"/>
      <c r="D255" s="221"/>
    </row>
    <row r="256">
      <c r="C256" s="104"/>
      <c r="D256" s="221"/>
    </row>
    <row r="257">
      <c r="C257" s="104"/>
      <c r="D257" s="221"/>
    </row>
    <row r="258">
      <c r="C258" s="104"/>
      <c r="D258" s="221"/>
    </row>
    <row r="259">
      <c r="C259" s="104"/>
      <c r="D259" s="221"/>
    </row>
    <row r="260">
      <c r="C260" s="104"/>
      <c r="D260" s="221"/>
    </row>
    <row r="261">
      <c r="C261" s="104"/>
      <c r="D261" s="221"/>
    </row>
    <row r="262">
      <c r="C262" s="104"/>
      <c r="D262" s="221"/>
    </row>
    <row r="263">
      <c r="C263" s="104"/>
      <c r="D263" s="221"/>
    </row>
    <row r="264">
      <c r="C264" s="104"/>
      <c r="D264" s="221"/>
    </row>
    <row r="265">
      <c r="C265" s="104"/>
      <c r="D265" s="221"/>
    </row>
    <row r="266">
      <c r="C266" s="104"/>
      <c r="D266" s="221"/>
    </row>
    <row r="267">
      <c r="C267" s="104"/>
      <c r="D267" s="221"/>
    </row>
    <row r="268">
      <c r="C268" s="104"/>
      <c r="D268" s="221"/>
    </row>
    <row r="269">
      <c r="C269" s="104"/>
      <c r="D269" s="221"/>
    </row>
    <row r="270">
      <c r="C270" s="104"/>
      <c r="D270" s="221"/>
    </row>
    <row r="271">
      <c r="C271" s="104"/>
      <c r="D271" s="221"/>
    </row>
    <row r="272">
      <c r="C272" s="104"/>
      <c r="D272" s="221"/>
    </row>
    <row r="273">
      <c r="C273" s="104"/>
      <c r="D273" s="221"/>
    </row>
    <row r="274">
      <c r="C274" s="104"/>
      <c r="D274" s="221"/>
    </row>
    <row r="275">
      <c r="C275" s="104"/>
      <c r="D275" s="221"/>
    </row>
    <row r="276">
      <c r="C276" s="104"/>
      <c r="D276" s="221"/>
    </row>
    <row r="277">
      <c r="C277" s="104"/>
      <c r="D277" s="221"/>
    </row>
    <row r="278">
      <c r="C278" s="104"/>
      <c r="D278" s="221"/>
    </row>
    <row r="279">
      <c r="C279" s="104"/>
      <c r="D279" s="221"/>
    </row>
    <row r="280">
      <c r="C280" s="104"/>
      <c r="D280" s="221"/>
    </row>
    <row r="281">
      <c r="C281" s="104"/>
      <c r="D281" s="221"/>
    </row>
    <row r="282">
      <c r="C282" s="104"/>
      <c r="D282" s="221"/>
    </row>
    <row r="283">
      <c r="C283" s="104"/>
      <c r="D283" s="221"/>
    </row>
    <row r="284">
      <c r="C284" s="104"/>
      <c r="D284" s="221"/>
    </row>
    <row r="285">
      <c r="C285" s="104"/>
      <c r="D285" s="221"/>
    </row>
    <row r="286">
      <c r="C286" s="104"/>
      <c r="D286" s="221"/>
    </row>
    <row r="287">
      <c r="C287" s="104"/>
      <c r="D287" s="221"/>
    </row>
    <row r="288">
      <c r="C288" s="104"/>
      <c r="D288" s="221"/>
    </row>
    <row r="289">
      <c r="C289" s="104"/>
      <c r="D289" s="221"/>
    </row>
    <row r="290">
      <c r="C290" s="104"/>
      <c r="D290" s="221"/>
    </row>
    <row r="291">
      <c r="C291" s="104"/>
      <c r="D291" s="221"/>
    </row>
    <row r="292">
      <c r="C292" s="104"/>
      <c r="D292" s="221"/>
    </row>
    <row r="293">
      <c r="C293" s="104"/>
      <c r="D293" s="221"/>
    </row>
    <row r="294">
      <c r="C294" s="104"/>
      <c r="D294" s="221"/>
    </row>
    <row r="295">
      <c r="C295" s="104"/>
      <c r="D295" s="221"/>
    </row>
    <row r="296">
      <c r="C296" s="104"/>
      <c r="D296" s="221"/>
    </row>
    <row r="297">
      <c r="C297" s="104"/>
      <c r="D297" s="221"/>
    </row>
    <row r="298">
      <c r="C298" s="104"/>
      <c r="D298" s="221"/>
    </row>
    <row r="299">
      <c r="C299" s="104"/>
      <c r="D299" s="221"/>
    </row>
    <row r="300">
      <c r="C300" s="104"/>
      <c r="D300" s="221"/>
    </row>
    <row r="301">
      <c r="C301" s="104"/>
      <c r="D301" s="221"/>
    </row>
    <row r="302">
      <c r="C302" s="104"/>
      <c r="D302" s="221"/>
    </row>
    <row r="303">
      <c r="C303" s="104"/>
      <c r="D303" s="221"/>
    </row>
    <row r="304">
      <c r="C304" s="104"/>
      <c r="D304" s="221"/>
    </row>
    <row r="305">
      <c r="C305" s="104"/>
      <c r="D305" s="221"/>
    </row>
    <row r="306">
      <c r="C306" s="104"/>
      <c r="D306" s="221"/>
    </row>
    <row r="307">
      <c r="C307" s="104"/>
      <c r="D307" s="221"/>
    </row>
    <row r="308">
      <c r="C308" s="104"/>
      <c r="D308" s="221"/>
    </row>
    <row r="309">
      <c r="C309" s="104"/>
      <c r="D309" s="221"/>
    </row>
    <row r="310">
      <c r="C310" s="104"/>
      <c r="D310" s="221"/>
    </row>
    <row r="311">
      <c r="C311" s="104"/>
      <c r="D311" s="221"/>
    </row>
    <row r="312">
      <c r="C312" s="104"/>
      <c r="D312" s="221"/>
    </row>
    <row r="313">
      <c r="C313" s="104"/>
      <c r="D313" s="221"/>
    </row>
    <row r="314">
      <c r="C314" s="104"/>
      <c r="D314" s="221"/>
    </row>
    <row r="315">
      <c r="C315" s="104"/>
      <c r="D315" s="221"/>
    </row>
    <row r="316">
      <c r="C316" s="104"/>
      <c r="D316" s="221"/>
    </row>
    <row r="317">
      <c r="C317" s="104"/>
      <c r="D317" s="221"/>
    </row>
    <row r="318">
      <c r="C318" s="104"/>
      <c r="D318" s="221"/>
    </row>
    <row r="319">
      <c r="C319" s="104"/>
      <c r="D319" s="221"/>
    </row>
    <row r="320">
      <c r="C320" s="104"/>
      <c r="D320" s="221"/>
    </row>
    <row r="321">
      <c r="C321" s="104"/>
      <c r="D321" s="221"/>
    </row>
    <row r="322">
      <c r="C322" s="104"/>
      <c r="D322" s="221"/>
    </row>
    <row r="323">
      <c r="C323" s="104"/>
      <c r="D323" s="221"/>
    </row>
    <row r="324">
      <c r="C324" s="104"/>
      <c r="D324" s="221"/>
    </row>
    <row r="325">
      <c r="C325" s="104"/>
      <c r="D325" s="221"/>
    </row>
    <row r="326">
      <c r="C326" s="104"/>
      <c r="D326" s="221"/>
    </row>
    <row r="327">
      <c r="C327" s="104"/>
      <c r="D327" s="221"/>
    </row>
    <row r="328">
      <c r="C328" s="104"/>
      <c r="D328" s="221"/>
    </row>
    <row r="329">
      <c r="C329" s="104"/>
      <c r="D329" s="221"/>
    </row>
    <row r="330">
      <c r="C330" s="104"/>
      <c r="D330" s="221"/>
    </row>
    <row r="331">
      <c r="C331" s="104"/>
      <c r="D331" s="221"/>
    </row>
    <row r="332">
      <c r="C332" s="104"/>
      <c r="D332" s="221"/>
    </row>
    <row r="333">
      <c r="C333" s="104"/>
      <c r="D333" s="221"/>
    </row>
    <row r="334">
      <c r="C334" s="104"/>
      <c r="D334" s="221"/>
    </row>
    <row r="335">
      <c r="C335" s="104"/>
      <c r="D335" s="221"/>
    </row>
    <row r="336">
      <c r="C336" s="104"/>
      <c r="D336" s="221"/>
    </row>
    <row r="337">
      <c r="C337" s="104"/>
      <c r="D337" s="221"/>
    </row>
    <row r="338">
      <c r="C338" s="104"/>
      <c r="D338" s="221"/>
    </row>
    <row r="339">
      <c r="C339" s="104"/>
      <c r="D339" s="221"/>
    </row>
    <row r="340">
      <c r="C340" s="104"/>
      <c r="D340" s="221"/>
    </row>
    <row r="341">
      <c r="C341" s="104"/>
      <c r="D341" s="221"/>
    </row>
    <row r="342">
      <c r="C342" s="104"/>
      <c r="D342" s="221"/>
    </row>
    <row r="343">
      <c r="C343" s="104"/>
      <c r="D343" s="221"/>
    </row>
    <row r="344">
      <c r="C344" s="104"/>
      <c r="D344" s="221"/>
    </row>
    <row r="345">
      <c r="C345" s="104"/>
      <c r="D345" s="221"/>
    </row>
    <row r="346">
      <c r="C346" s="104"/>
      <c r="D346" s="221"/>
    </row>
    <row r="347">
      <c r="C347" s="104"/>
      <c r="D347" s="221"/>
    </row>
    <row r="348">
      <c r="C348" s="104"/>
      <c r="D348" s="221"/>
    </row>
    <row r="349">
      <c r="C349" s="104"/>
      <c r="D349" s="221"/>
    </row>
    <row r="350">
      <c r="C350" s="104"/>
      <c r="D350" s="221"/>
    </row>
    <row r="351">
      <c r="C351" s="104"/>
      <c r="D351" s="221"/>
    </row>
    <row r="352">
      <c r="C352" s="104"/>
      <c r="D352" s="221"/>
    </row>
    <row r="353">
      <c r="C353" s="104"/>
      <c r="D353" s="221"/>
    </row>
    <row r="354">
      <c r="C354" s="104"/>
      <c r="D354" s="221"/>
    </row>
    <row r="355">
      <c r="C355" s="104"/>
      <c r="D355" s="221"/>
    </row>
    <row r="356">
      <c r="C356" s="104"/>
      <c r="D356" s="221"/>
    </row>
    <row r="357">
      <c r="C357" s="104"/>
      <c r="D357" s="221"/>
    </row>
    <row r="358">
      <c r="C358" s="104"/>
      <c r="D358" s="221"/>
    </row>
    <row r="359">
      <c r="C359" s="104"/>
      <c r="D359" s="221"/>
    </row>
    <row r="360">
      <c r="C360" s="104"/>
      <c r="D360" s="221"/>
    </row>
    <row r="361">
      <c r="C361" s="104"/>
      <c r="D361" s="221"/>
    </row>
    <row r="362">
      <c r="C362" s="104"/>
      <c r="D362" s="221"/>
    </row>
    <row r="363">
      <c r="C363" s="104"/>
      <c r="D363" s="221"/>
    </row>
    <row r="364">
      <c r="C364" s="104"/>
      <c r="D364" s="221"/>
    </row>
    <row r="365">
      <c r="C365" s="104"/>
      <c r="D365" s="221"/>
    </row>
    <row r="366">
      <c r="C366" s="104"/>
      <c r="D366" s="221"/>
    </row>
    <row r="367">
      <c r="C367" s="104"/>
      <c r="D367" s="221"/>
    </row>
    <row r="368">
      <c r="C368" s="104"/>
      <c r="D368" s="221"/>
    </row>
    <row r="369">
      <c r="C369" s="104"/>
      <c r="D369" s="221"/>
    </row>
    <row r="370">
      <c r="C370" s="104"/>
      <c r="D370" s="221"/>
    </row>
    <row r="371">
      <c r="C371" s="104"/>
      <c r="D371" s="221"/>
    </row>
    <row r="372">
      <c r="C372" s="104"/>
      <c r="D372" s="221"/>
    </row>
    <row r="373">
      <c r="C373" s="104"/>
      <c r="D373" s="221"/>
    </row>
    <row r="374">
      <c r="C374" s="104"/>
      <c r="D374" s="221"/>
    </row>
    <row r="375">
      <c r="C375" s="104"/>
      <c r="D375" s="221"/>
    </row>
    <row r="376">
      <c r="C376" s="104"/>
      <c r="D376" s="221"/>
    </row>
    <row r="377">
      <c r="C377" s="104"/>
      <c r="D377" s="221"/>
    </row>
    <row r="378">
      <c r="C378" s="104"/>
      <c r="D378" s="221"/>
    </row>
    <row r="379">
      <c r="C379" s="104"/>
      <c r="D379" s="221"/>
    </row>
    <row r="380">
      <c r="C380" s="104"/>
      <c r="D380" s="221"/>
    </row>
    <row r="381">
      <c r="C381" s="104"/>
      <c r="D381" s="221"/>
    </row>
    <row r="382">
      <c r="C382" s="104"/>
      <c r="D382" s="221"/>
    </row>
    <row r="383">
      <c r="C383" s="104"/>
      <c r="D383" s="221"/>
    </row>
    <row r="384">
      <c r="C384" s="104"/>
      <c r="D384" s="221"/>
    </row>
    <row r="385">
      <c r="C385" s="104"/>
      <c r="D385" s="221"/>
    </row>
    <row r="386">
      <c r="C386" s="104"/>
      <c r="D386" s="221"/>
    </row>
    <row r="387">
      <c r="C387" s="104"/>
      <c r="D387" s="221"/>
    </row>
    <row r="388">
      <c r="C388" s="104"/>
      <c r="D388" s="221"/>
    </row>
    <row r="389">
      <c r="C389" s="104"/>
      <c r="D389" s="221"/>
    </row>
    <row r="390">
      <c r="C390" s="104"/>
      <c r="D390" s="221"/>
    </row>
    <row r="391">
      <c r="C391" s="104"/>
      <c r="D391" s="221"/>
    </row>
    <row r="392">
      <c r="C392" s="104"/>
      <c r="D392" s="221"/>
    </row>
    <row r="393">
      <c r="C393" s="104"/>
      <c r="D393" s="221"/>
    </row>
    <row r="394">
      <c r="C394" s="104"/>
      <c r="D394" s="221"/>
    </row>
    <row r="395">
      <c r="C395" s="104"/>
      <c r="D395" s="221"/>
    </row>
    <row r="396">
      <c r="C396" s="104"/>
      <c r="D396" s="221"/>
    </row>
    <row r="397">
      <c r="C397" s="104"/>
      <c r="D397" s="221"/>
    </row>
    <row r="398">
      <c r="C398" s="104"/>
      <c r="D398" s="221"/>
    </row>
    <row r="399">
      <c r="C399" s="104"/>
      <c r="D399" s="221"/>
    </row>
    <row r="400">
      <c r="C400" s="104"/>
      <c r="D400" s="221"/>
    </row>
    <row r="401">
      <c r="C401" s="104"/>
      <c r="D401" s="221"/>
    </row>
    <row r="402">
      <c r="C402" s="104"/>
      <c r="D402" s="221"/>
    </row>
    <row r="403">
      <c r="C403" s="104"/>
      <c r="D403" s="221"/>
    </row>
    <row r="404">
      <c r="C404" s="104"/>
      <c r="D404" s="221"/>
    </row>
    <row r="405">
      <c r="C405" s="104"/>
      <c r="D405" s="221"/>
    </row>
    <row r="406">
      <c r="C406" s="104"/>
      <c r="D406" s="221"/>
    </row>
    <row r="407">
      <c r="C407" s="104"/>
      <c r="D407" s="221"/>
    </row>
    <row r="408">
      <c r="C408" s="104"/>
      <c r="D408" s="221"/>
    </row>
    <row r="409">
      <c r="C409" s="104"/>
      <c r="D409" s="221"/>
    </row>
    <row r="410">
      <c r="C410" s="104"/>
      <c r="D410" s="221"/>
    </row>
    <row r="411">
      <c r="C411" s="104"/>
      <c r="D411" s="221"/>
    </row>
    <row r="412">
      <c r="C412" s="104"/>
      <c r="D412" s="221"/>
    </row>
    <row r="413">
      <c r="C413" s="104"/>
      <c r="D413" s="221"/>
    </row>
    <row r="414">
      <c r="C414" s="104"/>
      <c r="D414" s="221"/>
    </row>
    <row r="415">
      <c r="C415" s="104"/>
      <c r="D415" s="221"/>
    </row>
    <row r="416">
      <c r="C416" s="104"/>
      <c r="D416" s="221"/>
    </row>
    <row r="417">
      <c r="C417" s="104"/>
      <c r="D417" s="221"/>
    </row>
    <row r="418">
      <c r="C418" s="104"/>
      <c r="D418" s="221"/>
    </row>
    <row r="419">
      <c r="C419" s="104"/>
      <c r="D419" s="221"/>
    </row>
    <row r="420">
      <c r="C420" s="104"/>
      <c r="D420" s="221"/>
    </row>
    <row r="421">
      <c r="C421" s="104"/>
      <c r="D421" s="221"/>
    </row>
    <row r="422">
      <c r="C422" s="104"/>
      <c r="D422" s="221"/>
    </row>
    <row r="423">
      <c r="C423" s="104"/>
      <c r="D423" s="221"/>
    </row>
    <row r="424">
      <c r="C424" s="104"/>
      <c r="D424" s="221"/>
    </row>
    <row r="425">
      <c r="C425" s="104"/>
      <c r="D425" s="221"/>
    </row>
    <row r="426">
      <c r="C426" s="104"/>
      <c r="D426" s="221"/>
    </row>
    <row r="427">
      <c r="C427" s="104"/>
      <c r="D427" s="221"/>
    </row>
    <row r="428">
      <c r="C428" s="104"/>
      <c r="D428" s="221"/>
    </row>
    <row r="429">
      <c r="C429" s="104"/>
      <c r="D429" s="221"/>
    </row>
    <row r="430">
      <c r="C430" s="104"/>
      <c r="D430" s="221"/>
    </row>
    <row r="431">
      <c r="C431" s="104"/>
      <c r="D431" s="221"/>
    </row>
    <row r="432">
      <c r="C432" s="104"/>
      <c r="D432" s="221"/>
    </row>
    <row r="433">
      <c r="C433" s="104"/>
      <c r="D433" s="221"/>
    </row>
    <row r="434">
      <c r="C434" s="104"/>
      <c r="D434" s="221"/>
    </row>
    <row r="435">
      <c r="C435" s="104"/>
      <c r="D435" s="221"/>
    </row>
    <row r="436">
      <c r="C436" s="104"/>
      <c r="D436" s="221"/>
    </row>
    <row r="437">
      <c r="C437" s="104"/>
      <c r="D437" s="221"/>
    </row>
    <row r="438">
      <c r="C438" s="104"/>
      <c r="D438" s="221"/>
    </row>
    <row r="439">
      <c r="C439" s="104"/>
      <c r="D439" s="221"/>
    </row>
    <row r="440">
      <c r="C440" s="104"/>
      <c r="D440" s="221"/>
    </row>
    <row r="441">
      <c r="C441" s="104"/>
      <c r="D441" s="221"/>
    </row>
    <row r="442">
      <c r="C442" s="104"/>
      <c r="D442" s="221"/>
    </row>
    <row r="443">
      <c r="C443" s="104"/>
      <c r="D443" s="221"/>
    </row>
    <row r="444">
      <c r="C444" s="104"/>
      <c r="D444" s="221"/>
    </row>
    <row r="445">
      <c r="C445" s="104"/>
      <c r="D445" s="221"/>
    </row>
    <row r="446">
      <c r="C446" s="104"/>
      <c r="D446" s="221"/>
    </row>
    <row r="447">
      <c r="C447" s="104"/>
      <c r="D447" s="221"/>
    </row>
    <row r="448">
      <c r="C448" s="104"/>
      <c r="D448" s="221"/>
    </row>
    <row r="449">
      <c r="C449" s="104"/>
      <c r="D449" s="221"/>
    </row>
    <row r="450">
      <c r="C450" s="104"/>
      <c r="D450" s="221"/>
    </row>
    <row r="451">
      <c r="C451" s="104"/>
      <c r="D451" s="221"/>
    </row>
    <row r="452">
      <c r="C452" s="104"/>
      <c r="D452" s="221"/>
    </row>
    <row r="453">
      <c r="C453" s="104"/>
      <c r="D453" s="221"/>
    </row>
    <row r="454">
      <c r="C454" s="104"/>
      <c r="D454" s="221"/>
    </row>
    <row r="455">
      <c r="C455" s="104"/>
      <c r="D455" s="221"/>
    </row>
    <row r="456">
      <c r="C456" s="104"/>
      <c r="D456" s="221"/>
    </row>
    <row r="457">
      <c r="C457" s="104"/>
      <c r="D457" s="221"/>
    </row>
    <row r="458">
      <c r="C458" s="104"/>
      <c r="D458" s="221"/>
    </row>
    <row r="459">
      <c r="C459" s="104"/>
      <c r="D459" s="221"/>
    </row>
    <row r="460">
      <c r="C460" s="104"/>
      <c r="D460" s="221"/>
    </row>
    <row r="461">
      <c r="C461" s="104"/>
      <c r="D461" s="221"/>
    </row>
    <row r="462">
      <c r="C462" s="104"/>
      <c r="D462" s="221"/>
    </row>
    <row r="463">
      <c r="C463" s="104"/>
      <c r="D463" s="221"/>
    </row>
    <row r="464">
      <c r="C464" s="104"/>
      <c r="D464" s="221"/>
    </row>
    <row r="465">
      <c r="C465" s="104"/>
      <c r="D465" s="221"/>
    </row>
    <row r="466">
      <c r="C466" s="104"/>
      <c r="D466" s="221"/>
    </row>
    <row r="467">
      <c r="C467" s="104"/>
      <c r="D467" s="221"/>
    </row>
    <row r="468">
      <c r="C468" s="104"/>
      <c r="D468" s="221"/>
    </row>
    <row r="469">
      <c r="C469" s="104"/>
      <c r="D469" s="221"/>
    </row>
    <row r="470">
      <c r="C470" s="104"/>
      <c r="D470" s="221"/>
    </row>
    <row r="471">
      <c r="C471" s="104"/>
      <c r="D471" s="221"/>
    </row>
    <row r="472">
      <c r="C472" s="104"/>
      <c r="D472" s="221"/>
    </row>
    <row r="473">
      <c r="C473" s="104"/>
      <c r="D473" s="221"/>
    </row>
    <row r="474">
      <c r="C474" s="104"/>
      <c r="D474" s="221"/>
    </row>
    <row r="475">
      <c r="C475" s="104"/>
      <c r="D475" s="221"/>
    </row>
    <row r="476">
      <c r="C476" s="104"/>
      <c r="D476" s="221"/>
    </row>
    <row r="477">
      <c r="C477" s="104"/>
      <c r="D477" s="221"/>
    </row>
    <row r="478">
      <c r="C478" s="104"/>
      <c r="D478" s="221"/>
    </row>
    <row r="479">
      <c r="C479" s="104"/>
      <c r="D479" s="221"/>
    </row>
    <row r="480">
      <c r="C480" s="104"/>
      <c r="D480" s="221"/>
    </row>
    <row r="481">
      <c r="C481" s="104"/>
      <c r="D481" s="221"/>
    </row>
    <row r="482">
      <c r="C482" s="104"/>
      <c r="D482" s="221"/>
    </row>
    <row r="483">
      <c r="C483" s="104"/>
      <c r="D483" s="221"/>
    </row>
    <row r="484">
      <c r="C484" s="104"/>
      <c r="D484" s="221"/>
    </row>
    <row r="485">
      <c r="C485" s="104"/>
      <c r="D485" s="221"/>
    </row>
    <row r="486">
      <c r="C486" s="104"/>
      <c r="D486" s="221"/>
    </row>
    <row r="487">
      <c r="C487" s="104"/>
      <c r="D487" s="221"/>
    </row>
    <row r="488">
      <c r="C488" s="104"/>
      <c r="D488" s="221"/>
    </row>
    <row r="489">
      <c r="C489" s="104"/>
      <c r="D489" s="221"/>
    </row>
    <row r="490">
      <c r="C490" s="104"/>
      <c r="D490" s="221"/>
    </row>
    <row r="491">
      <c r="C491" s="104"/>
      <c r="D491" s="221"/>
    </row>
    <row r="492">
      <c r="C492" s="104"/>
      <c r="D492" s="221"/>
    </row>
    <row r="493">
      <c r="C493" s="104"/>
      <c r="D493" s="221"/>
    </row>
    <row r="494">
      <c r="C494" s="104"/>
      <c r="D494" s="221"/>
    </row>
    <row r="495">
      <c r="C495" s="104"/>
      <c r="D495" s="221"/>
    </row>
    <row r="496">
      <c r="C496" s="104"/>
      <c r="D496" s="221"/>
    </row>
    <row r="497">
      <c r="C497" s="104"/>
      <c r="D497" s="221"/>
    </row>
    <row r="498">
      <c r="C498" s="104"/>
      <c r="D498" s="221"/>
    </row>
    <row r="499">
      <c r="C499" s="104"/>
      <c r="D499" s="221"/>
    </row>
    <row r="500">
      <c r="C500" s="104"/>
      <c r="D500" s="221"/>
    </row>
    <row r="501">
      <c r="C501" s="104"/>
      <c r="D501" s="221"/>
    </row>
    <row r="502">
      <c r="C502" s="104"/>
      <c r="D502" s="221"/>
    </row>
    <row r="503">
      <c r="C503" s="104"/>
      <c r="D503" s="221"/>
    </row>
    <row r="504">
      <c r="C504" s="104"/>
      <c r="D504" s="221"/>
    </row>
    <row r="505">
      <c r="C505" s="104"/>
      <c r="D505" s="221"/>
    </row>
    <row r="506">
      <c r="C506" s="104"/>
      <c r="D506" s="221"/>
    </row>
    <row r="507">
      <c r="C507" s="104"/>
      <c r="D507" s="221"/>
    </row>
    <row r="508">
      <c r="C508" s="104"/>
      <c r="D508" s="221"/>
    </row>
    <row r="509">
      <c r="C509" s="104"/>
      <c r="D509" s="221"/>
    </row>
    <row r="510">
      <c r="C510" s="104"/>
      <c r="D510" s="221"/>
    </row>
    <row r="511">
      <c r="C511" s="104"/>
      <c r="D511" s="221"/>
    </row>
    <row r="512">
      <c r="C512" s="104"/>
      <c r="D512" s="221"/>
    </row>
    <row r="513">
      <c r="C513" s="104"/>
      <c r="D513" s="221"/>
    </row>
    <row r="514">
      <c r="C514" s="104"/>
      <c r="D514" s="221"/>
    </row>
    <row r="515">
      <c r="C515" s="104"/>
      <c r="D515" s="221"/>
    </row>
    <row r="516">
      <c r="C516" s="104"/>
      <c r="D516" s="221"/>
    </row>
    <row r="517">
      <c r="C517" s="104"/>
      <c r="D517" s="221"/>
    </row>
    <row r="518">
      <c r="C518" s="104"/>
      <c r="D518" s="221"/>
    </row>
    <row r="519">
      <c r="C519" s="104"/>
      <c r="D519" s="221"/>
    </row>
    <row r="520">
      <c r="C520" s="104"/>
      <c r="D520" s="221"/>
    </row>
    <row r="521">
      <c r="C521" s="104"/>
      <c r="D521" s="221"/>
    </row>
    <row r="522">
      <c r="C522" s="104"/>
      <c r="D522" s="221"/>
    </row>
    <row r="523">
      <c r="C523" s="104"/>
      <c r="D523" s="221"/>
    </row>
    <row r="524">
      <c r="C524" s="104"/>
      <c r="D524" s="221"/>
    </row>
    <row r="525">
      <c r="C525" s="104"/>
      <c r="D525" s="221"/>
    </row>
    <row r="526">
      <c r="C526" s="104"/>
      <c r="D526" s="221"/>
    </row>
    <row r="527">
      <c r="C527" s="104"/>
      <c r="D527" s="221"/>
    </row>
    <row r="528">
      <c r="C528" s="104"/>
      <c r="D528" s="221"/>
    </row>
    <row r="529">
      <c r="C529" s="104"/>
      <c r="D529" s="221"/>
    </row>
    <row r="530">
      <c r="C530" s="104"/>
      <c r="D530" s="221"/>
    </row>
    <row r="531">
      <c r="C531" s="104"/>
      <c r="D531" s="221"/>
    </row>
    <row r="532">
      <c r="C532" s="104"/>
      <c r="D532" s="221"/>
    </row>
    <row r="533">
      <c r="C533" s="104"/>
      <c r="D533" s="221"/>
    </row>
    <row r="534">
      <c r="C534" s="104"/>
      <c r="D534" s="221"/>
    </row>
    <row r="535">
      <c r="C535" s="104"/>
      <c r="D535" s="221"/>
    </row>
    <row r="536">
      <c r="C536" s="104"/>
      <c r="D536" s="221"/>
    </row>
    <row r="537">
      <c r="C537" s="104"/>
      <c r="D537" s="221"/>
    </row>
    <row r="538">
      <c r="C538" s="104"/>
      <c r="D538" s="221"/>
    </row>
    <row r="539">
      <c r="C539" s="104"/>
      <c r="D539" s="221"/>
    </row>
    <row r="540">
      <c r="C540" s="104"/>
      <c r="D540" s="221"/>
    </row>
    <row r="541">
      <c r="C541" s="104"/>
      <c r="D541" s="221"/>
    </row>
    <row r="542">
      <c r="C542" s="104"/>
      <c r="D542" s="221"/>
    </row>
    <row r="543">
      <c r="C543" s="104"/>
      <c r="D543" s="221"/>
    </row>
    <row r="544">
      <c r="C544" s="104"/>
      <c r="D544" s="221"/>
    </row>
    <row r="545">
      <c r="C545" s="104"/>
      <c r="D545" s="221"/>
    </row>
    <row r="546">
      <c r="C546" s="104"/>
      <c r="D546" s="221"/>
    </row>
    <row r="547">
      <c r="C547" s="104"/>
      <c r="D547" s="221"/>
    </row>
    <row r="548">
      <c r="C548" s="104"/>
      <c r="D548" s="221"/>
    </row>
    <row r="549">
      <c r="C549" s="104"/>
      <c r="D549" s="221"/>
    </row>
    <row r="550">
      <c r="C550" s="104"/>
      <c r="D550" s="221"/>
    </row>
    <row r="551">
      <c r="C551" s="104"/>
      <c r="D551" s="221"/>
    </row>
    <row r="552">
      <c r="C552" s="104"/>
      <c r="D552" s="221"/>
    </row>
    <row r="553">
      <c r="C553" s="104"/>
      <c r="D553" s="221"/>
    </row>
    <row r="554">
      <c r="C554" s="104"/>
      <c r="D554" s="221"/>
    </row>
    <row r="555">
      <c r="C555" s="104"/>
      <c r="D555" s="221"/>
    </row>
    <row r="556">
      <c r="C556" s="104"/>
      <c r="D556" s="221"/>
    </row>
    <row r="557">
      <c r="C557" s="104"/>
      <c r="D557" s="221"/>
    </row>
    <row r="558">
      <c r="C558" s="104"/>
      <c r="D558" s="221"/>
    </row>
    <row r="559">
      <c r="C559" s="104"/>
      <c r="D559" s="221"/>
    </row>
    <row r="560">
      <c r="C560" s="104"/>
      <c r="D560" s="221"/>
    </row>
    <row r="561">
      <c r="C561" s="104"/>
      <c r="D561" s="221"/>
    </row>
    <row r="562">
      <c r="C562" s="104"/>
      <c r="D562" s="221"/>
    </row>
    <row r="563">
      <c r="C563" s="104"/>
      <c r="D563" s="221"/>
    </row>
    <row r="564">
      <c r="C564" s="104"/>
      <c r="D564" s="221"/>
    </row>
    <row r="565">
      <c r="C565" s="104"/>
      <c r="D565" s="221"/>
    </row>
    <row r="566">
      <c r="C566" s="104"/>
      <c r="D566" s="221"/>
    </row>
    <row r="567">
      <c r="C567" s="104"/>
      <c r="D567" s="221"/>
    </row>
    <row r="568">
      <c r="C568" s="104"/>
      <c r="D568" s="221"/>
    </row>
    <row r="569">
      <c r="C569" s="104"/>
      <c r="D569" s="221"/>
    </row>
    <row r="570">
      <c r="C570" s="104"/>
      <c r="D570" s="221"/>
    </row>
    <row r="571">
      <c r="C571" s="104"/>
      <c r="D571" s="221"/>
    </row>
    <row r="572">
      <c r="C572" s="104"/>
      <c r="D572" s="221"/>
    </row>
    <row r="573">
      <c r="C573" s="104"/>
      <c r="D573" s="221"/>
    </row>
    <row r="574">
      <c r="C574" s="104"/>
      <c r="D574" s="221"/>
    </row>
    <row r="575">
      <c r="C575" s="104"/>
      <c r="D575" s="221"/>
    </row>
    <row r="576">
      <c r="C576" s="104"/>
      <c r="D576" s="221"/>
    </row>
    <row r="577">
      <c r="C577" s="104"/>
      <c r="D577" s="221"/>
    </row>
    <row r="578">
      <c r="C578" s="104"/>
      <c r="D578" s="221"/>
    </row>
    <row r="579">
      <c r="C579" s="104"/>
      <c r="D579" s="221"/>
    </row>
    <row r="580">
      <c r="C580" s="104"/>
      <c r="D580" s="221"/>
    </row>
    <row r="581">
      <c r="C581" s="104"/>
      <c r="D581" s="221"/>
    </row>
    <row r="582">
      <c r="C582" s="104"/>
      <c r="D582" s="221"/>
    </row>
    <row r="583">
      <c r="C583" s="104"/>
      <c r="D583" s="221"/>
    </row>
    <row r="584">
      <c r="C584" s="104"/>
      <c r="D584" s="221"/>
    </row>
    <row r="585">
      <c r="C585" s="104"/>
      <c r="D585" s="221"/>
    </row>
    <row r="586">
      <c r="C586" s="104"/>
      <c r="D586" s="221"/>
    </row>
    <row r="587">
      <c r="C587" s="104"/>
      <c r="D587" s="221"/>
    </row>
    <row r="588">
      <c r="C588" s="104"/>
      <c r="D588" s="221"/>
    </row>
    <row r="589">
      <c r="C589" s="104"/>
      <c r="D589" s="221"/>
    </row>
    <row r="590">
      <c r="C590" s="104"/>
      <c r="D590" s="221"/>
    </row>
    <row r="591">
      <c r="C591" s="104"/>
      <c r="D591" s="221"/>
    </row>
    <row r="592">
      <c r="C592" s="104"/>
      <c r="D592" s="221"/>
    </row>
    <row r="593">
      <c r="C593" s="104"/>
      <c r="D593" s="221"/>
    </row>
    <row r="594">
      <c r="C594" s="104"/>
      <c r="D594" s="221"/>
    </row>
    <row r="595">
      <c r="C595" s="104"/>
      <c r="D595" s="221"/>
    </row>
    <row r="596">
      <c r="C596" s="104"/>
      <c r="D596" s="221"/>
    </row>
    <row r="597">
      <c r="C597" s="104"/>
      <c r="D597" s="221"/>
    </row>
    <row r="598">
      <c r="C598" s="104"/>
      <c r="D598" s="221"/>
    </row>
    <row r="599">
      <c r="C599" s="104"/>
      <c r="D599" s="221"/>
    </row>
    <row r="600">
      <c r="C600" s="104"/>
      <c r="D600" s="221"/>
    </row>
    <row r="601">
      <c r="C601" s="104"/>
      <c r="D601" s="221"/>
    </row>
    <row r="602">
      <c r="C602" s="104"/>
      <c r="D602" s="221"/>
    </row>
    <row r="603">
      <c r="C603" s="104"/>
      <c r="D603" s="221"/>
    </row>
    <row r="604">
      <c r="C604" s="104"/>
      <c r="D604" s="221"/>
    </row>
    <row r="605">
      <c r="C605" s="104"/>
      <c r="D605" s="221"/>
    </row>
    <row r="606">
      <c r="C606" s="104"/>
      <c r="D606" s="221"/>
    </row>
    <row r="607">
      <c r="C607" s="104"/>
      <c r="D607" s="221"/>
    </row>
    <row r="608">
      <c r="C608" s="104"/>
      <c r="D608" s="221"/>
    </row>
    <row r="609">
      <c r="C609" s="104"/>
      <c r="D609" s="221"/>
    </row>
    <row r="610">
      <c r="C610" s="104"/>
      <c r="D610" s="221"/>
    </row>
    <row r="611">
      <c r="C611" s="104"/>
      <c r="D611" s="221"/>
    </row>
    <row r="612">
      <c r="C612" s="104"/>
      <c r="D612" s="221"/>
    </row>
    <row r="613">
      <c r="C613" s="104"/>
      <c r="D613" s="221"/>
    </row>
    <row r="614">
      <c r="C614" s="104"/>
      <c r="D614" s="221"/>
    </row>
    <row r="615">
      <c r="C615" s="104"/>
      <c r="D615" s="221"/>
    </row>
    <row r="616">
      <c r="C616" s="104"/>
      <c r="D616" s="221"/>
    </row>
    <row r="617">
      <c r="C617" s="104"/>
      <c r="D617" s="221"/>
    </row>
    <row r="618">
      <c r="C618" s="104"/>
      <c r="D618" s="221"/>
    </row>
    <row r="619">
      <c r="C619" s="104"/>
      <c r="D619" s="221"/>
    </row>
    <row r="620">
      <c r="C620" s="104"/>
      <c r="D620" s="221"/>
    </row>
    <row r="621">
      <c r="C621" s="104"/>
      <c r="D621" s="221"/>
    </row>
    <row r="622">
      <c r="C622" s="104"/>
      <c r="D622" s="221"/>
    </row>
    <row r="623">
      <c r="C623" s="104"/>
      <c r="D623" s="221"/>
    </row>
    <row r="624">
      <c r="C624" s="104"/>
      <c r="D624" s="221"/>
    </row>
    <row r="625">
      <c r="C625" s="104"/>
      <c r="D625" s="221"/>
    </row>
    <row r="626">
      <c r="C626" s="104"/>
      <c r="D626" s="221"/>
    </row>
    <row r="627">
      <c r="C627" s="104"/>
      <c r="D627" s="221"/>
    </row>
    <row r="628">
      <c r="C628" s="104"/>
      <c r="D628" s="221"/>
    </row>
    <row r="629">
      <c r="C629" s="104"/>
      <c r="D629" s="221"/>
    </row>
    <row r="630">
      <c r="C630" s="104"/>
      <c r="D630" s="221"/>
    </row>
    <row r="631">
      <c r="C631" s="104"/>
      <c r="D631" s="221"/>
    </row>
    <row r="632">
      <c r="C632" s="104"/>
      <c r="D632" s="221"/>
    </row>
    <row r="633">
      <c r="C633" s="104"/>
      <c r="D633" s="221"/>
    </row>
    <row r="634">
      <c r="C634" s="104"/>
      <c r="D634" s="221"/>
    </row>
    <row r="635">
      <c r="C635" s="104"/>
      <c r="D635" s="221"/>
    </row>
    <row r="636">
      <c r="C636" s="104"/>
      <c r="D636" s="221"/>
    </row>
    <row r="637">
      <c r="C637" s="104"/>
      <c r="D637" s="221"/>
    </row>
    <row r="638">
      <c r="C638" s="104"/>
      <c r="D638" s="221"/>
    </row>
    <row r="639">
      <c r="C639" s="104"/>
      <c r="D639" s="221"/>
    </row>
    <row r="640">
      <c r="C640" s="104"/>
      <c r="D640" s="221"/>
    </row>
    <row r="641">
      <c r="C641" s="104"/>
      <c r="D641" s="221"/>
    </row>
    <row r="642">
      <c r="C642" s="104"/>
      <c r="D642" s="221"/>
    </row>
    <row r="643">
      <c r="C643" s="104"/>
      <c r="D643" s="221"/>
    </row>
    <row r="644">
      <c r="C644" s="104"/>
      <c r="D644" s="221"/>
    </row>
    <row r="645">
      <c r="C645" s="104"/>
      <c r="D645" s="221"/>
    </row>
    <row r="646">
      <c r="C646" s="104"/>
      <c r="D646" s="221"/>
    </row>
    <row r="647">
      <c r="C647" s="104"/>
      <c r="D647" s="221"/>
    </row>
    <row r="648">
      <c r="C648" s="104"/>
      <c r="D648" s="221"/>
    </row>
    <row r="649">
      <c r="C649" s="104"/>
      <c r="D649" s="221"/>
    </row>
    <row r="650">
      <c r="C650" s="104"/>
      <c r="D650" s="221"/>
    </row>
    <row r="651">
      <c r="C651" s="104"/>
      <c r="D651" s="221"/>
    </row>
    <row r="652">
      <c r="C652" s="104"/>
      <c r="D652" s="221"/>
    </row>
    <row r="653">
      <c r="C653" s="104"/>
      <c r="D653" s="221"/>
    </row>
    <row r="654">
      <c r="C654" s="104"/>
      <c r="D654" s="221"/>
    </row>
    <row r="655">
      <c r="C655" s="104"/>
      <c r="D655" s="221"/>
    </row>
    <row r="656">
      <c r="C656" s="104"/>
      <c r="D656" s="221"/>
    </row>
    <row r="657">
      <c r="C657" s="104"/>
      <c r="D657" s="221"/>
    </row>
    <row r="658">
      <c r="C658" s="104"/>
      <c r="D658" s="221"/>
    </row>
    <row r="659">
      <c r="C659" s="104"/>
      <c r="D659" s="221"/>
    </row>
    <row r="660">
      <c r="C660" s="104"/>
      <c r="D660" s="221"/>
    </row>
    <row r="661">
      <c r="C661" s="104"/>
      <c r="D661" s="221"/>
    </row>
    <row r="662">
      <c r="C662" s="104"/>
      <c r="D662" s="221"/>
    </row>
    <row r="663">
      <c r="C663" s="104"/>
      <c r="D663" s="221"/>
    </row>
    <row r="664">
      <c r="C664" s="104"/>
      <c r="D664" s="221"/>
    </row>
    <row r="665">
      <c r="C665" s="104"/>
      <c r="D665" s="221"/>
    </row>
    <row r="666">
      <c r="C666" s="104"/>
      <c r="D666" s="221"/>
    </row>
    <row r="667">
      <c r="C667" s="104"/>
      <c r="D667" s="221"/>
    </row>
    <row r="668">
      <c r="C668" s="104"/>
      <c r="D668" s="221"/>
    </row>
    <row r="669">
      <c r="C669" s="104"/>
      <c r="D669" s="221"/>
    </row>
    <row r="670">
      <c r="C670" s="104"/>
      <c r="D670" s="221"/>
    </row>
    <row r="671">
      <c r="C671" s="104"/>
      <c r="D671" s="221"/>
    </row>
    <row r="672">
      <c r="C672" s="104"/>
      <c r="D672" s="221"/>
    </row>
    <row r="673">
      <c r="C673" s="104"/>
      <c r="D673" s="221"/>
    </row>
    <row r="674">
      <c r="C674" s="104"/>
      <c r="D674" s="221"/>
    </row>
    <row r="675">
      <c r="C675" s="104"/>
      <c r="D675" s="221"/>
    </row>
    <row r="676">
      <c r="C676" s="104"/>
      <c r="D676" s="221"/>
    </row>
    <row r="677">
      <c r="C677" s="104"/>
      <c r="D677" s="221"/>
    </row>
    <row r="678">
      <c r="C678" s="104"/>
      <c r="D678" s="221"/>
    </row>
    <row r="679">
      <c r="C679" s="104"/>
      <c r="D679" s="221"/>
    </row>
    <row r="680">
      <c r="C680" s="104"/>
      <c r="D680" s="221"/>
    </row>
    <row r="681">
      <c r="C681" s="104"/>
      <c r="D681" s="221"/>
    </row>
    <row r="682">
      <c r="C682" s="104"/>
      <c r="D682" s="221"/>
    </row>
    <row r="683">
      <c r="C683" s="104"/>
      <c r="D683" s="221"/>
    </row>
    <row r="684">
      <c r="C684" s="104"/>
      <c r="D684" s="221"/>
    </row>
    <row r="685">
      <c r="C685" s="104"/>
      <c r="D685" s="221"/>
    </row>
    <row r="686">
      <c r="C686" s="104"/>
      <c r="D686" s="221"/>
    </row>
    <row r="687">
      <c r="C687" s="104"/>
      <c r="D687" s="221"/>
    </row>
    <row r="688">
      <c r="C688" s="104"/>
      <c r="D688" s="221"/>
    </row>
    <row r="689">
      <c r="C689" s="104"/>
      <c r="D689" s="221"/>
    </row>
    <row r="690">
      <c r="C690" s="104"/>
      <c r="D690" s="221"/>
    </row>
    <row r="691">
      <c r="C691" s="104"/>
      <c r="D691" s="221"/>
    </row>
    <row r="692">
      <c r="C692" s="104"/>
      <c r="D692" s="221"/>
    </row>
    <row r="693">
      <c r="C693" s="104"/>
      <c r="D693" s="221"/>
    </row>
    <row r="694">
      <c r="C694" s="104"/>
      <c r="D694" s="221"/>
    </row>
    <row r="695">
      <c r="C695" s="104"/>
      <c r="D695" s="221"/>
    </row>
    <row r="696">
      <c r="C696" s="104"/>
      <c r="D696" s="221"/>
    </row>
    <row r="697">
      <c r="C697" s="104"/>
      <c r="D697" s="221"/>
    </row>
    <row r="698">
      <c r="C698" s="104"/>
      <c r="D698" s="221"/>
    </row>
    <row r="699">
      <c r="C699" s="104"/>
      <c r="D699" s="221"/>
    </row>
    <row r="700">
      <c r="C700" s="104"/>
      <c r="D700" s="221"/>
    </row>
    <row r="701">
      <c r="C701" s="104"/>
      <c r="D701" s="221"/>
    </row>
    <row r="702">
      <c r="C702" s="104"/>
      <c r="D702" s="221"/>
    </row>
    <row r="703">
      <c r="C703" s="104"/>
      <c r="D703" s="221"/>
    </row>
    <row r="704">
      <c r="C704" s="104"/>
      <c r="D704" s="221"/>
    </row>
    <row r="705">
      <c r="C705" s="104"/>
      <c r="D705" s="221"/>
    </row>
    <row r="706">
      <c r="C706" s="104"/>
      <c r="D706" s="221"/>
    </row>
    <row r="707">
      <c r="C707" s="104"/>
      <c r="D707" s="221"/>
    </row>
    <row r="708">
      <c r="C708" s="104"/>
      <c r="D708" s="221"/>
    </row>
    <row r="709">
      <c r="C709" s="104"/>
      <c r="D709" s="221"/>
    </row>
    <row r="710">
      <c r="C710" s="104"/>
      <c r="D710" s="221"/>
    </row>
    <row r="711">
      <c r="C711" s="104"/>
      <c r="D711" s="221"/>
    </row>
    <row r="712">
      <c r="C712" s="104"/>
      <c r="D712" s="221"/>
    </row>
    <row r="713">
      <c r="C713" s="104"/>
      <c r="D713" s="221"/>
    </row>
    <row r="714">
      <c r="C714" s="104"/>
      <c r="D714" s="221"/>
    </row>
    <row r="715">
      <c r="C715" s="104"/>
      <c r="D715" s="221"/>
    </row>
    <row r="716">
      <c r="C716" s="104"/>
      <c r="D716" s="221"/>
    </row>
    <row r="717">
      <c r="C717" s="104"/>
      <c r="D717" s="221"/>
    </row>
    <row r="718">
      <c r="C718" s="104"/>
      <c r="D718" s="221"/>
    </row>
    <row r="719">
      <c r="C719" s="104"/>
      <c r="D719" s="221"/>
    </row>
    <row r="720">
      <c r="C720" s="104"/>
      <c r="D720" s="221"/>
    </row>
    <row r="721">
      <c r="C721" s="104"/>
      <c r="D721" s="221"/>
    </row>
    <row r="722">
      <c r="C722" s="104"/>
      <c r="D722" s="221"/>
    </row>
    <row r="723">
      <c r="C723" s="104"/>
      <c r="D723" s="221"/>
    </row>
    <row r="724">
      <c r="C724" s="104"/>
      <c r="D724" s="221"/>
    </row>
    <row r="725">
      <c r="C725" s="104"/>
      <c r="D725" s="221"/>
    </row>
    <row r="726">
      <c r="C726" s="104"/>
      <c r="D726" s="221"/>
    </row>
    <row r="727">
      <c r="C727" s="104"/>
      <c r="D727" s="221"/>
    </row>
    <row r="728">
      <c r="C728" s="104"/>
      <c r="D728" s="221"/>
    </row>
    <row r="729">
      <c r="C729" s="104"/>
      <c r="D729" s="221"/>
    </row>
    <row r="730">
      <c r="C730" s="104"/>
      <c r="D730" s="221"/>
    </row>
    <row r="731">
      <c r="C731" s="104"/>
      <c r="D731" s="221"/>
    </row>
    <row r="732">
      <c r="C732" s="104"/>
      <c r="D732" s="221"/>
    </row>
    <row r="733">
      <c r="C733" s="104"/>
      <c r="D733" s="221"/>
    </row>
    <row r="734">
      <c r="C734" s="104"/>
      <c r="D734" s="221"/>
    </row>
    <row r="735">
      <c r="C735" s="104"/>
      <c r="D735" s="221"/>
    </row>
    <row r="736">
      <c r="C736" s="104"/>
      <c r="D736" s="221"/>
    </row>
    <row r="737">
      <c r="C737" s="104"/>
      <c r="D737" s="221"/>
    </row>
    <row r="738">
      <c r="C738" s="104"/>
      <c r="D738" s="221"/>
    </row>
    <row r="739">
      <c r="C739" s="104"/>
      <c r="D739" s="221"/>
    </row>
    <row r="740">
      <c r="C740" s="104"/>
      <c r="D740" s="221"/>
    </row>
    <row r="741">
      <c r="C741" s="104"/>
      <c r="D741" s="221"/>
    </row>
    <row r="742">
      <c r="C742" s="104"/>
      <c r="D742" s="221"/>
    </row>
    <row r="743">
      <c r="C743" s="104"/>
      <c r="D743" s="221"/>
    </row>
    <row r="744">
      <c r="C744" s="104"/>
      <c r="D744" s="221"/>
    </row>
    <row r="745">
      <c r="C745" s="104"/>
      <c r="D745" s="221"/>
    </row>
    <row r="746">
      <c r="C746" s="104"/>
      <c r="D746" s="221"/>
    </row>
    <row r="747">
      <c r="C747" s="104"/>
      <c r="D747" s="221"/>
    </row>
    <row r="748">
      <c r="C748" s="104"/>
      <c r="D748" s="221"/>
    </row>
    <row r="749">
      <c r="C749" s="104"/>
      <c r="D749" s="221"/>
    </row>
    <row r="750">
      <c r="C750" s="104"/>
      <c r="D750" s="221"/>
    </row>
    <row r="751">
      <c r="C751" s="104"/>
      <c r="D751" s="221"/>
    </row>
    <row r="752">
      <c r="C752" s="104"/>
      <c r="D752" s="221"/>
    </row>
    <row r="753">
      <c r="C753" s="104"/>
      <c r="D753" s="221"/>
    </row>
    <row r="754">
      <c r="C754" s="104"/>
      <c r="D754" s="221"/>
    </row>
    <row r="755">
      <c r="C755" s="104"/>
      <c r="D755" s="221"/>
    </row>
    <row r="756">
      <c r="C756" s="104"/>
      <c r="D756" s="221"/>
    </row>
    <row r="757">
      <c r="C757" s="104"/>
      <c r="D757" s="221"/>
    </row>
    <row r="758">
      <c r="C758" s="104"/>
      <c r="D758" s="221"/>
    </row>
    <row r="759">
      <c r="C759" s="104"/>
      <c r="D759" s="221"/>
    </row>
    <row r="760">
      <c r="C760" s="104"/>
      <c r="D760" s="221"/>
    </row>
    <row r="761">
      <c r="C761" s="104"/>
      <c r="D761" s="221"/>
    </row>
    <row r="762">
      <c r="C762" s="104"/>
      <c r="D762" s="221"/>
    </row>
    <row r="763">
      <c r="C763" s="104"/>
      <c r="D763" s="221"/>
    </row>
    <row r="764">
      <c r="C764" s="104"/>
      <c r="D764" s="221"/>
    </row>
    <row r="765">
      <c r="C765" s="104"/>
      <c r="D765" s="221"/>
    </row>
    <row r="766">
      <c r="C766" s="104"/>
      <c r="D766" s="221"/>
    </row>
    <row r="767">
      <c r="C767" s="104"/>
      <c r="D767" s="221"/>
    </row>
    <row r="768">
      <c r="C768" s="104"/>
      <c r="D768" s="221"/>
    </row>
    <row r="769">
      <c r="C769" s="104"/>
      <c r="D769" s="221"/>
    </row>
    <row r="770">
      <c r="C770" s="104"/>
      <c r="D770" s="221"/>
    </row>
    <row r="771">
      <c r="C771" s="104"/>
      <c r="D771" s="221"/>
    </row>
    <row r="772">
      <c r="C772" s="104"/>
      <c r="D772" s="221"/>
    </row>
    <row r="773">
      <c r="C773" s="104"/>
      <c r="D773" s="221"/>
    </row>
    <row r="774">
      <c r="C774" s="104"/>
      <c r="D774" s="221"/>
    </row>
    <row r="775">
      <c r="C775" s="104"/>
      <c r="D775" s="221"/>
    </row>
    <row r="776">
      <c r="C776" s="104"/>
      <c r="D776" s="221"/>
    </row>
    <row r="777">
      <c r="C777" s="104"/>
      <c r="D777" s="221"/>
    </row>
    <row r="778">
      <c r="C778" s="104"/>
      <c r="D778" s="221"/>
    </row>
    <row r="779">
      <c r="C779" s="104"/>
      <c r="D779" s="221"/>
    </row>
    <row r="780">
      <c r="C780" s="104"/>
      <c r="D780" s="221"/>
    </row>
    <row r="781">
      <c r="C781" s="104"/>
      <c r="D781" s="221"/>
    </row>
    <row r="782">
      <c r="C782" s="104"/>
      <c r="D782" s="221"/>
    </row>
    <row r="783">
      <c r="C783" s="104"/>
      <c r="D783" s="221"/>
    </row>
    <row r="784">
      <c r="C784" s="104"/>
      <c r="D784" s="221"/>
    </row>
    <row r="785">
      <c r="C785" s="104"/>
      <c r="D785" s="221"/>
    </row>
    <row r="786">
      <c r="C786" s="104"/>
      <c r="D786" s="221"/>
    </row>
    <row r="787">
      <c r="C787" s="104"/>
      <c r="D787" s="221"/>
    </row>
    <row r="788">
      <c r="C788" s="104"/>
      <c r="D788" s="221"/>
    </row>
    <row r="789">
      <c r="C789" s="104"/>
      <c r="D789" s="221"/>
    </row>
    <row r="790">
      <c r="C790" s="104"/>
      <c r="D790" s="221"/>
    </row>
    <row r="791">
      <c r="C791" s="104"/>
      <c r="D791" s="221"/>
    </row>
    <row r="792">
      <c r="C792" s="104"/>
      <c r="D792" s="221"/>
    </row>
    <row r="793">
      <c r="C793" s="104"/>
      <c r="D793" s="221"/>
    </row>
    <row r="794">
      <c r="C794" s="104"/>
      <c r="D794" s="221"/>
    </row>
    <row r="795">
      <c r="C795" s="104"/>
      <c r="D795" s="221"/>
    </row>
    <row r="796">
      <c r="C796" s="104"/>
      <c r="D796" s="221"/>
    </row>
    <row r="797">
      <c r="C797" s="104"/>
      <c r="D797" s="221"/>
    </row>
    <row r="798">
      <c r="C798" s="104"/>
      <c r="D798" s="221"/>
    </row>
    <row r="799">
      <c r="C799" s="104"/>
      <c r="D799" s="221"/>
    </row>
    <row r="800">
      <c r="C800" s="104"/>
      <c r="D800" s="221"/>
    </row>
    <row r="801">
      <c r="C801" s="104"/>
      <c r="D801" s="221"/>
    </row>
    <row r="802">
      <c r="C802" s="104"/>
      <c r="D802" s="221"/>
    </row>
    <row r="803">
      <c r="C803" s="104"/>
      <c r="D803" s="221"/>
    </row>
    <row r="804">
      <c r="C804" s="104"/>
      <c r="D804" s="221"/>
    </row>
    <row r="805">
      <c r="C805" s="104"/>
      <c r="D805" s="221"/>
    </row>
    <row r="806">
      <c r="C806" s="104"/>
      <c r="D806" s="221"/>
    </row>
    <row r="807">
      <c r="C807" s="104"/>
      <c r="D807" s="221"/>
    </row>
    <row r="808">
      <c r="C808" s="104"/>
      <c r="D808" s="221"/>
    </row>
    <row r="809">
      <c r="C809" s="104"/>
      <c r="D809" s="221"/>
    </row>
    <row r="810">
      <c r="C810" s="104"/>
      <c r="D810" s="221"/>
    </row>
    <row r="811">
      <c r="C811" s="104"/>
      <c r="D811" s="221"/>
    </row>
    <row r="812">
      <c r="C812" s="104"/>
      <c r="D812" s="221"/>
    </row>
    <row r="813">
      <c r="C813" s="104"/>
      <c r="D813" s="221"/>
    </row>
    <row r="814">
      <c r="C814" s="104"/>
      <c r="D814" s="221"/>
    </row>
    <row r="815">
      <c r="C815" s="104"/>
      <c r="D815" s="221"/>
    </row>
    <row r="816">
      <c r="C816" s="104"/>
      <c r="D816" s="221"/>
    </row>
    <row r="817">
      <c r="C817" s="104"/>
      <c r="D817" s="221"/>
    </row>
    <row r="818">
      <c r="C818" s="104"/>
      <c r="D818" s="221"/>
    </row>
    <row r="819">
      <c r="C819" s="104"/>
      <c r="D819" s="221"/>
    </row>
    <row r="820">
      <c r="C820" s="104"/>
      <c r="D820" s="221"/>
    </row>
    <row r="821">
      <c r="C821" s="104"/>
      <c r="D821" s="221"/>
    </row>
    <row r="822">
      <c r="C822" s="104"/>
      <c r="D822" s="221"/>
    </row>
    <row r="823">
      <c r="C823" s="104"/>
      <c r="D823" s="221"/>
    </row>
    <row r="824">
      <c r="C824" s="104"/>
      <c r="D824" s="221"/>
    </row>
    <row r="825">
      <c r="C825" s="104"/>
      <c r="D825" s="221"/>
    </row>
    <row r="826">
      <c r="C826" s="104"/>
      <c r="D826" s="221"/>
    </row>
    <row r="827">
      <c r="C827" s="104"/>
      <c r="D827" s="221"/>
    </row>
    <row r="828">
      <c r="C828" s="104"/>
      <c r="D828" s="221"/>
    </row>
    <row r="829">
      <c r="C829" s="104"/>
      <c r="D829" s="221"/>
    </row>
    <row r="830">
      <c r="C830" s="104"/>
      <c r="D830" s="221"/>
    </row>
    <row r="831">
      <c r="C831" s="104"/>
      <c r="D831" s="221"/>
    </row>
    <row r="832">
      <c r="C832" s="104"/>
      <c r="D832" s="221"/>
    </row>
    <row r="833">
      <c r="C833" s="104"/>
      <c r="D833" s="221"/>
    </row>
    <row r="834">
      <c r="C834" s="104"/>
      <c r="D834" s="221"/>
    </row>
    <row r="835">
      <c r="C835" s="104"/>
      <c r="D835" s="221"/>
    </row>
    <row r="836">
      <c r="C836" s="104"/>
      <c r="D836" s="221"/>
    </row>
    <row r="837">
      <c r="C837" s="104"/>
      <c r="D837" s="221"/>
    </row>
    <row r="838">
      <c r="C838" s="104"/>
      <c r="D838" s="221"/>
    </row>
    <row r="839">
      <c r="C839" s="104"/>
      <c r="D839" s="221"/>
    </row>
    <row r="840">
      <c r="C840" s="104"/>
      <c r="D840" s="221"/>
    </row>
    <row r="841">
      <c r="C841" s="104"/>
      <c r="D841" s="221"/>
    </row>
    <row r="842">
      <c r="C842" s="104"/>
      <c r="D842" s="221"/>
    </row>
    <row r="843">
      <c r="C843" s="104"/>
      <c r="D843" s="221"/>
    </row>
    <row r="844">
      <c r="C844" s="104"/>
      <c r="D844" s="221"/>
    </row>
    <row r="845">
      <c r="C845" s="104"/>
      <c r="D845" s="221"/>
    </row>
    <row r="846">
      <c r="C846" s="104"/>
      <c r="D846" s="221"/>
    </row>
    <row r="847">
      <c r="C847" s="104"/>
      <c r="D847" s="221"/>
    </row>
    <row r="848">
      <c r="C848" s="104"/>
      <c r="D848" s="221"/>
    </row>
    <row r="849">
      <c r="C849" s="104"/>
      <c r="D849" s="221"/>
    </row>
    <row r="850">
      <c r="C850" s="104"/>
      <c r="D850" s="221"/>
    </row>
    <row r="851">
      <c r="C851" s="104"/>
      <c r="D851" s="221"/>
    </row>
    <row r="852">
      <c r="C852" s="104"/>
      <c r="D852" s="221"/>
    </row>
    <row r="853">
      <c r="C853" s="104"/>
      <c r="D853" s="221"/>
    </row>
    <row r="854">
      <c r="C854" s="104"/>
      <c r="D854" s="221"/>
    </row>
    <row r="855">
      <c r="C855" s="104"/>
      <c r="D855" s="221"/>
    </row>
    <row r="856">
      <c r="C856" s="104"/>
      <c r="D856" s="221"/>
    </row>
    <row r="857">
      <c r="C857" s="104"/>
      <c r="D857" s="221"/>
    </row>
    <row r="858">
      <c r="C858" s="104"/>
      <c r="D858" s="221"/>
    </row>
    <row r="859">
      <c r="C859" s="104"/>
      <c r="D859" s="221"/>
    </row>
    <row r="860">
      <c r="C860" s="104"/>
      <c r="D860" s="221"/>
    </row>
    <row r="861">
      <c r="C861" s="104"/>
      <c r="D861" s="221"/>
    </row>
    <row r="862">
      <c r="C862" s="104"/>
      <c r="D862" s="221"/>
    </row>
    <row r="863">
      <c r="C863" s="104"/>
      <c r="D863" s="221"/>
    </row>
    <row r="864">
      <c r="C864" s="104"/>
      <c r="D864" s="221"/>
    </row>
    <row r="865">
      <c r="C865" s="104"/>
      <c r="D865" s="221"/>
    </row>
    <row r="866">
      <c r="C866" s="104"/>
      <c r="D866" s="221"/>
    </row>
    <row r="867">
      <c r="C867" s="104"/>
      <c r="D867" s="221"/>
    </row>
    <row r="868">
      <c r="C868" s="104"/>
      <c r="D868" s="221"/>
    </row>
    <row r="869">
      <c r="C869" s="104"/>
      <c r="D869" s="221"/>
    </row>
    <row r="870">
      <c r="C870" s="104"/>
      <c r="D870" s="221"/>
    </row>
    <row r="871">
      <c r="C871" s="104"/>
      <c r="D871" s="221"/>
    </row>
    <row r="872">
      <c r="C872" s="104"/>
      <c r="D872" s="221"/>
    </row>
    <row r="873">
      <c r="C873" s="104"/>
      <c r="D873" s="221"/>
    </row>
    <row r="874">
      <c r="C874" s="104"/>
      <c r="D874" s="221"/>
    </row>
    <row r="875">
      <c r="C875" s="104"/>
      <c r="D875" s="221"/>
    </row>
    <row r="876">
      <c r="C876" s="104"/>
      <c r="D876" s="221"/>
    </row>
    <row r="877">
      <c r="C877" s="104"/>
      <c r="D877" s="221"/>
    </row>
    <row r="878">
      <c r="C878" s="104"/>
      <c r="D878" s="221"/>
    </row>
    <row r="879">
      <c r="C879" s="104"/>
      <c r="D879" s="221"/>
    </row>
    <row r="880">
      <c r="C880" s="104"/>
      <c r="D880" s="221"/>
    </row>
    <row r="881">
      <c r="C881" s="104"/>
      <c r="D881" s="221"/>
    </row>
    <row r="882">
      <c r="C882" s="104"/>
      <c r="D882" s="221"/>
    </row>
    <row r="883">
      <c r="C883" s="104"/>
      <c r="D883" s="221"/>
    </row>
    <row r="884">
      <c r="C884" s="104"/>
      <c r="D884" s="221"/>
    </row>
    <row r="885">
      <c r="C885" s="104"/>
      <c r="D885" s="221"/>
    </row>
    <row r="886">
      <c r="C886" s="104"/>
      <c r="D886" s="221"/>
    </row>
    <row r="887">
      <c r="C887" s="104"/>
      <c r="D887" s="221"/>
    </row>
    <row r="888">
      <c r="C888" s="104"/>
      <c r="D888" s="221"/>
    </row>
    <row r="889">
      <c r="C889" s="104"/>
      <c r="D889" s="221"/>
    </row>
    <row r="890">
      <c r="C890" s="104"/>
      <c r="D890" s="221"/>
    </row>
    <row r="891">
      <c r="C891" s="104"/>
      <c r="D891" s="221"/>
    </row>
    <row r="892">
      <c r="C892" s="104"/>
      <c r="D892" s="221"/>
    </row>
    <row r="893">
      <c r="C893" s="104"/>
      <c r="D893" s="221"/>
    </row>
    <row r="894">
      <c r="C894" s="104"/>
      <c r="D894" s="221"/>
    </row>
    <row r="895">
      <c r="C895" s="104"/>
      <c r="D895" s="221"/>
    </row>
    <row r="896">
      <c r="C896" s="104"/>
      <c r="D896" s="221"/>
    </row>
    <row r="897">
      <c r="C897" s="104"/>
      <c r="D897" s="221"/>
    </row>
    <row r="898">
      <c r="C898" s="104"/>
      <c r="D898" s="221"/>
    </row>
    <row r="899">
      <c r="C899" s="104"/>
      <c r="D899" s="221"/>
    </row>
    <row r="900">
      <c r="C900" s="104"/>
      <c r="D900" s="221"/>
    </row>
    <row r="901">
      <c r="C901" s="104"/>
      <c r="D901" s="221"/>
    </row>
    <row r="902">
      <c r="C902" s="104"/>
      <c r="D902" s="221"/>
    </row>
    <row r="903">
      <c r="C903" s="104"/>
      <c r="D903" s="221"/>
    </row>
    <row r="904">
      <c r="C904" s="104"/>
      <c r="D904" s="221"/>
    </row>
    <row r="905">
      <c r="C905" s="104"/>
      <c r="D905" s="221"/>
    </row>
    <row r="906">
      <c r="C906" s="104"/>
      <c r="D906" s="221"/>
    </row>
    <row r="907">
      <c r="C907" s="104"/>
      <c r="D907" s="221"/>
    </row>
    <row r="908">
      <c r="C908" s="104"/>
      <c r="D908" s="221"/>
    </row>
    <row r="909">
      <c r="C909" s="104"/>
      <c r="D909" s="221"/>
    </row>
    <row r="910">
      <c r="C910" s="104"/>
      <c r="D910" s="221"/>
    </row>
    <row r="911">
      <c r="C911" s="104"/>
      <c r="D911" s="221"/>
    </row>
    <row r="912">
      <c r="C912" s="104"/>
      <c r="D912" s="221"/>
    </row>
    <row r="913">
      <c r="C913" s="104"/>
      <c r="D913" s="221"/>
    </row>
    <row r="914">
      <c r="C914" s="104"/>
      <c r="D914" s="221"/>
    </row>
    <row r="915">
      <c r="C915" s="104"/>
      <c r="D915" s="221"/>
    </row>
    <row r="916">
      <c r="C916" s="104"/>
      <c r="D916" s="221"/>
    </row>
    <row r="917">
      <c r="C917" s="104"/>
      <c r="D917" s="221"/>
    </row>
    <row r="918">
      <c r="C918" s="104"/>
      <c r="D918" s="221"/>
    </row>
    <row r="919">
      <c r="C919" s="104"/>
      <c r="D919" s="221"/>
    </row>
    <row r="920">
      <c r="C920" s="104"/>
      <c r="D920" s="221"/>
    </row>
    <row r="921">
      <c r="C921" s="104"/>
      <c r="D921" s="221"/>
    </row>
    <row r="922">
      <c r="C922" s="104"/>
      <c r="D922" s="221"/>
    </row>
    <row r="923">
      <c r="C923" s="104"/>
      <c r="D923" s="221"/>
    </row>
    <row r="924">
      <c r="C924" s="104"/>
      <c r="D924" s="221"/>
    </row>
    <row r="925">
      <c r="C925" s="104"/>
      <c r="D925" s="221"/>
    </row>
    <row r="926">
      <c r="C926" s="104"/>
      <c r="D926" s="221"/>
    </row>
    <row r="927">
      <c r="C927" s="104"/>
      <c r="D927" s="221"/>
    </row>
    <row r="928">
      <c r="C928" s="104"/>
      <c r="D928" s="221"/>
    </row>
    <row r="929">
      <c r="C929" s="104"/>
      <c r="D929" s="221"/>
    </row>
    <row r="930">
      <c r="C930" s="104"/>
      <c r="D930" s="221"/>
    </row>
    <row r="931">
      <c r="C931" s="104"/>
      <c r="D931" s="221"/>
    </row>
    <row r="932">
      <c r="C932" s="104"/>
      <c r="D932" s="221"/>
    </row>
    <row r="933">
      <c r="C933" s="104"/>
      <c r="D933" s="221"/>
    </row>
    <row r="934">
      <c r="C934" s="104"/>
      <c r="D934" s="221"/>
    </row>
    <row r="935">
      <c r="C935" s="104"/>
      <c r="D935" s="221"/>
    </row>
    <row r="936">
      <c r="C936" s="104"/>
      <c r="D936" s="221"/>
    </row>
    <row r="937">
      <c r="C937" s="104"/>
      <c r="D937" s="221"/>
    </row>
    <row r="938">
      <c r="C938" s="104"/>
      <c r="D938" s="221"/>
    </row>
    <row r="939">
      <c r="C939" s="104"/>
      <c r="D939" s="221"/>
    </row>
    <row r="940">
      <c r="C940" s="104"/>
      <c r="D940" s="221"/>
    </row>
    <row r="941">
      <c r="C941" s="104"/>
      <c r="D941" s="221"/>
    </row>
    <row r="942">
      <c r="C942" s="104"/>
      <c r="D942" s="221"/>
    </row>
    <row r="943">
      <c r="C943" s="104"/>
      <c r="D943" s="221"/>
    </row>
    <row r="944">
      <c r="C944" s="104"/>
      <c r="D944" s="221"/>
    </row>
    <row r="945">
      <c r="C945" s="104"/>
      <c r="D945" s="221"/>
    </row>
    <row r="946">
      <c r="C946" s="104"/>
      <c r="D946" s="221"/>
    </row>
    <row r="947">
      <c r="C947" s="104"/>
      <c r="D947" s="221"/>
    </row>
    <row r="948">
      <c r="C948" s="104"/>
      <c r="D948" s="221"/>
    </row>
    <row r="949">
      <c r="C949" s="104"/>
      <c r="D949" s="221"/>
    </row>
    <row r="950">
      <c r="C950" s="104"/>
      <c r="D950" s="221"/>
    </row>
    <row r="951">
      <c r="C951" s="104"/>
      <c r="D951" s="221"/>
    </row>
    <row r="952">
      <c r="C952" s="104"/>
      <c r="D952" s="221"/>
    </row>
    <row r="953">
      <c r="C953" s="104"/>
      <c r="D953" s="221"/>
    </row>
    <row r="954">
      <c r="C954" s="104"/>
      <c r="D954" s="221"/>
    </row>
    <row r="955">
      <c r="C955" s="104"/>
      <c r="D955" s="221"/>
    </row>
    <row r="956">
      <c r="C956" s="104"/>
      <c r="D956" s="221"/>
    </row>
    <row r="957">
      <c r="C957" s="104"/>
      <c r="D957" s="221"/>
    </row>
    <row r="958">
      <c r="C958" s="104"/>
      <c r="D958" s="221"/>
    </row>
    <row r="959">
      <c r="C959" s="104"/>
      <c r="D959" s="221"/>
    </row>
    <row r="960">
      <c r="C960" s="104"/>
      <c r="D960" s="221"/>
    </row>
    <row r="961">
      <c r="C961" s="104"/>
      <c r="D961" s="221"/>
    </row>
    <row r="962">
      <c r="C962" s="104"/>
      <c r="D962" s="221"/>
    </row>
    <row r="963">
      <c r="C963" s="104"/>
      <c r="D963" s="221"/>
    </row>
    <row r="964">
      <c r="C964" s="104"/>
      <c r="D964" s="221"/>
    </row>
    <row r="965">
      <c r="C965" s="104"/>
      <c r="D965" s="221"/>
    </row>
    <row r="966">
      <c r="C966" s="104"/>
      <c r="D966" s="221"/>
    </row>
    <row r="967">
      <c r="C967" s="104"/>
      <c r="D967" s="221"/>
    </row>
    <row r="968">
      <c r="C968" s="104"/>
      <c r="D968" s="221"/>
    </row>
    <row r="969">
      <c r="C969" s="104"/>
      <c r="D969" s="221"/>
    </row>
    <row r="970">
      <c r="C970" s="104"/>
      <c r="D970" s="221"/>
    </row>
    <row r="971">
      <c r="C971" s="104"/>
      <c r="D971" s="221"/>
    </row>
    <row r="972">
      <c r="C972" s="104"/>
      <c r="D972" s="221"/>
    </row>
    <row r="973">
      <c r="C973" s="104"/>
      <c r="D973" s="221"/>
    </row>
    <row r="974">
      <c r="C974" s="104"/>
      <c r="D974" s="221"/>
    </row>
    <row r="975">
      <c r="C975" s="104"/>
      <c r="D975" s="221"/>
    </row>
    <row r="976">
      <c r="C976" s="104"/>
      <c r="D976" s="221"/>
    </row>
    <row r="977">
      <c r="C977" s="104"/>
      <c r="D977" s="221"/>
    </row>
    <row r="978">
      <c r="C978" s="104"/>
      <c r="D978" s="221"/>
    </row>
    <row r="979">
      <c r="C979" s="104"/>
      <c r="D979" s="221"/>
    </row>
    <row r="980">
      <c r="C980" s="104"/>
      <c r="D980" s="221"/>
    </row>
    <row r="981">
      <c r="C981" s="104"/>
      <c r="D981" s="221"/>
    </row>
    <row r="982">
      <c r="C982" s="104"/>
      <c r="D982" s="221"/>
    </row>
    <row r="983">
      <c r="C983" s="104"/>
      <c r="D983" s="221"/>
    </row>
    <row r="984">
      <c r="C984" s="104"/>
      <c r="D984" s="221"/>
    </row>
    <row r="985">
      <c r="C985" s="104"/>
      <c r="D985" s="221"/>
    </row>
    <row r="986">
      <c r="C986" s="104"/>
      <c r="D986" s="221"/>
    </row>
    <row r="987">
      <c r="C987" s="104"/>
      <c r="D987" s="221"/>
    </row>
    <row r="988">
      <c r="C988" s="104"/>
      <c r="D988" s="221"/>
    </row>
    <row r="989">
      <c r="C989" s="104"/>
      <c r="D989" s="221"/>
    </row>
    <row r="990">
      <c r="C990" s="104"/>
      <c r="D990" s="221"/>
    </row>
    <row r="991">
      <c r="C991" s="104"/>
      <c r="D991" s="221"/>
    </row>
    <row r="992">
      <c r="C992" s="104"/>
      <c r="D992" s="221"/>
    </row>
    <row r="993">
      <c r="C993" s="104"/>
      <c r="D993" s="221"/>
    </row>
    <row r="994">
      <c r="C994" s="104"/>
      <c r="D994" s="221"/>
    </row>
    <row r="995">
      <c r="C995" s="104"/>
      <c r="D995" s="221"/>
    </row>
    <row r="996">
      <c r="C996" s="104"/>
      <c r="D996" s="221"/>
    </row>
    <row r="997">
      <c r="C997" s="104"/>
      <c r="D997" s="221"/>
    </row>
    <row r="998">
      <c r="C998" s="104"/>
      <c r="D998" s="221"/>
    </row>
    <row r="999">
      <c r="C999" s="104"/>
      <c r="D999" s="221"/>
    </row>
    <row r="1000">
      <c r="C1000" s="104"/>
      <c r="D1000" s="221"/>
    </row>
  </sheetData>
  <autoFilter ref="$B$1:$Q$12"/>
  <mergeCells count="2">
    <mergeCell ref="D1:L1"/>
    <mergeCell ref="M1:N1"/>
  </mergeCells>
  <conditionalFormatting sqref="L3:L178 N3:N178">
    <cfRule type="cellIs" dxfId="12" priority="1" operator="lessThan">
      <formula>0</formula>
    </cfRule>
  </conditionalFormatting>
  <conditionalFormatting sqref="L3:L178 N3:N178">
    <cfRule type="cellIs" dxfId="5" priority="2" operator="greaterThan">
      <formula>0</formula>
    </cfRule>
  </conditionalFormatting>
  <conditionalFormatting sqref="L3:L178 N3:N178">
    <cfRule type="notContainsBlanks" dxfId="13" priority="3">
      <formula>LEN(TRIM(L3))&gt;0</formula>
    </cfRule>
  </conditionalFormatting>
  <conditionalFormatting sqref="L3:L178 N3:N178">
    <cfRule type="containsBlanks" dxfId="4" priority="4">
      <formula>LEN(TRIM(L3))=0</formula>
    </cfRule>
  </conditionalFormatting>
  <conditionalFormatting sqref="K3:K178">
    <cfRule type="cellIs" dxfId="14" priority="5" operator="lessThan">
      <formula>0</formula>
    </cfRule>
  </conditionalFormatting>
  <conditionalFormatting sqref="M3:M178">
    <cfRule type="containsBlanks" dxfId="15" priority="6">
      <formula>LEN(TRIM(M3))=0</formula>
    </cfRule>
  </conditionalFormatting>
  <conditionalFormatting sqref="I3">
    <cfRule type="notContainsBlanks" dxfId="5" priority="7">
      <formula>LEN(TRIM(I3))&gt;0</formula>
    </cfRule>
  </conditionalFormatting>
  <dataValidations>
    <dataValidation type="list" allowBlank="1" showErrorMessage="1" sqref="I3:I178">
      <formula1>LEGEND!$A$2:$A$5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6.63"/>
    <col customWidth="1" min="3" max="7" width="26.63"/>
    <col customWidth="1" min="8" max="8" width="16.5"/>
    <col customWidth="1" min="9" max="9" width="34.0"/>
    <col customWidth="1" min="10" max="10" width="22.25"/>
    <col customWidth="1" min="11" max="27" width="26.63"/>
  </cols>
  <sheetData>
    <row r="1">
      <c r="A1" s="177" t="s">
        <v>4</v>
      </c>
      <c r="B1" s="177" t="s">
        <v>42</v>
      </c>
      <c r="C1" s="178" t="s">
        <v>65</v>
      </c>
      <c r="D1" s="178" t="s">
        <v>66</v>
      </c>
      <c r="E1" s="178" t="s">
        <v>67</v>
      </c>
      <c r="F1" s="179" t="s">
        <v>68</v>
      </c>
      <c r="G1" s="178" t="s">
        <v>69</v>
      </c>
      <c r="H1" s="178" t="s">
        <v>70</v>
      </c>
      <c r="I1" s="180" t="s">
        <v>71</v>
      </c>
      <c r="J1" s="180" t="s">
        <v>72</v>
      </c>
      <c r="K1" s="180" t="s">
        <v>73</v>
      </c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</row>
    <row r="2" ht="24.0" customHeight="1">
      <c r="A2" s="182">
        <f>IFERROR(__xludf.DUMMYFUNCTION("FILTER(BUY_SEP!H2:I999,BUY_SEP!H2:H999&lt;&gt;"""")"),46266.0)</f>
        <v>46266</v>
      </c>
      <c r="B2" s="183">
        <f>IFERROR(__xludf.DUMMYFUNCTION("""COMPUTED_VALUE"""),1.0)</f>
        <v>1</v>
      </c>
      <c r="C2" s="183" t="str">
        <f t="shared" ref="C2:C110" si="1">IF(B2="","","INV-"&amp;TEXT(A2,"yyyymmdd")&amp;"-"&amp;B2)</f>
        <v>INV-20260901-1</v>
      </c>
      <c r="D2" s="183" t="s">
        <v>74</v>
      </c>
      <c r="E2" s="184" t="s">
        <v>75</v>
      </c>
      <c r="F2" s="185">
        <f t="shared" ref="F2:F110" si="2">A2</f>
        <v>46266</v>
      </c>
      <c r="G2" s="186">
        <f t="shared" ref="G2:G110" si="3">A2</f>
        <v>46266</v>
      </c>
      <c r="H2" s="183" t="s">
        <v>76</v>
      </c>
      <c r="I2" s="188">
        <f>IFERROR(__xludf.DUMMYFUNCTION("FILTER(BUY_SEP!J2:L999,BUY_SEP!J2:J999&lt;&gt;"""")"),215341.18)</f>
        <v>215341.18</v>
      </c>
      <c r="J2" s="189">
        <f>IFERROR(__xludf.DUMMYFUNCTION("""COMPUTED_VALUE"""),3.7968122925600004E9)</f>
        <v>3796812293</v>
      </c>
      <c r="K2" s="190">
        <f>IFERROR(__xludf.DUMMYFUNCTION("""COMPUTED_VALUE"""),17631.61273918904)</f>
        <v>17631.61274</v>
      </c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</row>
    <row r="3" ht="24.0" customHeight="1">
      <c r="A3" s="186">
        <f>IFERROR(__xludf.DUMMYFUNCTION("""COMPUTED_VALUE"""),46266.0)</f>
        <v>46266</v>
      </c>
      <c r="B3" s="192">
        <f>IFERROR(__xludf.DUMMYFUNCTION("""COMPUTED_VALUE"""),2.0)</f>
        <v>2</v>
      </c>
      <c r="C3" s="183" t="str">
        <f t="shared" si="1"/>
        <v>INV-20260901-2</v>
      </c>
      <c r="D3" s="183" t="s">
        <v>74</v>
      </c>
      <c r="E3" s="184" t="s">
        <v>75</v>
      </c>
      <c r="F3" s="185">
        <f t="shared" si="2"/>
        <v>46266</v>
      </c>
      <c r="G3" s="186">
        <f t="shared" si="3"/>
        <v>46266</v>
      </c>
      <c r="H3" s="183" t="s">
        <v>76</v>
      </c>
      <c r="I3" s="188">
        <f>IFERROR(__xludf.DUMMYFUNCTION("""COMPUTED_VALUE"""),75308.03)</f>
        <v>75308.03</v>
      </c>
      <c r="J3" s="189">
        <f>IFERROR(__xludf.DUMMYFUNCTION("""COMPUTED_VALUE"""),1.32800635768E9)</f>
        <v>1328006358</v>
      </c>
      <c r="K3" s="190">
        <f>IFERROR(__xludf.DUMMYFUNCTION("""COMPUTED_VALUE"""),17634.32608288917)</f>
        <v>17634.32608</v>
      </c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</row>
    <row r="4" ht="24.0" customHeight="1">
      <c r="A4" s="186">
        <f>IFERROR(__xludf.DUMMYFUNCTION("""COMPUTED_VALUE"""),46267.0)</f>
        <v>46267</v>
      </c>
      <c r="B4" s="192">
        <f>IFERROR(__xludf.DUMMYFUNCTION("""COMPUTED_VALUE"""),1.0)</f>
        <v>1</v>
      </c>
      <c r="C4" s="183" t="str">
        <f t="shared" si="1"/>
        <v>INV-20260902-1</v>
      </c>
      <c r="D4" s="183" t="s">
        <v>74</v>
      </c>
      <c r="E4" s="184" t="s">
        <v>75</v>
      </c>
      <c r="F4" s="185">
        <f t="shared" si="2"/>
        <v>46267</v>
      </c>
      <c r="G4" s="186">
        <f t="shared" si="3"/>
        <v>46267</v>
      </c>
      <c r="H4" s="183" t="s">
        <v>76</v>
      </c>
      <c r="I4" s="188">
        <f>IFERROR(__xludf.DUMMYFUNCTION("""COMPUTED_VALUE"""),137635.15)</f>
        <v>137635.15</v>
      </c>
      <c r="J4" s="189">
        <f>IFERROR(__xludf.DUMMYFUNCTION("""COMPUTED_VALUE"""),2.4320050824700003E9)</f>
        <v>2432005082</v>
      </c>
      <c r="K4" s="190">
        <f>IFERROR(__xludf.DUMMYFUNCTION("""COMPUTED_VALUE"""),17669.94174431459)</f>
        <v>17669.94174</v>
      </c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</row>
    <row r="5" ht="24.0" customHeight="1">
      <c r="A5" s="186">
        <f>IFERROR(__xludf.DUMMYFUNCTION("""COMPUTED_VALUE"""),46267.0)</f>
        <v>46267</v>
      </c>
      <c r="B5" s="192">
        <f>IFERROR(__xludf.DUMMYFUNCTION("""COMPUTED_VALUE"""),2.0)</f>
        <v>2</v>
      </c>
      <c r="C5" s="183" t="str">
        <f t="shared" si="1"/>
        <v>INV-20260902-2</v>
      </c>
      <c r="D5" s="183" t="s">
        <v>74</v>
      </c>
      <c r="E5" s="184" t="s">
        <v>75</v>
      </c>
      <c r="F5" s="185">
        <f t="shared" si="2"/>
        <v>46267</v>
      </c>
      <c r="G5" s="186">
        <f t="shared" si="3"/>
        <v>46267</v>
      </c>
      <c r="H5" s="183" t="s">
        <v>76</v>
      </c>
      <c r="I5" s="188">
        <f>IFERROR(__xludf.DUMMYFUNCTION("""COMPUTED_VALUE"""),56971.53)</f>
        <v>56971.53</v>
      </c>
      <c r="J5" s="189">
        <f>IFERROR(__xludf.DUMMYFUNCTION("""COMPUTED_VALUE"""),1.00619647345E9)</f>
        <v>1006196473</v>
      </c>
      <c r="K5" s="190">
        <f>IFERROR(__xludf.DUMMYFUNCTION("""COMPUTED_VALUE"""),17661.391109734985)</f>
        <v>17661.39111</v>
      </c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</row>
    <row r="6" ht="24.0" customHeight="1">
      <c r="A6" s="186">
        <f>IFERROR(__xludf.DUMMYFUNCTION("""COMPUTED_VALUE"""),46267.0)</f>
        <v>46267</v>
      </c>
      <c r="B6" s="192">
        <f>IFERROR(__xludf.DUMMYFUNCTION("""COMPUTED_VALUE"""),3.0)</f>
        <v>3</v>
      </c>
      <c r="C6" s="183" t="str">
        <f t="shared" si="1"/>
        <v>INV-20260902-3</v>
      </c>
      <c r="D6" s="183" t="s">
        <v>74</v>
      </c>
      <c r="E6" s="184" t="s">
        <v>75</v>
      </c>
      <c r="F6" s="185">
        <f t="shared" si="2"/>
        <v>46267</v>
      </c>
      <c r="G6" s="186">
        <f t="shared" si="3"/>
        <v>46267</v>
      </c>
      <c r="H6" s="183" t="s">
        <v>76</v>
      </c>
      <c r="I6" s="188">
        <f>IFERROR(__xludf.DUMMYFUNCTION("""COMPUTED_VALUE"""),113313.32999999999)</f>
        <v>113313.33</v>
      </c>
      <c r="J6" s="189">
        <f>IFERROR(__xludf.DUMMYFUNCTION("""COMPUTED_VALUE"""),1.9990498401299999E9)</f>
        <v>1999049840</v>
      </c>
      <c r="K6" s="190">
        <f>IFERROR(__xludf.DUMMYFUNCTION("""COMPUTED_VALUE"""),17641.78883570009)</f>
        <v>17641.78884</v>
      </c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</row>
    <row r="7" ht="24.0" customHeight="1">
      <c r="A7" s="186">
        <f>IFERROR(__xludf.DUMMYFUNCTION("""COMPUTED_VALUE"""),46267.0)</f>
        <v>46267</v>
      </c>
      <c r="B7" s="192">
        <f>IFERROR(__xludf.DUMMYFUNCTION("""COMPUTED_VALUE"""),4.0)</f>
        <v>4</v>
      </c>
      <c r="C7" s="183" t="str">
        <f t="shared" si="1"/>
        <v>INV-20260902-4</v>
      </c>
      <c r="D7" s="183" t="s">
        <v>74</v>
      </c>
      <c r="E7" s="184" t="s">
        <v>75</v>
      </c>
      <c r="F7" s="185">
        <f t="shared" si="2"/>
        <v>46267</v>
      </c>
      <c r="G7" s="186">
        <f t="shared" si="3"/>
        <v>46267</v>
      </c>
      <c r="H7" s="183" t="s">
        <v>76</v>
      </c>
      <c r="I7" s="188">
        <f>IFERROR(__xludf.DUMMYFUNCTION("""COMPUTED_VALUE"""),28325.83)</f>
        <v>28325.83</v>
      </c>
      <c r="J7" s="189">
        <f>IFERROR(__xludf.DUMMYFUNCTION("""COMPUTED_VALUE"""),4.9978094452000004E8)</f>
        <v>499780944.5</v>
      </c>
      <c r="K7" s="190">
        <f>IFERROR(__xludf.DUMMYFUNCTION("""COMPUTED_VALUE"""),17644.0)</f>
        <v>17644</v>
      </c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</row>
    <row r="8" ht="24.0" customHeight="1">
      <c r="A8" s="186">
        <f>IFERROR(__xludf.DUMMYFUNCTION("""COMPUTED_VALUE"""),46267.0)</f>
        <v>46267</v>
      </c>
      <c r="B8" s="192">
        <f>IFERROR(__xludf.DUMMYFUNCTION("""COMPUTED_VALUE"""),5.0)</f>
        <v>5</v>
      </c>
      <c r="C8" s="183" t="str">
        <f t="shared" si="1"/>
        <v>INV-20260902-5</v>
      </c>
      <c r="D8" s="183" t="s">
        <v>74</v>
      </c>
      <c r="E8" s="184" t="s">
        <v>75</v>
      </c>
      <c r="F8" s="185">
        <f t="shared" si="2"/>
        <v>46267</v>
      </c>
      <c r="G8" s="186">
        <f t="shared" si="3"/>
        <v>46267</v>
      </c>
      <c r="H8" s="183" t="s">
        <v>76</v>
      </c>
      <c r="I8" s="188">
        <f>IFERROR(__xludf.DUMMYFUNCTION("""COMPUTED_VALUE"""),56631.68)</f>
        <v>56631.68</v>
      </c>
      <c r="J8" s="189">
        <f>IFERROR(__xludf.DUMMYFUNCTION("""COMPUTED_VALUE"""),9.99549152E8)</f>
        <v>999549152</v>
      </c>
      <c r="K8" s="190">
        <f>IFERROR(__xludf.DUMMYFUNCTION("""COMPUTED_VALUE"""),17650.0)</f>
        <v>17650</v>
      </c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</row>
    <row r="9" ht="24.0" customHeight="1">
      <c r="A9" s="186">
        <f>IFERROR(__xludf.DUMMYFUNCTION("""COMPUTED_VALUE"""),46268.0)</f>
        <v>46268</v>
      </c>
      <c r="B9" s="192">
        <f>IFERROR(__xludf.DUMMYFUNCTION("""COMPUTED_VALUE"""),1.0)</f>
        <v>1</v>
      </c>
      <c r="C9" s="183" t="str">
        <f t="shared" si="1"/>
        <v>INV-20260903-1</v>
      </c>
      <c r="D9" s="183" t="s">
        <v>74</v>
      </c>
      <c r="E9" s="184" t="s">
        <v>75</v>
      </c>
      <c r="F9" s="185">
        <f t="shared" si="2"/>
        <v>46268</v>
      </c>
      <c r="G9" s="186">
        <f t="shared" si="3"/>
        <v>46268</v>
      </c>
      <c r="H9" s="183" t="s">
        <v>76</v>
      </c>
      <c r="I9" s="188">
        <f>IFERROR(__xludf.DUMMYFUNCTION("""COMPUTED_VALUE"""),446783.42000000004)</f>
        <v>446783.42</v>
      </c>
      <c r="J9" s="189">
        <f>IFERROR(__xludf.DUMMYFUNCTION("""COMPUTED_VALUE"""),7.875999497950001E9)</f>
        <v>7875999498</v>
      </c>
      <c r="K9" s="190">
        <f>IFERROR(__xludf.DUMMYFUNCTION("""COMPUTED_VALUE"""),17628.226888880523)</f>
        <v>17628.22689</v>
      </c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</row>
    <row r="10" ht="24.0" customHeight="1">
      <c r="A10" s="186">
        <f>IFERROR(__xludf.DUMMYFUNCTION("""COMPUTED_VALUE"""),46268.0)</f>
        <v>46268</v>
      </c>
      <c r="B10" s="192">
        <f>IFERROR(__xludf.DUMMYFUNCTION("""COMPUTED_VALUE"""),2.0)</f>
        <v>2</v>
      </c>
      <c r="C10" s="183" t="str">
        <f t="shared" si="1"/>
        <v>INV-20260903-2</v>
      </c>
      <c r="D10" s="183" t="s">
        <v>74</v>
      </c>
      <c r="E10" s="184" t="s">
        <v>75</v>
      </c>
      <c r="F10" s="185">
        <f t="shared" si="2"/>
        <v>46268</v>
      </c>
      <c r="G10" s="186">
        <f t="shared" si="3"/>
        <v>46268</v>
      </c>
      <c r="H10" s="183" t="s">
        <v>76</v>
      </c>
      <c r="I10" s="188">
        <f>IFERROR(__xludf.DUMMYFUNCTION("""COMPUTED_VALUE"""),157365.18)</f>
        <v>157365.18</v>
      </c>
      <c r="J10" s="189">
        <f>IFERROR(__xludf.DUMMYFUNCTION("""COMPUTED_VALUE"""),2.76762752883E9)</f>
        <v>2767627529</v>
      </c>
      <c r="K10" s="190">
        <f>IFERROR(__xludf.DUMMYFUNCTION("""COMPUTED_VALUE"""),17587.29300109465)</f>
        <v>17587.293</v>
      </c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</row>
    <row r="11" ht="24.0" customHeight="1">
      <c r="A11" s="186">
        <f>IFERROR(__xludf.DUMMYFUNCTION("""COMPUTED_VALUE"""),46269.0)</f>
        <v>46269</v>
      </c>
      <c r="B11" s="192">
        <f>IFERROR(__xludf.DUMMYFUNCTION("""COMPUTED_VALUE"""),1.0)</f>
        <v>1</v>
      </c>
      <c r="C11" s="183" t="str">
        <f t="shared" si="1"/>
        <v>INV-20260904-1</v>
      </c>
      <c r="D11" s="183" t="s">
        <v>74</v>
      </c>
      <c r="E11" s="184" t="s">
        <v>75</v>
      </c>
      <c r="F11" s="185">
        <f t="shared" si="2"/>
        <v>46269</v>
      </c>
      <c r="G11" s="186">
        <f t="shared" si="3"/>
        <v>46269</v>
      </c>
      <c r="H11" s="183" t="s">
        <v>76</v>
      </c>
      <c r="I11" s="188">
        <f>IFERROR(__xludf.DUMMYFUNCTION("""COMPUTED_VALUE"""),263858.85)</f>
        <v>263858.85</v>
      </c>
      <c r="J11" s="189">
        <f>IFERROR(__xludf.DUMMYFUNCTION("""COMPUTED_VALUE"""),4.6359999945E9)</f>
        <v>4635999995</v>
      </c>
      <c r="K11" s="190">
        <f>IFERROR(__xludf.DUMMYFUNCTION("""COMPUTED_VALUE"""),17570.0)</f>
        <v>17570</v>
      </c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</row>
    <row r="12" ht="24.0" customHeight="1">
      <c r="A12" s="186">
        <f>IFERROR(__xludf.DUMMYFUNCTION("""COMPUTED_VALUE"""),46269.0)</f>
        <v>46269</v>
      </c>
      <c r="B12" s="192">
        <f>IFERROR(__xludf.DUMMYFUNCTION("""COMPUTED_VALUE"""),2.0)</f>
        <v>2</v>
      </c>
      <c r="C12" s="183" t="str">
        <f t="shared" si="1"/>
        <v>INV-20260904-2</v>
      </c>
      <c r="D12" s="183" t="s">
        <v>74</v>
      </c>
      <c r="E12" s="184" t="s">
        <v>75</v>
      </c>
      <c r="F12" s="185">
        <f t="shared" si="2"/>
        <v>46269</v>
      </c>
      <c r="G12" s="186">
        <f t="shared" si="3"/>
        <v>46269</v>
      </c>
      <c r="H12" s="183" t="s">
        <v>76</v>
      </c>
      <c r="I12" s="188">
        <f>IFERROR(__xludf.DUMMYFUNCTION("""COMPUTED_VALUE"""),130904.95)</f>
        <v>130904.95</v>
      </c>
      <c r="J12" s="189">
        <f>IFERROR(__xludf.DUMMYFUNCTION("""COMPUTED_VALUE"""),2.2999999715E9)</f>
        <v>2299999972</v>
      </c>
      <c r="K12" s="190">
        <f>IFERROR(__xludf.DUMMYFUNCTION("""COMPUTED_VALUE"""),17570.0)</f>
        <v>17570</v>
      </c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</row>
    <row r="13" ht="24.0" customHeight="1">
      <c r="A13" s="186">
        <f>IFERROR(__xludf.DUMMYFUNCTION("""COMPUTED_VALUE"""),46269.0)</f>
        <v>46269</v>
      </c>
      <c r="B13" s="192">
        <f>IFERROR(__xludf.DUMMYFUNCTION("""COMPUTED_VALUE"""),3.0)</f>
        <v>3</v>
      </c>
      <c r="C13" s="183" t="str">
        <f t="shared" si="1"/>
        <v>INV-20260904-3</v>
      </c>
      <c r="D13" s="183" t="s">
        <v>74</v>
      </c>
      <c r="E13" s="184" t="s">
        <v>75</v>
      </c>
      <c r="F13" s="185">
        <f t="shared" si="2"/>
        <v>46269</v>
      </c>
      <c r="G13" s="186">
        <f t="shared" si="3"/>
        <v>46269</v>
      </c>
      <c r="H13" s="183" t="s">
        <v>76</v>
      </c>
      <c r="I13" s="188">
        <f>IFERROR(__xludf.DUMMYFUNCTION("""COMPUTED_VALUE"""),92655.84)</f>
        <v>92655.84</v>
      </c>
      <c r="J13" s="189">
        <f>IFERROR(__xludf.DUMMYFUNCTION("""COMPUTED_VALUE"""),1.6274998296E9)</f>
        <v>1627499830</v>
      </c>
      <c r="K13" s="190">
        <f>IFERROR(__xludf.DUMMYFUNCTION("""COMPUTED_VALUE"""),17565.0)</f>
        <v>17565</v>
      </c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</row>
    <row r="14" ht="24.0" customHeight="1">
      <c r="A14" s="186">
        <f>IFERROR(__xludf.DUMMYFUNCTION("""COMPUTED_VALUE"""),46269.0)</f>
        <v>46269</v>
      </c>
      <c r="B14" s="192">
        <f>IFERROR(__xludf.DUMMYFUNCTION("""COMPUTED_VALUE"""),4.0)</f>
        <v>4</v>
      </c>
      <c r="C14" s="183" t="str">
        <f t="shared" si="1"/>
        <v>INV-20260904-4</v>
      </c>
      <c r="D14" s="183" t="s">
        <v>74</v>
      </c>
      <c r="E14" s="184" t="s">
        <v>75</v>
      </c>
      <c r="F14" s="185">
        <f t="shared" si="2"/>
        <v>46269</v>
      </c>
      <c r="G14" s="186">
        <f t="shared" si="3"/>
        <v>46269</v>
      </c>
      <c r="H14" s="183" t="s">
        <v>76</v>
      </c>
      <c r="I14" s="188">
        <f>IFERROR(__xludf.DUMMYFUNCTION("""COMPUTED_VALUE"""),166164.15)</f>
        <v>166164.15</v>
      </c>
      <c r="J14" s="189">
        <f>IFERROR(__xludf.DUMMYFUNCTION("""COMPUTED_VALUE"""),2.91535001175E9)</f>
        <v>2915350012</v>
      </c>
      <c r="K14" s="190">
        <f>IFERROR(__xludf.DUMMYFUNCTION("""COMPUTED_VALUE"""),17545.0)</f>
        <v>17545</v>
      </c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</row>
    <row r="15" ht="24.0" customHeight="1">
      <c r="A15" s="186">
        <f>IFERROR(__xludf.DUMMYFUNCTION("""COMPUTED_VALUE"""),46269.0)</f>
        <v>46269</v>
      </c>
      <c r="B15" s="192">
        <f>IFERROR(__xludf.DUMMYFUNCTION("""COMPUTED_VALUE"""),5.0)</f>
        <v>5</v>
      </c>
      <c r="C15" s="183" t="str">
        <f t="shared" si="1"/>
        <v>INV-20260904-5</v>
      </c>
      <c r="D15" s="183" t="s">
        <v>74</v>
      </c>
      <c r="E15" s="184" t="s">
        <v>75</v>
      </c>
      <c r="F15" s="185">
        <f t="shared" si="2"/>
        <v>46269</v>
      </c>
      <c r="G15" s="186">
        <f t="shared" si="3"/>
        <v>46269</v>
      </c>
      <c r="H15" s="183" t="s">
        <v>76</v>
      </c>
      <c r="I15" s="188">
        <f>IFERROR(__xludf.DUMMYFUNCTION("""COMPUTED_VALUE"""),65808.03)</f>
        <v>65808.03</v>
      </c>
      <c r="J15" s="189">
        <f>IFERROR(__xludf.DUMMYFUNCTION("""COMPUTED_VALUE"""),1.1546732486100001E9)</f>
        <v>1154673249</v>
      </c>
      <c r="K15" s="190">
        <f>IFERROR(__xludf.DUMMYFUNCTION("""COMPUTED_VALUE"""),17546.084400490337)</f>
        <v>17546.0844</v>
      </c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</row>
    <row r="16" ht="24.0" customHeight="1">
      <c r="A16" s="186">
        <f>IFERROR(__xludf.DUMMYFUNCTION("""COMPUTED_VALUE"""),46270.0)</f>
        <v>46270</v>
      </c>
      <c r="B16" s="192">
        <f>IFERROR(__xludf.DUMMYFUNCTION("""COMPUTED_VALUE"""),1.0)</f>
        <v>1</v>
      </c>
      <c r="C16" s="183" t="str">
        <f t="shared" si="1"/>
        <v>INV-20260905-1</v>
      </c>
      <c r="D16" s="183" t="s">
        <v>74</v>
      </c>
      <c r="E16" s="184" t="s">
        <v>75</v>
      </c>
      <c r="F16" s="185">
        <f t="shared" si="2"/>
        <v>46270</v>
      </c>
      <c r="G16" s="186">
        <f t="shared" si="3"/>
        <v>46270</v>
      </c>
      <c r="H16" s="183" t="s">
        <v>76</v>
      </c>
      <c r="I16" s="188">
        <f>IFERROR(__xludf.DUMMYFUNCTION("""COMPUTED_VALUE"""),85470.08)</f>
        <v>85470.08</v>
      </c>
      <c r="J16" s="189">
        <f>IFERROR(__xludf.DUMMYFUNCTION("""COMPUTED_VALUE"""),1.499999904E9)</f>
        <v>1499999904</v>
      </c>
      <c r="K16" s="190">
        <f>IFERROR(__xludf.DUMMYFUNCTION("""COMPUTED_VALUE"""),17550.0)</f>
        <v>17550</v>
      </c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</row>
    <row r="17" ht="24.0" customHeight="1">
      <c r="A17" s="186">
        <f>IFERROR(__xludf.DUMMYFUNCTION("""COMPUTED_VALUE"""),46272.0)</f>
        <v>46272</v>
      </c>
      <c r="B17" s="192">
        <f>IFERROR(__xludf.DUMMYFUNCTION("""COMPUTED_VALUE"""),1.0)</f>
        <v>1</v>
      </c>
      <c r="C17" s="183" t="str">
        <f t="shared" si="1"/>
        <v>INV-20260907-1</v>
      </c>
      <c r="D17" s="183" t="s">
        <v>74</v>
      </c>
      <c r="E17" s="184" t="s">
        <v>75</v>
      </c>
      <c r="F17" s="185">
        <f t="shared" si="2"/>
        <v>46272</v>
      </c>
      <c r="G17" s="186">
        <f t="shared" si="3"/>
        <v>46272</v>
      </c>
      <c r="H17" s="183" t="s">
        <v>76</v>
      </c>
      <c r="I17" s="188">
        <f>IFERROR(__xludf.DUMMYFUNCTION("""COMPUTED_VALUE"""),113226.87)</f>
        <v>113226.87</v>
      </c>
      <c r="J17" s="189">
        <f>IFERROR(__xludf.DUMMYFUNCTION("""COMPUTED_VALUE"""),1.98821108876E9)</f>
        <v>1988211089</v>
      </c>
      <c r="K17" s="190">
        <f>IFERROR(__xludf.DUMMYFUNCTION("""COMPUTED_VALUE"""),17559.53413496284)</f>
        <v>17559.53413</v>
      </c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</row>
    <row r="18" ht="24.0" customHeight="1">
      <c r="A18" s="186">
        <f>IFERROR(__xludf.DUMMYFUNCTION("""COMPUTED_VALUE"""),46273.0)</f>
        <v>46273</v>
      </c>
      <c r="B18" s="192">
        <f>IFERROR(__xludf.DUMMYFUNCTION("""COMPUTED_VALUE"""),1.0)</f>
        <v>1</v>
      </c>
      <c r="C18" s="183" t="str">
        <f t="shared" si="1"/>
        <v>INV-20260908-1</v>
      </c>
      <c r="D18" s="183" t="s">
        <v>74</v>
      </c>
      <c r="E18" s="184" t="s">
        <v>75</v>
      </c>
      <c r="F18" s="185">
        <f t="shared" si="2"/>
        <v>46273</v>
      </c>
      <c r="G18" s="186">
        <f t="shared" si="3"/>
        <v>46273</v>
      </c>
      <c r="H18" s="183" t="s">
        <v>76</v>
      </c>
      <c r="I18" s="188">
        <f>IFERROR(__xludf.DUMMYFUNCTION("""COMPUTED_VALUE"""),65988.83)</f>
        <v>65988.83</v>
      </c>
      <c r="J18" s="189">
        <f>IFERROR(__xludf.DUMMYFUNCTION("""COMPUTED_VALUE"""),1.15849989948E9)</f>
        <v>1158499899</v>
      </c>
      <c r="K18" s="190">
        <f>IFERROR(__xludf.DUMMYFUNCTION("""COMPUTED_VALUE"""),17556.0)</f>
        <v>17556</v>
      </c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</row>
    <row r="19" ht="24.0" customHeight="1">
      <c r="A19" s="186">
        <f>IFERROR(__xludf.DUMMYFUNCTION("""COMPUTED_VALUE"""),46273.0)</f>
        <v>46273</v>
      </c>
      <c r="B19" s="192">
        <f>IFERROR(__xludf.DUMMYFUNCTION("""COMPUTED_VALUE"""),2.0)</f>
        <v>2</v>
      </c>
      <c r="C19" s="183" t="str">
        <f t="shared" si="1"/>
        <v>INV-20260908-2</v>
      </c>
      <c r="D19" s="183" t="s">
        <v>74</v>
      </c>
      <c r="E19" s="184" t="s">
        <v>75</v>
      </c>
      <c r="F19" s="185">
        <f t="shared" si="2"/>
        <v>46273</v>
      </c>
      <c r="G19" s="186">
        <f t="shared" si="3"/>
        <v>46273</v>
      </c>
      <c r="H19" s="183" t="s">
        <v>76</v>
      </c>
      <c r="I19" s="188">
        <f>IFERROR(__xludf.DUMMYFUNCTION("""COMPUTED_VALUE"""),113921.16)</f>
        <v>113921.16</v>
      </c>
      <c r="J19" s="189">
        <f>IFERROR(__xludf.DUMMYFUNCTION("""COMPUTED_VALUE"""),1.99999988496E9)</f>
        <v>1999999885</v>
      </c>
      <c r="K19" s="190">
        <f>IFERROR(__xludf.DUMMYFUNCTION("""COMPUTED_VALUE"""),17556.0)</f>
        <v>17556</v>
      </c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</row>
    <row r="20" ht="24.0" customHeight="1">
      <c r="A20" s="186">
        <f>IFERROR(__xludf.DUMMYFUNCTION("""COMPUTED_VALUE"""),46273.0)</f>
        <v>46273</v>
      </c>
      <c r="B20" s="192">
        <f>IFERROR(__xludf.DUMMYFUNCTION("""COMPUTED_VALUE"""),3.0)</f>
        <v>3</v>
      </c>
      <c r="C20" s="183" t="str">
        <f t="shared" si="1"/>
        <v>INV-20260908-3</v>
      </c>
      <c r="D20" s="183" t="s">
        <v>74</v>
      </c>
      <c r="E20" s="184" t="s">
        <v>75</v>
      </c>
      <c r="F20" s="185">
        <f t="shared" si="2"/>
        <v>46273</v>
      </c>
      <c r="G20" s="186">
        <f t="shared" si="3"/>
        <v>46273</v>
      </c>
      <c r="H20" s="183" t="s">
        <v>76</v>
      </c>
      <c r="I20" s="188">
        <f>IFERROR(__xludf.DUMMYFUNCTION("""COMPUTED_VALUE"""),28480.29)</f>
        <v>28480.29</v>
      </c>
      <c r="J20" s="189">
        <f>IFERROR(__xludf.DUMMYFUNCTION("""COMPUTED_VALUE"""),4.9999997124E8)</f>
        <v>499999971.2</v>
      </c>
      <c r="K20" s="190">
        <f>IFERROR(__xludf.DUMMYFUNCTION("""COMPUTED_VALUE"""),17556.0)</f>
        <v>17556</v>
      </c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</row>
    <row r="21" ht="24.0" customHeight="1">
      <c r="A21" s="186">
        <f>IFERROR(__xludf.DUMMYFUNCTION("""COMPUTED_VALUE"""),46273.0)</f>
        <v>46273</v>
      </c>
      <c r="B21" s="192">
        <f>IFERROR(__xludf.DUMMYFUNCTION("""COMPUTED_VALUE"""),4.0)</f>
        <v>4</v>
      </c>
      <c r="C21" s="183" t="str">
        <f t="shared" si="1"/>
        <v>INV-20260908-4</v>
      </c>
      <c r="D21" s="183" t="s">
        <v>74</v>
      </c>
      <c r="E21" s="184" t="s">
        <v>75</v>
      </c>
      <c r="F21" s="185">
        <f t="shared" si="2"/>
        <v>46273</v>
      </c>
      <c r="G21" s="186">
        <f t="shared" si="3"/>
        <v>46273</v>
      </c>
      <c r="H21" s="183" t="s">
        <v>76</v>
      </c>
      <c r="I21" s="188">
        <f>IFERROR(__xludf.DUMMYFUNCTION("""COMPUTED_VALUE"""),131345.32)</f>
        <v>131345.32</v>
      </c>
      <c r="J21" s="189">
        <f>IFERROR(__xludf.DUMMYFUNCTION("""COMPUTED_VALUE"""),2.3060297832400002E9)</f>
        <v>2306029783</v>
      </c>
      <c r="K21" s="190">
        <f>IFERROR(__xludf.DUMMYFUNCTION("""COMPUTED_VALUE"""),17557.0)</f>
        <v>17557</v>
      </c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</row>
    <row r="22" ht="24.0" customHeight="1">
      <c r="A22" s="186">
        <f>IFERROR(__xludf.DUMMYFUNCTION("""COMPUTED_VALUE"""),46273.0)</f>
        <v>46273</v>
      </c>
      <c r="B22" s="192">
        <f>IFERROR(__xludf.DUMMYFUNCTION("""COMPUTED_VALUE"""),5.0)</f>
        <v>5</v>
      </c>
      <c r="C22" s="183" t="str">
        <f t="shared" si="1"/>
        <v>INV-20260908-5</v>
      </c>
      <c r="D22" s="183" t="s">
        <v>74</v>
      </c>
      <c r="E22" s="184" t="s">
        <v>75</v>
      </c>
      <c r="F22" s="185">
        <f t="shared" si="2"/>
        <v>46273</v>
      </c>
      <c r="G22" s="186">
        <f t="shared" si="3"/>
        <v>46273</v>
      </c>
      <c r="H22" s="183" t="s">
        <v>76</v>
      </c>
      <c r="I22" s="188">
        <f>IFERROR(__xludf.DUMMYFUNCTION("""COMPUTED_VALUE"""),56955.700000000004)</f>
        <v>56955.7</v>
      </c>
      <c r="J22" s="189">
        <f>IFERROR(__xludf.DUMMYFUNCTION("""COMPUTED_VALUE"""),9.9885506256E8)</f>
        <v>998855062.6</v>
      </c>
      <c r="K22" s="190">
        <f>IFERROR(__xludf.DUMMYFUNCTION("""COMPUTED_VALUE"""),17537.40297389023)</f>
        <v>17537.40297</v>
      </c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</row>
    <row r="23" ht="24.0" customHeight="1">
      <c r="A23" s="186">
        <f>IFERROR(__xludf.DUMMYFUNCTION("""COMPUTED_VALUE"""),46274.0)</f>
        <v>46274</v>
      </c>
      <c r="B23" s="192">
        <f>IFERROR(__xludf.DUMMYFUNCTION("""COMPUTED_VALUE"""),1.0)</f>
        <v>1</v>
      </c>
      <c r="C23" s="183" t="str">
        <f t="shared" si="1"/>
        <v>INV-20260909-1</v>
      </c>
      <c r="D23" s="183" t="s">
        <v>74</v>
      </c>
      <c r="E23" s="184" t="s">
        <v>75</v>
      </c>
      <c r="F23" s="185">
        <f t="shared" si="2"/>
        <v>46274</v>
      </c>
      <c r="G23" s="186">
        <f t="shared" si="3"/>
        <v>46274</v>
      </c>
      <c r="H23" s="183" t="s">
        <v>76</v>
      </c>
      <c r="I23" s="188">
        <f>IFERROR(__xludf.DUMMYFUNCTION("""COMPUTED_VALUE"""),55379.37)</f>
        <v>55379.37</v>
      </c>
      <c r="J23" s="189">
        <f>IFERROR(__xludf.DUMMYFUNCTION("""COMPUTED_VALUE"""),9.6650849204E8)</f>
        <v>966508492</v>
      </c>
      <c r="K23" s="190">
        <f>IFERROR(__xludf.DUMMYFUNCTION("""COMPUTED_VALUE"""),17452.500670195415)</f>
        <v>17452.50067</v>
      </c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</row>
    <row r="24" ht="24.0" customHeight="1">
      <c r="A24" s="186">
        <f>IFERROR(__xludf.DUMMYFUNCTION("""COMPUTED_VALUE"""),46275.0)</f>
        <v>46275</v>
      </c>
      <c r="B24" s="192">
        <f>IFERROR(__xludf.DUMMYFUNCTION("""COMPUTED_VALUE"""),1.0)</f>
        <v>1</v>
      </c>
      <c r="C24" s="183" t="str">
        <f t="shared" si="1"/>
        <v>INV-20260910-1</v>
      </c>
      <c r="D24" s="183" t="s">
        <v>74</v>
      </c>
      <c r="E24" s="184" t="s">
        <v>75</v>
      </c>
      <c r="F24" s="185">
        <f t="shared" si="2"/>
        <v>46275</v>
      </c>
      <c r="G24" s="186">
        <f t="shared" si="3"/>
        <v>46275</v>
      </c>
      <c r="H24" s="183" t="s">
        <v>76</v>
      </c>
      <c r="I24" s="188">
        <f>IFERROR(__xludf.DUMMYFUNCTION("""COMPUTED_VALUE"""),57208.23)</f>
        <v>57208.23</v>
      </c>
      <c r="J24" s="189">
        <f>IFERROR(__xludf.DUMMYFUNCTION("""COMPUTED_VALUE"""),9.999998604000001E8)</f>
        <v>999999860.4</v>
      </c>
      <c r="K24" s="190">
        <f>IFERROR(__xludf.DUMMYFUNCTION("""COMPUTED_VALUE"""),17480.0)</f>
        <v>17480</v>
      </c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</row>
    <row r="25" ht="24.0" customHeight="1">
      <c r="A25" s="186">
        <f>IFERROR(__xludf.DUMMYFUNCTION("""COMPUTED_VALUE"""),46275.0)</f>
        <v>46275</v>
      </c>
      <c r="B25" s="192">
        <f>IFERROR(__xludf.DUMMYFUNCTION("""COMPUTED_VALUE"""),2.0)</f>
        <v>2</v>
      </c>
      <c r="C25" s="183" t="str">
        <f t="shared" si="1"/>
        <v>INV-20260910-2</v>
      </c>
      <c r="D25" s="183" t="s">
        <v>74</v>
      </c>
      <c r="E25" s="184" t="s">
        <v>75</v>
      </c>
      <c r="F25" s="185">
        <f t="shared" si="2"/>
        <v>46275</v>
      </c>
      <c r="G25" s="186">
        <f t="shared" si="3"/>
        <v>46275</v>
      </c>
      <c r="H25" s="183" t="s">
        <v>76</v>
      </c>
      <c r="I25" s="188">
        <f>IFERROR(__xludf.DUMMYFUNCTION("""COMPUTED_VALUE"""),68630.25)</f>
        <v>68630.25</v>
      </c>
      <c r="J25" s="189">
        <f>IFERROR(__xludf.DUMMYFUNCTION("""COMPUTED_VALUE"""),1.19999992125E9)</f>
        <v>1199999921</v>
      </c>
      <c r="K25" s="190">
        <f>IFERROR(__xludf.DUMMYFUNCTION("""COMPUTED_VALUE"""),17485.0)</f>
        <v>17485</v>
      </c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</row>
    <row r="26" ht="24.0" customHeight="1">
      <c r="A26" s="186">
        <f>IFERROR(__xludf.DUMMYFUNCTION("""COMPUTED_VALUE"""),46275.0)</f>
        <v>46275</v>
      </c>
      <c r="B26" s="192">
        <f>IFERROR(__xludf.DUMMYFUNCTION("""COMPUTED_VALUE"""),3.0)</f>
        <v>3</v>
      </c>
      <c r="C26" s="183" t="str">
        <f t="shared" si="1"/>
        <v>INV-20260910-3</v>
      </c>
      <c r="D26" s="183" t="s">
        <v>74</v>
      </c>
      <c r="E26" s="184" t="s">
        <v>75</v>
      </c>
      <c r="F26" s="185">
        <f t="shared" si="2"/>
        <v>46275</v>
      </c>
      <c r="G26" s="186">
        <f t="shared" si="3"/>
        <v>46275</v>
      </c>
      <c r="H26" s="183" t="s">
        <v>76</v>
      </c>
      <c r="I26" s="188">
        <f>IFERROR(__xludf.DUMMYFUNCTION("""COMPUTED_VALUE"""),18969.11)</f>
        <v>18969.11</v>
      </c>
      <c r="J26" s="189">
        <f>IFERROR(__xludf.DUMMYFUNCTION("""COMPUTED_VALUE"""),3.3167488835E8)</f>
        <v>331674888.4</v>
      </c>
      <c r="K26" s="190">
        <f>IFERROR(__xludf.DUMMYFUNCTION("""COMPUTED_VALUE"""),17485.0)</f>
        <v>17485</v>
      </c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</row>
    <row r="27" ht="24.0" customHeight="1">
      <c r="A27" s="186">
        <f>IFERROR(__xludf.DUMMYFUNCTION("""COMPUTED_VALUE"""),46276.0)</f>
        <v>46276</v>
      </c>
      <c r="B27" s="192">
        <f>IFERROR(__xludf.DUMMYFUNCTION("""COMPUTED_VALUE"""),1.0)</f>
        <v>1</v>
      </c>
      <c r="C27" s="183" t="str">
        <f t="shared" si="1"/>
        <v>INV-20260911-1</v>
      </c>
      <c r="D27" s="183" t="s">
        <v>74</v>
      </c>
      <c r="E27" s="184" t="s">
        <v>75</v>
      </c>
      <c r="F27" s="185">
        <f t="shared" si="2"/>
        <v>46276</v>
      </c>
      <c r="G27" s="186">
        <f t="shared" si="3"/>
        <v>46276</v>
      </c>
      <c r="H27" s="183" t="s">
        <v>76</v>
      </c>
      <c r="I27" s="188">
        <f>IFERROR(__xludf.DUMMYFUNCTION("""COMPUTED_VALUE"""),27013.120000000003)</f>
        <v>27013.12</v>
      </c>
      <c r="J27" s="189">
        <f>IFERROR(__xludf.DUMMYFUNCTION("""COMPUTED_VALUE"""),4.7316997150000006E8)</f>
        <v>473169971.5</v>
      </c>
      <c r="K27" s="190">
        <f>IFERROR(__xludf.DUMMYFUNCTION("""COMPUTED_VALUE"""),17516.302133926034)</f>
        <v>17516.30213</v>
      </c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</row>
    <row r="28" ht="24.0" customHeight="1">
      <c r="A28" s="186">
        <f>IFERROR(__xludf.DUMMYFUNCTION("""COMPUTED_VALUE"""),46276.0)</f>
        <v>46276</v>
      </c>
      <c r="B28" s="192">
        <f>IFERROR(__xludf.DUMMYFUNCTION("""COMPUTED_VALUE"""),2.0)</f>
        <v>2</v>
      </c>
      <c r="C28" s="183" t="str">
        <f t="shared" si="1"/>
        <v>INV-20260911-2</v>
      </c>
      <c r="D28" s="183" t="s">
        <v>74</v>
      </c>
      <c r="E28" s="184" t="s">
        <v>75</v>
      </c>
      <c r="F28" s="185">
        <f t="shared" si="2"/>
        <v>46276</v>
      </c>
      <c r="G28" s="186">
        <f t="shared" si="3"/>
        <v>46276</v>
      </c>
      <c r="H28" s="183" t="s">
        <v>76</v>
      </c>
      <c r="I28" s="188">
        <f>IFERROR(__xludf.DUMMYFUNCTION("""COMPUTED_VALUE"""),130974.69)</f>
        <v>130974.69</v>
      </c>
      <c r="J28" s="189">
        <f>IFERROR(__xludf.DUMMYFUNCTION("""COMPUTED_VALUE"""),2.2933668219E9)</f>
        <v>2293366822</v>
      </c>
      <c r="K28" s="190">
        <f>IFERROR(__xludf.DUMMYFUNCTION("""COMPUTED_VALUE"""),17510.0)</f>
        <v>17510</v>
      </c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</row>
    <row r="29" ht="24.0" customHeight="1">
      <c r="A29" s="186">
        <f>IFERROR(__xludf.DUMMYFUNCTION("""COMPUTED_VALUE"""),46277.0)</f>
        <v>46277</v>
      </c>
      <c r="B29" s="192">
        <f>IFERROR(__xludf.DUMMYFUNCTION("""COMPUTED_VALUE"""),1.0)</f>
        <v>1</v>
      </c>
      <c r="C29" s="183" t="str">
        <f t="shared" si="1"/>
        <v>INV-20260912-1</v>
      </c>
      <c r="D29" s="183" t="s">
        <v>74</v>
      </c>
      <c r="E29" s="184" t="s">
        <v>75</v>
      </c>
      <c r="F29" s="185">
        <f t="shared" si="2"/>
        <v>46277</v>
      </c>
      <c r="G29" s="186">
        <f t="shared" si="3"/>
        <v>46277</v>
      </c>
      <c r="H29" s="183" t="s">
        <v>76</v>
      </c>
      <c r="I29" s="188">
        <f>IFERROR(__xludf.DUMMYFUNCTION("""COMPUTED_VALUE"""),183366.67)</f>
        <v>183366.67</v>
      </c>
      <c r="J29" s="189">
        <f>IFERROR(__xludf.DUMMYFUNCTION("""COMPUTED_VALUE"""),3.20799989165E9)</f>
        <v>3207999892</v>
      </c>
      <c r="K29" s="190">
        <f>IFERROR(__xludf.DUMMYFUNCTION("""COMPUTED_VALUE"""),17495.0)</f>
        <v>17495</v>
      </c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</row>
    <row r="30" ht="24.0" customHeight="1">
      <c r="A30" s="186">
        <f>IFERROR(__xludf.DUMMYFUNCTION("""COMPUTED_VALUE"""),46278.0)</f>
        <v>46278</v>
      </c>
      <c r="B30" s="192">
        <f>IFERROR(__xludf.DUMMYFUNCTION("""COMPUTED_VALUE"""),1.0)</f>
        <v>1</v>
      </c>
      <c r="C30" s="183" t="str">
        <f t="shared" si="1"/>
        <v>INV-20260913-1</v>
      </c>
      <c r="D30" s="183" t="s">
        <v>74</v>
      </c>
      <c r="E30" s="184" t="s">
        <v>75</v>
      </c>
      <c r="F30" s="185">
        <f t="shared" si="2"/>
        <v>46278</v>
      </c>
      <c r="G30" s="186">
        <f t="shared" si="3"/>
        <v>46278</v>
      </c>
      <c r="H30" s="183" t="s">
        <v>76</v>
      </c>
      <c r="I30" s="188">
        <f>IFERROR(__xludf.DUMMYFUNCTION("""COMPUTED_VALUE"""),57175.52)</f>
        <v>57175.52</v>
      </c>
      <c r="J30" s="189">
        <f>IFERROR(__xludf.DUMMYFUNCTION("""COMPUTED_VALUE"""),9.999998448E8)</f>
        <v>999999844.8</v>
      </c>
      <c r="K30" s="190">
        <f>IFERROR(__xludf.DUMMYFUNCTION("""COMPUTED_VALUE"""),17490.0)</f>
        <v>17490</v>
      </c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</row>
    <row r="31" ht="24.0" customHeight="1">
      <c r="A31" s="186">
        <f>IFERROR(__xludf.DUMMYFUNCTION("""COMPUTED_VALUE"""),46278.0)</f>
        <v>46278</v>
      </c>
      <c r="B31" s="192">
        <f>IFERROR(__xludf.DUMMYFUNCTION("""COMPUTED_VALUE"""),2.0)</f>
        <v>2</v>
      </c>
      <c r="C31" s="183" t="str">
        <f t="shared" si="1"/>
        <v>INV-20260913-2</v>
      </c>
      <c r="D31" s="183" t="s">
        <v>74</v>
      </c>
      <c r="E31" s="184" t="s">
        <v>75</v>
      </c>
      <c r="F31" s="185">
        <f t="shared" si="2"/>
        <v>46278</v>
      </c>
      <c r="G31" s="186">
        <f t="shared" si="3"/>
        <v>46278</v>
      </c>
      <c r="H31" s="183" t="s">
        <v>76</v>
      </c>
      <c r="I31" s="188">
        <f>IFERROR(__xludf.DUMMYFUNCTION("""COMPUTED_VALUE"""),125786.16)</f>
        <v>125786.16</v>
      </c>
      <c r="J31" s="189">
        <f>IFERROR(__xludf.DUMMYFUNCTION("""COMPUTED_VALUE"""),2.1999999384E9)</f>
        <v>2199999938</v>
      </c>
      <c r="K31" s="190">
        <f>IFERROR(__xludf.DUMMYFUNCTION("""COMPUTED_VALUE"""),17490.0)</f>
        <v>17490</v>
      </c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</row>
    <row r="32" ht="24.0" customHeight="1">
      <c r="A32" s="186">
        <f>IFERROR(__xludf.DUMMYFUNCTION("""COMPUTED_VALUE"""),46278.0)</f>
        <v>46278</v>
      </c>
      <c r="B32" s="192">
        <f>IFERROR(__xludf.DUMMYFUNCTION("""COMPUTED_VALUE"""),3.0)</f>
        <v>3</v>
      </c>
      <c r="C32" s="183" t="str">
        <f t="shared" si="1"/>
        <v>INV-20260913-3</v>
      </c>
      <c r="D32" s="183" t="s">
        <v>74</v>
      </c>
      <c r="E32" s="184" t="s">
        <v>75</v>
      </c>
      <c r="F32" s="185">
        <f t="shared" si="2"/>
        <v>46278</v>
      </c>
      <c r="G32" s="186">
        <f t="shared" si="3"/>
        <v>46278</v>
      </c>
      <c r="H32" s="183" t="s">
        <v>76</v>
      </c>
      <c r="I32" s="188">
        <f>IFERROR(__xludf.DUMMYFUNCTION("""COMPUTED_VALUE"""),158430.13)</f>
        <v>158430.13</v>
      </c>
      <c r="J32" s="189">
        <f>IFERROR(__xludf.DUMMYFUNCTION("""COMPUTED_VALUE"""),2.7709429737000003E9)</f>
        <v>2770942974</v>
      </c>
      <c r="K32" s="190">
        <f>IFERROR(__xludf.DUMMYFUNCTION("""COMPUTED_VALUE"""),17490.0)</f>
        <v>17490</v>
      </c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</row>
    <row r="33" ht="24.0" customHeight="1">
      <c r="A33" s="186">
        <f>IFERROR(__xludf.DUMMYFUNCTION("""COMPUTED_VALUE"""),46279.0)</f>
        <v>46279</v>
      </c>
      <c r="B33" s="192">
        <f>IFERROR(__xludf.DUMMYFUNCTION("""COMPUTED_VALUE"""),1.0)</f>
        <v>1</v>
      </c>
      <c r="C33" s="183" t="str">
        <f t="shared" si="1"/>
        <v>INV-20260914-1</v>
      </c>
      <c r="D33" s="183" t="s">
        <v>74</v>
      </c>
      <c r="E33" s="184" t="s">
        <v>75</v>
      </c>
      <c r="F33" s="185">
        <f t="shared" si="2"/>
        <v>46279</v>
      </c>
      <c r="G33" s="186">
        <f t="shared" si="3"/>
        <v>46279</v>
      </c>
      <c r="H33" s="183" t="s">
        <v>76</v>
      </c>
      <c r="I33" s="188">
        <f>IFERROR(__xludf.DUMMYFUNCTION("""COMPUTED_VALUE"""),142409.0)</f>
        <v>142409</v>
      </c>
      <c r="J33" s="189">
        <f>IFERROR(__xludf.DUMMYFUNCTION("""COMPUTED_VALUE"""),2.499989995E9)</f>
        <v>2499989995</v>
      </c>
      <c r="K33" s="190">
        <f>IFERROR(__xludf.DUMMYFUNCTION("""COMPUTED_VALUE"""),17555.0)</f>
        <v>17555</v>
      </c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</row>
    <row r="34" ht="24.0" customHeight="1">
      <c r="A34" s="186">
        <f>IFERROR(__xludf.DUMMYFUNCTION("""COMPUTED_VALUE"""),46279.0)</f>
        <v>46279</v>
      </c>
      <c r="B34" s="192">
        <f>IFERROR(__xludf.DUMMYFUNCTION("""COMPUTED_VALUE"""),2.0)</f>
        <v>2</v>
      </c>
      <c r="C34" s="183" t="str">
        <f t="shared" si="1"/>
        <v>INV-20260914-2</v>
      </c>
      <c r="D34" s="183" t="s">
        <v>74</v>
      </c>
      <c r="E34" s="184" t="s">
        <v>75</v>
      </c>
      <c r="F34" s="185">
        <f t="shared" si="2"/>
        <v>46279</v>
      </c>
      <c r="G34" s="186">
        <f t="shared" si="3"/>
        <v>46279</v>
      </c>
      <c r="H34" s="183" t="s">
        <v>76</v>
      </c>
      <c r="I34" s="188">
        <f>IFERROR(__xludf.DUMMYFUNCTION("""COMPUTED_VALUE"""),113927.65)</f>
        <v>113927.65</v>
      </c>
      <c r="J34" s="189">
        <f>IFERROR(__xludf.DUMMYFUNCTION("""COMPUTED_VALUE"""),1.99999989575E9)</f>
        <v>1999999896</v>
      </c>
      <c r="K34" s="190">
        <f>IFERROR(__xludf.DUMMYFUNCTION("""COMPUTED_VALUE"""),17555.0)</f>
        <v>17555</v>
      </c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</row>
    <row r="35" ht="24.0" customHeight="1">
      <c r="A35" s="186">
        <f>IFERROR(__xludf.DUMMYFUNCTION("""COMPUTED_VALUE"""),46279.0)</f>
        <v>46279</v>
      </c>
      <c r="B35" s="192">
        <f>IFERROR(__xludf.DUMMYFUNCTION("""COMPUTED_VALUE"""),3.0)</f>
        <v>3</v>
      </c>
      <c r="C35" s="183" t="str">
        <f t="shared" si="1"/>
        <v>INV-20260914-3</v>
      </c>
      <c r="D35" s="183" t="s">
        <v>74</v>
      </c>
      <c r="E35" s="184" t="s">
        <v>75</v>
      </c>
      <c r="F35" s="185">
        <f t="shared" si="2"/>
        <v>46279</v>
      </c>
      <c r="G35" s="186">
        <f t="shared" si="3"/>
        <v>46279</v>
      </c>
      <c r="H35" s="183" t="s">
        <v>76</v>
      </c>
      <c r="I35" s="188">
        <f>IFERROR(__xludf.DUMMYFUNCTION("""COMPUTED_VALUE"""),147668.85)</f>
        <v>147668.85</v>
      </c>
      <c r="J35" s="189">
        <f>IFERROR(__xludf.DUMMYFUNCTION("""COMPUTED_VALUE"""),2.59232666175E9)</f>
        <v>2592326662</v>
      </c>
      <c r="K35" s="190">
        <f>IFERROR(__xludf.DUMMYFUNCTION("""COMPUTED_VALUE"""),17555.0)</f>
        <v>17555</v>
      </c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</row>
    <row r="36" ht="24.0" customHeight="1">
      <c r="A36" s="186">
        <f>IFERROR(__xludf.DUMMYFUNCTION("""COMPUTED_VALUE"""),46279.0)</f>
        <v>46279</v>
      </c>
      <c r="B36" s="192">
        <f>IFERROR(__xludf.DUMMYFUNCTION("""COMPUTED_VALUE"""),4.0)</f>
        <v>4</v>
      </c>
      <c r="C36" s="183" t="str">
        <f t="shared" si="1"/>
        <v>INV-20260914-4</v>
      </c>
      <c r="D36" s="183" t="s">
        <v>74</v>
      </c>
      <c r="E36" s="184" t="s">
        <v>75</v>
      </c>
      <c r="F36" s="185">
        <f t="shared" si="2"/>
        <v>46279</v>
      </c>
      <c r="G36" s="186">
        <f t="shared" si="3"/>
        <v>46279</v>
      </c>
      <c r="H36" s="183" t="s">
        <v>76</v>
      </c>
      <c r="I36" s="188">
        <f>IFERROR(__xludf.DUMMYFUNCTION("""COMPUTED_VALUE"""),113895.21)</f>
        <v>113895.21</v>
      </c>
      <c r="J36" s="189">
        <f>IFERROR(__xludf.DUMMYFUNCTION("""COMPUTED_VALUE"""),1.9999998876000001E9)</f>
        <v>1999999888</v>
      </c>
      <c r="K36" s="190">
        <f>IFERROR(__xludf.DUMMYFUNCTION("""COMPUTED_VALUE"""),17560.0)</f>
        <v>17560</v>
      </c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</row>
    <row r="37" ht="24.0" customHeight="1">
      <c r="A37" s="186">
        <f>IFERROR(__xludf.DUMMYFUNCTION("""COMPUTED_VALUE"""),46279.0)</f>
        <v>46279</v>
      </c>
      <c r="B37" s="192">
        <f>IFERROR(__xludf.DUMMYFUNCTION("""COMPUTED_VALUE"""),5.0)</f>
        <v>5</v>
      </c>
      <c r="C37" s="183" t="str">
        <f t="shared" si="1"/>
        <v>INV-20260914-5</v>
      </c>
      <c r="D37" s="183" t="s">
        <v>74</v>
      </c>
      <c r="E37" s="184" t="s">
        <v>75</v>
      </c>
      <c r="F37" s="185">
        <f t="shared" si="2"/>
        <v>46279</v>
      </c>
      <c r="G37" s="186">
        <f t="shared" si="3"/>
        <v>46279</v>
      </c>
      <c r="H37" s="183" t="s">
        <v>76</v>
      </c>
      <c r="I37" s="188">
        <f>IFERROR(__xludf.DUMMYFUNCTION("""COMPUTED_VALUE"""),108320.04)</f>
        <v>108320.04</v>
      </c>
      <c r="J37" s="189">
        <f>IFERROR(__xludf.DUMMYFUNCTION("""COMPUTED_VALUE"""),1.9020999023999999E9)</f>
        <v>1902099902</v>
      </c>
      <c r="K37" s="190">
        <f>IFERROR(__xludf.DUMMYFUNCTION("""COMPUTED_VALUE"""),17560.0)</f>
        <v>17560</v>
      </c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</row>
    <row r="38" ht="24.0" customHeight="1">
      <c r="A38" s="186">
        <f>IFERROR(__xludf.DUMMYFUNCTION("""COMPUTED_VALUE"""),46279.0)</f>
        <v>46279</v>
      </c>
      <c r="B38" s="192">
        <f>IFERROR(__xludf.DUMMYFUNCTION("""COMPUTED_VALUE"""),6.0)</f>
        <v>6</v>
      </c>
      <c r="C38" s="183" t="str">
        <f t="shared" si="1"/>
        <v>INV-20260914-6</v>
      </c>
      <c r="D38" s="183" t="s">
        <v>74</v>
      </c>
      <c r="E38" s="184" t="s">
        <v>75</v>
      </c>
      <c r="F38" s="185">
        <f t="shared" si="2"/>
        <v>46279</v>
      </c>
      <c r="G38" s="186">
        <f t="shared" si="3"/>
        <v>46279</v>
      </c>
      <c r="H38" s="183" t="s">
        <v>76</v>
      </c>
      <c r="I38" s="188">
        <f>IFERROR(__xludf.DUMMYFUNCTION("""COMPUTED_VALUE"""),131016.8)</f>
        <v>131016.8</v>
      </c>
      <c r="J38" s="189">
        <f>IFERROR(__xludf.DUMMYFUNCTION("""COMPUTED_VALUE"""),2.299999924E9)</f>
        <v>2299999924</v>
      </c>
      <c r="K38" s="190">
        <f>IFERROR(__xludf.DUMMYFUNCTION("""COMPUTED_VALUE"""),17555.0)</f>
        <v>17555</v>
      </c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</row>
    <row r="39" ht="24.0" customHeight="1">
      <c r="A39" s="186">
        <f>IFERROR(__xludf.DUMMYFUNCTION("""COMPUTED_VALUE"""),46280.0)</f>
        <v>46280</v>
      </c>
      <c r="B39" s="192">
        <f>IFERROR(__xludf.DUMMYFUNCTION("""COMPUTED_VALUE"""),1.0)</f>
        <v>1</v>
      </c>
      <c r="C39" s="183" t="str">
        <f t="shared" si="1"/>
        <v>INV-20260915-1</v>
      </c>
      <c r="D39" s="183" t="s">
        <v>74</v>
      </c>
      <c r="E39" s="184" t="s">
        <v>75</v>
      </c>
      <c r="F39" s="185">
        <f t="shared" si="2"/>
        <v>46280</v>
      </c>
      <c r="G39" s="186">
        <f t="shared" si="3"/>
        <v>46280</v>
      </c>
      <c r="H39" s="183" t="s">
        <v>76</v>
      </c>
      <c r="I39" s="188">
        <f>IFERROR(__xludf.DUMMYFUNCTION("""COMPUTED_VALUE"""),130570.53)</f>
        <v>130570.53</v>
      </c>
      <c r="J39" s="189">
        <f>IFERROR(__xludf.DUMMYFUNCTION("""COMPUTED_VALUE"""),2.29999988595E9)</f>
        <v>2299999886</v>
      </c>
      <c r="K39" s="190">
        <f>IFERROR(__xludf.DUMMYFUNCTION("""COMPUTED_VALUE"""),17615.0)</f>
        <v>17615</v>
      </c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</row>
    <row r="40" ht="24.0" customHeight="1">
      <c r="A40" s="186">
        <f>IFERROR(__xludf.DUMMYFUNCTION("""COMPUTED_VALUE"""),46281.0)</f>
        <v>46281</v>
      </c>
      <c r="B40" s="192">
        <f>IFERROR(__xludf.DUMMYFUNCTION("""COMPUTED_VALUE"""),1.0)</f>
        <v>1</v>
      </c>
      <c r="C40" s="183" t="str">
        <f t="shared" si="1"/>
        <v>INV-20260916-1</v>
      </c>
      <c r="D40" s="183" t="s">
        <v>74</v>
      </c>
      <c r="E40" s="184" t="s">
        <v>75</v>
      </c>
      <c r="F40" s="185">
        <f t="shared" si="2"/>
        <v>46281</v>
      </c>
      <c r="G40" s="186">
        <f t="shared" si="3"/>
        <v>46281</v>
      </c>
      <c r="H40" s="183" t="s">
        <v>76</v>
      </c>
      <c r="I40" s="188">
        <f>IFERROR(__xludf.DUMMYFUNCTION("""COMPUTED_VALUE"""),28420.789999999997)</f>
        <v>28420.79</v>
      </c>
      <c r="J40" s="189">
        <f>IFERROR(__xludf.DUMMYFUNCTION("""COMPUTED_VALUE"""),4.9969563415E8)</f>
        <v>499695634.2</v>
      </c>
      <c r="K40" s="190">
        <f>IFERROR(__xludf.DUMMYFUNCTION("""COMPUTED_VALUE"""),17582.045894924104)</f>
        <v>17582.04589</v>
      </c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</row>
    <row r="41" ht="24.0" customHeight="1">
      <c r="A41" s="186">
        <f>IFERROR(__xludf.DUMMYFUNCTION("""COMPUTED_VALUE"""),46281.0)</f>
        <v>46281</v>
      </c>
      <c r="B41" s="192">
        <f>IFERROR(__xludf.DUMMYFUNCTION("""COMPUTED_VALUE"""),2.0)</f>
        <v>2</v>
      </c>
      <c r="C41" s="183" t="str">
        <f t="shared" si="1"/>
        <v>INV-20260916-2</v>
      </c>
      <c r="D41" s="183" t="s">
        <v>74</v>
      </c>
      <c r="E41" s="184" t="s">
        <v>75</v>
      </c>
      <c r="F41" s="185">
        <f t="shared" si="2"/>
        <v>46281</v>
      </c>
      <c r="G41" s="186">
        <f t="shared" si="3"/>
        <v>46281</v>
      </c>
      <c r="H41" s="183" t="s">
        <v>76</v>
      </c>
      <c r="I41" s="188">
        <f>IFERROR(__xludf.DUMMYFUNCTION("""COMPUTED_VALUE"""),28422.379999999997)</f>
        <v>28422.38</v>
      </c>
      <c r="J41" s="189">
        <f>IFERROR(__xludf.DUMMYFUNCTION("""COMPUTED_VALUE"""),4.9978429074E8)</f>
        <v>499784290.7</v>
      </c>
      <c r="K41" s="190">
        <f>IFERROR(__xludf.DUMMYFUNCTION("""COMPUTED_VALUE"""),17584.18157592714)</f>
        <v>17584.18158</v>
      </c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</row>
    <row r="42" ht="24.0" customHeight="1">
      <c r="A42" s="186">
        <f>IFERROR(__xludf.DUMMYFUNCTION("""COMPUTED_VALUE"""),46281.0)</f>
        <v>46281</v>
      </c>
      <c r="B42" s="192">
        <f>IFERROR(__xludf.DUMMYFUNCTION("""COMPUTED_VALUE"""),3.0)</f>
        <v>3</v>
      </c>
      <c r="C42" s="183" t="str">
        <f t="shared" si="1"/>
        <v>INV-20260916-3</v>
      </c>
      <c r="D42" s="183" t="s">
        <v>74</v>
      </c>
      <c r="E42" s="184" t="s">
        <v>75</v>
      </c>
      <c r="F42" s="185">
        <f t="shared" si="2"/>
        <v>46281</v>
      </c>
      <c r="G42" s="186">
        <f t="shared" si="3"/>
        <v>46281</v>
      </c>
      <c r="H42" s="183" t="s">
        <v>76</v>
      </c>
      <c r="I42" s="188">
        <f>IFERROR(__xludf.DUMMYFUNCTION("""COMPUTED_VALUE"""),26077.0)</f>
        <v>26077</v>
      </c>
      <c r="J42" s="189">
        <f>IFERROR(__xludf.DUMMYFUNCTION("""COMPUTED_VALUE"""),4.5999828E8)</f>
        <v>459998280</v>
      </c>
      <c r="K42" s="190">
        <f>IFERROR(__xludf.DUMMYFUNCTION("""COMPUTED_VALUE"""),17640.0)</f>
        <v>17640</v>
      </c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</row>
    <row r="43" ht="24.0" customHeight="1">
      <c r="A43" s="186">
        <f>IFERROR(__xludf.DUMMYFUNCTION("""COMPUTED_VALUE"""),46281.0)</f>
        <v>46281</v>
      </c>
      <c r="B43" s="192">
        <f>IFERROR(__xludf.DUMMYFUNCTION("""COMPUTED_VALUE"""),4.0)</f>
        <v>4</v>
      </c>
      <c r="C43" s="183" t="str">
        <f t="shared" si="1"/>
        <v>INV-20260916-4</v>
      </c>
      <c r="D43" s="183" t="s">
        <v>74</v>
      </c>
      <c r="E43" s="184" t="s">
        <v>75</v>
      </c>
      <c r="F43" s="185">
        <f t="shared" si="2"/>
        <v>46281</v>
      </c>
      <c r="G43" s="186">
        <f t="shared" si="3"/>
        <v>46281</v>
      </c>
      <c r="H43" s="183" t="s">
        <v>76</v>
      </c>
      <c r="I43" s="188">
        <f>IFERROR(__xludf.DUMMYFUNCTION("""COMPUTED_VALUE"""),85397.1)</f>
        <v>85397.1</v>
      </c>
      <c r="J43" s="189">
        <f>IFERROR(__xludf.DUMMYFUNCTION("""COMPUTED_VALUE"""),1.5000000615E9)</f>
        <v>1500000062</v>
      </c>
      <c r="K43" s="190">
        <f>IFERROR(__xludf.DUMMYFUNCTION("""COMPUTED_VALUE"""),17565.0)</f>
        <v>17565</v>
      </c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</row>
    <row r="44" ht="24.0" customHeight="1">
      <c r="A44" s="186">
        <f>IFERROR(__xludf.DUMMYFUNCTION("""COMPUTED_VALUE"""),46281.0)</f>
        <v>46281</v>
      </c>
      <c r="B44" s="192">
        <f>IFERROR(__xludf.DUMMYFUNCTION("""COMPUTED_VALUE"""),5.0)</f>
        <v>5</v>
      </c>
      <c r="C44" s="183" t="str">
        <f t="shared" si="1"/>
        <v>INV-20260916-5</v>
      </c>
      <c r="D44" s="183" t="s">
        <v>74</v>
      </c>
      <c r="E44" s="184" t="s">
        <v>75</v>
      </c>
      <c r="F44" s="185">
        <f t="shared" si="2"/>
        <v>46281</v>
      </c>
      <c r="G44" s="186">
        <f t="shared" si="3"/>
        <v>46281</v>
      </c>
      <c r="H44" s="183" t="s">
        <v>76</v>
      </c>
      <c r="I44" s="188">
        <f>IFERROR(__xludf.DUMMYFUNCTION("""COMPUTED_VALUE"""),125284.73)</f>
        <v>125284.73</v>
      </c>
      <c r="J44" s="189">
        <f>IFERROR(__xludf.DUMMYFUNCTION("""COMPUTED_VALUE"""),2.1999998587999997E9)</f>
        <v>2199999859</v>
      </c>
      <c r="K44" s="190">
        <f>IFERROR(__xludf.DUMMYFUNCTION("""COMPUTED_VALUE"""),17560.0)</f>
        <v>17560</v>
      </c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</row>
    <row r="45" ht="24.0" customHeight="1">
      <c r="A45" s="186">
        <f>IFERROR(__xludf.DUMMYFUNCTION("""COMPUTED_VALUE"""),46281.0)</f>
        <v>46281</v>
      </c>
      <c r="B45" s="192">
        <f>IFERROR(__xludf.DUMMYFUNCTION("""COMPUTED_VALUE"""),6.0)</f>
        <v>6</v>
      </c>
      <c r="C45" s="183" t="str">
        <f t="shared" si="1"/>
        <v>INV-20260916-6</v>
      </c>
      <c r="D45" s="183" t="s">
        <v>74</v>
      </c>
      <c r="E45" s="184" t="s">
        <v>75</v>
      </c>
      <c r="F45" s="185">
        <f t="shared" si="2"/>
        <v>46281</v>
      </c>
      <c r="G45" s="186">
        <f t="shared" si="3"/>
        <v>46281</v>
      </c>
      <c r="H45" s="183" t="s">
        <v>76</v>
      </c>
      <c r="I45" s="188">
        <f>IFERROR(__xludf.DUMMYFUNCTION("""COMPUTED_VALUE"""),159544.15)</f>
        <v>159544.15</v>
      </c>
      <c r="J45" s="189">
        <f>IFERROR(__xludf.DUMMYFUNCTION("""COMPUTED_VALUE"""),2.7999998325E9)</f>
        <v>2799999833</v>
      </c>
      <c r="K45" s="190">
        <f>IFERROR(__xludf.DUMMYFUNCTION("""COMPUTED_VALUE"""),17550.0)</f>
        <v>17550</v>
      </c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</row>
    <row r="46" ht="24.0" customHeight="1">
      <c r="A46" s="186">
        <f>IFERROR(__xludf.DUMMYFUNCTION("""COMPUTED_VALUE"""),46282.0)</f>
        <v>46282</v>
      </c>
      <c r="B46" s="192">
        <f>IFERROR(__xludf.DUMMYFUNCTION("""COMPUTED_VALUE"""),1.0)</f>
        <v>1</v>
      </c>
      <c r="C46" s="183" t="str">
        <f t="shared" si="1"/>
        <v>INV-20260917-1</v>
      </c>
      <c r="D46" s="183" t="s">
        <v>74</v>
      </c>
      <c r="E46" s="184" t="s">
        <v>75</v>
      </c>
      <c r="F46" s="185">
        <f t="shared" si="2"/>
        <v>46282</v>
      </c>
      <c r="G46" s="186">
        <f t="shared" si="3"/>
        <v>46282</v>
      </c>
      <c r="H46" s="183" t="s">
        <v>76</v>
      </c>
      <c r="I46" s="188">
        <f>IFERROR(__xludf.DUMMYFUNCTION("""COMPUTED_VALUE"""),14739.22)</f>
        <v>14739.22</v>
      </c>
      <c r="J46" s="189">
        <f>IFERROR(__xludf.DUMMYFUNCTION("""COMPUTED_VALUE"""),2.5999984079999998E8)</f>
        <v>259999840.8</v>
      </c>
      <c r="K46" s="190">
        <f>IFERROR(__xludf.DUMMYFUNCTION("""COMPUTED_VALUE"""),17640.0)</f>
        <v>17640</v>
      </c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</row>
    <row r="47" ht="24.0" customHeight="1">
      <c r="A47" s="186">
        <f>IFERROR(__xludf.DUMMYFUNCTION("""COMPUTED_VALUE"""),46282.0)</f>
        <v>46282</v>
      </c>
      <c r="B47" s="192">
        <f>IFERROR(__xludf.DUMMYFUNCTION("""COMPUTED_VALUE"""),2.0)</f>
        <v>2</v>
      </c>
      <c r="C47" s="183" t="str">
        <f t="shared" si="1"/>
        <v>INV-20260917-2</v>
      </c>
      <c r="D47" s="183" t="s">
        <v>74</v>
      </c>
      <c r="E47" s="184" t="s">
        <v>75</v>
      </c>
      <c r="F47" s="185">
        <f t="shared" si="2"/>
        <v>46282</v>
      </c>
      <c r="G47" s="186">
        <f t="shared" si="3"/>
        <v>46282</v>
      </c>
      <c r="H47" s="183" t="s">
        <v>76</v>
      </c>
      <c r="I47" s="188">
        <f>IFERROR(__xludf.DUMMYFUNCTION("""COMPUTED_VALUE"""),85009.91)</f>
        <v>85009.91</v>
      </c>
      <c r="J47" s="189">
        <f>IFERROR(__xludf.DUMMYFUNCTION("""COMPUTED_VALUE"""),1.49999986195E9)</f>
        <v>1499999862</v>
      </c>
      <c r="K47" s="190">
        <f>IFERROR(__xludf.DUMMYFUNCTION("""COMPUTED_VALUE"""),17645.0)</f>
        <v>17645</v>
      </c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</row>
    <row r="48" ht="24.0" customHeight="1">
      <c r="A48" s="186">
        <f>IFERROR(__xludf.DUMMYFUNCTION("""COMPUTED_VALUE"""),46282.0)</f>
        <v>46282</v>
      </c>
      <c r="B48" s="192">
        <f>IFERROR(__xludf.DUMMYFUNCTION("""COMPUTED_VALUE"""),3.0)</f>
        <v>3</v>
      </c>
      <c r="C48" s="183" t="str">
        <f t="shared" si="1"/>
        <v>INV-20260917-3</v>
      </c>
      <c r="D48" s="183" t="s">
        <v>74</v>
      </c>
      <c r="E48" s="184" t="s">
        <v>75</v>
      </c>
      <c r="F48" s="185">
        <f t="shared" si="2"/>
        <v>46282</v>
      </c>
      <c r="G48" s="186">
        <f t="shared" si="3"/>
        <v>46282</v>
      </c>
      <c r="H48" s="183" t="s">
        <v>76</v>
      </c>
      <c r="I48" s="188">
        <f>IFERROR(__xludf.DUMMYFUNCTION("""COMPUTED_VALUE"""),28368.81)</f>
        <v>28368.81</v>
      </c>
      <c r="J48" s="189">
        <f>IFERROR(__xludf.DUMMYFUNCTION("""COMPUTED_VALUE"""),4.9977332577000004E8)</f>
        <v>499773325.8</v>
      </c>
      <c r="K48" s="190">
        <f>IFERROR(__xludf.DUMMYFUNCTION("""COMPUTED_VALUE"""),17617.0)</f>
        <v>17617</v>
      </c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</row>
    <row r="49" ht="24.0" customHeight="1">
      <c r="A49" s="186">
        <f>IFERROR(__xludf.DUMMYFUNCTION("""COMPUTED_VALUE"""),46282.0)</f>
        <v>46282</v>
      </c>
      <c r="B49" s="192">
        <f>IFERROR(__xludf.DUMMYFUNCTION("""COMPUTED_VALUE"""),4.0)</f>
        <v>4</v>
      </c>
      <c r="C49" s="183" t="str">
        <f t="shared" si="1"/>
        <v>INV-20260917-4</v>
      </c>
      <c r="D49" s="183" t="s">
        <v>74</v>
      </c>
      <c r="E49" s="184" t="s">
        <v>75</v>
      </c>
      <c r="F49" s="185">
        <f t="shared" si="2"/>
        <v>46282</v>
      </c>
      <c r="G49" s="186">
        <f t="shared" si="3"/>
        <v>46282</v>
      </c>
      <c r="H49" s="183" t="s">
        <v>76</v>
      </c>
      <c r="I49" s="188">
        <f>IFERROR(__xludf.DUMMYFUNCTION("""COMPUTED_VALUE"""),49975.0)</f>
        <v>49975</v>
      </c>
      <c r="J49" s="189">
        <f>IFERROR(__xludf.DUMMYFUNCTION("""COMPUTED_VALUE"""),8.80309625E8)</f>
        <v>880309625</v>
      </c>
      <c r="K49" s="190">
        <f>IFERROR(__xludf.DUMMYFUNCTION("""COMPUTED_VALUE"""),17615.0)</f>
        <v>17615</v>
      </c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</row>
    <row r="50" ht="24.0" customHeight="1">
      <c r="A50" s="186">
        <f>IFERROR(__xludf.DUMMYFUNCTION("""COMPUTED_VALUE"""),46282.0)</f>
        <v>46282</v>
      </c>
      <c r="B50" s="192">
        <f>IFERROR(__xludf.DUMMYFUNCTION("""COMPUTED_VALUE"""),5.0)</f>
        <v>5</v>
      </c>
      <c r="C50" s="183" t="str">
        <f t="shared" si="1"/>
        <v>INV-20260917-5</v>
      </c>
      <c r="D50" s="183" t="s">
        <v>74</v>
      </c>
      <c r="E50" s="184" t="s">
        <v>75</v>
      </c>
      <c r="F50" s="185">
        <f t="shared" si="2"/>
        <v>46282</v>
      </c>
      <c r="G50" s="186">
        <f t="shared" si="3"/>
        <v>46282</v>
      </c>
      <c r="H50" s="183" t="s">
        <v>76</v>
      </c>
      <c r="I50" s="188">
        <f>IFERROR(__xludf.DUMMYFUNCTION("""COMPUTED_VALUE"""),42924.57)</f>
        <v>42924.57</v>
      </c>
      <c r="J50" s="189">
        <f>IFERROR(__xludf.DUMMYFUNCTION("""COMPUTED_VALUE"""),7.559248963E8)</f>
        <v>755924896.3</v>
      </c>
      <c r="K50" s="190">
        <f>IFERROR(__xludf.DUMMYFUNCTION("""COMPUTED_VALUE"""),17610.540916309703)</f>
        <v>17610.54092</v>
      </c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</row>
    <row r="51" ht="24.0" customHeight="1">
      <c r="A51" s="186">
        <f>IFERROR(__xludf.DUMMYFUNCTION("""COMPUTED_VALUE"""),46283.0)</f>
        <v>46283</v>
      </c>
      <c r="B51" s="192">
        <f>IFERROR(__xludf.DUMMYFUNCTION("""COMPUTED_VALUE"""),1.0)</f>
        <v>1</v>
      </c>
      <c r="C51" s="183" t="str">
        <f t="shared" si="1"/>
        <v>INV-20260918-1</v>
      </c>
      <c r="D51" s="183" t="s">
        <v>74</v>
      </c>
      <c r="E51" s="184" t="s">
        <v>75</v>
      </c>
      <c r="F51" s="185">
        <f t="shared" si="2"/>
        <v>46283</v>
      </c>
      <c r="G51" s="186">
        <f t="shared" si="3"/>
        <v>46283</v>
      </c>
      <c r="H51" s="183" t="s">
        <v>76</v>
      </c>
      <c r="I51" s="188">
        <f>IFERROR(__xludf.DUMMYFUNCTION("""COMPUTED_VALUE"""),128749.97)</f>
        <v>128749.97</v>
      </c>
      <c r="J51" s="189">
        <f>IFERROR(__xludf.DUMMYFUNCTION("""COMPUTED_VALUE"""),2.2678904791E9)</f>
        <v>2267890479</v>
      </c>
      <c r="K51" s="190">
        <f>IFERROR(__xludf.DUMMYFUNCTION("""COMPUTED_VALUE"""),17614.687437208722)</f>
        <v>17614.68744</v>
      </c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</row>
    <row r="52" ht="24.0" customHeight="1">
      <c r="A52" s="186">
        <f>IFERROR(__xludf.DUMMYFUNCTION("""COMPUTED_VALUE"""),46283.0)</f>
        <v>46283</v>
      </c>
      <c r="B52" s="192">
        <f>IFERROR(__xludf.DUMMYFUNCTION("""COMPUTED_VALUE"""),2.0)</f>
        <v>2</v>
      </c>
      <c r="C52" s="183" t="str">
        <f t="shared" si="1"/>
        <v>INV-20260918-2</v>
      </c>
      <c r="D52" s="183" t="s">
        <v>74</v>
      </c>
      <c r="E52" s="184" t="s">
        <v>75</v>
      </c>
      <c r="F52" s="185">
        <f t="shared" si="2"/>
        <v>46283</v>
      </c>
      <c r="G52" s="186">
        <f t="shared" si="3"/>
        <v>46283</v>
      </c>
      <c r="H52" s="183" t="s">
        <v>76</v>
      </c>
      <c r="I52" s="188">
        <f>IFERROR(__xludf.DUMMYFUNCTION("""COMPUTED_VALUE"""),35842.5)</f>
        <v>35842.5</v>
      </c>
      <c r="J52" s="189">
        <f>IFERROR(__xludf.DUMMYFUNCTION("""COMPUTED_VALUE"""),6.313656375E8)</f>
        <v>631365637.5</v>
      </c>
      <c r="K52" s="190">
        <f>IFERROR(__xludf.DUMMYFUNCTION("""COMPUTED_VALUE"""),17615.0)</f>
        <v>17615</v>
      </c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</row>
    <row r="53" ht="24.0" customHeight="1">
      <c r="A53" s="186">
        <f>IFERROR(__xludf.DUMMYFUNCTION("""COMPUTED_VALUE"""),46283.0)</f>
        <v>46283</v>
      </c>
      <c r="B53" s="192">
        <f>IFERROR(__xludf.DUMMYFUNCTION("""COMPUTED_VALUE"""),3.0)</f>
        <v>3</v>
      </c>
      <c r="C53" s="183" t="str">
        <f t="shared" si="1"/>
        <v>INV-20260918-3</v>
      </c>
      <c r="D53" s="183" t="s">
        <v>74</v>
      </c>
      <c r="E53" s="184" t="s">
        <v>75</v>
      </c>
      <c r="F53" s="185">
        <f t="shared" si="2"/>
        <v>46283</v>
      </c>
      <c r="G53" s="186">
        <f t="shared" si="3"/>
        <v>46283</v>
      </c>
      <c r="H53" s="183" t="s">
        <v>76</v>
      </c>
      <c r="I53" s="188">
        <f>IFERROR(__xludf.DUMMYFUNCTION("""COMPUTED_VALUE"""),185364.34999999998)</f>
        <v>185364.35</v>
      </c>
      <c r="J53" s="189">
        <f>IFERROR(__xludf.DUMMYFUNCTION("""COMPUTED_VALUE"""),3.2661083827000003E9)</f>
        <v>3266108383</v>
      </c>
      <c r="K53" s="190">
        <f>IFERROR(__xludf.DUMMYFUNCTION("""COMPUTED_VALUE"""),17619.938152616727)</f>
        <v>17619.93815</v>
      </c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</row>
    <row r="54" ht="24.0" customHeight="1">
      <c r="A54" s="186">
        <f>IFERROR(__xludf.DUMMYFUNCTION("""COMPUTED_VALUE"""),46283.0)</f>
        <v>46283</v>
      </c>
      <c r="B54" s="192">
        <f>IFERROR(__xludf.DUMMYFUNCTION("""COMPUTED_VALUE"""),4.0)</f>
        <v>4</v>
      </c>
      <c r="C54" s="183" t="str">
        <f t="shared" si="1"/>
        <v>INV-20260918-4</v>
      </c>
      <c r="D54" s="183" t="s">
        <v>74</v>
      </c>
      <c r="E54" s="184" t="s">
        <v>75</v>
      </c>
      <c r="F54" s="185">
        <f t="shared" si="2"/>
        <v>46283</v>
      </c>
      <c r="G54" s="186">
        <f t="shared" si="3"/>
        <v>46283</v>
      </c>
      <c r="H54" s="183" t="s">
        <v>76</v>
      </c>
      <c r="I54" s="188">
        <f>IFERROR(__xludf.DUMMYFUNCTION("""COMPUTED_VALUE"""),105053.94)</f>
        <v>105053.94</v>
      </c>
      <c r="J54" s="189">
        <f>IFERROR(__xludf.DUMMYFUNCTION("""COMPUTED_VALUE"""),1.8499998834E9)</f>
        <v>1849999883</v>
      </c>
      <c r="K54" s="190">
        <f>IFERROR(__xludf.DUMMYFUNCTION("""COMPUTED_VALUE"""),17610.0)</f>
        <v>17610</v>
      </c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</row>
    <row r="55" ht="24.0" customHeight="1">
      <c r="A55" s="186">
        <f>IFERROR(__xludf.DUMMYFUNCTION("""COMPUTED_VALUE"""),46283.0)</f>
        <v>46283</v>
      </c>
      <c r="B55" s="192">
        <f>IFERROR(__xludf.DUMMYFUNCTION("""COMPUTED_VALUE"""),5.0)</f>
        <v>5</v>
      </c>
      <c r="C55" s="183" t="str">
        <f t="shared" si="1"/>
        <v>INV-20260918-5</v>
      </c>
      <c r="D55" s="183" t="s">
        <v>74</v>
      </c>
      <c r="E55" s="184" t="s">
        <v>75</v>
      </c>
      <c r="F55" s="185">
        <f t="shared" si="2"/>
        <v>46283</v>
      </c>
      <c r="G55" s="186">
        <f t="shared" si="3"/>
        <v>46283</v>
      </c>
      <c r="H55" s="183" t="s">
        <v>76</v>
      </c>
      <c r="I55" s="188">
        <f>IFERROR(__xludf.DUMMYFUNCTION("""COMPUTED_VALUE"""),83872.79)</f>
        <v>83872.79</v>
      </c>
      <c r="J55" s="189">
        <f>IFERROR(__xludf.DUMMYFUNCTION("""COMPUTED_VALUE"""),1.4769998318999999E9)</f>
        <v>1476999832</v>
      </c>
      <c r="K55" s="190">
        <f>IFERROR(__xludf.DUMMYFUNCTION("""COMPUTED_VALUE"""),17610.0)</f>
        <v>17610</v>
      </c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</row>
    <row r="56" ht="24.0" customHeight="1">
      <c r="A56" s="186">
        <f>IFERROR(__xludf.DUMMYFUNCTION("""COMPUTED_VALUE"""),46283.0)</f>
        <v>46283</v>
      </c>
      <c r="B56" s="192">
        <f>IFERROR(__xludf.DUMMYFUNCTION("""COMPUTED_VALUE"""),6.0)</f>
        <v>6</v>
      </c>
      <c r="C56" s="183" t="str">
        <f t="shared" si="1"/>
        <v>INV-20260918-6</v>
      </c>
      <c r="D56" s="183" t="s">
        <v>74</v>
      </c>
      <c r="E56" s="184" t="s">
        <v>75</v>
      </c>
      <c r="F56" s="185">
        <f t="shared" si="2"/>
        <v>46283</v>
      </c>
      <c r="G56" s="186">
        <f t="shared" si="3"/>
        <v>46283</v>
      </c>
      <c r="H56" s="183" t="s">
        <v>76</v>
      </c>
      <c r="I56" s="188">
        <f>IFERROR(__xludf.DUMMYFUNCTION("""COMPUTED_VALUE"""),227469.75999999998)</f>
        <v>227469.76</v>
      </c>
      <c r="J56" s="189">
        <f>IFERROR(__xludf.DUMMYFUNCTION("""COMPUTED_VALUE"""),4.0083115821199994E9)</f>
        <v>4008311582</v>
      </c>
      <c r="K56" s="190">
        <f>IFERROR(__xludf.DUMMYFUNCTION("""COMPUTED_VALUE"""),17621.294285974538)</f>
        <v>17621.29429</v>
      </c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</row>
    <row r="57" ht="24.0" customHeight="1">
      <c r="A57" s="186">
        <f>IFERROR(__xludf.DUMMYFUNCTION("""COMPUTED_VALUE"""),46284.0)</f>
        <v>46284</v>
      </c>
      <c r="B57" s="192">
        <f>IFERROR(__xludf.DUMMYFUNCTION("""COMPUTED_VALUE"""),1.0)</f>
        <v>1</v>
      </c>
      <c r="C57" s="183" t="str">
        <f t="shared" si="1"/>
        <v>INV-20260919-1</v>
      </c>
      <c r="D57" s="183" t="s">
        <v>74</v>
      </c>
      <c r="E57" s="184" t="s">
        <v>75</v>
      </c>
      <c r="F57" s="185">
        <f t="shared" si="2"/>
        <v>46284</v>
      </c>
      <c r="G57" s="186">
        <f t="shared" si="3"/>
        <v>46284</v>
      </c>
      <c r="H57" s="183" t="s">
        <v>76</v>
      </c>
      <c r="I57" s="188">
        <f>IFERROR(__xludf.DUMMYFUNCTION("""COMPUTED_VALUE"""),59897.49)</f>
        <v>59897.49</v>
      </c>
      <c r="J57" s="189">
        <f>IFERROR(__xludf.DUMMYFUNCTION("""COMPUTED_VALUE"""),1.0517999244E9)</f>
        <v>1051799924</v>
      </c>
      <c r="K57" s="190">
        <f>IFERROR(__xludf.DUMMYFUNCTION("""COMPUTED_VALUE"""),17560.0)</f>
        <v>17560</v>
      </c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</row>
    <row r="58" ht="24.0" customHeight="1">
      <c r="A58" s="186">
        <f>IFERROR(__xludf.DUMMYFUNCTION("""COMPUTED_VALUE"""),46284.0)</f>
        <v>46284</v>
      </c>
      <c r="B58" s="192">
        <f>IFERROR(__xludf.DUMMYFUNCTION("""COMPUTED_VALUE"""),2.0)</f>
        <v>2</v>
      </c>
      <c r="C58" s="183" t="str">
        <f t="shared" si="1"/>
        <v>INV-20260919-2</v>
      </c>
      <c r="D58" s="183" t="s">
        <v>74</v>
      </c>
      <c r="E58" s="184" t="s">
        <v>75</v>
      </c>
      <c r="F58" s="185">
        <f t="shared" si="2"/>
        <v>46284</v>
      </c>
      <c r="G58" s="186">
        <f t="shared" si="3"/>
        <v>46284</v>
      </c>
      <c r="H58" s="183" t="s">
        <v>76</v>
      </c>
      <c r="I58" s="188">
        <f>IFERROR(__xludf.DUMMYFUNCTION("""COMPUTED_VALUE"""),28449.5)</f>
        <v>28449.5</v>
      </c>
      <c r="J58" s="189">
        <f>IFERROR(__xludf.DUMMYFUNCTION("""COMPUTED_VALUE"""),4.999999625E8)</f>
        <v>499999962.5</v>
      </c>
      <c r="K58" s="190">
        <f>IFERROR(__xludf.DUMMYFUNCTION("""COMPUTED_VALUE"""),17575.0)</f>
        <v>17575</v>
      </c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</row>
    <row r="59" ht="24.0" customHeight="1">
      <c r="A59" s="186">
        <f>IFERROR(__xludf.DUMMYFUNCTION("""COMPUTED_VALUE"""),46284.0)</f>
        <v>46284</v>
      </c>
      <c r="B59" s="192">
        <f>IFERROR(__xludf.DUMMYFUNCTION("""COMPUTED_VALUE"""),3.0)</f>
        <v>3</v>
      </c>
      <c r="C59" s="183" t="str">
        <f t="shared" si="1"/>
        <v>INV-20260919-3</v>
      </c>
      <c r="D59" s="183" t="s">
        <v>74</v>
      </c>
      <c r="E59" s="184" t="s">
        <v>75</v>
      </c>
      <c r="F59" s="185">
        <f t="shared" si="2"/>
        <v>46284</v>
      </c>
      <c r="G59" s="186">
        <f t="shared" si="3"/>
        <v>46284</v>
      </c>
      <c r="H59" s="183" t="s">
        <v>76</v>
      </c>
      <c r="I59" s="188">
        <f>IFERROR(__xludf.DUMMYFUNCTION("""COMPUTED_VALUE"""),56446.77)</f>
        <v>56446.77</v>
      </c>
      <c r="J59" s="189">
        <f>IFERROR(__xludf.DUMMYFUNCTION("""COMPUTED_VALUE"""),9.911493092E8)</f>
        <v>991149309.2</v>
      </c>
      <c r="K59" s="190">
        <f>IFERROR(__xludf.DUMMYFUNCTION("""COMPUTED_VALUE"""),17559.00841093299)</f>
        <v>17559.00841</v>
      </c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</row>
    <row r="60" ht="24.0" customHeight="1">
      <c r="A60" s="186">
        <f>IFERROR(__xludf.DUMMYFUNCTION("""COMPUTED_VALUE"""),46284.0)</f>
        <v>46284</v>
      </c>
      <c r="B60" s="192">
        <f>IFERROR(__xludf.DUMMYFUNCTION("""COMPUTED_VALUE"""),4.0)</f>
        <v>4</v>
      </c>
      <c r="C60" s="183" t="str">
        <f t="shared" si="1"/>
        <v>INV-20260919-4</v>
      </c>
      <c r="D60" s="183" t="s">
        <v>74</v>
      </c>
      <c r="E60" s="184" t="s">
        <v>75</v>
      </c>
      <c r="F60" s="185">
        <f t="shared" si="2"/>
        <v>46284</v>
      </c>
      <c r="G60" s="186">
        <f t="shared" si="3"/>
        <v>46284</v>
      </c>
      <c r="H60" s="183" t="s">
        <v>76</v>
      </c>
      <c r="I60" s="188">
        <f>IFERROR(__xludf.DUMMYFUNCTION("""COMPUTED_VALUE"""),57371.3)</f>
        <v>57371.3</v>
      </c>
      <c r="J60" s="189">
        <f>IFERROR(__xludf.DUMMYFUNCTION("""COMPUTED_VALUE"""),1.006866315E9)</f>
        <v>1006866315</v>
      </c>
      <c r="K60" s="190">
        <f>IFERROR(__xludf.DUMMYFUNCTION("""COMPUTED_VALUE"""),17550.0)</f>
        <v>17550</v>
      </c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</row>
    <row r="61" ht="24.0" customHeight="1">
      <c r="A61" s="186">
        <f>IFERROR(__xludf.DUMMYFUNCTION("""COMPUTED_VALUE"""),46284.0)</f>
        <v>46284</v>
      </c>
      <c r="B61" s="192">
        <f>IFERROR(__xludf.DUMMYFUNCTION("""COMPUTED_VALUE"""),5.0)</f>
        <v>5</v>
      </c>
      <c r="C61" s="183" t="str">
        <f t="shared" si="1"/>
        <v>INV-20260919-5</v>
      </c>
      <c r="D61" s="183" t="s">
        <v>74</v>
      </c>
      <c r="E61" s="184" t="s">
        <v>75</v>
      </c>
      <c r="F61" s="185">
        <f t="shared" si="2"/>
        <v>46284</v>
      </c>
      <c r="G61" s="186">
        <f t="shared" si="3"/>
        <v>46284</v>
      </c>
      <c r="H61" s="183" t="s">
        <v>76</v>
      </c>
      <c r="I61" s="188">
        <f>IFERROR(__xludf.DUMMYFUNCTION("""COMPUTED_VALUE"""),102207.89)</f>
        <v>102207.89</v>
      </c>
      <c r="J61" s="189">
        <f>IFERROR(__xludf.DUMMYFUNCTION("""COMPUTED_VALUE"""),1.7927263906E9)</f>
        <v>1792726391</v>
      </c>
      <c r="K61" s="190">
        <f>IFERROR(__xludf.DUMMYFUNCTION("""COMPUTED_VALUE"""),17540.0)</f>
        <v>17540</v>
      </c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</row>
    <row r="62" ht="24.0" customHeight="1">
      <c r="A62" s="186">
        <f>IFERROR(__xludf.DUMMYFUNCTION("""COMPUTED_VALUE"""),46284.0)</f>
        <v>46284</v>
      </c>
      <c r="B62" s="192">
        <f>IFERROR(__xludf.DUMMYFUNCTION("""COMPUTED_VALUE"""),6.0)</f>
        <v>6</v>
      </c>
      <c r="C62" s="183" t="str">
        <f t="shared" si="1"/>
        <v>INV-20260919-6</v>
      </c>
      <c r="D62" s="183" t="s">
        <v>74</v>
      </c>
      <c r="E62" s="184" t="s">
        <v>75</v>
      </c>
      <c r="F62" s="185">
        <f t="shared" si="2"/>
        <v>46284</v>
      </c>
      <c r="G62" s="186">
        <f t="shared" si="3"/>
        <v>46284</v>
      </c>
      <c r="H62" s="183" t="s">
        <v>76</v>
      </c>
      <c r="I62" s="188">
        <f>IFERROR(__xludf.DUMMYFUNCTION("""COMPUTED_VALUE"""),126571.06)</f>
        <v>126571.06</v>
      </c>
      <c r="J62" s="189">
        <f>IFERROR(__xludf.DUMMYFUNCTION("""COMPUTED_VALUE"""),2.2216084608900003E9)</f>
        <v>2221608461</v>
      </c>
      <c r="K62" s="190">
        <f>IFERROR(__xludf.DUMMYFUNCTION("""COMPUTED_VALUE"""),17552.26242784093)</f>
        <v>17552.26243</v>
      </c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</row>
    <row r="63" ht="24.0" customHeight="1">
      <c r="A63" s="186">
        <f>IFERROR(__xludf.DUMMYFUNCTION("""COMPUTED_VALUE"""),46284.0)</f>
        <v>46284</v>
      </c>
      <c r="B63" s="192">
        <f>IFERROR(__xludf.DUMMYFUNCTION("""COMPUTED_VALUE"""),7.0)</f>
        <v>7</v>
      </c>
      <c r="C63" s="183" t="str">
        <f t="shared" si="1"/>
        <v>INV-20260919-7</v>
      </c>
      <c r="D63" s="183" t="s">
        <v>74</v>
      </c>
      <c r="E63" s="184" t="s">
        <v>75</v>
      </c>
      <c r="F63" s="185">
        <f t="shared" si="2"/>
        <v>46284</v>
      </c>
      <c r="G63" s="186">
        <f t="shared" si="3"/>
        <v>46284</v>
      </c>
      <c r="H63" s="183" t="s">
        <v>76</v>
      </c>
      <c r="I63" s="188">
        <f>IFERROR(__xludf.DUMMYFUNCTION("""COMPUTED_VALUE"""),23368.309999999998)</f>
        <v>23368.31</v>
      </c>
      <c r="J63" s="189">
        <f>IFERROR(__xludf.DUMMYFUNCTION("""COMPUTED_VALUE"""),4.0952549482E8)</f>
        <v>409525494.8</v>
      </c>
      <c r="K63" s="190">
        <f>IFERROR(__xludf.DUMMYFUNCTION("""COMPUTED_VALUE"""),17524.822925577417)</f>
        <v>17524.82293</v>
      </c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</row>
    <row r="64" ht="24.0" customHeight="1">
      <c r="A64" s="186">
        <f>IFERROR(__xludf.DUMMYFUNCTION("""COMPUTED_VALUE"""),46285.0)</f>
        <v>46285</v>
      </c>
      <c r="B64" s="192">
        <f>IFERROR(__xludf.DUMMYFUNCTION("""COMPUTED_VALUE"""),1.0)</f>
        <v>1</v>
      </c>
      <c r="C64" s="183" t="str">
        <f t="shared" si="1"/>
        <v>INV-20260920-1</v>
      </c>
      <c r="D64" s="183" t="s">
        <v>74</v>
      </c>
      <c r="E64" s="184" t="s">
        <v>75</v>
      </c>
      <c r="F64" s="185">
        <f t="shared" si="2"/>
        <v>46285</v>
      </c>
      <c r="G64" s="186">
        <f t="shared" si="3"/>
        <v>46285</v>
      </c>
      <c r="H64" s="183" t="s">
        <v>76</v>
      </c>
      <c r="I64" s="188">
        <f>IFERROR(__xludf.DUMMYFUNCTION("""COMPUTED_VALUE"""),340261.18)</f>
        <v>340261.18</v>
      </c>
      <c r="J64" s="189">
        <f>IFERROR(__xludf.DUMMYFUNCTION("""COMPUTED_VALUE"""),5.96721726962E9)</f>
        <v>5967217270</v>
      </c>
      <c r="K64" s="190">
        <f>IFERROR(__xludf.DUMMYFUNCTION("""COMPUTED_VALUE"""),17537.167388945163)</f>
        <v>17537.16739</v>
      </c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</row>
    <row r="65" ht="24.0" customHeight="1">
      <c r="A65" s="186">
        <f>IFERROR(__xludf.DUMMYFUNCTION("""COMPUTED_VALUE"""),46285.0)</f>
        <v>46285</v>
      </c>
      <c r="B65" s="192">
        <f>IFERROR(__xludf.DUMMYFUNCTION("""COMPUTED_VALUE"""),2.0)</f>
        <v>2</v>
      </c>
      <c r="C65" s="183" t="str">
        <f t="shared" si="1"/>
        <v>INV-20260920-2</v>
      </c>
      <c r="D65" s="183" t="s">
        <v>74</v>
      </c>
      <c r="E65" s="184" t="s">
        <v>75</v>
      </c>
      <c r="F65" s="185">
        <f t="shared" si="2"/>
        <v>46285</v>
      </c>
      <c r="G65" s="186">
        <f t="shared" si="3"/>
        <v>46285</v>
      </c>
      <c r="H65" s="183" t="s">
        <v>76</v>
      </c>
      <c r="I65" s="188">
        <f>IFERROR(__xludf.DUMMYFUNCTION("""COMPUTED_VALUE"""),57077.62)</f>
        <v>57077.62</v>
      </c>
      <c r="J65" s="189">
        <f>IFERROR(__xludf.DUMMYFUNCTION("""COMPUTED_VALUE"""),9.999999024000001E8)</f>
        <v>999999902.4</v>
      </c>
      <c r="K65" s="190">
        <f>IFERROR(__xludf.DUMMYFUNCTION("""COMPUTED_VALUE"""),17520.0)</f>
        <v>17520</v>
      </c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</row>
    <row r="66" ht="24.0" customHeight="1">
      <c r="A66" s="186">
        <f>IFERROR(__xludf.DUMMYFUNCTION("""COMPUTED_VALUE"""),46286.0)</f>
        <v>46286</v>
      </c>
      <c r="B66" s="192">
        <f>IFERROR(__xludf.DUMMYFUNCTION("""COMPUTED_VALUE"""),1.0)</f>
        <v>1</v>
      </c>
      <c r="C66" s="183" t="str">
        <f t="shared" si="1"/>
        <v>INV-20260921-1</v>
      </c>
      <c r="D66" s="183" t="s">
        <v>74</v>
      </c>
      <c r="E66" s="184" t="s">
        <v>75</v>
      </c>
      <c r="F66" s="185">
        <f t="shared" si="2"/>
        <v>46286</v>
      </c>
      <c r="G66" s="186">
        <f t="shared" si="3"/>
        <v>46286</v>
      </c>
      <c r="H66" s="183" t="s">
        <v>76</v>
      </c>
      <c r="I66" s="188">
        <f>IFERROR(__xludf.DUMMYFUNCTION("""COMPUTED_VALUE"""),176806.91)</f>
        <v>176806.91</v>
      </c>
      <c r="J66" s="189">
        <f>IFERROR(__xludf.DUMMYFUNCTION("""COMPUTED_VALUE"""),3.12248610295E9)</f>
        <v>3122486103</v>
      </c>
      <c r="K66" s="190">
        <f>IFERROR(__xludf.DUMMYFUNCTION("""COMPUTED_VALUE"""),17660.430256656822)</f>
        <v>17660.43026</v>
      </c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</row>
    <row r="67" ht="24.0" customHeight="1">
      <c r="A67" s="186">
        <f>IFERROR(__xludf.DUMMYFUNCTION("""COMPUTED_VALUE"""),46286.0)</f>
        <v>46286</v>
      </c>
      <c r="B67" s="192">
        <f>IFERROR(__xludf.DUMMYFUNCTION("""COMPUTED_VALUE"""),2.0)</f>
        <v>2</v>
      </c>
      <c r="C67" s="183" t="str">
        <f t="shared" si="1"/>
        <v>INV-20260921-2</v>
      </c>
      <c r="D67" s="183" t="s">
        <v>74</v>
      </c>
      <c r="E67" s="184" t="s">
        <v>75</v>
      </c>
      <c r="F67" s="185">
        <f t="shared" si="2"/>
        <v>46286</v>
      </c>
      <c r="G67" s="186">
        <f t="shared" si="3"/>
        <v>46286</v>
      </c>
      <c r="H67" s="183" t="s">
        <v>76</v>
      </c>
      <c r="I67" s="188">
        <f>IFERROR(__xludf.DUMMYFUNCTION("""COMPUTED_VALUE"""),172187.42)</f>
        <v>172187.42</v>
      </c>
      <c r="J67" s="189">
        <f>IFERROR(__xludf.DUMMYFUNCTION("""COMPUTED_VALUE"""),3.04571132373E9)</f>
        <v>3045711324</v>
      </c>
      <c r="K67" s="190">
        <f>IFERROR(__xludf.DUMMYFUNCTION("""COMPUTED_VALUE"""),17688.349844198838)</f>
        <v>17688.34984</v>
      </c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</row>
    <row r="68" ht="24.0" customHeight="1">
      <c r="A68" s="186">
        <f>IFERROR(__xludf.DUMMYFUNCTION("""COMPUTED_VALUE"""),46286.0)</f>
        <v>46286</v>
      </c>
      <c r="B68" s="192">
        <f>IFERROR(__xludf.DUMMYFUNCTION("""COMPUTED_VALUE"""),3.0)</f>
        <v>3</v>
      </c>
      <c r="C68" s="183" t="str">
        <f t="shared" si="1"/>
        <v>INV-20260921-3</v>
      </c>
      <c r="D68" s="183" t="s">
        <v>74</v>
      </c>
      <c r="E68" s="184" t="s">
        <v>75</v>
      </c>
      <c r="F68" s="185">
        <f t="shared" si="2"/>
        <v>46286</v>
      </c>
      <c r="G68" s="186">
        <f t="shared" si="3"/>
        <v>46286</v>
      </c>
      <c r="H68" s="183" t="s">
        <v>76</v>
      </c>
      <c r="I68" s="188">
        <f>IFERROR(__xludf.DUMMYFUNCTION("""COMPUTED_VALUE"""),58448.950000000004)</f>
        <v>58448.95</v>
      </c>
      <c r="J68" s="189">
        <f>IFERROR(__xludf.DUMMYFUNCTION("""COMPUTED_VALUE"""),1.03442650495E9)</f>
        <v>1034426505</v>
      </c>
      <c r="K68" s="190">
        <f>IFERROR(__xludf.DUMMYFUNCTION("""COMPUTED_VALUE"""),17697.948465284662)</f>
        <v>17697.94847</v>
      </c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</row>
    <row r="69" ht="24.0" customHeight="1">
      <c r="A69" s="186">
        <f>IFERROR(__xludf.DUMMYFUNCTION("""COMPUTED_VALUE"""),46286.0)</f>
        <v>46286</v>
      </c>
      <c r="B69" s="192">
        <f>IFERROR(__xludf.DUMMYFUNCTION("""COMPUTED_VALUE"""),4.0)</f>
        <v>4</v>
      </c>
      <c r="C69" s="183" t="str">
        <f t="shared" si="1"/>
        <v>INV-20260921-4</v>
      </c>
      <c r="D69" s="183" t="s">
        <v>74</v>
      </c>
      <c r="E69" s="184" t="s">
        <v>75</v>
      </c>
      <c r="F69" s="185">
        <f t="shared" si="2"/>
        <v>46286</v>
      </c>
      <c r="G69" s="186">
        <f t="shared" si="3"/>
        <v>46286</v>
      </c>
      <c r="H69" s="183" t="s">
        <v>76</v>
      </c>
      <c r="I69" s="188">
        <f>IFERROR(__xludf.DUMMYFUNCTION("""COMPUTED_VALUE"""),28216.7)</f>
        <v>28216.7</v>
      </c>
      <c r="J69" s="189">
        <f>IFERROR(__xludf.DUMMYFUNCTION("""COMPUTED_VALUE"""),4.99999924E8)</f>
        <v>499999924</v>
      </c>
      <c r="K69" s="190">
        <f>IFERROR(__xludf.DUMMYFUNCTION("""COMPUTED_VALUE"""),17720.0)</f>
        <v>17720</v>
      </c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</row>
    <row r="70" ht="24.0" customHeight="1">
      <c r="A70" s="186">
        <f>IFERROR(__xludf.DUMMYFUNCTION("""COMPUTED_VALUE"""),46287.0)</f>
        <v>46287</v>
      </c>
      <c r="B70" s="192">
        <f>IFERROR(__xludf.DUMMYFUNCTION("""COMPUTED_VALUE"""),1.0)</f>
        <v>1</v>
      </c>
      <c r="C70" s="183" t="str">
        <f t="shared" si="1"/>
        <v>INV-20260922-1</v>
      </c>
      <c r="D70" s="183" t="s">
        <v>74</v>
      </c>
      <c r="E70" s="184" t="s">
        <v>75</v>
      </c>
      <c r="F70" s="185">
        <f t="shared" si="2"/>
        <v>46287</v>
      </c>
      <c r="G70" s="186">
        <f t="shared" si="3"/>
        <v>46287</v>
      </c>
      <c r="H70" s="183" t="s">
        <v>76</v>
      </c>
      <c r="I70" s="188">
        <f>IFERROR(__xludf.DUMMYFUNCTION("""COMPUTED_VALUE"""),112619.72)</f>
        <v>112619.72</v>
      </c>
      <c r="J70" s="189">
        <f>IFERROR(__xludf.DUMMYFUNCTION("""COMPUTED_VALUE"""),1.99900003E9)</f>
        <v>1999000030</v>
      </c>
      <c r="K70" s="190">
        <f>IFERROR(__xludf.DUMMYFUNCTION("""COMPUTED_VALUE"""),17750.0)</f>
        <v>17750</v>
      </c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</row>
    <row r="71" ht="24.0" customHeight="1">
      <c r="A71" s="186">
        <f>IFERROR(__xludf.DUMMYFUNCTION("""COMPUTED_VALUE"""),46287.0)</f>
        <v>46287</v>
      </c>
      <c r="B71" s="192">
        <f>IFERROR(__xludf.DUMMYFUNCTION("""COMPUTED_VALUE"""),2.0)</f>
        <v>2</v>
      </c>
      <c r="C71" s="183" t="str">
        <f t="shared" si="1"/>
        <v>INV-20260922-2</v>
      </c>
      <c r="D71" s="183" t="s">
        <v>74</v>
      </c>
      <c r="E71" s="184" t="s">
        <v>75</v>
      </c>
      <c r="F71" s="185">
        <f t="shared" si="2"/>
        <v>46287</v>
      </c>
      <c r="G71" s="186">
        <f t="shared" si="3"/>
        <v>46287</v>
      </c>
      <c r="H71" s="183" t="s">
        <v>76</v>
      </c>
      <c r="I71" s="188">
        <f>IFERROR(__xludf.DUMMYFUNCTION("""COMPUTED_VALUE"""),112619.72)</f>
        <v>112619.72</v>
      </c>
      <c r="J71" s="189">
        <f>IFERROR(__xludf.DUMMYFUNCTION("""COMPUTED_VALUE"""),1.99900003E9)</f>
        <v>1999000030</v>
      </c>
      <c r="K71" s="190">
        <f>IFERROR(__xludf.DUMMYFUNCTION("""COMPUTED_VALUE"""),17750.0)</f>
        <v>17750</v>
      </c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</row>
    <row r="72" ht="24.0" customHeight="1">
      <c r="A72" s="186">
        <f>IFERROR(__xludf.DUMMYFUNCTION("""COMPUTED_VALUE"""),46287.0)</f>
        <v>46287</v>
      </c>
      <c r="B72" s="192">
        <f>IFERROR(__xludf.DUMMYFUNCTION("""COMPUTED_VALUE"""),3.0)</f>
        <v>3</v>
      </c>
      <c r="C72" s="183" t="str">
        <f t="shared" si="1"/>
        <v>INV-20260922-3</v>
      </c>
      <c r="D72" s="183" t="s">
        <v>74</v>
      </c>
      <c r="E72" s="184" t="s">
        <v>75</v>
      </c>
      <c r="F72" s="185">
        <f t="shared" si="2"/>
        <v>46287</v>
      </c>
      <c r="G72" s="186">
        <f t="shared" si="3"/>
        <v>46287</v>
      </c>
      <c r="H72" s="183" t="s">
        <v>76</v>
      </c>
      <c r="I72" s="188">
        <f>IFERROR(__xludf.DUMMYFUNCTION("""COMPUTED_VALUE"""),92974.8)</f>
        <v>92974.8</v>
      </c>
      <c r="J72" s="189">
        <f>IFERROR(__xludf.DUMMYFUNCTION("""COMPUTED_VALUE"""),1.648932066E9)</f>
        <v>1648932066</v>
      </c>
      <c r="K72" s="190">
        <f>IFERROR(__xludf.DUMMYFUNCTION("""COMPUTED_VALUE"""),17735.25800539501)</f>
        <v>17735.25801</v>
      </c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</row>
    <row r="73" ht="24.0" customHeight="1">
      <c r="A73" s="186">
        <f>IFERROR(__xludf.DUMMYFUNCTION("""COMPUTED_VALUE"""),46287.0)</f>
        <v>46287</v>
      </c>
      <c r="B73" s="192">
        <f>IFERROR(__xludf.DUMMYFUNCTION("""COMPUTED_VALUE"""),4.0)</f>
        <v>4</v>
      </c>
      <c r="C73" s="183" t="str">
        <f t="shared" si="1"/>
        <v>INV-20260922-4</v>
      </c>
      <c r="D73" s="183" t="s">
        <v>74</v>
      </c>
      <c r="E73" s="184" t="s">
        <v>75</v>
      </c>
      <c r="F73" s="185">
        <f t="shared" si="2"/>
        <v>46287</v>
      </c>
      <c r="G73" s="186">
        <f t="shared" si="3"/>
        <v>46287</v>
      </c>
      <c r="H73" s="183" t="s">
        <v>76</v>
      </c>
      <c r="I73" s="188">
        <f>IFERROR(__xludf.DUMMYFUNCTION("""COMPUTED_VALUE"""),59382.189999999995)</f>
        <v>59382.19</v>
      </c>
      <c r="J73" s="189">
        <f>IFERROR(__xludf.DUMMYFUNCTION("""COMPUTED_VALUE"""),1.05421927356E9)</f>
        <v>1054219274</v>
      </c>
      <c r="K73" s="190">
        <f>IFERROR(__xludf.DUMMYFUNCTION("""COMPUTED_VALUE"""),17753.12216609054)</f>
        <v>17753.12217</v>
      </c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</row>
    <row r="74" ht="24.0" customHeight="1">
      <c r="A74" s="186">
        <f>IFERROR(__xludf.DUMMYFUNCTION("""COMPUTED_VALUE"""),46287.0)</f>
        <v>46287</v>
      </c>
      <c r="B74" s="192">
        <f>IFERROR(__xludf.DUMMYFUNCTION("""COMPUTED_VALUE"""),5.0)</f>
        <v>5</v>
      </c>
      <c r="C74" s="183" t="str">
        <f t="shared" si="1"/>
        <v>INV-20260922-5</v>
      </c>
      <c r="D74" s="183" t="s">
        <v>74</v>
      </c>
      <c r="E74" s="184" t="s">
        <v>75</v>
      </c>
      <c r="F74" s="185">
        <f t="shared" si="2"/>
        <v>46287</v>
      </c>
      <c r="G74" s="186">
        <f t="shared" si="3"/>
        <v>46287</v>
      </c>
      <c r="H74" s="183" t="s">
        <v>76</v>
      </c>
      <c r="I74" s="188">
        <f>IFERROR(__xludf.DUMMYFUNCTION("""COMPUTED_VALUE"""),57310.45)</f>
        <v>57310.45</v>
      </c>
      <c r="J74" s="189">
        <f>IFERROR(__xludf.DUMMYFUNCTION("""COMPUTED_VALUE"""),1.017833592E9)</f>
        <v>1017833592</v>
      </c>
      <c r="K74" s="190">
        <f>IFERROR(__xludf.DUMMYFUNCTION("""COMPUTED_VALUE"""),17760.0)</f>
        <v>17760</v>
      </c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</row>
    <row r="75" ht="24.0" customHeight="1">
      <c r="A75" s="186">
        <f>IFERROR(__xludf.DUMMYFUNCTION("""COMPUTED_VALUE"""),46287.0)</f>
        <v>46287</v>
      </c>
      <c r="B75" s="192">
        <f>IFERROR(__xludf.DUMMYFUNCTION("""COMPUTED_VALUE"""),6.0)</f>
        <v>6</v>
      </c>
      <c r="C75" s="183" t="str">
        <f t="shared" si="1"/>
        <v>INV-20260922-6</v>
      </c>
      <c r="D75" s="183" t="s">
        <v>74</v>
      </c>
      <c r="E75" s="184" t="s">
        <v>75</v>
      </c>
      <c r="F75" s="185">
        <f t="shared" si="2"/>
        <v>46287</v>
      </c>
      <c r="G75" s="186">
        <f t="shared" si="3"/>
        <v>46287</v>
      </c>
      <c r="H75" s="183" t="s">
        <v>76</v>
      </c>
      <c r="I75" s="188">
        <f>IFERROR(__xludf.DUMMYFUNCTION("""COMPUTED_VALUE"""),99859.19)</f>
        <v>99859.19</v>
      </c>
      <c r="J75" s="189">
        <f>IFERROR(__xludf.DUMMYFUNCTION("""COMPUTED_VALUE"""),1.77299991845E9)</f>
        <v>1772999918</v>
      </c>
      <c r="K75" s="190">
        <f>IFERROR(__xludf.DUMMYFUNCTION("""COMPUTED_VALUE"""),17755.0)</f>
        <v>17755</v>
      </c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</row>
    <row r="76" ht="24.0" customHeight="1">
      <c r="A76" s="186">
        <f>IFERROR(__xludf.DUMMYFUNCTION("""COMPUTED_VALUE"""),46287.0)</f>
        <v>46287</v>
      </c>
      <c r="B76" s="192">
        <f>IFERROR(__xludf.DUMMYFUNCTION("""COMPUTED_VALUE"""),7.0)</f>
        <v>7</v>
      </c>
      <c r="C76" s="183" t="str">
        <f t="shared" si="1"/>
        <v>INV-20260922-7</v>
      </c>
      <c r="D76" s="183" t="s">
        <v>74</v>
      </c>
      <c r="E76" s="184" t="s">
        <v>75</v>
      </c>
      <c r="F76" s="185">
        <f t="shared" si="2"/>
        <v>46287</v>
      </c>
      <c r="G76" s="186">
        <f t="shared" si="3"/>
        <v>46287</v>
      </c>
      <c r="H76" s="183" t="s">
        <v>76</v>
      </c>
      <c r="I76" s="188">
        <f>IFERROR(__xludf.DUMMYFUNCTION("""COMPUTED_VALUE"""),65845.94)</f>
        <v>65845.94</v>
      </c>
      <c r="J76" s="189">
        <f>IFERROR(__xludf.DUMMYFUNCTION("""COMPUTED_VALUE"""),1.1693113064E9)</f>
        <v>1169311306</v>
      </c>
      <c r="K76" s="190">
        <f>IFERROR(__xludf.DUMMYFUNCTION("""COMPUTED_VALUE"""),17758.290129960937)</f>
        <v>17758.29013</v>
      </c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</row>
    <row r="77" ht="24.0" customHeight="1">
      <c r="A77" s="186">
        <f>IFERROR(__xludf.DUMMYFUNCTION("""COMPUTED_VALUE"""),46287.0)</f>
        <v>46287</v>
      </c>
      <c r="B77" s="192">
        <f>IFERROR(__xludf.DUMMYFUNCTION("""COMPUTED_VALUE"""),8.0)</f>
        <v>8</v>
      </c>
      <c r="C77" s="183" t="str">
        <f t="shared" si="1"/>
        <v>INV-20260922-8</v>
      </c>
      <c r="D77" s="183" t="s">
        <v>74</v>
      </c>
      <c r="E77" s="184" t="s">
        <v>75</v>
      </c>
      <c r="F77" s="185">
        <f t="shared" si="2"/>
        <v>46287</v>
      </c>
      <c r="G77" s="186">
        <f t="shared" si="3"/>
        <v>46287</v>
      </c>
      <c r="H77" s="183" t="s">
        <v>76</v>
      </c>
      <c r="I77" s="188">
        <f>IFERROR(__xludf.DUMMYFUNCTION("""COMPUTED_VALUE"""),107406.36)</f>
        <v>107406.36</v>
      </c>
      <c r="J77" s="189">
        <f>IFERROR(__xludf.DUMMYFUNCTION("""COMPUTED_VALUE"""),1.9069999218E9)</f>
        <v>1906999922</v>
      </c>
      <c r="K77" s="190">
        <f>IFERROR(__xludf.DUMMYFUNCTION("""COMPUTED_VALUE"""),17755.0)</f>
        <v>17755</v>
      </c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</row>
    <row r="78" ht="24.0" customHeight="1">
      <c r="A78" s="186">
        <f>IFERROR(__xludf.DUMMYFUNCTION("""COMPUTED_VALUE"""),46288.0)</f>
        <v>46288</v>
      </c>
      <c r="B78" s="192">
        <f>IFERROR(__xludf.DUMMYFUNCTION("""COMPUTED_VALUE"""),1.0)</f>
        <v>1</v>
      </c>
      <c r="C78" s="183" t="str">
        <f t="shared" si="1"/>
        <v>INV-20260923-1</v>
      </c>
      <c r="D78" s="183" t="s">
        <v>74</v>
      </c>
      <c r="E78" s="184" t="s">
        <v>75</v>
      </c>
      <c r="F78" s="185">
        <f t="shared" si="2"/>
        <v>46288</v>
      </c>
      <c r="G78" s="186">
        <f t="shared" si="3"/>
        <v>46288</v>
      </c>
      <c r="H78" s="183" t="s">
        <v>76</v>
      </c>
      <c r="I78" s="188">
        <f>IFERROR(__xludf.DUMMYFUNCTION("""COMPUTED_VALUE"""),66947.01)</f>
        <v>66947.01</v>
      </c>
      <c r="J78" s="189">
        <f>IFERROR(__xludf.DUMMYFUNCTION("""COMPUTED_VALUE"""),1.1893043003E9)</f>
        <v>1189304300</v>
      </c>
      <c r="K78" s="190">
        <f>IFERROR(__xludf.DUMMYFUNCTION("""COMPUTED_VALUE"""),17764.860600943943)</f>
        <v>17764.8606</v>
      </c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</row>
    <row r="79" ht="24.0" customHeight="1">
      <c r="A79" s="186">
        <f>IFERROR(__xludf.DUMMYFUNCTION("""COMPUTED_VALUE"""),46288.0)</f>
        <v>46288</v>
      </c>
      <c r="B79" s="192">
        <f>IFERROR(__xludf.DUMMYFUNCTION("""COMPUTED_VALUE"""),2.0)</f>
        <v>2</v>
      </c>
      <c r="C79" s="183" t="str">
        <f t="shared" si="1"/>
        <v>INV-20260923-2</v>
      </c>
      <c r="D79" s="183" t="s">
        <v>74</v>
      </c>
      <c r="E79" s="184" t="s">
        <v>75</v>
      </c>
      <c r="F79" s="185">
        <f t="shared" si="2"/>
        <v>46288</v>
      </c>
      <c r="G79" s="186">
        <f t="shared" si="3"/>
        <v>46288</v>
      </c>
      <c r="H79" s="183" t="s">
        <v>76</v>
      </c>
      <c r="I79" s="188">
        <f>IFERROR(__xludf.DUMMYFUNCTION("""COMPUTED_VALUE"""),225288.65)</f>
        <v>225288.65</v>
      </c>
      <c r="J79" s="189">
        <f>IFERROR(__xludf.DUMMYFUNCTION("""COMPUTED_VALUE"""),3.99999998075E9)</f>
        <v>3999999981</v>
      </c>
      <c r="K79" s="190">
        <f>IFERROR(__xludf.DUMMYFUNCTION("""COMPUTED_VALUE"""),17755.0)</f>
        <v>17755</v>
      </c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</row>
    <row r="80" ht="24.0" customHeight="1">
      <c r="A80" s="186">
        <f>IFERROR(__xludf.DUMMYFUNCTION("""COMPUTED_VALUE"""),46288.0)</f>
        <v>46288</v>
      </c>
      <c r="B80" s="192">
        <f>IFERROR(__xludf.DUMMYFUNCTION("""COMPUTED_VALUE"""),3.0)</f>
        <v>3</v>
      </c>
      <c r="C80" s="183" t="str">
        <f t="shared" si="1"/>
        <v>INV-20260923-3</v>
      </c>
      <c r="D80" s="183" t="s">
        <v>74</v>
      </c>
      <c r="E80" s="184" t="s">
        <v>75</v>
      </c>
      <c r="F80" s="185">
        <f t="shared" si="2"/>
        <v>46288</v>
      </c>
      <c r="G80" s="186">
        <f t="shared" si="3"/>
        <v>46288</v>
      </c>
      <c r="H80" s="183" t="s">
        <v>76</v>
      </c>
      <c r="I80" s="188">
        <f>IFERROR(__xludf.DUMMYFUNCTION("""COMPUTED_VALUE"""),31292.8)</f>
        <v>31292.8</v>
      </c>
      <c r="J80" s="189">
        <f>IFERROR(__xludf.DUMMYFUNCTION("""COMPUTED_VALUE"""),5.55603664E8)</f>
        <v>555603664</v>
      </c>
      <c r="K80" s="190">
        <f>IFERROR(__xludf.DUMMYFUNCTION("""COMPUTED_VALUE"""),17755.0)</f>
        <v>17755</v>
      </c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</row>
    <row r="81" ht="24.0" customHeight="1">
      <c r="A81" s="186">
        <f>IFERROR(__xludf.DUMMYFUNCTION("""COMPUTED_VALUE"""),46289.0)</f>
        <v>46289</v>
      </c>
      <c r="B81" s="192">
        <f>IFERROR(__xludf.DUMMYFUNCTION("""COMPUTED_VALUE"""),1.0)</f>
        <v>1</v>
      </c>
      <c r="C81" s="183" t="str">
        <f t="shared" si="1"/>
        <v>INV-20260924-1</v>
      </c>
      <c r="D81" s="183" t="s">
        <v>74</v>
      </c>
      <c r="E81" s="184" t="s">
        <v>75</v>
      </c>
      <c r="F81" s="185">
        <f t="shared" si="2"/>
        <v>46289</v>
      </c>
      <c r="G81" s="186">
        <f t="shared" si="3"/>
        <v>46289</v>
      </c>
      <c r="H81" s="183" t="s">
        <v>76</v>
      </c>
      <c r="I81" s="188">
        <f>IFERROR(__xludf.DUMMYFUNCTION("""COMPUTED_VALUE"""),105647.15)</f>
        <v>105647.15</v>
      </c>
      <c r="J81" s="189">
        <f>IFERROR(__xludf.DUMMYFUNCTION("""COMPUTED_VALUE"""),1.8775497555E9)</f>
        <v>1877549756</v>
      </c>
      <c r="K81" s="190">
        <f>IFERROR(__xludf.DUMMYFUNCTION("""COMPUTED_VALUE"""),17771.892147587514)</f>
        <v>17771.89215</v>
      </c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</row>
    <row r="82" ht="24.0" customHeight="1">
      <c r="A82" s="186">
        <f>IFERROR(__xludf.DUMMYFUNCTION("""COMPUTED_VALUE"""),46289.0)</f>
        <v>46289</v>
      </c>
      <c r="B82" s="192">
        <f>IFERROR(__xludf.DUMMYFUNCTION("""COMPUTED_VALUE"""),2.0)</f>
        <v>2</v>
      </c>
      <c r="C82" s="183" t="str">
        <f t="shared" si="1"/>
        <v>INV-20260924-2</v>
      </c>
      <c r="D82" s="183" t="s">
        <v>74</v>
      </c>
      <c r="E82" s="184" t="s">
        <v>75</v>
      </c>
      <c r="F82" s="185">
        <f t="shared" si="2"/>
        <v>46289</v>
      </c>
      <c r="G82" s="186">
        <f t="shared" si="3"/>
        <v>46289</v>
      </c>
      <c r="H82" s="183" t="s">
        <v>76</v>
      </c>
      <c r="I82" s="188">
        <f>IFERROR(__xludf.DUMMYFUNCTION("""COMPUTED_VALUE"""),28081.99)</f>
        <v>28081.99</v>
      </c>
      <c r="J82" s="189">
        <f>IFERROR(__xludf.DUMMYFUNCTION("""COMPUTED_VALUE"""),4.9999983195000005E8)</f>
        <v>499999832</v>
      </c>
      <c r="K82" s="190">
        <f>IFERROR(__xludf.DUMMYFUNCTION("""COMPUTED_VALUE"""),17805.0)</f>
        <v>17805</v>
      </c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</row>
    <row r="83" ht="24.0" customHeight="1">
      <c r="A83" s="186">
        <f>IFERROR(__xludf.DUMMYFUNCTION("""COMPUTED_VALUE"""),46289.0)</f>
        <v>46289</v>
      </c>
      <c r="B83" s="192">
        <f>IFERROR(__xludf.DUMMYFUNCTION("""COMPUTED_VALUE"""),3.0)</f>
        <v>3</v>
      </c>
      <c r="C83" s="183" t="str">
        <f t="shared" si="1"/>
        <v>INV-20260924-3</v>
      </c>
      <c r="D83" s="183" t="s">
        <v>74</v>
      </c>
      <c r="E83" s="184" t="s">
        <v>75</v>
      </c>
      <c r="F83" s="185">
        <f t="shared" si="2"/>
        <v>46289</v>
      </c>
      <c r="G83" s="186">
        <f t="shared" si="3"/>
        <v>46289</v>
      </c>
      <c r="H83" s="183" t="s">
        <v>76</v>
      </c>
      <c r="I83" s="188">
        <f>IFERROR(__xludf.DUMMYFUNCTION("""COMPUTED_VALUE"""),112580.91)</f>
        <v>112580.91</v>
      </c>
      <c r="J83" s="189">
        <f>IFERROR(__xludf.DUMMYFUNCTION("""COMPUTED_VALUE"""),1.99999986615E9)</f>
        <v>1999999866</v>
      </c>
      <c r="K83" s="190">
        <f>IFERROR(__xludf.DUMMYFUNCTION("""COMPUTED_VALUE"""),17765.0)</f>
        <v>17765</v>
      </c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</row>
    <row r="84" ht="24.0" customHeight="1">
      <c r="A84" s="186">
        <f>IFERROR(__xludf.DUMMYFUNCTION("""COMPUTED_VALUE"""),46289.0)</f>
        <v>46289</v>
      </c>
      <c r="B84" s="192">
        <f>IFERROR(__xludf.DUMMYFUNCTION("""COMPUTED_VALUE"""),4.0)</f>
        <v>4</v>
      </c>
      <c r="C84" s="183" t="str">
        <f t="shared" si="1"/>
        <v>INV-20260924-4</v>
      </c>
      <c r="D84" s="183" t="s">
        <v>74</v>
      </c>
      <c r="E84" s="184" t="s">
        <v>75</v>
      </c>
      <c r="F84" s="185">
        <f t="shared" si="2"/>
        <v>46289</v>
      </c>
      <c r="G84" s="186">
        <f t="shared" si="3"/>
        <v>46289</v>
      </c>
      <c r="H84" s="183" t="s">
        <v>76</v>
      </c>
      <c r="I84" s="188">
        <f>IFERROR(__xludf.DUMMYFUNCTION("""COMPUTED_VALUE"""),146928.72)</f>
        <v>146928.72</v>
      </c>
      <c r="J84" s="189">
        <f>IFERROR(__xludf.DUMMYFUNCTION("""COMPUTED_VALUE"""),2.6101887108E9)</f>
        <v>2610188711</v>
      </c>
      <c r="K84" s="190">
        <f>IFERROR(__xludf.DUMMYFUNCTION("""COMPUTED_VALUE"""),17765.0)</f>
        <v>17765</v>
      </c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</row>
    <row r="85" ht="24.0" customHeight="1">
      <c r="A85" s="186">
        <f>IFERROR(__xludf.DUMMYFUNCTION("""COMPUTED_VALUE"""),46289.0)</f>
        <v>46289</v>
      </c>
      <c r="B85" s="192">
        <f>IFERROR(__xludf.DUMMYFUNCTION("""COMPUTED_VALUE"""),5.0)</f>
        <v>5</v>
      </c>
      <c r="C85" s="183" t="str">
        <f t="shared" si="1"/>
        <v>INV-20260924-5</v>
      </c>
      <c r="D85" s="183" t="s">
        <v>74</v>
      </c>
      <c r="E85" s="184" t="s">
        <v>75</v>
      </c>
      <c r="F85" s="185">
        <f t="shared" si="2"/>
        <v>46289</v>
      </c>
      <c r="G85" s="186">
        <f t="shared" si="3"/>
        <v>46289</v>
      </c>
      <c r="H85" s="183" t="s">
        <v>76</v>
      </c>
      <c r="I85" s="188">
        <f>IFERROR(__xludf.DUMMYFUNCTION("""COMPUTED_VALUE"""),432022.1100000001)</f>
        <v>432022.11</v>
      </c>
      <c r="J85" s="189">
        <f>IFERROR(__xludf.DUMMYFUNCTION("""COMPUTED_VALUE"""),7.693813885629999E9)</f>
        <v>7693813886</v>
      </c>
      <c r="K85" s="190">
        <f>IFERROR(__xludf.DUMMYFUNCTION("""COMPUTED_VALUE"""),17808.842898410912)</f>
        <v>17808.8429</v>
      </c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</row>
    <row r="86" ht="24.0" customHeight="1">
      <c r="A86" s="186">
        <f>IFERROR(__xludf.DUMMYFUNCTION("""COMPUTED_VALUE"""),46289.0)</f>
        <v>46289</v>
      </c>
      <c r="B86" s="192">
        <f>IFERROR(__xludf.DUMMYFUNCTION("""COMPUTED_VALUE"""),6.0)</f>
        <v>6</v>
      </c>
      <c r="C86" s="183" t="str">
        <f t="shared" si="1"/>
        <v>INV-20260924-6</v>
      </c>
      <c r="D86" s="183" t="s">
        <v>74</v>
      </c>
      <c r="E86" s="184" t="s">
        <v>75</v>
      </c>
      <c r="F86" s="185">
        <f t="shared" si="2"/>
        <v>46289</v>
      </c>
      <c r="G86" s="186">
        <f t="shared" si="3"/>
        <v>46289</v>
      </c>
      <c r="H86" s="183" t="s">
        <v>76</v>
      </c>
      <c r="I86" s="188">
        <f>IFERROR(__xludf.DUMMYFUNCTION("""COMPUTED_VALUE"""),89040.88)</f>
        <v>89040.88</v>
      </c>
      <c r="J86" s="189">
        <f>IFERROR(__xludf.DUMMYFUNCTION("""COMPUTED_VALUE"""),1.58698748952E9)</f>
        <v>1586987490</v>
      </c>
      <c r="K86" s="190">
        <f>IFERROR(__xludf.DUMMYFUNCTION("""COMPUTED_VALUE"""),17823.133481160563)</f>
        <v>17823.13348</v>
      </c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</row>
    <row r="87" ht="24.0" customHeight="1">
      <c r="A87" s="186">
        <f>IFERROR(__xludf.DUMMYFUNCTION("""COMPUTED_VALUE"""),46289.0)</f>
        <v>46289</v>
      </c>
      <c r="B87" s="192">
        <f>IFERROR(__xludf.DUMMYFUNCTION("""COMPUTED_VALUE"""),7.0)</f>
        <v>7</v>
      </c>
      <c r="C87" s="183" t="str">
        <f t="shared" si="1"/>
        <v>INV-20260924-7</v>
      </c>
      <c r="D87" s="183" t="s">
        <v>74</v>
      </c>
      <c r="E87" s="184" t="s">
        <v>75</v>
      </c>
      <c r="F87" s="185">
        <f t="shared" si="2"/>
        <v>46289</v>
      </c>
      <c r="G87" s="186">
        <f t="shared" si="3"/>
        <v>46289</v>
      </c>
      <c r="H87" s="183" t="s">
        <v>76</v>
      </c>
      <c r="I87" s="188">
        <f>IFERROR(__xludf.DUMMYFUNCTION("""COMPUTED_VALUE"""),34988.57)</f>
        <v>34988.57</v>
      </c>
      <c r="J87" s="189">
        <f>IFERROR(__xludf.DUMMYFUNCTION("""COMPUTED_VALUE"""),6.231464317E8)</f>
        <v>623146431.7</v>
      </c>
      <c r="K87" s="190">
        <f>IFERROR(__xludf.DUMMYFUNCTION("""COMPUTED_VALUE"""),17810.0)</f>
        <v>17810</v>
      </c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</row>
    <row r="88" ht="24.0" customHeight="1">
      <c r="A88" s="186">
        <f>IFERROR(__xludf.DUMMYFUNCTION("""COMPUTED_VALUE"""),46290.0)</f>
        <v>46290</v>
      </c>
      <c r="B88" s="192">
        <f>IFERROR(__xludf.DUMMYFUNCTION("""COMPUTED_VALUE"""),1.0)</f>
        <v>1</v>
      </c>
      <c r="C88" s="183" t="str">
        <f t="shared" si="1"/>
        <v>INV-20260925-1</v>
      </c>
      <c r="D88" s="183" t="s">
        <v>74</v>
      </c>
      <c r="E88" s="184" t="s">
        <v>75</v>
      </c>
      <c r="F88" s="185">
        <f t="shared" si="2"/>
        <v>46290</v>
      </c>
      <c r="G88" s="186">
        <f t="shared" si="3"/>
        <v>46290</v>
      </c>
      <c r="H88" s="183" t="s">
        <v>76</v>
      </c>
      <c r="I88" s="188">
        <f>IFERROR(__xludf.DUMMYFUNCTION("""COMPUTED_VALUE"""),117941.0)</f>
        <v>117941</v>
      </c>
      <c r="J88" s="189">
        <f>IFERROR(__xludf.DUMMYFUNCTION("""COMPUTED_VALUE"""),2.102416266E9)</f>
        <v>2102416266</v>
      </c>
      <c r="K88" s="190">
        <f>IFERROR(__xludf.DUMMYFUNCTION("""COMPUTED_VALUE"""),17826.0)</f>
        <v>17826</v>
      </c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</row>
    <row r="89" ht="24.0" customHeight="1">
      <c r="A89" s="186">
        <f>IFERROR(__xludf.DUMMYFUNCTION("""COMPUTED_VALUE"""),46290.0)</f>
        <v>46290</v>
      </c>
      <c r="B89" s="192">
        <f>IFERROR(__xludf.DUMMYFUNCTION("""COMPUTED_VALUE"""),2.0)</f>
        <v>2</v>
      </c>
      <c r="C89" s="183" t="str">
        <f t="shared" si="1"/>
        <v>INV-20260925-2</v>
      </c>
      <c r="D89" s="183" t="s">
        <v>74</v>
      </c>
      <c r="E89" s="184" t="s">
        <v>75</v>
      </c>
      <c r="F89" s="185">
        <f t="shared" si="2"/>
        <v>46290</v>
      </c>
      <c r="G89" s="186">
        <f t="shared" si="3"/>
        <v>46290</v>
      </c>
      <c r="H89" s="183" t="s">
        <v>76</v>
      </c>
      <c r="I89" s="188">
        <f>IFERROR(__xludf.DUMMYFUNCTION("""COMPUTED_VALUE"""),259404.82)</f>
        <v>259404.82</v>
      </c>
      <c r="J89" s="189">
        <f>IFERROR(__xludf.DUMMYFUNCTION("""COMPUTED_VALUE"""),4.6199998442E9)</f>
        <v>4619999844</v>
      </c>
      <c r="K89" s="190">
        <f>IFERROR(__xludf.DUMMYFUNCTION("""COMPUTED_VALUE"""),17810.0)</f>
        <v>17810</v>
      </c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</row>
    <row r="90" ht="24.0" customHeight="1">
      <c r="A90" s="186">
        <f>IFERROR(__xludf.DUMMYFUNCTION("""COMPUTED_VALUE"""),46290.0)</f>
        <v>46290</v>
      </c>
      <c r="B90" s="192">
        <f>IFERROR(__xludf.DUMMYFUNCTION("""COMPUTED_VALUE"""),3.0)</f>
        <v>3</v>
      </c>
      <c r="C90" s="183" t="str">
        <f t="shared" si="1"/>
        <v>INV-20260925-3</v>
      </c>
      <c r="D90" s="183" t="s">
        <v>74</v>
      </c>
      <c r="E90" s="184" t="s">
        <v>75</v>
      </c>
      <c r="F90" s="185">
        <f t="shared" si="2"/>
        <v>46290</v>
      </c>
      <c r="G90" s="186">
        <f t="shared" si="3"/>
        <v>46290</v>
      </c>
      <c r="H90" s="183" t="s">
        <v>76</v>
      </c>
      <c r="I90" s="188">
        <f>IFERROR(__xludf.DUMMYFUNCTION("""COMPUTED_VALUE"""),76461.75)</f>
        <v>76461.75</v>
      </c>
      <c r="J90" s="189">
        <f>IFERROR(__xludf.DUMMYFUNCTION("""COMPUTED_VALUE"""),1.3581136035E9)</f>
        <v>1358113604</v>
      </c>
      <c r="K90" s="190">
        <f>IFERROR(__xludf.DUMMYFUNCTION("""COMPUTED_VALUE"""),17762.0)</f>
        <v>17762</v>
      </c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</row>
    <row r="91" ht="24.0" customHeight="1">
      <c r="A91" s="186">
        <f>IFERROR(__xludf.DUMMYFUNCTION("""COMPUTED_VALUE"""),46290.0)</f>
        <v>46290</v>
      </c>
      <c r="B91" s="192">
        <f>IFERROR(__xludf.DUMMYFUNCTION("""COMPUTED_VALUE"""),4.0)</f>
        <v>4</v>
      </c>
      <c r="C91" s="183" t="str">
        <f t="shared" si="1"/>
        <v>INV-20260925-4</v>
      </c>
      <c r="D91" s="183" t="s">
        <v>74</v>
      </c>
      <c r="E91" s="184" t="s">
        <v>75</v>
      </c>
      <c r="F91" s="185">
        <f t="shared" si="2"/>
        <v>46290</v>
      </c>
      <c r="G91" s="186">
        <f t="shared" si="3"/>
        <v>46290</v>
      </c>
      <c r="H91" s="183" t="s">
        <v>76</v>
      </c>
      <c r="I91" s="188">
        <f>IFERROR(__xludf.DUMMYFUNCTION("""COMPUTED_VALUE"""),78434.68)</f>
        <v>78434.68</v>
      </c>
      <c r="J91" s="189">
        <f>IFERROR(__xludf.DUMMYFUNCTION("""COMPUTED_VALUE"""),1.3929999168E9)</f>
        <v>1392999917</v>
      </c>
      <c r="K91" s="190">
        <f>IFERROR(__xludf.DUMMYFUNCTION("""COMPUTED_VALUE"""),17760.0)</f>
        <v>17760</v>
      </c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</row>
    <row r="92" ht="24.0" customHeight="1">
      <c r="A92" s="186">
        <f>IFERROR(__xludf.DUMMYFUNCTION("""COMPUTED_VALUE"""),46290.0)</f>
        <v>46290</v>
      </c>
      <c r="B92" s="192">
        <f>IFERROR(__xludf.DUMMYFUNCTION("""COMPUTED_VALUE"""),5.0)</f>
        <v>5</v>
      </c>
      <c r="C92" s="183" t="str">
        <f t="shared" si="1"/>
        <v>INV-20260925-5</v>
      </c>
      <c r="D92" s="183" t="s">
        <v>74</v>
      </c>
      <c r="E92" s="184" t="s">
        <v>75</v>
      </c>
      <c r="F92" s="185">
        <f t="shared" si="2"/>
        <v>46290</v>
      </c>
      <c r="G92" s="186">
        <f t="shared" si="3"/>
        <v>46290</v>
      </c>
      <c r="H92" s="183" t="s">
        <v>76</v>
      </c>
      <c r="I92" s="188">
        <f>IFERROR(__xludf.DUMMYFUNCTION("""COMPUTED_VALUE"""),16348.630000000001)</f>
        <v>16348.63</v>
      </c>
      <c r="J92" s="189">
        <f>IFERROR(__xludf.DUMMYFUNCTION("""COMPUTED_VALUE"""),2.9023296675E8)</f>
        <v>290232966.8</v>
      </c>
      <c r="K92" s="190">
        <f>IFERROR(__xludf.DUMMYFUNCTION("""COMPUTED_VALUE"""),17752.73932739318)</f>
        <v>17752.73933</v>
      </c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</row>
    <row r="93" ht="24.0" customHeight="1">
      <c r="A93" s="186">
        <f>IFERROR(__xludf.DUMMYFUNCTION("""COMPUTED_VALUE"""),46290.0)</f>
        <v>46290</v>
      </c>
      <c r="B93" s="192">
        <f>IFERROR(__xludf.DUMMYFUNCTION("""COMPUTED_VALUE"""),6.0)</f>
        <v>6</v>
      </c>
      <c r="C93" s="183" t="str">
        <f t="shared" si="1"/>
        <v>INV-20260925-6</v>
      </c>
      <c r="D93" s="183" t="s">
        <v>74</v>
      </c>
      <c r="E93" s="184" t="s">
        <v>75</v>
      </c>
      <c r="F93" s="185">
        <f t="shared" si="2"/>
        <v>46290</v>
      </c>
      <c r="G93" s="186">
        <f t="shared" si="3"/>
        <v>46290</v>
      </c>
      <c r="H93" s="183" t="s">
        <v>76</v>
      </c>
      <c r="I93" s="188">
        <f>IFERROR(__xludf.DUMMYFUNCTION("""COMPUTED_VALUE"""),35019.490000000005)</f>
        <v>35019.49</v>
      </c>
      <c r="J93" s="189">
        <f>IFERROR(__xludf.DUMMYFUNCTION("""COMPUTED_VALUE"""),6.212807351E8)</f>
        <v>621280735.1</v>
      </c>
      <c r="K93" s="190">
        <f>IFERROR(__xludf.DUMMYFUNCTION("""COMPUTED_VALUE"""),17740.998943731047)</f>
        <v>17740.99894</v>
      </c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</row>
    <row r="94" ht="24.0" customHeight="1">
      <c r="A94" s="186">
        <f>IFERROR(__xludf.DUMMYFUNCTION("""COMPUTED_VALUE"""),46290.0)</f>
        <v>46290</v>
      </c>
      <c r="B94" s="192">
        <f>IFERROR(__xludf.DUMMYFUNCTION("""COMPUTED_VALUE"""),7.0)</f>
        <v>7</v>
      </c>
      <c r="C94" s="183" t="str">
        <f t="shared" si="1"/>
        <v>INV-20260925-7</v>
      </c>
      <c r="D94" s="183" t="s">
        <v>74</v>
      </c>
      <c r="E94" s="184" t="s">
        <v>75</v>
      </c>
      <c r="F94" s="185">
        <f t="shared" si="2"/>
        <v>46290</v>
      </c>
      <c r="G94" s="186">
        <f t="shared" si="3"/>
        <v>46290</v>
      </c>
      <c r="H94" s="183" t="s">
        <v>76</v>
      </c>
      <c r="I94" s="188">
        <f>IFERROR(__xludf.DUMMYFUNCTION("""COMPUTED_VALUE"""),194291.83)</f>
        <v>194291.83</v>
      </c>
      <c r="J94" s="189">
        <f>IFERROR(__xludf.DUMMYFUNCTION("""COMPUTED_VALUE"""),3.4486799825E9)</f>
        <v>3448679983</v>
      </c>
      <c r="K94" s="190">
        <f>IFERROR(__xludf.DUMMYFUNCTION("""COMPUTED_VALUE"""),17750.0)</f>
        <v>17750</v>
      </c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</row>
    <row r="95" ht="24.0" customHeight="1">
      <c r="A95" s="186">
        <f>IFERROR(__xludf.DUMMYFUNCTION("""COMPUTED_VALUE"""),46291.0)</f>
        <v>46291</v>
      </c>
      <c r="B95" s="192">
        <f>IFERROR(__xludf.DUMMYFUNCTION("""COMPUTED_VALUE"""),1.0)</f>
        <v>1</v>
      </c>
      <c r="C95" s="183" t="str">
        <f t="shared" si="1"/>
        <v>INV-20260926-1</v>
      </c>
      <c r="D95" s="183" t="s">
        <v>74</v>
      </c>
      <c r="E95" s="184" t="s">
        <v>75</v>
      </c>
      <c r="F95" s="185">
        <f t="shared" si="2"/>
        <v>46291</v>
      </c>
      <c r="G95" s="186">
        <f t="shared" si="3"/>
        <v>46291</v>
      </c>
      <c r="H95" s="183" t="s">
        <v>76</v>
      </c>
      <c r="I95" s="188">
        <f>IFERROR(__xludf.DUMMYFUNCTION("""COMPUTED_VALUE"""),57924.11)</f>
        <v>57924.11</v>
      </c>
      <c r="J95" s="189">
        <f>IFERROR(__xludf.DUMMYFUNCTION("""COMPUTED_VALUE"""),1.0273191042E9)</f>
        <v>1027319104</v>
      </c>
      <c r="K95" s="190">
        <f>IFERROR(__xludf.DUMMYFUNCTION("""COMPUTED_VALUE"""),17735.604469365175)</f>
        <v>17735.60447</v>
      </c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</row>
    <row r="96" ht="24.0" customHeight="1">
      <c r="A96" s="186">
        <f>IFERROR(__xludf.DUMMYFUNCTION("""COMPUTED_VALUE"""),46291.0)</f>
        <v>46291</v>
      </c>
      <c r="B96" s="192">
        <f>IFERROR(__xludf.DUMMYFUNCTION("""COMPUTED_VALUE"""),2.0)</f>
        <v>2</v>
      </c>
      <c r="C96" s="183" t="str">
        <f t="shared" si="1"/>
        <v>INV-20260926-2</v>
      </c>
      <c r="D96" s="183" t="s">
        <v>74</v>
      </c>
      <c r="E96" s="184" t="s">
        <v>75</v>
      </c>
      <c r="F96" s="185">
        <f t="shared" si="2"/>
        <v>46291</v>
      </c>
      <c r="G96" s="186">
        <f t="shared" si="3"/>
        <v>46291</v>
      </c>
      <c r="H96" s="183" t="s">
        <v>76</v>
      </c>
      <c r="I96" s="188">
        <f>IFERROR(__xludf.DUMMYFUNCTION("""COMPUTED_VALUE"""),256901.4)</f>
        <v>256901.4</v>
      </c>
      <c r="J96" s="189">
        <f>IFERROR(__xludf.DUMMYFUNCTION("""COMPUTED_VALUE"""),4.55999985E9)</f>
        <v>4559999850</v>
      </c>
      <c r="K96" s="190">
        <f>IFERROR(__xludf.DUMMYFUNCTION("""COMPUTED_VALUE"""),17750.0)</f>
        <v>17750</v>
      </c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</row>
    <row r="97" ht="24.0" customHeight="1">
      <c r="A97" s="186">
        <f>IFERROR(__xludf.DUMMYFUNCTION("""COMPUTED_VALUE"""),46291.0)</f>
        <v>46291</v>
      </c>
      <c r="B97" s="192">
        <f>IFERROR(__xludf.DUMMYFUNCTION("""COMPUTED_VALUE"""),3.0)</f>
        <v>3</v>
      </c>
      <c r="C97" s="183" t="str">
        <f t="shared" si="1"/>
        <v>INV-20260926-3</v>
      </c>
      <c r="D97" s="183" t="s">
        <v>74</v>
      </c>
      <c r="E97" s="184" t="s">
        <v>75</v>
      </c>
      <c r="F97" s="185">
        <f t="shared" si="2"/>
        <v>46291</v>
      </c>
      <c r="G97" s="186">
        <f t="shared" si="3"/>
        <v>46291</v>
      </c>
      <c r="H97" s="183" t="s">
        <v>76</v>
      </c>
      <c r="I97" s="188">
        <f>IFERROR(__xludf.DUMMYFUNCTION("""COMPUTED_VALUE"""),149788.55)</f>
        <v>149788.55</v>
      </c>
      <c r="J97" s="189">
        <f>IFERROR(__xludf.DUMMYFUNCTION("""COMPUTED_VALUE"""),2.65649993425E9)</f>
        <v>2656499934</v>
      </c>
      <c r="K97" s="190">
        <f>IFERROR(__xludf.DUMMYFUNCTION("""COMPUTED_VALUE"""),17735.0)</f>
        <v>17735</v>
      </c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</row>
    <row r="98" ht="24.0" customHeight="1">
      <c r="A98" s="186">
        <f>IFERROR(__xludf.DUMMYFUNCTION("""COMPUTED_VALUE"""),46291.0)</f>
        <v>46291</v>
      </c>
      <c r="B98" s="192">
        <f>IFERROR(__xludf.DUMMYFUNCTION("""COMPUTED_VALUE"""),4.0)</f>
        <v>4</v>
      </c>
      <c r="C98" s="183" t="str">
        <f t="shared" si="1"/>
        <v>INV-20260926-4</v>
      </c>
      <c r="D98" s="183" t="s">
        <v>74</v>
      </c>
      <c r="E98" s="184" t="s">
        <v>75</v>
      </c>
      <c r="F98" s="185">
        <f t="shared" si="2"/>
        <v>46291</v>
      </c>
      <c r="G98" s="186">
        <f t="shared" si="3"/>
        <v>46291</v>
      </c>
      <c r="H98" s="183" t="s">
        <v>76</v>
      </c>
      <c r="I98" s="188">
        <f>IFERROR(__xludf.DUMMYFUNCTION("""COMPUTED_VALUE"""),299577.1)</f>
        <v>299577.1</v>
      </c>
      <c r="J98" s="189">
        <f>IFERROR(__xludf.DUMMYFUNCTION("""COMPUTED_VALUE"""),5.3129998685E9)</f>
        <v>5312999869</v>
      </c>
      <c r="K98" s="190">
        <f>IFERROR(__xludf.DUMMYFUNCTION("""COMPUTED_VALUE"""),17735.0)</f>
        <v>17735</v>
      </c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</row>
    <row r="99" ht="24.0" customHeight="1">
      <c r="A99" s="186">
        <f>IFERROR(__xludf.DUMMYFUNCTION("""COMPUTED_VALUE"""),46292.0)</f>
        <v>46292</v>
      </c>
      <c r="B99" s="192">
        <f>IFERROR(__xludf.DUMMYFUNCTION("""COMPUTED_VALUE"""),1.0)</f>
        <v>1</v>
      </c>
      <c r="C99" s="183" t="str">
        <f t="shared" si="1"/>
        <v>INV-20260927-1</v>
      </c>
      <c r="D99" s="183" t="s">
        <v>74</v>
      </c>
      <c r="E99" s="184" t="s">
        <v>75</v>
      </c>
      <c r="F99" s="185">
        <f t="shared" si="2"/>
        <v>46292</v>
      </c>
      <c r="G99" s="186">
        <f t="shared" si="3"/>
        <v>46292</v>
      </c>
      <c r="H99" s="183" t="s">
        <v>76</v>
      </c>
      <c r="I99" s="188">
        <f>IFERROR(__xludf.DUMMYFUNCTION("""COMPUTED_VALUE"""),148520.61)</f>
        <v>148520.61</v>
      </c>
      <c r="J99" s="189">
        <f>IFERROR(__xludf.DUMMYFUNCTION("""COMPUTED_VALUE"""),2.6458946671499996E9)</f>
        <v>2645894667</v>
      </c>
      <c r="K99" s="190">
        <f>IFERROR(__xludf.DUMMYFUNCTION("""COMPUTED_VALUE"""),17815.0)</f>
        <v>17815</v>
      </c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</row>
    <row r="100" ht="24.0" customHeight="1">
      <c r="A100" s="186">
        <f>IFERROR(__xludf.DUMMYFUNCTION("""COMPUTED_VALUE"""),46292.0)</f>
        <v>46292</v>
      </c>
      <c r="B100" s="192">
        <f>IFERROR(__xludf.DUMMYFUNCTION("""COMPUTED_VALUE"""),2.0)</f>
        <v>2</v>
      </c>
      <c r="C100" s="183" t="str">
        <f t="shared" si="1"/>
        <v>INV-20260927-2</v>
      </c>
      <c r="D100" s="183" t="s">
        <v>74</v>
      </c>
      <c r="E100" s="184" t="s">
        <v>75</v>
      </c>
      <c r="F100" s="185">
        <f t="shared" si="2"/>
        <v>46292</v>
      </c>
      <c r="G100" s="186">
        <f t="shared" si="3"/>
        <v>46292</v>
      </c>
      <c r="H100" s="183" t="s">
        <v>76</v>
      </c>
      <c r="I100" s="188">
        <f>IFERROR(__xludf.DUMMYFUNCTION("""COMPUTED_VALUE"""),112303.38)</f>
        <v>112303.38</v>
      </c>
      <c r="J100" s="189">
        <f>IFERROR(__xludf.DUMMYFUNCTION("""COMPUTED_VALUE"""),1.999000164E9)</f>
        <v>1999000164</v>
      </c>
      <c r="K100" s="190">
        <f>IFERROR(__xludf.DUMMYFUNCTION("""COMPUTED_VALUE"""),17800.0)</f>
        <v>17800</v>
      </c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</row>
    <row r="101" ht="24.0" customHeight="1">
      <c r="A101" s="195">
        <f>IFERROR(__xludf.DUMMYFUNCTION("""COMPUTED_VALUE"""),46292.0)</f>
        <v>46292</v>
      </c>
      <c r="B101" s="196">
        <f>IFERROR(__xludf.DUMMYFUNCTION("""COMPUTED_VALUE"""),3.0)</f>
        <v>3</v>
      </c>
      <c r="C101" s="183" t="str">
        <f t="shared" si="1"/>
        <v>INV-20260927-3</v>
      </c>
      <c r="D101" s="183" t="s">
        <v>74</v>
      </c>
      <c r="E101" s="184" t="s">
        <v>75</v>
      </c>
      <c r="F101" s="185">
        <f t="shared" si="2"/>
        <v>46292</v>
      </c>
      <c r="G101" s="186">
        <f t="shared" si="3"/>
        <v>46292</v>
      </c>
      <c r="H101" s="183" t="s">
        <v>76</v>
      </c>
      <c r="I101" s="197">
        <f>IFERROR(__xludf.DUMMYFUNCTION("""COMPUTED_VALUE"""),61867.3)</f>
        <v>61867.3</v>
      </c>
      <c r="J101" s="198">
        <f>IFERROR(__xludf.DUMMYFUNCTION("""COMPUTED_VALUE"""),1.100000594E9)</f>
        <v>1100000594</v>
      </c>
      <c r="K101" s="199">
        <f>IFERROR(__xludf.DUMMYFUNCTION("""COMPUTED_VALUE"""),17780.0)</f>
        <v>17780</v>
      </c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  <c r="AA101" s="200"/>
    </row>
    <row r="102" ht="24.0" customHeight="1">
      <c r="A102" s="195">
        <f>IFERROR(__xludf.DUMMYFUNCTION("""COMPUTED_VALUE"""),46293.0)</f>
        <v>46293</v>
      </c>
      <c r="B102" s="196">
        <f>IFERROR(__xludf.DUMMYFUNCTION("""COMPUTED_VALUE"""),1.0)</f>
        <v>1</v>
      </c>
      <c r="C102" s="183" t="str">
        <f t="shared" si="1"/>
        <v>INV-20260928-1</v>
      </c>
      <c r="D102" s="183" t="s">
        <v>74</v>
      </c>
      <c r="E102" s="184" t="s">
        <v>75</v>
      </c>
      <c r="F102" s="185">
        <f t="shared" si="2"/>
        <v>46293</v>
      </c>
      <c r="G102" s="186">
        <f t="shared" si="3"/>
        <v>46293</v>
      </c>
      <c r="H102" s="183" t="s">
        <v>76</v>
      </c>
      <c r="I102" s="197">
        <f>IFERROR(__xludf.DUMMYFUNCTION("""COMPUTED_VALUE"""),55162.55)</f>
        <v>55162.55</v>
      </c>
      <c r="J102" s="198">
        <f>IFERROR(__xludf.DUMMYFUNCTION("""COMPUTED_VALUE"""),9.84099892E8)</f>
        <v>984099892</v>
      </c>
      <c r="K102" s="199">
        <f>IFERROR(__xludf.DUMMYFUNCTION("""COMPUTED_VALUE"""),17840.0)</f>
        <v>17840</v>
      </c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  <c r="AA102" s="200"/>
    </row>
    <row r="103" ht="24.0" customHeight="1">
      <c r="A103" s="195">
        <f>IFERROR(__xludf.DUMMYFUNCTION("""COMPUTED_VALUE"""),46293.0)</f>
        <v>46293</v>
      </c>
      <c r="B103" s="196">
        <f>IFERROR(__xludf.DUMMYFUNCTION("""COMPUTED_VALUE"""),2.0)</f>
        <v>2</v>
      </c>
      <c r="C103" s="183" t="str">
        <f t="shared" si="1"/>
        <v>INV-20260928-2</v>
      </c>
      <c r="D103" s="183" t="s">
        <v>74</v>
      </c>
      <c r="E103" s="184" t="s">
        <v>75</v>
      </c>
      <c r="F103" s="185">
        <f t="shared" si="2"/>
        <v>46293</v>
      </c>
      <c r="G103" s="186">
        <f t="shared" si="3"/>
        <v>46293</v>
      </c>
      <c r="H103" s="183" t="s">
        <v>76</v>
      </c>
      <c r="I103" s="197">
        <f>IFERROR(__xludf.DUMMYFUNCTION("""COMPUTED_VALUE"""),88000.0)</f>
        <v>88000</v>
      </c>
      <c r="J103" s="198">
        <f>IFERROR(__xludf.DUMMYFUNCTION("""COMPUTED_VALUE"""),1.57036E9)</f>
        <v>1570360000</v>
      </c>
      <c r="K103" s="199">
        <f>IFERROR(__xludf.DUMMYFUNCTION("""COMPUTED_VALUE"""),17845.0)</f>
        <v>17845</v>
      </c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  <c r="AA103" s="200"/>
    </row>
    <row r="104" ht="24.0" customHeight="1">
      <c r="A104" s="195">
        <f>IFERROR(__xludf.DUMMYFUNCTION("""COMPUTED_VALUE"""),46293.0)</f>
        <v>46293</v>
      </c>
      <c r="B104" s="196">
        <f>IFERROR(__xludf.DUMMYFUNCTION("""COMPUTED_VALUE"""),5.0)</f>
        <v>5</v>
      </c>
      <c r="C104" s="183" t="str">
        <f t="shared" si="1"/>
        <v>INV-20260928-5</v>
      </c>
      <c r="D104" s="183" t="s">
        <v>74</v>
      </c>
      <c r="E104" s="184" t="s">
        <v>75</v>
      </c>
      <c r="F104" s="185">
        <f t="shared" si="2"/>
        <v>46293</v>
      </c>
      <c r="G104" s="186">
        <f t="shared" si="3"/>
        <v>46293</v>
      </c>
      <c r="H104" s="183" t="s">
        <v>76</v>
      </c>
      <c r="I104" s="197">
        <f>IFERROR(__xludf.DUMMYFUNCTION("""COMPUTED_VALUE"""),44201.56)</f>
        <v>44201.56</v>
      </c>
      <c r="J104" s="198">
        <f>IFERROR(__xludf.DUMMYFUNCTION("""COMPUTED_VALUE"""),7.905449005999999E8)</f>
        <v>790544900.6</v>
      </c>
      <c r="K104" s="199">
        <f>IFERROR(__xludf.DUMMYFUNCTION("""COMPUTED_VALUE"""),17885.0)</f>
        <v>17885</v>
      </c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</row>
    <row r="105" ht="24.0" customHeight="1">
      <c r="A105" s="195">
        <f>IFERROR(__xludf.DUMMYFUNCTION("""COMPUTED_VALUE"""),46293.0)</f>
        <v>46293</v>
      </c>
      <c r="B105" s="196">
        <f>IFERROR(__xludf.DUMMYFUNCTION("""COMPUTED_VALUE"""),6.0)</f>
        <v>6</v>
      </c>
      <c r="C105" s="183" t="str">
        <f t="shared" si="1"/>
        <v>INV-20260928-6</v>
      </c>
      <c r="D105" s="183" t="s">
        <v>74</v>
      </c>
      <c r="E105" s="184" t="s">
        <v>75</v>
      </c>
      <c r="F105" s="185">
        <f t="shared" si="2"/>
        <v>46293</v>
      </c>
      <c r="G105" s="186">
        <f t="shared" si="3"/>
        <v>46293</v>
      </c>
      <c r="H105" s="183" t="s">
        <v>76</v>
      </c>
      <c r="I105" s="197">
        <f>IFERROR(__xludf.DUMMYFUNCTION("""COMPUTED_VALUE"""),29985.0)</f>
        <v>29985</v>
      </c>
      <c r="J105" s="198">
        <f>IFERROR(__xludf.DUMMYFUNCTION("""COMPUTED_VALUE"""),5.373312E8)</f>
        <v>537331200</v>
      </c>
      <c r="K105" s="199">
        <f>IFERROR(__xludf.DUMMYFUNCTION("""COMPUTED_VALUE"""),17920.0)</f>
        <v>17920</v>
      </c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</row>
    <row r="106" ht="24.0" customHeight="1">
      <c r="A106" s="195">
        <f>IFERROR(__xludf.DUMMYFUNCTION("""COMPUTED_VALUE"""),46293.0)</f>
        <v>46293</v>
      </c>
      <c r="B106" s="196">
        <f>IFERROR(__xludf.DUMMYFUNCTION("""COMPUTED_VALUE"""),3.0)</f>
        <v>3</v>
      </c>
      <c r="C106" s="183" t="str">
        <f t="shared" si="1"/>
        <v>INV-20260928-3</v>
      </c>
      <c r="D106" s="183" t="s">
        <v>74</v>
      </c>
      <c r="E106" s="184" t="s">
        <v>75</v>
      </c>
      <c r="F106" s="185">
        <f t="shared" si="2"/>
        <v>46293</v>
      </c>
      <c r="G106" s="186">
        <f t="shared" si="3"/>
        <v>46293</v>
      </c>
      <c r="H106" s="183" t="s">
        <v>76</v>
      </c>
      <c r="I106" s="197">
        <f>IFERROR(__xludf.DUMMYFUNCTION("""COMPUTED_VALUE"""),55000.0)</f>
        <v>55000</v>
      </c>
      <c r="J106" s="198">
        <f>IFERROR(__xludf.DUMMYFUNCTION("""COMPUTED_VALUE"""),9.8285E8)</f>
        <v>982850000</v>
      </c>
      <c r="K106" s="199">
        <f>IFERROR(__xludf.DUMMYFUNCTION("""COMPUTED_VALUE"""),17870.0)</f>
        <v>17870</v>
      </c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  <c r="AA106" s="200"/>
    </row>
    <row r="107" ht="24.0" customHeight="1">
      <c r="A107" s="195">
        <f>IFERROR(__xludf.DUMMYFUNCTION("""COMPUTED_VALUE"""),46293.0)</f>
        <v>46293</v>
      </c>
      <c r="B107" s="196">
        <f>IFERROR(__xludf.DUMMYFUNCTION("""COMPUTED_VALUE"""),4.0)</f>
        <v>4</v>
      </c>
      <c r="C107" s="183" t="str">
        <f t="shared" si="1"/>
        <v>INV-20260928-4</v>
      </c>
      <c r="D107" s="183" t="s">
        <v>74</v>
      </c>
      <c r="E107" s="184" t="s">
        <v>75</v>
      </c>
      <c r="F107" s="185">
        <f t="shared" si="2"/>
        <v>46293</v>
      </c>
      <c r="G107" s="186">
        <f t="shared" si="3"/>
        <v>46293</v>
      </c>
      <c r="H107" s="183" t="s">
        <v>76</v>
      </c>
      <c r="I107" s="197">
        <f>IFERROR(__xludf.DUMMYFUNCTION("""COMPUTED_VALUE"""),55000.0)</f>
        <v>55000</v>
      </c>
      <c r="J107" s="198">
        <f>IFERROR(__xludf.DUMMYFUNCTION("""COMPUTED_VALUE"""),9.834E8)</f>
        <v>983400000</v>
      </c>
      <c r="K107" s="199">
        <f>IFERROR(__xludf.DUMMYFUNCTION("""COMPUTED_VALUE"""),17880.0)</f>
        <v>17880</v>
      </c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  <c r="AA107" s="200"/>
    </row>
    <row r="108" ht="24.0" customHeight="1">
      <c r="A108" s="195">
        <f>IFERROR(__xludf.DUMMYFUNCTION("""COMPUTED_VALUE"""),46294.0)</f>
        <v>46294</v>
      </c>
      <c r="B108" s="196">
        <f>IFERROR(__xludf.DUMMYFUNCTION("""COMPUTED_VALUE"""),1.0)</f>
        <v>1</v>
      </c>
      <c r="C108" s="183" t="str">
        <f t="shared" si="1"/>
        <v>INV-20260929-1</v>
      </c>
      <c r="D108" s="183" t="s">
        <v>74</v>
      </c>
      <c r="E108" s="184" t="s">
        <v>75</v>
      </c>
      <c r="F108" s="185">
        <f t="shared" si="2"/>
        <v>46294</v>
      </c>
      <c r="G108" s="186">
        <f t="shared" si="3"/>
        <v>46294</v>
      </c>
      <c r="H108" s="183" t="s">
        <v>76</v>
      </c>
      <c r="I108" s="197">
        <f>IFERROR(__xludf.DUMMYFUNCTION("""COMPUTED_VALUE"""),118323.03)</f>
        <v>118323.03</v>
      </c>
      <c r="J108" s="198">
        <f>IFERROR(__xludf.DUMMYFUNCTION("""COMPUTED_VALUE"""),2.12123869685E9)</f>
        <v>2121238697</v>
      </c>
      <c r="K108" s="199">
        <f>IFERROR(__xludf.DUMMYFUNCTION("""COMPUTED_VALUE"""),17927.521775346693)</f>
        <v>17927.52178</v>
      </c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  <c r="AA108" s="200"/>
    </row>
    <row r="109" ht="24.0" customHeight="1">
      <c r="A109" s="195">
        <f>IFERROR(__xludf.DUMMYFUNCTION("""COMPUTED_VALUE"""),46294.0)</f>
        <v>46294</v>
      </c>
      <c r="B109" s="196">
        <f>IFERROR(__xludf.DUMMYFUNCTION("""COMPUTED_VALUE"""),2.0)</f>
        <v>2</v>
      </c>
      <c r="C109" s="183" t="str">
        <f t="shared" si="1"/>
        <v>INV-20260929-2</v>
      </c>
      <c r="D109" s="183" t="s">
        <v>74</v>
      </c>
      <c r="E109" s="184" t="s">
        <v>75</v>
      </c>
      <c r="F109" s="185">
        <f t="shared" si="2"/>
        <v>46294</v>
      </c>
      <c r="G109" s="186">
        <f t="shared" si="3"/>
        <v>46294</v>
      </c>
      <c r="H109" s="183" t="s">
        <v>76</v>
      </c>
      <c r="I109" s="197">
        <f>IFERROR(__xludf.DUMMYFUNCTION("""COMPUTED_VALUE"""),292375.59)</f>
        <v>292375.59</v>
      </c>
      <c r="J109" s="198">
        <f>IFERROR(__xludf.DUMMYFUNCTION("""COMPUTED_VALUE"""),5.234984938950001E9)</f>
        <v>5234984939</v>
      </c>
      <c r="K109" s="199">
        <f>IFERROR(__xludf.DUMMYFUNCTION("""COMPUTED_VALUE"""),17905.0)</f>
        <v>17905</v>
      </c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  <c r="AA109" s="200"/>
    </row>
    <row r="110" ht="24.0" customHeight="1">
      <c r="A110" s="195">
        <f>IFERROR(__xludf.DUMMYFUNCTION("""COMPUTED_VALUE"""),46295.0)</f>
        <v>46295</v>
      </c>
      <c r="B110" s="196"/>
      <c r="C110" s="183" t="str">
        <f t="shared" si="1"/>
        <v/>
      </c>
      <c r="D110" s="196"/>
      <c r="E110" s="203"/>
      <c r="F110" s="185">
        <f t="shared" si="2"/>
        <v>46295</v>
      </c>
      <c r="G110" s="186">
        <f t="shared" si="3"/>
        <v>46295</v>
      </c>
      <c r="H110" s="196"/>
      <c r="I110" s="197">
        <f>IFERROR(__xludf.DUMMYFUNCTION("""COMPUTED_VALUE"""),0.0)</f>
        <v>0</v>
      </c>
      <c r="J110" s="198">
        <f>IFERROR(__xludf.DUMMYFUNCTION("""COMPUTED_VALUE"""),0.0)</f>
        <v>0</v>
      </c>
      <c r="K110" s="199">
        <f>IFERROR(__xludf.DUMMYFUNCTION("""COMPUTED_VALUE"""),0.0)</f>
        <v>0</v>
      </c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  <c r="AA110" s="200"/>
    </row>
    <row r="111">
      <c r="A111" s="200"/>
      <c r="B111" s="200"/>
      <c r="C111" s="200"/>
      <c r="D111" s="200"/>
      <c r="E111" s="200"/>
      <c r="F111" s="204"/>
      <c r="G111" s="200"/>
      <c r="H111" s="200"/>
      <c r="I111" s="205">
        <f>IFERROR(__xludf.DUMMYFUNCTION("""COMPUTED_VALUE"""),0.0)</f>
        <v>0</v>
      </c>
      <c r="J111" s="206">
        <f>IFERROR(__xludf.DUMMYFUNCTION("""COMPUTED_VALUE"""),0.0)</f>
        <v>0</v>
      </c>
      <c r="K111" s="207">
        <f>IFERROR(__xludf.DUMMYFUNCTION("""COMPUTED_VALUE"""),0.0)</f>
        <v>0</v>
      </c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  <c r="AA111" s="200"/>
    </row>
    <row r="112">
      <c r="A112" s="200"/>
      <c r="B112" s="200"/>
      <c r="C112" s="200"/>
      <c r="D112" s="200"/>
      <c r="E112" s="200"/>
      <c r="F112" s="204"/>
      <c r="G112" s="200"/>
      <c r="H112" s="200"/>
      <c r="I112" s="205">
        <f>IFERROR(__xludf.DUMMYFUNCTION("""COMPUTED_VALUE"""),0.0)</f>
        <v>0</v>
      </c>
      <c r="J112" s="206">
        <f>IFERROR(__xludf.DUMMYFUNCTION("""COMPUTED_VALUE"""),0.0)</f>
        <v>0</v>
      </c>
      <c r="K112" s="207">
        <f>IFERROR(__xludf.DUMMYFUNCTION("""COMPUTED_VALUE"""),0.0)</f>
        <v>0</v>
      </c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/>
    </row>
    <row r="113">
      <c r="A113" s="200"/>
      <c r="B113" s="200"/>
      <c r="C113" s="200"/>
      <c r="D113" s="200"/>
      <c r="E113" s="200"/>
      <c r="F113" s="204"/>
      <c r="G113" s="200"/>
      <c r="H113" s="200"/>
      <c r="I113" s="205">
        <f>IFERROR(__xludf.DUMMYFUNCTION("""COMPUTED_VALUE"""),0.0)</f>
        <v>0</v>
      </c>
      <c r="J113" s="206">
        <f>IFERROR(__xludf.DUMMYFUNCTION("""COMPUTED_VALUE"""),0.0)</f>
        <v>0</v>
      </c>
      <c r="K113" s="207">
        <f>IFERROR(__xludf.DUMMYFUNCTION("""COMPUTED_VALUE"""),0.0)</f>
        <v>0</v>
      </c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/>
    </row>
    <row r="114">
      <c r="A114" s="200"/>
      <c r="B114" s="200"/>
      <c r="C114" s="200"/>
      <c r="D114" s="200"/>
      <c r="E114" s="200"/>
      <c r="F114" s="204"/>
      <c r="G114" s="200"/>
      <c r="H114" s="200"/>
      <c r="I114" s="205">
        <f>IFERROR(__xludf.DUMMYFUNCTION("""COMPUTED_VALUE"""),0.0)</f>
        <v>0</v>
      </c>
      <c r="J114" s="206">
        <f>IFERROR(__xludf.DUMMYFUNCTION("""COMPUTED_VALUE"""),0.0)</f>
        <v>0</v>
      </c>
      <c r="K114" s="207">
        <f>IFERROR(__xludf.DUMMYFUNCTION("""COMPUTED_VALUE"""),0.0)</f>
        <v>0</v>
      </c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/>
    </row>
    <row r="115">
      <c r="A115" s="200"/>
      <c r="B115" s="200"/>
      <c r="C115" s="200"/>
      <c r="D115" s="200"/>
      <c r="E115" s="200"/>
      <c r="F115" s="204"/>
      <c r="G115" s="200"/>
      <c r="H115" s="200"/>
      <c r="I115" s="205">
        <f>IFERROR(__xludf.DUMMYFUNCTION("""COMPUTED_VALUE"""),0.0)</f>
        <v>0</v>
      </c>
      <c r="J115" s="206">
        <f>IFERROR(__xludf.DUMMYFUNCTION("""COMPUTED_VALUE"""),0.0)</f>
        <v>0</v>
      </c>
      <c r="K115" s="207">
        <f>IFERROR(__xludf.DUMMYFUNCTION("""COMPUTED_VALUE"""),0.0)</f>
        <v>0</v>
      </c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</row>
    <row r="116">
      <c r="A116" s="200"/>
      <c r="B116" s="200"/>
      <c r="C116" s="200"/>
      <c r="D116" s="200"/>
      <c r="E116" s="200"/>
      <c r="F116" s="204"/>
      <c r="G116" s="200"/>
      <c r="H116" s="200"/>
      <c r="I116" s="205">
        <f>IFERROR(__xludf.DUMMYFUNCTION("""COMPUTED_VALUE"""),0.0)</f>
        <v>0</v>
      </c>
      <c r="J116" s="206">
        <f>IFERROR(__xludf.DUMMYFUNCTION("""COMPUTED_VALUE"""),0.0)</f>
        <v>0</v>
      </c>
      <c r="K116" s="207">
        <f>IFERROR(__xludf.DUMMYFUNCTION("""COMPUTED_VALUE"""),0.0)</f>
        <v>0</v>
      </c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</row>
    <row r="117">
      <c r="A117" s="200"/>
      <c r="B117" s="200"/>
      <c r="C117" s="200"/>
      <c r="D117" s="200"/>
      <c r="E117" s="200"/>
      <c r="F117" s="204"/>
      <c r="G117" s="200"/>
      <c r="H117" s="200"/>
      <c r="I117" s="205">
        <f>IFERROR(__xludf.DUMMYFUNCTION("""COMPUTED_VALUE"""),0.0)</f>
        <v>0</v>
      </c>
      <c r="J117" s="206">
        <f>IFERROR(__xludf.DUMMYFUNCTION("""COMPUTED_VALUE"""),0.0)</f>
        <v>0</v>
      </c>
      <c r="K117" s="207">
        <f>IFERROR(__xludf.DUMMYFUNCTION("""COMPUTED_VALUE"""),0.0)</f>
        <v>0</v>
      </c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</row>
    <row r="118">
      <c r="A118" s="200"/>
      <c r="B118" s="200"/>
      <c r="C118" s="200"/>
      <c r="D118" s="200"/>
      <c r="E118" s="200"/>
      <c r="F118" s="204"/>
      <c r="G118" s="200"/>
      <c r="H118" s="200"/>
      <c r="I118" s="205">
        <f>IFERROR(__xludf.DUMMYFUNCTION("""COMPUTED_VALUE"""),0.0)</f>
        <v>0</v>
      </c>
      <c r="J118" s="206">
        <f>IFERROR(__xludf.DUMMYFUNCTION("""COMPUTED_VALUE"""),0.0)</f>
        <v>0</v>
      </c>
      <c r="K118" s="207">
        <f>IFERROR(__xludf.DUMMYFUNCTION("""COMPUTED_VALUE"""),0.0)</f>
        <v>0</v>
      </c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</row>
    <row r="119">
      <c r="A119" s="200"/>
      <c r="B119" s="200"/>
      <c r="C119" s="200"/>
      <c r="D119" s="200"/>
      <c r="E119" s="200"/>
      <c r="F119" s="204"/>
      <c r="G119" s="200"/>
      <c r="H119" s="200"/>
      <c r="I119" s="205">
        <f>IFERROR(__xludf.DUMMYFUNCTION("""COMPUTED_VALUE"""),0.0)</f>
        <v>0</v>
      </c>
      <c r="J119" s="206">
        <f>IFERROR(__xludf.DUMMYFUNCTION("""COMPUTED_VALUE"""),0.0)</f>
        <v>0</v>
      </c>
      <c r="K119" s="207">
        <f>IFERROR(__xludf.DUMMYFUNCTION("""COMPUTED_VALUE"""),0.0)</f>
        <v>0</v>
      </c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0"/>
    </row>
    <row r="120">
      <c r="A120" s="200"/>
      <c r="B120" s="200"/>
      <c r="C120" s="200"/>
      <c r="D120" s="200"/>
      <c r="E120" s="200"/>
      <c r="F120" s="204"/>
      <c r="G120" s="200"/>
      <c r="H120" s="200"/>
      <c r="I120" s="205">
        <f>IFERROR(__xludf.DUMMYFUNCTION("""COMPUTED_VALUE"""),0.0)</f>
        <v>0</v>
      </c>
      <c r="J120" s="206">
        <f>IFERROR(__xludf.DUMMYFUNCTION("""COMPUTED_VALUE"""),0.0)</f>
        <v>0</v>
      </c>
      <c r="K120" s="207">
        <f>IFERROR(__xludf.DUMMYFUNCTION("""COMPUTED_VALUE"""),0.0)</f>
        <v>0</v>
      </c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</row>
    <row r="121">
      <c r="A121" s="200"/>
      <c r="B121" s="200"/>
      <c r="C121" s="200"/>
      <c r="D121" s="200"/>
      <c r="E121" s="200"/>
      <c r="F121" s="204"/>
      <c r="G121" s="200"/>
      <c r="H121" s="200"/>
      <c r="I121" s="205">
        <f>IFERROR(__xludf.DUMMYFUNCTION("""COMPUTED_VALUE"""),0.0)</f>
        <v>0</v>
      </c>
      <c r="J121" s="206">
        <f>IFERROR(__xludf.DUMMYFUNCTION("""COMPUTED_VALUE"""),0.0)</f>
        <v>0</v>
      </c>
      <c r="K121" s="207">
        <f>IFERROR(__xludf.DUMMYFUNCTION("""COMPUTED_VALUE"""),0.0)</f>
        <v>0</v>
      </c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</row>
    <row r="122">
      <c r="A122" s="200"/>
      <c r="B122" s="200"/>
      <c r="C122" s="200"/>
      <c r="D122" s="200"/>
      <c r="E122" s="200"/>
      <c r="F122" s="204"/>
      <c r="G122" s="200"/>
      <c r="H122" s="200"/>
      <c r="I122" s="205">
        <f>IFERROR(__xludf.DUMMYFUNCTION("""COMPUTED_VALUE"""),0.0)</f>
        <v>0</v>
      </c>
      <c r="J122" s="206">
        <f>IFERROR(__xludf.DUMMYFUNCTION("""COMPUTED_VALUE"""),0.0)</f>
        <v>0</v>
      </c>
      <c r="K122" s="207">
        <f>IFERROR(__xludf.DUMMYFUNCTION("""COMPUTED_VALUE"""),0.0)</f>
        <v>0</v>
      </c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</row>
    <row r="123">
      <c r="A123" s="200"/>
      <c r="B123" s="200"/>
      <c r="C123" s="200"/>
      <c r="D123" s="200"/>
      <c r="E123" s="200"/>
      <c r="F123" s="204"/>
      <c r="G123" s="200"/>
      <c r="H123" s="200"/>
      <c r="I123" s="205">
        <f>IFERROR(__xludf.DUMMYFUNCTION("""COMPUTED_VALUE"""),0.0)</f>
        <v>0</v>
      </c>
      <c r="J123" s="206">
        <f>IFERROR(__xludf.DUMMYFUNCTION("""COMPUTED_VALUE"""),0.0)</f>
        <v>0</v>
      </c>
      <c r="K123" s="207">
        <f>IFERROR(__xludf.DUMMYFUNCTION("""COMPUTED_VALUE"""),0.0)</f>
        <v>0</v>
      </c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  <c r="AA123" s="200"/>
    </row>
    <row r="124">
      <c r="A124" s="200"/>
      <c r="B124" s="200"/>
      <c r="C124" s="200"/>
      <c r="D124" s="200"/>
      <c r="E124" s="200"/>
      <c r="F124" s="204"/>
      <c r="G124" s="200"/>
      <c r="H124" s="200"/>
      <c r="I124" s="205">
        <f>IFERROR(__xludf.DUMMYFUNCTION("""COMPUTED_VALUE"""),0.0)</f>
        <v>0</v>
      </c>
      <c r="J124" s="206">
        <f>IFERROR(__xludf.DUMMYFUNCTION("""COMPUTED_VALUE"""),0.0)</f>
        <v>0</v>
      </c>
      <c r="K124" s="207">
        <f>IFERROR(__xludf.DUMMYFUNCTION("""COMPUTED_VALUE"""),0.0)</f>
        <v>0</v>
      </c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</row>
    <row r="125">
      <c r="A125" s="200"/>
      <c r="B125" s="200"/>
      <c r="C125" s="200"/>
      <c r="D125" s="200"/>
      <c r="E125" s="200"/>
      <c r="F125" s="204"/>
      <c r="G125" s="200"/>
      <c r="H125" s="200"/>
      <c r="I125" s="205">
        <f>IFERROR(__xludf.DUMMYFUNCTION("""COMPUTED_VALUE"""),0.0)</f>
        <v>0</v>
      </c>
      <c r="J125" s="206">
        <f>IFERROR(__xludf.DUMMYFUNCTION("""COMPUTED_VALUE"""),0.0)</f>
        <v>0</v>
      </c>
      <c r="K125" s="207">
        <f>IFERROR(__xludf.DUMMYFUNCTION("""COMPUTED_VALUE"""),0.0)</f>
        <v>0</v>
      </c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</row>
    <row r="126">
      <c r="A126" s="200"/>
      <c r="B126" s="200"/>
      <c r="C126" s="200"/>
      <c r="D126" s="200"/>
      <c r="E126" s="200"/>
      <c r="F126" s="204"/>
      <c r="G126" s="200"/>
      <c r="H126" s="200"/>
      <c r="I126" s="205">
        <f>IFERROR(__xludf.DUMMYFUNCTION("""COMPUTED_VALUE"""),0.0)</f>
        <v>0</v>
      </c>
      <c r="J126" s="206">
        <f>IFERROR(__xludf.DUMMYFUNCTION("""COMPUTED_VALUE"""),0.0)</f>
        <v>0</v>
      </c>
      <c r="K126" s="207">
        <f>IFERROR(__xludf.DUMMYFUNCTION("""COMPUTED_VALUE"""),0.0)</f>
        <v>0</v>
      </c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</row>
    <row r="127">
      <c r="A127" s="200"/>
      <c r="B127" s="200"/>
      <c r="C127" s="200"/>
      <c r="D127" s="200"/>
      <c r="E127" s="200"/>
      <c r="F127" s="204"/>
      <c r="G127" s="200"/>
      <c r="H127" s="200"/>
      <c r="I127" s="205">
        <f>IFERROR(__xludf.DUMMYFUNCTION("""COMPUTED_VALUE"""),0.0)</f>
        <v>0</v>
      </c>
      <c r="J127" s="206">
        <f>IFERROR(__xludf.DUMMYFUNCTION("""COMPUTED_VALUE"""),0.0)</f>
        <v>0</v>
      </c>
      <c r="K127" s="207">
        <f>IFERROR(__xludf.DUMMYFUNCTION("""COMPUTED_VALUE"""),0.0)</f>
        <v>0</v>
      </c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</row>
    <row r="128">
      <c r="A128" s="200"/>
      <c r="B128" s="200"/>
      <c r="C128" s="200"/>
      <c r="D128" s="200"/>
      <c r="E128" s="200"/>
      <c r="F128" s="204"/>
      <c r="G128" s="200"/>
      <c r="H128" s="200"/>
      <c r="I128" s="205">
        <f>IFERROR(__xludf.DUMMYFUNCTION("""COMPUTED_VALUE"""),0.0)</f>
        <v>0</v>
      </c>
      <c r="J128" s="206">
        <f>IFERROR(__xludf.DUMMYFUNCTION("""COMPUTED_VALUE"""),0.0)</f>
        <v>0</v>
      </c>
      <c r="K128" s="207">
        <f>IFERROR(__xludf.DUMMYFUNCTION("""COMPUTED_VALUE"""),0.0)</f>
        <v>0</v>
      </c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0"/>
    </row>
    <row r="129">
      <c r="A129" s="200"/>
      <c r="B129" s="200"/>
      <c r="C129" s="200"/>
      <c r="D129" s="200"/>
      <c r="E129" s="200"/>
      <c r="F129" s="204"/>
      <c r="G129" s="200"/>
      <c r="H129" s="200"/>
      <c r="I129" s="205">
        <f>IFERROR(__xludf.DUMMYFUNCTION("""COMPUTED_VALUE"""),0.0)</f>
        <v>0</v>
      </c>
      <c r="J129" s="206">
        <f>IFERROR(__xludf.DUMMYFUNCTION("""COMPUTED_VALUE"""),0.0)</f>
        <v>0</v>
      </c>
      <c r="K129" s="207">
        <f>IFERROR(__xludf.DUMMYFUNCTION("""COMPUTED_VALUE"""),0.0)</f>
        <v>0</v>
      </c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  <c r="AA129" s="200"/>
    </row>
    <row r="130">
      <c r="A130" s="200"/>
      <c r="B130" s="200"/>
      <c r="C130" s="200"/>
      <c r="D130" s="200"/>
      <c r="E130" s="200"/>
      <c r="F130" s="204"/>
      <c r="G130" s="200"/>
      <c r="H130" s="200"/>
      <c r="I130" s="205">
        <f>IFERROR(__xludf.DUMMYFUNCTION("""COMPUTED_VALUE"""),0.0)</f>
        <v>0</v>
      </c>
      <c r="J130" s="206">
        <f>IFERROR(__xludf.DUMMYFUNCTION("""COMPUTED_VALUE"""),0.0)</f>
        <v>0</v>
      </c>
      <c r="K130" s="207">
        <f>IFERROR(__xludf.DUMMYFUNCTION("""COMPUTED_VALUE"""),0.0)</f>
        <v>0</v>
      </c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  <c r="AA130" s="200"/>
    </row>
    <row r="131">
      <c r="A131" s="200"/>
      <c r="B131" s="200"/>
      <c r="C131" s="200"/>
      <c r="D131" s="200"/>
      <c r="E131" s="200"/>
      <c r="F131" s="204"/>
      <c r="G131" s="200"/>
      <c r="H131" s="200"/>
      <c r="I131" s="205">
        <f>IFERROR(__xludf.DUMMYFUNCTION("""COMPUTED_VALUE"""),0.0)</f>
        <v>0</v>
      </c>
      <c r="J131" s="206">
        <f>IFERROR(__xludf.DUMMYFUNCTION("""COMPUTED_VALUE"""),0.0)</f>
        <v>0</v>
      </c>
      <c r="K131" s="207">
        <f>IFERROR(__xludf.DUMMYFUNCTION("""COMPUTED_VALUE"""),0.0)</f>
        <v>0</v>
      </c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  <c r="AA131" s="200"/>
    </row>
    <row r="132">
      <c r="A132" s="200"/>
      <c r="B132" s="200"/>
      <c r="C132" s="200"/>
      <c r="D132" s="200"/>
      <c r="E132" s="200"/>
      <c r="F132" s="204"/>
      <c r="G132" s="200"/>
      <c r="H132" s="200"/>
      <c r="I132" s="205">
        <f>IFERROR(__xludf.DUMMYFUNCTION("""COMPUTED_VALUE"""),0.0)</f>
        <v>0</v>
      </c>
      <c r="J132" s="206">
        <f>IFERROR(__xludf.DUMMYFUNCTION("""COMPUTED_VALUE"""),0.0)</f>
        <v>0</v>
      </c>
      <c r="K132" s="207">
        <f>IFERROR(__xludf.DUMMYFUNCTION("""COMPUTED_VALUE"""),0.0)</f>
        <v>0</v>
      </c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</row>
    <row r="133">
      <c r="A133" s="200"/>
      <c r="B133" s="200"/>
      <c r="C133" s="200"/>
      <c r="D133" s="200"/>
      <c r="E133" s="200"/>
      <c r="F133" s="204"/>
      <c r="G133" s="200"/>
      <c r="H133" s="200"/>
      <c r="I133" s="205">
        <f>IFERROR(__xludf.DUMMYFUNCTION("""COMPUTED_VALUE"""),0.0)</f>
        <v>0</v>
      </c>
      <c r="J133" s="206">
        <f>IFERROR(__xludf.DUMMYFUNCTION("""COMPUTED_VALUE"""),0.0)</f>
        <v>0</v>
      </c>
      <c r="K133" s="207">
        <f>IFERROR(__xludf.DUMMYFUNCTION("""COMPUTED_VALUE"""),0.0)</f>
        <v>0</v>
      </c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</row>
    <row r="134">
      <c r="A134" s="200"/>
      <c r="B134" s="200"/>
      <c r="C134" s="200"/>
      <c r="D134" s="200"/>
      <c r="E134" s="200"/>
      <c r="F134" s="204"/>
      <c r="G134" s="200"/>
      <c r="H134" s="200"/>
      <c r="I134" s="205">
        <f>IFERROR(__xludf.DUMMYFUNCTION("""COMPUTED_VALUE"""),0.0)</f>
        <v>0</v>
      </c>
      <c r="J134" s="206">
        <f>IFERROR(__xludf.DUMMYFUNCTION("""COMPUTED_VALUE"""),0.0)</f>
        <v>0</v>
      </c>
      <c r="K134" s="207">
        <f>IFERROR(__xludf.DUMMYFUNCTION("""COMPUTED_VALUE"""),0.0)</f>
        <v>0</v>
      </c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</row>
    <row r="135">
      <c r="A135" s="200"/>
      <c r="B135" s="200"/>
      <c r="C135" s="200"/>
      <c r="D135" s="200"/>
      <c r="E135" s="200"/>
      <c r="F135" s="204"/>
      <c r="G135" s="200"/>
      <c r="H135" s="200"/>
      <c r="I135" s="205">
        <f>IFERROR(__xludf.DUMMYFUNCTION("""COMPUTED_VALUE"""),0.0)</f>
        <v>0</v>
      </c>
      <c r="J135" s="206">
        <f>IFERROR(__xludf.DUMMYFUNCTION("""COMPUTED_VALUE"""),0.0)</f>
        <v>0</v>
      </c>
      <c r="K135" s="207">
        <f>IFERROR(__xludf.DUMMYFUNCTION("""COMPUTED_VALUE"""),0.0)</f>
        <v>0</v>
      </c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  <c r="AA135" s="200"/>
    </row>
    <row r="136">
      <c r="A136" s="200"/>
      <c r="B136" s="200"/>
      <c r="C136" s="200"/>
      <c r="D136" s="200"/>
      <c r="E136" s="200"/>
      <c r="F136" s="204"/>
      <c r="G136" s="200"/>
      <c r="H136" s="200"/>
      <c r="I136" s="205">
        <f>IFERROR(__xludf.DUMMYFUNCTION("""COMPUTED_VALUE"""),0.0)</f>
        <v>0</v>
      </c>
      <c r="J136" s="206">
        <f>IFERROR(__xludf.DUMMYFUNCTION("""COMPUTED_VALUE"""),0.0)</f>
        <v>0</v>
      </c>
      <c r="K136" s="207">
        <f>IFERROR(__xludf.DUMMYFUNCTION("""COMPUTED_VALUE"""),0.0)</f>
        <v>0</v>
      </c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</row>
    <row r="137">
      <c r="A137" s="200"/>
      <c r="B137" s="200"/>
      <c r="C137" s="200"/>
      <c r="D137" s="200"/>
      <c r="E137" s="200"/>
      <c r="F137" s="204"/>
      <c r="G137" s="200"/>
      <c r="H137" s="200"/>
      <c r="I137" s="205">
        <f>IFERROR(__xludf.DUMMYFUNCTION("""COMPUTED_VALUE"""),0.0)</f>
        <v>0</v>
      </c>
      <c r="J137" s="206">
        <f>IFERROR(__xludf.DUMMYFUNCTION("""COMPUTED_VALUE"""),0.0)</f>
        <v>0</v>
      </c>
      <c r="K137" s="207">
        <f>IFERROR(__xludf.DUMMYFUNCTION("""COMPUTED_VALUE"""),0.0)</f>
        <v>0</v>
      </c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</row>
    <row r="138">
      <c r="A138" s="200"/>
      <c r="B138" s="200"/>
      <c r="C138" s="200"/>
      <c r="D138" s="200"/>
      <c r="E138" s="200"/>
      <c r="F138" s="204"/>
      <c r="G138" s="200"/>
      <c r="H138" s="200"/>
      <c r="I138" s="205">
        <f>IFERROR(__xludf.DUMMYFUNCTION("""COMPUTED_VALUE"""),0.0)</f>
        <v>0</v>
      </c>
      <c r="J138" s="206">
        <f>IFERROR(__xludf.DUMMYFUNCTION("""COMPUTED_VALUE"""),0.0)</f>
        <v>0</v>
      </c>
      <c r="K138" s="207">
        <f>IFERROR(__xludf.DUMMYFUNCTION("""COMPUTED_VALUE"""),0.0)</f>
        <v>0</v>
      </c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0"/>
    </row>
    <row r="139">
      <c r="A139" s="200"/>
      <c r="B139" s="200"/>
      <c r="C139" s="200"/>
      <c r="D139" s="200"/>
      <c r="E139" s="200"/>
      <c r="F139" s="204"/>
      <c r="G139" s="200"/>
      <c r="H139" s="200"/>
      <c r="I139" s="205">
        <f>IFERROR(__xludf.DUMMYFUNCTION("""COMPUTED_VALUE"""),0.0)</f>
        <v>0</v>
      </c>
      <c r="J139" s="206">
        <f>IFERROR(__xludf.DUMMYFUNCTION("""COMPUTED_VALUE"""),0.0)</f>
        <v>0</v>
      </c>
      <c r="K139" s="207">
        <f>IFERROR(__xludf.DUMMYFUNCTION("""COMPUTED_VALUE"""),0.0)</f>
        <v>0</v>
      </c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</row>
    <row r="140">
      <c r="A140" s="200"/>
      <c r="B140" s="200"/>
      <c r="C140" s="200"/>
      <c r="D140" s="200"/>
      <c r="E140" s="200"/>
      <c r="F140" s="204"/>
      <c r="G140" s="200"/>
      <c r="H140" s="200"/>
      <c r="I140" s="205">
        <f>IFERROR(__xludf.DUMMYFUNCTION("""COMPUTED_VALUE"""),0.0)</f>
        <v>0</v>
      </c>
      <c r="J140" s="206">
        <f>IFERROR(__xludf.DUMMYFUNCTION("""COMPUTED_VALUE"""),0.0)</f>
        <v>0</v>
      </c>
      <c r="K140" s="207">
        <f>IFERROR(__xludf.DUMMYFUNCTION("""COMPUTED_VALUE"""),0.0)</f>
        <v>0</v>
      </c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</row>
    <row r="141">
      <c r="A141" s="200"/>
      <c r="B141" s="200"/>
      <c r="C141" s="200"/>
      <c r="D141" s="200"/>
      <c r="E141" s="200"/>
      <c r="F141" s="204"/>
      <c r="G141" s="200"/>
      <c r="H141" s="200"/>
      <c r="I141" s="205">
        <f>IFERROR(__xludf.DUMMYFUNCTION("""COMPUTED_VALUE"""),0.0)</f>
        <v>0</v>
      </c>
      <c r="J141" s="206">
        <f>IFERROR(__xludf.DUMMYFUNCTION("""COMPUTED_VALUE"""),0.0)</f>
        <v>0</v>
      </c>
      <c r="K141" s="207">
        <f>IFERROR(__xludf.DUMMYFUNCTION("""COMPUTED_VALUE"""),0.0)</f>
        <v>0</v>
      </c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  <c r="AA141" s="200"/>
    </row>
    <row r="142">
      <c r="A142" s="200"/>
      <c r="B142" s="200"/>
      <c r="C142" s="200"/>
      <c r="D142" s="200"/>
      <c r="E142" s="200"/>
      <c r="F142" s="204"/>
      <c r="G142" s="200"/>
      <c r="H142" s="200"/>
      <c r="I142" s="205">
        <f>IFERROR(__xludf.DUMMYFUNCTION("""COMPUTED_VALUE"""),0.0)</f>
        <v>0</v>
      </c>
      <c r="J142" s="206">
        <f>IFERROR(__xludf.DUMMYFUNCTION("""COMPUTED_VALUE"""),0.0)</f>
        <v>0</v>
      </c>
      <c r="K142" s="207">
        <f>IFERROR(__xludf.DUMMYFUNCTION("""COMPUTED_VALUE"""),0.0)</f>
        <v>0</v>
      </c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  <c r="AA142" s="200"/>
    </row>
    <row r="143">
      <c r="A143" s="200"/>
      <c r="B143" s="200"/>
      <c r="C143" s="200"/>
      <c r="D143" s="200"/>
      <c r="E143" s="200"/>
      <c r="F143" s="204"/>
      <c r="G143" s="200"/>
      <c r="H143" s="200"/>
      <c r="I143" s="205">
        <f>IFERROR(__xludf.DUMMYFUNCTION("""COMPUTED_VALUE"""),0.0)</f>
        <v>0</v>
      </c>
      <c r="J143" s="206">
        <f>IFERROR(__xludf.DUMMYFUNCTION("""COMPUTED_VALUE"""),0.0)</f>
        <v>0</v>
      </c>
      <c r="K143" s="207">
        <f>IFERROR(__xludf.DUMMYFUNCTION("""COMPUTED_VALUE"""),0.0)</f>
        <v>0</v>
      </c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  <c r="AA143" s="200"/>
    </row>
    <row r="144">
      <c r="A144" s="200"/>
      <c r="B144" s="200"/>
      <c r="C144" s="200"/>
      <c r="D144" s="200"/>
      <c r="E144" s="200"/>
      <c r="F144" s="204"/>
      <c r="G144" s="200"/>
      <c r="H144" s="200"/>
      <c r="I144" s="205">
        <f>IFERROR(__xludf.DUMMYFUNCTION("""COMPUTED_VALUE"""),0.0)</f>
        <v>0</v>
      </c>
      <c r="J144" s="206">
        <f>IFERROR(__xludf.DUMMYFUNCTION("""COMPUTED_VALUE"""),0.0)</f>
        <v>0</v>
      </c>
      <c r="K144" s="207">
        <f>IFERROR(__xludf.DUMMYFUNCTION("""COMPUTED_VALUE"""),0.0)</f>
        <v>0</v>
      </c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0"/>
    </row>
    <row r="145">
      <c r="A145" s="200"/>
      <c r="B145" s="200"/>
      <c r="C145" s="200"/>
      <c r="D145" s="200"/>
      <c r="E145" s="200"/>
      <c r="F145" s="204"/>
      <c r="G145" s="200"/>
      <c r="H145" s="200"/>
      <c r="I145" s="205">
        <f>IFERROR(__xludf.DUMMYFUNCTION("""COMPUTED_VALUE"""),0.0)</f>
        <v>0</v>
      </c>
      <c r="J145" s="206">
        <f>IFERROR(__xludf.DUMMYFUNCTION("""COMPUTED_VALUE"""),0.0)</f>
        <v>0</v>
      </c>
      <c r="K145" s="207">
        <f>IFERROR(__xludf.DUMMYFUNCTION("""COMPUTED_VALUE"""),0.0)</f>
        <v>0</v>
      </c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  <c r="AA145" s="200"/>
    </row>
    <row r="146">
      <c r="A146" s="200"/>
      <c r="B146" s="200"/>
      <c r="C146" s="200"/>
      <c r="D146" s="200"/>
      <c r="E146" s="200"/>
      <c r="F146" s="204"/>
      <c r="G146" s="200"/>
      <c r="H146" s="200"/>
      <c r="I146" s="205">
        <f>IFERROR(__xludf.DUMMYFUNCTION("""COMPUTED_VALUE"""),0.0)</f>
        <v>0</v>
      </c>
      <c r="J146" s="206">
        <f>IFERROR(__xludf.DUMMYFUNCTION("""COMPUTED_VALUE"""),0.0)</f>
        <v>0</v>
      </c>
      <c r="K146" s="207">
        <f>IFERROR(__xludf.DUMMYFUNCTION("""COMPUTED_VALUE"""),0.0)</f>
        <v>0</v>
      </c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  <c r="AA146" s="200"/>
    </row>
    <row r="147">
      <c r="A147" s="200"/>
      <c r="B147" s="200"/>
      <c r="C147" s="200"/>
      <c r="D147" s="200"/>
      <c r="E147" s="200"/>
      <c r="F147" s="204"/>
      <c r="G147" s="200"/>
      <c r="H147" s="200"/>
      <c r="I147" s="205">
        <f>IFERROR(__xludf.DUMMYFUNCTION("""COMPUTED_VALUE"""),0.0)</f>
        <v>0</v>
      </c>
      <c r="J147" s="206">
        <f>IFERROR(__xludf.DUMMYFUNCTION("""COMPUTED_VALUE"""),0.0)</f>
        <v>0</v>
      </c>
      <c r="K147" s="207">
        <f>IFERROR(__xludf.DUMMYFUNCTION("""COMPUTED_VALUE"""),0.0)</f>
        <v>0</v>
      </c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  <c r="AA147" s="200"/>
    </row>
    <row r="148">
      <c r="A148" s="200"/>
      <c r="B148" s="200"/>
      <c r="C148" s="200"/>
      <c r="D148" s="200"/>
      <c r="E148" s="200"/>
      <c r="F148" s="204"/>
      <c r="G148" s="200"/>
      <c r="H148" s="200"/>
      <c r="I148" s="205">
        <f>IFERROR(__xludf.DUMMYFUNCTION("""COMPUTED_VALUE"""),0.0)</f>
        <v>0</v>
      </c>
      <c r="J148" s="206">
        <f>IFERROR(__xludf.DUMMYFUNCTION("""COMPUTED_VALUE"""),0.0)</f>
        <v>0</v>
      </c>
      <c r="K148" s="207">
        <f>IFERROR(__xludf.DUMMYFUNCTION("""COMPUTED_VALUE"""),0.0)</f>
        <v>0</v>
      </c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  <c r="AA148" s="200"/>
    </row>
    <row r="149">
      <c r="A149" s="200"/>
      <c r="B149" s="200"/>
      <c r="C149" s="200"/>
      <c r="D149" s="200"/>
      <c r="E149" s="200"/>
      <c r="F149" s="204"/>
      <c r="G149" s="200"/>
      <c r="H149" s="200"/>
      <c r="I149" s="205">
        <f>IFERROR(__xludf.DUMMYFUNCTION("""COMPUTED_VALUE"""),0.0)</f>
        <v>0</v>
      </c>
      <c r="J149" s="206">
        <f>IFERROR(__xludf.DUMMYFUNCTION("""COMPUTED_VALUE"""),0.0)</f>
        <v>0</v>
      </c>
      <c r="K149" s="207">
        <f>IFERROR(__xludf.DUMMYFUNCTION("""COMPUTED_VALUE"""),0.0)</f>
        <v>0</v>
      </c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</row>
    <row r="150">
      <c r="A150" s="200"/>
      <c r="B150" s="200"/>
      <c r="C150" s="200"/>
      <c r="D150" s="200"/>
      <c r="E150" s="200"/>
      <c r="F150" s="204"/>
      <c r="G150" s="200"/>
      <c r="H150" s="200"/>
      <c r="I150" s="205">
        <f>IFERROR(__xludf.DUMMYFUNCTION("""COMPUTED_VALUE"""),0.0)</f>
        <v>0</v>
      </c>
      <c r="J150" s="206">
        <f>IFERROR(__xludf.DUMMYFUNCTION("""COMPUTED_VALUE"""),0.0)</f>
        <v>0</v>
      </c>
      <c r="K150" s="207">
        <f>IFERROR(__xludf.DUMMYFUNCTION("""COMPUTED_VALUE"""),0.0)</f>
        <v>0</v>
      </c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</row>
    <row r="151">
      <c r="A151" s="200"/>
      <c r="B151" s="200"/>
      <c r="C151" s="200"/>
      <c r="D151" s="200"/>
      <c r="E151" s="200"/>
      <c r="F151" s="204"/>
      <c r="G151" s="200"/>
      <c r="H151" s="200"/>
      <c r="I151" s="205">
        <f>IFERROR(__xludf.DUMMYFUNCTION("""COMPUTED_VALUE"""),0.0)</f>
        <v>0</v>
      </c>
      <c r="J151" s="206">
        <f>IFERROR(__xludf.DUMMYFUNCTION("""COMPUTED_VALUE"""),0.0)</f>
        <v>0</v>
      </c>
      <c r="K151" s="207">
        <f>IFERROR(__xludf.DUMMYFUNCTION("""COMPUTED_VALUE"""),0.0)</f>
        <v>0</v>
      </c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  <c r="AA151" s="200"/>
    </row>
    <row r="152">
      <c r="A152" s="200"/>
      <c r="B152" s="200"/>
      <c r="C152" s="200"/>
      <c r="D152" s="200"/>
      <c r="E152" s="200"/>
      <c r="F152" s="204"/>
      <c r="G152" s="200"/>
      <c r="H152" s="200"/>
      <c r="I152" s="205">
        <f>IFERROR(__xludf.DUMMYFUNCTION("""COMPUTED_VALUE"""),0.0)</f>
        <v>0</v>
      </c>
      <c r="J152" s="206">
        <f>IFERROR(__xludf.DUMMYFUNCTION("""COMPUTED_VALUE"""),0.0)</f>
        <v>0</v>
      </c>
      <c r="K152" s="207">
        <f>IFERROR(__xludf.DUMMYFUNCTION("""COMPUTED_VALUE"""),0.0)</f>
        <v>0</v>
      </c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</row>
    <row r="153">
      <c r="A153" s="200"/>
      <c r="B153" s="200"/>
      <c r="C153" s="200"/>
      <c r="D153" s="200"/>
      <c r="E153" s="200"/>
      <c r="F153" s="204"/>
      <c r="G153" s="200"/>
      <c r="H153" s="200"/>
      <c r="I153" s="205">
        <f>IFERROR(__xludf.DUMMYFUNCTION("""COMPUTED_VALUE"""),0.0)</f>
        <v>0</v>
      </c>
      <c r="J153" s="206">
        <f>IFERROR(__xludf.DUMMYFUNCTION("""COMPUTED_VALUE"""),0.0)</f>
        <v>0</v>
      </c>
      <c r="K153" s="207">
        <f>IFERROR(__xludf.DUMMYFUNCTION("""COMPUTED_VALUE"""),0.0)</f>
        <v>0</v>
      </c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</row>
    <row r="154">
      <c r="A154" s="200"/>
      <c r="B154" s="200"/>
      <c r="C154" s="200"/>
      <c r="D154" s="200"/>
      <c r="E154" s="200"/>
      <c r="F154" s="204"/>
      <c r="G154" s="200"/>
      <c r="H154" s="200"/>
      <c r="I154" s="205">
        <f>IFERROR(__xludf.DUMMYFUNCTION("""COMPUTED_VALUE"""),0.0)</f>
        <v>0</v>
      </c>
      <c r="J154" s="206">
        <f>IFERROR(__xludf.DUMMYFUNCTION("""COMPUTED_VALUE"""),0.0)</f>
        <v>0</v>
      </c>
      <c r="K154" s="207">
        <f>IFERROR(__xludf.DUMMYFUNCTION("""COMPUTED_VALUE"""),0.0)</f>
        <v>0</v>
      </c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  <c r="AA154" s="200"/>
    </row>
    <row r="155">
      <c r="A155" s="200"/>
      <c r="B155" s="200"/>
      <c r="C155" s="200"/>
      <c r="D155" s="200"/>
      <c r="E155" s="200"/>
      <c r="F155" s="204"/>
      <c r="G155" s="200"/>
      <c r="H155" s="200"/>
      <c r="I155" s="205">
        <f>IFERROR(__xludf.DUMMYFUNCTION("""COMPUTED_VALUE"""),0.0)</f>
        <v>0</v>
      </c>
      <c r="J155" s="206">
        <f>IFERROR(__xludf.DUMMYFUNCTION("""COMPUTED_VALUE"""),0.0)</f>
        <v>0</v>
      </c>
      <c r="K155" s="207">
        <f>IFERROR(__xludf.DUMMYFUNCTION("""COMPUTED_VALUE"""),0.0)</f>
        <v>0</v>
      </c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200"/>
    </row>
    <row r="156">
      <c r="A156" s="200"/>
      <c r="B156" s="200"/>
      <c r="C156" s="200"/>
      <c r="D156" s="200"/>
      <c r="E156" s="200"/>
      <c r="F156" s="204"/>
      <c r="G156" s="200"/>
      <c r="H156" s="200"/>
      <c r="I156" s="205">
        <f>IFERROR(__xludf.DUMMYFUNCTION("""COMPUTED_VALUE"""),0.0)</f>
        <v>0</v>
      </c>
      <c r="J156" s="206">
        <f>IFERROR(__xludf.DUMMYFUNCTION("""COMPUTED_VALUE"""),0.0)</f>
        <v>0</v>
      </c>
      <c r="K156" s="207">
        <f>IFERROR(__xludf.DUMMYFUNCTION("""COMPUTED_VALUE"""),0.0)</f>
        <v>0</v>
      </c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  <c r="AA156" s="200"/>
    </row>
    <row r="157">
      <c r="A157" s="200"/>
      <c r="B157" s="200"/>
      <c r="C157" s="200"/>
      <c r="D157" s="200"/>
      <c r="E157" s="200"/>
      <c r="F157" s="204"/>
      <c r="G157" s="200"/>
      <c r="H157" s="200"/>
      <c r="I157" s="205">
        <f>IFERROR(__xludf.DUMMYFUNCTION("""COMPUTED_VALUE"""),0.0)</f>
        <v>0</v>
      </c>
      <c r="J157" s="206">
        <f>IFERROR(__xludf.DUMMYFUNCTION("""COMPUTED_VALUE"""),0.0)</f>
        <v>0</v>
      </c>
      <c r="K157" s="207">
        <f>IFERROR(__xludf.DUMMYFUNCTION("""COMPUTED_VALUE"""),0.0)</f>
        <v>0</v>
      </c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  <c r="AA157" s="200"/>
    </row>
    <row r="158">
      <c r="A158" s="200"/>
      <c r="B158" s="200"/>
      <c r="C158" s="200"/>
      <c r="D158" s="200"/>
      <c r="E158" s="200"/>
      <c r="F158" s="204"/>
      <c r="G158" s="200"/>
      <c r="H158" s="200"/>
      <c r="I158" s="205">
        <f>IFERROR(__xludf.DUMMYFUNCTION("""COMPUTED_VALUE"""),0.0)</f>
        <v>0</v>
      </c>
      <c r="J158" s="206">
        <f>IFERROR(__xludf.DUMMYFUNCTION("""COMPUTED_VALUE"""),0.0)</f>
        <v>0</v>
      </c>
      <c r="K158" s="207">
        <f>IFERROR(__xludf.DUMMYFUNCTION("""COMPUTED_VALUE"""),0.0)</f>
        <v>0</v>
      </c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  <c r="AA158" s="200"/>
    </row>
    <row r="159">
      <c r="A159" s="200"/>
      <c r="B159" s="200"/>
      <c r="C159" s="200"/>
      <c r="D159" s="200"/>
      <c r="E159" s="200"/>
      <c r="F159" s="204"/>
      <c r="G159" s="200"/>
      <c r="H159" s="200"/>
      <c r="I159" s="205">
        <f>IFERROR(__xludf.DUMMYFUNCTION("""COMPUTED_VALUE"""),0.0)</f>
        <v>0</v>
      </c>
      <c r="J159" s="206">
        <f>IFERROR(__xludf.DUMMYFUNCTION("""COMPUTED_VALUE"""),0.0)</f>
        <v>0</v>
      </c>
      <c r="K159" s="207">
        <f>IFERROR(__xludf.DUMMYFUNCTION("""COMPUTED_VALUE"""),0.0)</f>
        <v>0</v>
      </c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  <c r="AA159" s="200"/>
    </row>
    <row r="160">
      <c r="A160" s="200"/>
      <c r="B160" s="200"/>
      <c r="C160" s="200"/>
      <c r="D160" s="200"/>
      <c r="E160" s="200"/>
      <c r="F160" s="204"/>
      <c r="G160" s="200"/>
      <c r="H160" s="200"/>
      <c r="I160" s="205">
        <f>IFERROR(__xludf.DUMMYFUNCTION("""COMPUTED_VALUE"""),0.0)</f>
        <v>0</v>
      </c>
      <c r="J160" s="206">
        <f>IFERROR(__xludf.DUMMYFUNCTION("""COMPUTED_VALUE"""),0.0)</f>
        <v>0</v>
      </c>
      <c r="K160" s="207">
        <f>IFERROR(__xludf.DUMMYFUNCTION("""COMPUTED_VALUE"""),0.0)</f>
        <v>0</v>
      </c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  <c r="AA160" s="200"/>
    </row>
    <row r="161">
      <c r="A161" s="200"/>
      <c r="B161" s="200"/>
      <c r="C161" s="200"/>
      <c r="D161" s="200"/>
      <c r="E161" s="200"/>
      <c r="F161" s="204"/>
      <c r="G161" s="200"/>
      <c r="H161" s="200"/>
      <c r="I161" s="205">
        <f>IFERROR(__xludf.DUMMYFUNCTION("""COMPUTED_VALUE"""),0.0)</f>
        <v>0</v>
      </c>
      <c r="J161" s="206">
        <f>IFERROR(__xludf.DUMMYFUNCTION("""COMPUTED_VALUE"""),0.0)</f>
        <v>0</v>
      </c>
      <c r="K161" s="207">
        <f>IFERROR(__xludf.DUMMYFUNCTION("""COMPUTED_VALUE"""),0.0)</f>
        <v>0</v>
      </c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  <c r="AA161" s="200"/>
    </row>
    <row r="162">
      <c r="A162" s="200"/>
      <c r="B162" s="200"/>
      <c r="C162" s="200"/>
      <c r="D162" s="200"/>
      <c r="E162" s="200"/>
      <c r="F162" s="204"/>
      <c r="G162" s="200"/>
      <c r="H162" s="200"/>
      <c r="I162" s="205">
        <f>IFERROR(__xludf.DUMMYFUNCTION("""COMPUTED_VALUE"""),0.0)</f>
        <v>0</v>
      </c>
      <c r="J162" s="206">
        <f>IFERROR(__xludf.DUMMYFUNCTION("""COMPUTED_VALUE"""),0.0)</f>
        <v>0</v>
      </c>
      <c r="K162" s="207">
        <f>IFERROR(__xludf.DUMMYFUNCTION("""COMPUTED_VALUE"""),0.0)</f>
        <v>0</v>
      </c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  <c r="AA162" s="200"/>
    </row>
    <row r="163">
      <c r="A163" s="200"/>
      <c r="B163" s="200"/>
      <c r="C163" s="200"/>
      <c r="D163" s="200"/>
      <c r="E163" s="200"/>
      <c r="F163" s="204"/>
      <c r="G163" s="200"/>
      <c r="H163" s="200"/>
      <c r="I163" s="205">
        <f>IFERROR(__xludf.DUMMYFUNCTION("""COMPUTED_VALUE"""),0.0)</f>
        <v>0</v>
      </c>
      <c r="J163" s="206">
        <f>IFERROR(__xludf.DUMMYFUNCTION("""COMPUTED_VALUE"""),0.0)</f>
        <v>0</v>
      </c>
      <c r="K163" s="207">
        <f>IFERROR(__xludf.DUMMYFUNCTION("""COMPUTED_VALUE"""),0.0)</f>
        <v>0</v>
      </c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  <c r="AA163" s="200"/>
    </row>
    <row r="164">
      <c r="A164" s="200"/>
      <c r="B164" s="200"/>
      <c r="C164" s="200"/>
      <c r="D164" s="200"/>
      <c r="E164" s="200"/>
      <c r="F164" s="204"/>
      <c r="G164" s="200"/>
      <c r="H164" s="200"/>
      <c r="I164" s="205">
        <f>IFERROR(__xludf.DUMMYFUNCTION("""COMPUTED_VALUE"""),0.0)</f>
        <v>0</v>
      </c>
      <c r="J164" s="206">
        <f>IFERROR(__xludf.DUMMYFUNCTION("""COMPUTED_VALUE"""),0.0)</f>
        <v>0</v>
      </c>
      <c r="K164" s="207">
        <f>IFERROR(__xludf.DUMMYFUNCTION("""COMPUTED_VALUE"""),0.0)</f>
        <v>0</v>
      </c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  <c r="AA164" s="200"/>
    </row>
    <row r="165">
      <c r="A165" s="200"/>
      <c r="B165" s="200"/>
      <c r="C165" s="200"/>
      <c r="D165" s="200"/>
      <c r="E165" s="200"/>
      <c r="F165" s="204"/>
      <c r="G165" s="200"/>
      <c r="H165" s="200"/>
      <c r="I165" s="205">
        <f>IFERROR(__xludf.DUMMYFUNCTION("""COMPUTED_VALUE"""),0.0)</f>
        <v>0</v>
      </c>
      <c r="J165" s="206">
        <f>IFERROR(__xludf.DUMMYFUNCTION("""COMPUTED_VALUE"""),0.0)</f>
        <v>0</v>
      </c>
      <c r="K165" s="207">
        <f>IFERROR(__xludf.DUMMYFUNCTION("""COMPUTED_VALUE"""),0.0)</f>
        <v>0</v>
      </c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</row>
    <row r="166">
      <c r="A166" s="200"/>
      <c r="B166" s="200"/>
      <c r="C166" s="200"/>
      <c r="D166" s="200"/>
      <c r="E166" s="200"/>
      <c r="F166" s="204"/>
      <c r="G166" s="200"/>
      <c r="H166" s="200"/>
      <c r="I166" s="205">
        <f>IFERROR(__xludf.DUMMYFUNCTION("""COMPUTED_VALUE"""),0.0)</f>
        <v>0</v>
      </c>
      <c r="J166" s="206">
        <f>IFERROR(__xludf.DUMMYFUNCTION("""COMPUTED_VALUE"""),0.0)</f>
        <v>0</v>
      </c>
      <c r="K166" s="207">
        <f>IFERROR(__xludf.DUMMYFUNCTION("""COMPUTED_VALUE"""),0.0)</f>
        <v>0</v>
      </c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</row>
    <row r="167">
      <c r="A167" s="200"/>
      <c r="B167" s="200"/>
      <c r="C167" s="200"/>
      <c r="D167" s="200"/>
      <c r="E167" s="200"/>
      <c r="F167" s="204"/>
      <c r="G167" s="200"/>
      <c r="H167" s="200"/>
      <c r="I167" s="205">
        <f>IFERROR(__xludf.DUMMYFUNCTION("""COMPUTED_VALUE"""),0.0)</f>
        <v>0</v>
      </c>
      <c r="J167" s="206">
        <f>IFERROR(__xludf.DUMMYFUNCTION("""COMPUTED_VALUE"""),0.0)</f>
        <v>0</v>
      </c>
      <c r="K167" s="207">
        <f>IFERROR(__xludf.DUMMYFUNCTION("""COMPUTED_VALUE"""),0.0)</f>
        <v>0</v>
      </c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  <c r="AA167" s="200"/>
    </row>
    <row r="168">
      <c r="A168" s="200"/>
      <c r="B168" s="200"/>
      <c r="C168" s="200"/>
      <c r="D168" s="200"/>
      <c r="E168" s="200"/>
      <c r="F168" s="204"/>
      <c r="G168" s="200"/>
      <c r="H168" s="200"/>
      <c r="I168" s="205">
        <f>IFERROR(__xludf.DUMMYFUNCTION("""COMPUTED_VALUE"""),0.0)</f>
        <v>0</v>
      </c>
      <c r="J168" s="206">
        <f>IFERROR(__xludf.DUMMYFUNCTION("""COMPUTED_VALUE"""),0.0)</f>
        <v>0</v>
      </c>
      <c r="K168" s="207">
        <f>IFERROR(__xludf.DUMMYFUNCTION("""COMPUTED_VALUE"""),0.0)</f>
        <v>0</v>
      </c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  <c r="AA168" s="200"/>
    </row>
    <row r="169">
      <c r="A169" s="200"/>
      <c r="B169" s="200"/>
      <c r="C169" s="200"/>
      <c r="D169" s="200"/>
      <c r="E169" s="200"/>
      <c r="F169" s="204"/>
      <c r="G169" s="200"/>
      <c r="H169" s="200"/>
      <c r="I169" s="205">
        <f>IFERROR(__xludf.DUMMYFUNCTION("""COMPUTED_VALUE"""),0.0)</f>
        <v>0</v>
      </c>
      <c r="J169" s="206">
        <f>IFERROR(__xludf.DUMMYFUNCTION("""COMPUTED_VALUE"""),0.0)</f>
        <v>0</v>
      </c>
      <c r="K169" s="207">
        <f>IFERROR(__xludf.DUMMYFUNCTION("""COMPUTED_VALUE"""),0.0)</f>
        <v>0</v>
      </c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  <c r="AA169" s="200"/>
    </row>
    <row r="170">
      <c r="A170" s="200"/>
      <c r="B170" s="200"/>
      <c r="C170" s="200"/>
      <c r="D170" s="200"/>
      <c r="E170" s="200"/>
      <c r="F170" s="204"/>
      <c r="G170" s="200"/>
      <c r="H170" s="200"/>
      <c r="I170" s="205">
        <f>IFERROR(__xludf.DUMMYFUNCTION("""COMPUTED_VALUE"""),0.0)</f>
        <v>0</v>
      </c>
      <c r="J170" s="206">
        <f>IFERROR(__xludf.DUMMYFUNCTION("""COMPUTED_VALUE"""),0.0)</f>
        <v>0</v>
      </c>
      <c r="K170" s="207">
        <f>IFERROR(__xludf.DUMMYFUNCTION("""COMPUTED_VALUE"""),0.0)</f>
        <v>0</v>
      </c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  <c r="AA170" s="200"/>
    </row>
    <row r="171">
      <c r="A171" s="200"/>
      <c r="B171" s="200"/>
      <c r="C171" s="200"/>
      <c r="D171" s="200"/>
      <c r="E171" s="200"/>
      <c r="F171" s="204"/>
      <c r="G171" s="200"/>
      <c r="H171" s="200"/>
      <c r="I171" s="205">
        <f>IFERROR(__xludf.DUMMYFUNCTION("""COMPUTED_VALUE"""),0.0)</f>
        <v>0</v>
      </c>
      <c r="J171" s="206">
        <f>IFERROR(__xludf.DUMMYFUNCTION("""COMPUTED_VALUE"""),0.0)</f>
        <v>0</v>
      </c>
      <c r="K171" s="207">
        <f>IFERROR(__xludf.DUMMYFUNCTION("""COMPUTED_VALUE"""),0.0)</f>
        <v>0</v>
      </c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  <c r="AA171" s="200"/>
    </row>
    <row r="172">
      <c r="A172" s="200"/>
      <c r="B172" s="200"/>
      <c r="C172" s="200"/>
      <c r="D172" s="200"/>
      <c r="E172" s="200"/>
      <c r="F172" s="204"/>
      <c r="G172" s="200"/>
      <c r="H172" s="200"/>
      <c r="I172" s="205">
        <f>IFERROR(__xludf.DUMMYFUNCTION("""COMPUTED_VALUE"""),0.0)</f>
        <v>0</v>
      </c>
      <c r="J172" s="206">
        <f>IFERROR(__xludf.DUMMYFUNCTION("""COMPUTED_VALUE"""),0.0)</f>
        <v>0</v>
      </c>
      <c r="K172" s="207">
        <f>IFERROR(__xludf.DUMMYFUNCTION("""COMPUTED_VALUE"""),0.0)</f>
        <v>0</v>
      </c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  <c r="AA172" s="200"/>
    </row>
    <row r="173">
      <c r="A173" s="200"/>
      <c r="B173" s="200"/>
      <c r="C173" s="200"/>
      <c r="D173" s="200"/>
      <c r="E173" s="200"/>
      <c r="F173" s="204"/>
      <c r="G173" s="200"/>
      <c r="H173" s="200"/>
      <c r="I173" s="205">
        <f>IFERROR(__xludf.DUMMYFUNCTION("""COMPUTED_VALUE"""),0.0)</f>
        <v>0</v>
      </c>
      <c r="J173" s="206">
        <f>IFERROR(__xludf.DUMMYFUNCTION("""COMPUTED_VALUE"""),0.0)</f>
        <v>0</v>
      </c>
      <c r="K173" s="207">
        <f>IFERROR(__xludf.DUMMYFUNCTION("""COMPUTED_VALUE"""),0.0)</f>
        <v>0</v>
      </c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  <c r="AA173" s="200"/>
    </row>
    <row r="174">
      <c r="A174" s="200"/>
      <c r="B174" s="200"/>
      <c r="C174" s="200"/>
      <c r="D174" s="200"/>
      <c r="E174" s="200"/>
      <c r="F174" s="204"/>
      <c r="G174" s="200"/>
      <c r="H174" s="200"/>
      <c r="I174" s="205">
        <f>IFERROR(__xludf.DUMMYFUNCTION("""COMPUTED_VALUE"""),0.0)</f>
        <v>0</v>
      </c>
      <c r="J174" s="206">
        <f>IFERROR(__xludf.DUMMYFUNCTION("""COMPUTED_VALUE"""),0.0)</f>
        <v>0</v>
      </c>
      <c r="K174" s="207">
        <f>IFERROR(__xludf.DUMMYFUNCTION("""COMPUTED_VALUE"""),0.0)</f>
        <v>0</v>
      </c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  <c r="AA174" s="200"/>
    </row>
    <row r="175">
      <c r="A175" s="200"/>
      <c r="B175" s="200"/>
      <c r="C175" s="200"/>
      <c r="D175" s="200"/>
      <c r="E175" s="200"/>
      <c r="F175" s="204"/>
      <c r="G175" s="200"/>
      <c r="H175" s="200"/>
      <c r="I175" s="205">
        <f>IFERROR(__xludf.DUMMYFUNCTION("""COMPUTED_VALUE"""),0.0)</f>
        <v>0</v>
      </c>
      <c r="J175" s="206">
        <f>IFERROR(__xludf.DUMMYFUNCTION("""COMPUTED_VALUE"""),0.0)</f>
        <v>0</v>
      </c>
      <c r="K175" s="207">
        <f>IFERROR(__xludf.DUMMYFUNCTION("""COMPUTED_VALUE"""),0.0)</f>
        <v>0</v>
      </c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  <c r="AA175" s="200"/>
    </row>
    <row r="176">
      <c r="A176" s="200"/>
      <c r="B176" s="200"/>
      <c r="C176" s="200"/>
      <c r="D176" s="200"/>
      <c r="E176" s="200"/>
      <c r="F176" s="204"/>
      <c r="G176" s="200"/>
      <c r="H176" s="200"/>
      <c r="I176" s="205">
        <f>IFERROR(__xludf.DUMMYFUNCTION("""COMPUTED_VALUE"""),0.0)</f>
        <v>0</v>
      </c>
      <c r="J176" s="206">
        <f>IFERROR(__xludf.DUMMYFUNCTION("""COMPUTED_VALUE"""),0.0)</f>
        <v>0</v>
      </c>
      <c r="K176" s="207">
        <f>IFERROR(__xludf.DUMMYFUNCTION("""COMPUTED_VALUE"""),0.0)</f>
        <v>0</v>
      </c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  <c r="AA176" s="200"/>
    </row>
    <row r="177">
      <c r="A177" s="200"/>
      <c r="B177" s="200"/>
      <c r="C177" s="200"/>
      <c r="D177" s="200"/>
      <c r="E177" s="200"/>
      <c r="F177" s="204"/>
      <c r="G177" s="200"/>
      <c r="H177" s="200"/>
      <c r="I177" s="205">
        <f>IFERROR(__xludf.DUMMYFUNCTION("""COMPUTED_VALUE"""),0.0)</f>
        <v>0</v>
      </c>
      <c r="J177" s="206">
        <f>IFERROR(__xludf.DUMMYFUNCTION("""COMPUTED_VALUE"""),0.0)</f>
        <v>0</v>
      </c>
      <c r="K177" s="207">
        <f>IFERROR(__xludf.DUMMYFUNCTION("""COMPUTED_VALUE"""),0.0)</f>
        <v>0</v>
      </c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</row>
    <row r="178">
      <c r="A178" s="200"/>
      <c r="B178" s="200"/>
      <c r="C178" s="200"/>
      <c r="D178" s="200"/>
      <c r="E178" s="200"/>
      <c r="F178" s="204"/>
      <c r="G178" s="200"/>
      <c r="H178" s="200"/>
      <c r="I178" s="205">
        <f>IFERROR(__xludf.DUMMYFUNCTION("""COMPUTED_VALUE"""),0.0)</f>
        <v>0</v>
      </c>
      <c r="J178" s="206">
        <f>IFERROR(__xludf.DUMMYFUNCTION("""COMPUTED_VALUE"""),0.0)</f>
        <v>0</v>
      </c>
      <c r="K178" s="207">
        <f>IFERROR(__xludf.DUMMYFUNCTION("""COMPUTED_VALUE"""),0.0)</f>
        <v>0</v>
      </c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</row>
    <row r="179">
      <c r="A179" s="200"/>
      <c r="B179" s="200"/>
      <c r="C179" s="200"/>
      <c r="D179" s="200"/>
      <c r="E179" s="200"/>
      <c r="F179" s="204"/>
      <c r="G179" s="200"/>
      <c r="H179" s="200"/>
      <c r="I179" s="205">
        <f>IFERROR(__xludf.DUMMYFUNCTION("""COMPUTED_VALUE"""),0.0)</f>
        <v>0</v>
      </c>
      <c r="J179" s="206">
        <f>IFERROR(__xludf.DUMMYFUNCTION("""COMPUTED_VALUE"""),0.0)</f>
        <v>0</v>
      </c>
      <c r="K179" s="207">
        <f>IFERROR(__xludf.DUMMYFUNCTION("""COMPUTED_VALUE"""),0.0)</f>
        <v>0</v>
      </c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  <c r="AA179" s="200"/>
    </row>
    <row r="180">
      <c r="A180" s="200"/>
      <c r="B180" s="200"/>
      <c r="C180" s="200"/>
      <c r="D180" s="200"/>
      <c r="E180" s="200"/>
      <c r="F180" s="204"/>
      <c r="G180" s="200"/>
      <c r="H180" s="200"/>
      <c r="I180" s="205">
        <f>IFERROR(__xludf.DUMMYFUNCTION("""COMPUTED_VALUE"""),0.0)</f>
        <v>0</v>
      </c>
      <c r="J180" s="206">
        <f>IFERROR(__xludf.DUMMYFUNCTION("""COMPUTED_VALUE"""),0.0)</f>
        <v>0</v>
      </c>
      <c r="K180" s="207">
        <f>IFERROR(__xludf.DUMMYFUNCTION("""COMPUTED_VALUE"""),0.0)</f>
        <v>0</v>
      </c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  <c r="AA180" s="200"/>
    </row>
    <row r="181">
      <c r="A181" s="200"/>
      <c r="B181" s="200"/>
      <c r="C181" s="200"/>
      <c r="D181" s="200"/>
      <c r="E181" s="200"/>
      <c r="F181" s="204"/>
      <c r="G181" s="200"/>
      <c r="H181" s="200"/>
      <c r="I181" s="205">
        <f>IFERROR(__xludf.DUMMYFUNCTION("""COMPUTED_VALUE"""),0.0)</f>
        <v>0</v>
      </c>
      <c r="J181" s="206">
        <f>IFERROR(__xludf.DUMMYFUNCTION("""COMPUTED_VALUE"""),0.0)</f>
        <v>0</v>
      </c>
      <c r="K181" s="207">
        <f>IFERROR(__xludf.DUMMYFUNCTION("""COMPUTED_VALUE"""),0.0)</f>
        <v>0</v>
      </c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  <c r="AA181" s="200"/>
    </row>
    <row r="182">
      <c r="A182" s="200"/>
      <c r="B182" s="200"/>
      <c r="C182" s="200"/>
      <c r="D182" s="200"/>
      <c r="E182" s="200"/>
      <c r="F182" s="204"/>
      <c r="G182" s="200"/>
      <c r="H182" s="200"/>
      <c r="I182" s="205">
        <f>IFERROR(__xludf.DUMMYFUNCTION("""COMPUTED_VALUE"""),0.0)</f>
        <v>0</v>
      </c>
      <c r="J182" s="206">
        <f>IFERROR(__xludf.DUMMYFUNCTION("""COMPUTED_VALUE"""),0.0)</f>
        <v>0</v>
      </c>
      <c r="K182" s="207">
        <f>IFERROR(__xludf.DUMMYFUNCTION("""COMPUTED_VALUE"""),0.0)</f>
        <v>0</v>
      </c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  <c r="AA182" s="200"/>
    </row>
    <row r="183">
      <c r="A183" s="200"/>
      <c r="B183" s="200"/>
      <c r="C183" s="200"/>
      <c r="D183" s="200"/>
      <c r="E183" s="200"/>
      <c r="F183" s="204"/>
      <c r="G183" s="200"/>
      <c r="H183" s="200"/>
      <c r="I183" s="205">
        <f>IFERROR(__xludf.DUMMYFUNCTION("""COMPUTED_VALUE"""),0.0)</f>
        <v>0</v>
      </c>
      <c r="J183" s="206">
        <f>IFERROR(__xludf.DUMMYFUNCTION("""COMPUTED_VALUE"""),0.0)</f>
        <v>0</v>
      </c>
      <c r="K183" s="207">
        <f>IFERROR(__xludf.DUMMYFUNCTION("""COMPUTED_VALUE"""),0.0)</f>
        <v>0</v>
      </c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  <c r="AA183" s="200"/>
    </row>
    <row r="184">
      <c r="A184" s="200"/>
      <c r="B184" s="200"/>
      <c r="C184" s="200"/>
      <c r="D184" s="200"/>
      <c r="E184" s="200"/>
      <c r="F184" s="204"/>
      <c r="G184" s="200"/>
      <c r="H184" s="200"/>
      <c r="I184" s="205">
        <f>IFERROR(__xludf.DUMMYFUNCTION("""COMPUTED_VALUE"""),0.0)</f>
        <v>0</v>
      </c>
      <c r="J184" s="206">
        <f>IFERROR(__xludf.DUMMYFUNCTION("""COMPUTED_VALUE"""),0.0)</f>
        <v>0</v>
      </c>
      <c r="K184" s="207">
        <f>IFERROR(__xludf.DUMMYFUNCTION("""COMPUTED_VALUE"""),0.0)</f>
        <v>0</v>
      </c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  <c r="AA184" s="200"/>
    </row>
    <row r="185">
      <c r="A185" s="200"/>
      <c r="B185" s="200"/>
      <c r="C185" s="200"/>
      <c r="D185" s="200"/>
      <c r="E185" s="200"/>
      <c r="F185" s="204"/>
      <c r="G185" s="200"/>
      <c r="H185" s="200"/>
      <c r="I185" s="205">
        <f>IFERROR(__xludf.DUMMYFUNCTION("""COMPUTED_VALUE"""),0.0)</f>
        <v>0</v>
      </c>
      <c r="J185" s="206">
        <f>IFERROR(__xludf.DUMMYFUNCTION("""COMPUTED_VALUE"""),0.0)</f>
        <v>0</v>
      </c>
      <c r="K185" s="207">
        <f>IFERROR(__xludf.DUMMYFUNCTION("""COMPUTED_VALUE"""),0.0)</f>
        <v>0</v>
      </c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  <c r="AA185" s="200"/>
    </row>
    <row r="186">
      <c r="A186" s="200"/>
      <c r="B186" s="200"/>
      <c r="C186" s="200"/>
      <c r="D186" s="200"/>
      <c r="E186" s="200"/>
      <c r="F186" s="204"/>
      <c r="G186" s="200"/>
      <c r="H186" s="200"/>
      <c r="I186" s="205">
        <f>IFERROR(__xludf.DUMMYFUNCTION("""COMPUTED_VALUE"""),0.0)</f>
        <v>0</v>
      </c>
      <c r="J186" s="206">
        <f>IFERROR(__xludf.DUMMYFUNCTION("""COMPUTED_VALUE"""),0.0)</f>
        <v>0</v>
      </c>
      <c r="K186" s="207">
        <f>IFERROR(__xludf.DUMMYFUNCTION("""COMPUTED_VALUE"""),0.0)</f>
        <v>0</v>
      </c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200"/>
    </row>
    <row r="187">
      <c r="A187" s="200"/>
      <c r="B187" s="200"/>
      <c r="C187" s="200"/>
      <c r="D187" s="200"/>
      <c r="E187" s="200"/>
      <c r="F187" s="204"/>
      <c r="G187" s="200"/>
      <c r="H187" s="200"/>
      <c r="I187" s="205">
        <f>IFERROR(__xludf.DUMMYFUNCTION("""COMPUTED_VALUE"""),0.0)</f>
        <v>0</v>
      </c>
      <c r="J187" s="206">
        <f>IFERROR(__xludf.DUMMYFUNCTION("""COMPUTED_VALUE"""),0.0)</f>
        <v>0</v>
      </c>
      <c r="K187" s="207">
        <f>IFERROR(__xludf.DUMMYFUNCTION("""COMPUTED_VALUE"""),0.0)</f>
        <v>0</v>
      </c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  <c r="AA187" s="200"/>
    </row>
    <row r="188">
      <c r="A188" s="200"/>
      <c r="B188" s="200"/>
      <c r="C188" s="200"/>
      <c r="D188" s="200"/>
      <c r="E188" s="200"/>
      <c r="F188" s="204"/>
      <c r="G188" s="200"/>
      <c r="H188" s="200"/>
      <c r="I188" s="205">
        <f>IFERROR(__xludf.DUMMYFUNCTION("""COMPUTED_VALUE"""),0.0)</f>
        <v>0</v>
      </c>
      <c r="J188" s="206">
        <f>IFERROR(__xludf.DUMMYFUNCTION("""COMPUTED_VALUE"""),0.0)</f>
        <v>0</v>
      </c>
      <c r="K188" s="207">
        <f>IFERROR(__xludf.DUMMYFUNCTION("""COMPUTED_VALUE"""),0.0)</f>
        <v>0</v>
      </c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  <c r="AA188" s="200"/>
    </row>
    <row r="189">
      <c r="A189" s="200"/>
      <c r="B189" s="200"/>
      <c r="C189" s="200"/>
      <c r="D189" s="200"/>
      <c r="E189" s="200"/>
      <c r="F189" s="204"/>
      <c r="G189" s="200"/>
      <c r="H189" s="200"/>
      <c r="I189" s="205">
        <f>IFERROR(__xludf.DUMMYFUNCTION("""COMPUTED_VALUE"""),0.0)</f>
        <v>0</v>
      </c>
      <c r="J189" s="206">
        <f>IFERROR(__xludf.DUMMYFUNCTION("""COMPUTED_VALUE"""),0.0)</f>
        <v>0</v>
      </c>
      <c r="K189" s="207">
        <f>IFERROR(__xludf.DUMMYFUNCTION("""COMPUTED_VALUE"""),0.0)</f>
        <v>0</v>
      </c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  <c r="AA189" s="200"/>
    </row>
    <row r="190">
      <c r="A190" s="200"/>
      <c r="B190" s="200"/>
      <c r="C190" s="200"/>
      <c r="D190" s="200"/>
      <c r="E190" s="200"/>
      <c r="F190" s="204"/>
      <c r="G190" s="200"/>
      <c r="H190" s="200"/>
      <c r="I190" s="205">
        <f>IFERROR(__xludf.DUMMYFUNCTION("""COMPUTED_VALUE"""),0.0)</f>
        <v>0</v>
      </c>
      <c r="J190" s="206">
        <f>IFERROR(__xludf.DUMMYFUNCTION("""COMPUTED_VALUE"""),0.0)</f>
        <v>0</v>
      </c>
      <c r="K190" s="207">
        <f>IFERROR(__xludf.DUMMYFUNCTION("""COMPUTED_VALUE"""),0.0)</f>
        <v>0</v>
      </c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  <c r="AA190" s="200"/>
    </row>
    <row r="191">
      <c r="A191" s="200"/>
      <c r="B191" s="200"/>
      <c r="C191" s="200"/>
      <c r="D191" s="200"/>
      <c r="E191" s="200"/>
      <c r="F191" s="204"/>
      <c r="G191" s="200"/>
      <c r="H191" s="200"/>
      <c r="I191" s="205">
        <f>IFERROR(__xludf.DUMMYFUNCTION("""COMPUTED_VALUE"""),0.0)</f>
        <v>0</v>
      </c>
      <c r="J191" s="206">
        <f>IFERROR(__xludf.DUMMYFUNCTION("""COMPUTED_VALUE"""),0.0)</f>
        <v>0</v>
      </c>
      <c r="K191" s="207">
        <f>IFERROR(__xludf.DUMMYFUNCTION("""COMPUTED_VALUE"""),0.0)</f>
        <v>0</v>
      </c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  <c r="AA191" s="200"/>
    </row>
    <row r="192">
      <c r="A192" s="200"/>
      <c r="B192" s="200"/>
      <c r="C192" s="200"/>
      <c r="D192" s="200"/>
      <c r="E192" s="200"/>
      <c r="F192" s="204"/>
      <c r="G192" s="200"/>
      <c r="H192" s="200"/>
      <c r="I192" s="205">
        <f>IFERROR(__xludf.DUMMYFUNCTION("""COMPUTED_VALUE"""),0.0)</f>
        <v>0</v>
      </c>
      <c r="J192" s="206">
        <f>IFERROR(__xludf.DUMMYFUNCTION("""COMPUTED_VALUE"""),0.0)</f>
        <v>0</v>
      </c>
      <c r="K192" s="207">
        <f>IFERROR(__xludf.DUMMYFUNCTION("""COMPUTED_VALUE"""),0.0)</f>
        <v>0</v>
      </c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  <c r="AA192" s="200"/>
    </row>
    <row r="193">
      <c r="A193" s="200"/>
      <c r="B193" s="200"/>
      <c r="C193" s="200"/>
      <c r="D193" s="200"/>
      <c r="E193" s="200"/>
      <c r="F193" s="204"/>
      <c r="G193" s="200"/>
      <c r="H193" s="200"/>
      <c r="I193" s="205">
        <f>IFERROR(__xludf.DUMMYFUNCTION("""COMPUTED_VALUE"""),0.0)</f>
        <v>0</v>
      </c>
      <c r="J193" s="206">
        <f>IFERROR(__xludf.DUMMYFUNCTION("""COMPUTED_VALUE"""),0.0)</f>
        <v>0</v>
      </c>
      <c r="K193" s="207">
        <f>IFERROR(__xludf.DUMMYFUNCTION("""COMPUTED_VALUE"""),0.0)</f>
        <v>0</v>
      </c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  <c r="AA193" s="200"/>
    </row>
    <row r="194">
      <c r="A194" s="200"/>
      <c r="B194" s="200"/>
      <c r="C194" s="200"/>
      <c r="D194" s="200"/>
      <c r="E194" s="200"/>
      <c r="F194" s="204"/>
      <c r="G194" s="200"/>
      <c r="H194" s="200"/>
      <c r="I194" s="205">
        <f>IFERROR(__xludf.DUMMYFUNCTION("""COMPUTED_VALUE"""),0.0)</f>
        <v>0</v>
      </c>
      <c r="J194" s="206">
        <f>IFERROR(__xludf.DUMMYFUNCTION("""COMPUTED_VALUE"""),0.0)</f>
        <v>0</v>
      </c>
      <c r="K194" s="207">
        <f>IFERROR(__xludf.DUMMYFUNCTION("""COMPUTED_VALUE"""),0.0)</f>
        <v>0</v>
      </c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  <c r="AA194" s="200"/>
    </row>
    <row r="195">
      <c r="A195" s="200"/>
      <c r="B195" s="200"/>
      <c r="C195" s="200"/>
      <c r="D195" s="200"/>
      <c r="E195" s="200"/>
      <c r="F195" s="204"/>
      <c r="G195" s="200"/>
      <c r="H195" s="200"/>
      <c r="I195" s="205">
        <f>IFERROR(__xludf.DUMMYFUNCTION("""COMPUTED_VALUE"""),0.0)</f>
        <v>0</v>
      </c>
      <c r="J195" s="206">
        <f>IFERROR(__xludf.DUMMYFUNCTION("""COMPUTED_VALUE"""),0.0)</f>
        <v>0</v>
      </c>
      <c r="K195" s="207">
        <f>IFERROR(__xludf.DUMMYFUNCTION("""COMPUTED_VALUE"""),0.0)</f>
        <v>0</v>
      </c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  <c r="AA195" s="200"/>
    </row>
    <row r="196">
      <c r="A196" s="200"/>
      <c r="B196" s="200"/>
      <c r="C196" s="200"/>
      <c r="D196" s="200"/>
      <c r="E196" s="200"/>
      <c r="F196" s="204"/>
      <c r="G196" s="200"/>
      <c r="H196" s="200"/>
      <c r="I196" s="205">
        <f>IFERROR(__xludf.DUMMYFUNCTION("""COMPUTED_VALUE"""),0.0)</f>
        <v>0</v>
      </c>
      <c r="J196" s="206">
        <f>IFERROR(__xludf.DUMMYFUNCTION("""COMPUTED_VALUE"""),0.0)</f>
        <v>0</v>
      </c>
      <c r="K196" s="207">
        <f>IFERROR(__xludf.DUMMYFUNCTION("""COMPUTED_VALUE"""),0.0)</f>
        <v>0</v>
      </c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  <c r="AA196" s="200"/>
    </row>
    <row r="197">
      <c r="A197" s="200"/>
      <c r="B197" s="200"/>
      <c r="C197" s="200"/>
      <c r="D197" s="200"/>
      <c r="E197" s="200"/>
      <c r="F197" s="204"/>
      <c r="G197" s="200"/>
      <c r="H197" s="200"/>
      <c r="I197" s="205">
        <f>IFERROR(__xludf.DUMMYFUNCTION("""COMPUTED_VALUE"""),0.0)</f>
        <v>0</v>
      </c>
      <c r="J197" s="206">
        <f>IFERROR(__xludf.DUMMYFUNCTION("""COMPUTED_VALUE"""),0.0)</f>
        <v>0</v>
      </c>
      <c r="K197" s="207">
        <f>IFERROR(__xludf.DUMMYFUNCTION("""COMPUTED_VALUE"""),0.0)</f>
        <v>0</v>
      </c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200"/>
    </row>
    <row r="198">
      <c r="A198" s="200"/>
      <c r="B198" s="200"/>
      <c r="C198" s="200"/>
      <c r="D198" s="200"/>
      <c r="E198" s="200"/>
      <c r="F198" s="204"/>
      <c r="G198" s="200"/>
      <c r="H198" s="200"/>
      <c r="I198" s="205">
        <f>IFERROR(__xludf.DUMMYFUNCTION("""COMPUTED_VALUE"""),0.0)</f>
        <v>0</v>
      </c>
      <c r="J198" s="206">
        <f>IFERROR(__xludf.DUMMYFUNCTION("""COMPUTED_VALUE"""),0.0)</f>
        <v>0</v>
      </c>
      <c r="K198" s="207">
        <f>IFERROR(__xludf.DUMMYFUNCTION("""COMPUTED_VALUE"""),0.0)</f>
        <v>0</v>
      </c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200"/>
    </row>
    <row r="199">
      <c r="A199" s="200"/>
      <c r="B199" s="200"/>
      <c r="C199" s="200"/>
      <c r="D199" s="200"/>
      <c r="E199" s="200"/>
      <c r="F199" s="204"/>
      <c r="G199" s="200"/>
      <c r="H199" s="200"/>
      <c r="I199" s="205">
        <f>IFERROR(__xludf.DUMMYFUNCTION("""COMPUTED_VALUE"""),0.0)</f>
        <v>0</v>
      </c>
      <c r="J199" s="206">
        <f>IFERROR(__xludf.DUMMYFUNCTION("""COMPUTED_VALUE"""),0.0)</f>
        <v>0</v>
      </c>
      <c r="K199" s="207">
        <f>IFERROR(__xludf.DUMMYFUNCTION("""COMPUTED_VALUE"""),0.0)</f>
        <v>0</v>
      </c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  <c r="AA199" s="200"/>
    </row>
    <row r="200">
      <c r="A200" s="200"/>
      <c r="B200" s="200"/>
      <c r="C200" s="200"/>
      <c r="D200" s="200"/>
      <c r="E200" s="200"/>
      <c r="F200" s="204"/>
      <c r="G200" s="200"/>
      <c r="H200" s="200"/>
      <c r="I200" s="205">
        <f>IFERROR(__xludf.DUMMYFUNCTION("""COMPUTED_VALUE"""),0.0)</f>
        <v>0</v>
      </c>
      <c r="J200" s="206">
        <f>IFERROR(__xludf.DUMMYFUNCTION("""COMPUTED_VALUE"""),0.0)</f>
        <v>0</v>
      </c>
      <c r="K200" s="207">
        <f>IFERROR(__xludf.DUMMYFUNCTION("""COMPUTED_VALUE"""),0.0)</f>
        <v>0</v>
      </c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  <c r="AA200" s="200"/>
    </row>
    <row r="201">
      <c r="A201" s="200"/>
      <c r="B201" s="200"/>
      <c r="C201" s="200"/>
      <c r="D201" s="200"/>
      <c r="E201" s="200"/>
      <c r="F201" s="204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  <c r="AA201" s="200"/>
    </row>
    <row r="202">
      <c r="A202" s="200"/>
      <c r="B202" s="200"/>
      <c r="C202" s="200"/>
      <c r="D202" s="200"/>
      <c r="E202" s="200"/>
      <c r="F202" s="204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  <c r="AA202" s="200"/>
    </row>
    <row r="203">
      <c r="A203" s="200"/>
      <c r="B203" s="200"/>
      <c r="C203" s="200"/>
      <c r="D203" s="200"/>
      <c r="E203" s="200"/>
      <c r="F203" s="204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  <c r="AA203" s="200"/>
    </row>
    <row r="204">
      <c r="A204" s="200"/>
      <c r="B204" s="200"/>
      <c r="C204" s="200"/>
      <c r="D204" s="200"/>
      <c r="E204" s="200"/>
      <c r="F204" s="204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  <c r="AA204" s="200"/>
    </row>
    <row r="205">
      <c r="A205" s="200"/>
      <c r="B205" s="200"/>
      <c r="C205" s="200"/>
      <c r="D205" s="200"/>
      <c r="E205" s="200"/>
      <c r="F205" s="204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  <c r="AA205" s="200"/>
    </row>
    <row r="206">
      <c r="A206" s="200"/>
      <c r="B206" s="200"/>
      <c r="C206" s="200"/>
      <c r="D206" s="200"/>
      <c r="E206" s="200"/>
      <c r="F206" s="204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  <c r="AA206" s="200"/>
    </row>
    <row r="207">
      <c r="A207" s="200"/>
      <c r="B207" s="200"/>
      <c r="C207" s="200"/>
      <c r="D207" s="200"/>
      <c r="E207" s="200"/>
      <c r="F207" s="204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  <c r="AA207" s="200"/>
    </row>
    <row r="208">
      <c r="A208" s="200"/>
      <c r="B208" s="200"/>
      <c r="C208" s="200"/>
      <c r="D208" s="200"/>
      <c r="E208" s="200"/>
      <c r="F208" s="204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  <c r="AA208" s="200"/>
    </row>
    <row r="209">
      <c r="A209" s="200"/>
      <c r="B209" s="200"/>
      <c r="C209" s="200"/>
      <c r="D209" s="200"/>
      <c r="E209" s="200"/>
      <c r="F209" s="204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200"/>
    </row>
    <row r="210">
      <c r="A210" s="200"/>
      <c r="B210" s="200"/>
      <c r="C210" s="200"/>
      <c r="D210" s="200"/>
      <c r="E210" s="200"/>
      <c r="F210" s="204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  <c r="AA210" s="200"/>
    </row>
    <row r="211">
      <c r="A211" s="200"/>
      <c r="B211" s="200"/>
      <c r="C211" s="200"/>
      <c r="D211" s="200"/>
      <c r="E211" s="200"/>
      <c r="F211" s="204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200"/>
    </row>
    <row r="212">
      <c r="A212" s="200"/>
      <c r="B212" s="200"/>
      <c r="C212" s="200"/>
      <c r="D212" s="200"/>
      <c r="E212" s="200"/>
      <c r="F212" s="204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</row>
    <row r="213">
      <c r="A213" s="200"/>
      <c r="B213" s="200"/>
      <c r="C213" s="200"/>
      <c r="D213" s="200"/>
      <c r="E213" s="200"/>
      <c r="F213" s="204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</row>
    <row r="214">
      <c r="A214" s="200"/>
      <c r="B214" s="200"/>
      <c r="C214" s="200"/>
      <c r="D214" s="200"/>
      <c r="E214" s="200"/>
      <c r="F214" s="204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  <c r="AA214" s="200"/>
    </row>
    <row r="215">
      <c r="A215" s="200"/>
      <c r="B215" s="200"/>
      <c r="C215" s="200"/>
      <c r="D215" s="200"/>
      <c r="E215" s="200"/>
      <c r="F215" s="204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</row>
    <row r="216">
      <c r="A216" s="200"/>
      <c r="B216" s="200"/>
      <c r="C216" s="200"/>
      <c r="D216" s="200"/>
      <c r="E216" s="200"/>
      <c r="F216" s="204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</row>
    <row r="217">
      <c r="A217" s="200"/>
      <c r="B217" s="200"/>
      <c r="C217" s="200"/>
      <c r="D217" s="200"/>
      <c r="E217" s="200"/>
      <c r="F217" s="204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  <c r="AA217" s="200"/>
    </row>
    <row r="218">
      <c r="A218" s="200"/>
      <c r="B218" s="200"/>
      <c r="C218" s="200"/>
      <c r="D218" s="200"/>
      <c r="E218" s="200"/>
      <c r="F218" s="204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  <c r="AA218" s="200"/>
    </row>
    <row r="219">
      <c r="A219" s="200"/>
      <c r="B219" s="200"/>
      <c r="C219" s="200"/>
      <c r="D219" s="200"/>
      <c r="E219" s="200"/>
      <c r="F219" s="204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  <c r="AA219" s="200"/>
    </row>
    <row r="220">
      <c r="A220" s="200"/>
      <c r="B220" s="200"/>
      <c r="C220" s="200"/>
      <c r="D220" s="200"/>
      <c r="E220" s="200"/>
      <c r="F220" s="204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</row>
    <row r="221">
      <c r="A221" s="200"/>
      <c r="B221" s="200"/>
      <c r="C221" s="200"/>
      <c r="D221" s="200"/>
      <c r="E221" s="200"/>
      <c r="F221" s="204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  <c r="AA221" s="200"/>
    </row>
    <row r="222">
      <c r="A222" s="200"/>
      <c r="B222" s="200"/>
      <c r="C222" s="200"/>
      <c r="D222" s="200"/>
      <c r="E222" s="200"/>
      <c r="F222" s="204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  <c r="AA222" s="200"/>
    </row>
    <row r="223">
      <c r="A223" s="200"/>
      <c r="B223" s="200"/>
      <c r="C223" s="200"/>
      <c r="D223" s="200"/>
      <c r="E223" s="200"/>
      <c r="F223" s="204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</row>
    <row r="224">
      <c r="A224" s="200"/>
      <c r="B224" s="200"/>
      <c r="C224" s="200"/>
      <c r="D224" s="200"/>
      <c r="E224" s="200"/>
      <c r="F224" s="204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</row>
    <row r="225">
      <c r="A225" s="200"/>
      <c r="B225" s="200"/>
      <c r="C225" s="200"/>
      <c r="D225" s="200"/>
      <c r="E225" s="200"/>
      <c r="F225" s="204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  <c r="AA225" s="200"/>
    </row>
    <row r="226">
      <c r="A226" s="200"/>
      <c r="B226" s="200"/>
      <c r="C226" s="200"/>
      <c r="D226" s="200"/>
      <c r="E226" s="200"/>
      <c r="F226" s="204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</row>
    <row r="227">
      <c r="A227" s="200"/>
      <c r="B227" s="200"/>
      <c r="C227" s="200"/>
      <c r="D227" s="200"/>
      <c r="E227" s="200"/>
      <c r="F227" s="204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</row>
    <row r="228">
      <c r="A228" s="200"/>
      <c r="B228" s="200"/>
      <c r="C228" s="200"/>
      <c r="D228" s="200"/>
      <c r="E228" s="200"/>
      <c r="F228" s="204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  <c r="AA228" s="200"/>
    </row>
    <row r="229">
      <c r="A229" s="200"/>
      <c r="B229" s="200"/>
      <c r="C229" s="200"/>
      <c r="D229" s="200"/>
      <c r="E229" s="200"/>
      <c r="F229" s="204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  <c r="AA229" s="200"/>
    </row>
    <row r="230">
      <c r="A230" s="200"/>
      <c r="B230" s="200"/>
      <c r="C230" s="200"/>
      <c r="D230" s="200"/>
      <c r="E230" s="200"/>
      <c r="F230" s="204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  <c r="AA230" s="200"/>
    </row>
    <row r="231">
      <c r="A231" s="200"/>
      <c r="B231" s="200"/>
      <c r="C231" s="200"/>
      <c r="D231" s="200"/>
      <c r="E231" s="200"/>
      <c r="F231" s="204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  <c r="AA231" s="200"/>
    </row>
    <row r="232">
      <c r="A232" s="200"/>
      <c r="B232" s="200"/>
      <c r="C232" s="200"/>
      <c r="D232" s="200"/>
      <c r="E232" s="200"/>
      <c r="F232" s="204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  <c r="AA232" s="200"/>
    </row>
    <row r="233">
      <c r="A233" s="200"/>
      <c r="B233" s="200"/>
      <c r="C233" s="200"/>
      <c r="D233" s="200"/>
      <c r="E233" s="200"/>
      <c r="F233" s="204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  <c r="AA233" s="200"/>
    </row>
    <row r="234">
      <c r="A234" s="200"/>
      <c r="B234" s="200"/>
      <c r="C234" s="200"/>
      <c r="D234" s="200"/>
      <c r="E234" s="200"/>
      <c r="F234" s="204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  <c r="AA234" s="200"/>
    </row>
    <row r="235">
      <c r="A235" s="200"/>
      <c r="B235" s="200"/>
      <c r="C235" s="200"/>
      <c r="D235" s="200"/>
      <c r="E235" s="200"/>
      <c r="F235" s="204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  <c r="AA235" s="200"/>
    </row>
    <row r="236">
      <c r="A236" s="200"/>
      <c r="B236" s="200"/>
      <c r="C236" s="200"/>
      <c r="D236" s="200"/>
      <c r="E236" s="200"/>
      <c r="F236" s="204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  <c r="AA236" s="200"/>
    </row>
    <row r="237">
      <c r="A237" s="200"/>
      <c r="B237" s="200"/>
      <c r="C237" s="200"/>
      <c r="D237" s="200"/>
      <c r="E237" s="200"/>
      <c r="F237" s="204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  <c r="AA237" s="200"/>
    </row>
    <row r="238">
      <c r="A238" s="200"/>
      <c r="B238" s="200"/>
      <c r="C238" s="200"/>
      <c r="D238" s="200"/>
      <c r="E238" s="200"/>
      <c r="F238" s="204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  <c r="AA238" s="200"/>
    </row>
    <row r="239">
      <c r="A239" s="200"/>
      <c r="B239" s="200"/>
      <c r="C239" s="200"/>
      <c r="D239" s="200"/>
      <c r="E239" s="200"/>
      <c r="F239" s="204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</row>
    <row r="240">
      <c r="A240" s="200"/>
      <c r="B240" s="200"/>
      <c r="C240" s="200"/>
      <c r="D240" s="200"/>
      <c r="E240" s="200"/>
      <c r="F240" s="204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</row>
    <row r="241">
      <c r="A241" s="200"/>
      <c r="B241" s="200"/>
      <c r="C241" s="200"/>
      <c r="D241" s="200"/>
      <c r="E241" s="200"/>
      <c r="F241" s="204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  <c r="AA241" s="200"/>
    </row>
    <row r="242">
      <c r="A242" s="200"/>
      <c r="B242" s="200"/>
      <c r="C242" s="200"/>
      <c r="D242" s="200"/>
      <c r="E242" s="200"/>
      <c r="F242" s="204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  <c r="AA242" s="200"/>
    </row>
    <row r="243">
      <c r="A243" s="200"/>
      <c r="B243" s="200"/>
      <c r="C243" s="200"/>
      <c r="D243" s="200"/>
      <c r="E243" s="200"/>
      <c r="F243" s="204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  <c r="AA243" s="200"/>
    </row>
    <row r="244">
      <c r="A244" s="200"/>
      <c r="B244" s="200"/>
      <c r="C244" s="200"/>
      <c r="D244" s="200"/>
      <c r="E244" s="200"/>
      <c r="F244" s="204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  <c r="AA244" s="200"/>
    </row>
    <row r="245">
      <c r="A245" s="200"/>
      <c r="B245" s="200"/>
      <c r="C245" s="200"/>
      <c r="D245" s="200"/>
      <c r="E245" s="200"/>
      <c r="F245" s="204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  <c r="AA245" s="200"/>
    </row>
    <row r="246">
      <c r="A246" s="200"/>
      <c r="B246" s="200"/>
      <c r="C246" s="200"/>
      <c r="D246" s="200"/>
      <c r="E246" s="200"/>
      <c r="F246" s="204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  <c r="AA246" s="200"/>
    </row>
    <row r="247">
      <c r="A247" s="200"/>
      <c r="B247" s="200"/>
      <c r="C247" s="200"/>
      <c r="D247" s="200"/>
      <c r="E247" s="200"/>
      <c r="F247" s="204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  <c r="AA247" s="200"/>
    </row>
    <row r="248">
      <c r="A248" s="200"/>
      <c r="B248" s="200"/>
      <c r="C248" s="200"/>
      <c r="D248" s="200"/>
      <c r="E248" s="200"/>
      <c r="F248" s="204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</row>
    <row r="249">
      <c r="A249" s="200"/>
      <c r="B249" s="200"/>
      <c r="C249" s="200"/>
      <c r="D249" s="200"/>
      <c r="E249" s="200"/>
      <c r="F249" s="204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</row>
    <row r="250">
      <c r="A250" s="200"/>
      <c r="B250" s="200"/>
      <c r="C250" s="200"/>
      <c r="D250" s="200"/>
      <c r="E250" s="200"/>
      <c r="F250" s="204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</row>
    <row r="251">
      <c r="A251" s="200"/>
      <c r="B251" s="200"/>
      <c r="C251" s="200"/>
      <c r="D251" s="200"/>
      <c r="E251" s="200"/>
      <c r="F251" s="204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  <c r="AA251" s="200"/>
    </row>
    <row r="252">
      <c r="A252" s="200"/>
      <c r="B252" s="200"/>
      <c r="C252" s="200"/>
      <c r="D252" s="200"/>
      <c r="E252" s="200"/>
      <c r="F252" s="204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</row>
    <row r="253">
      <c r="A253" s="200"/>
      <c r="B253" s="200"/>
      <c r="C253" s="200"/>
      <c r="D253" s="200"/>
      <c r="E253" s="200"/>
      <c r="F253" s="204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</row>
    <row r="254">
      <c r="A254" s="200"/>
      <c r="B254" s="200"/>
      <c r="C254" s="200"/>
      <c r="D254" s="200"/>
      <c r="E254" s="200"/>
      <c r="F254" s="204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  <c r="AA254" s="200"/>
    </row>
    <row r="255">
      <c r="A255" s="200"/>
      <c r="B255" s="200"/>
      <c r="C255" s="200"/>
      <c r="D255" s="200"/>
      <c r="E255" s="200"/>
      <c r="F255" s="204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  <c r="AA255" s="200"/>
    </row>
    <row r="256">
      <c r="A256" s="200"/>
      <c r="B256" s="200"/>
      <c r="C256" s="200"/>
      <c r="D256" s="200"/>
      <c r="E256" s="200"/>
      <c r="F256" s="204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  <c r="AA256" s="200"/>
    </row>
    <row r="257">
      <c r="A257" s="200"/>
      <c r="B257" s="200"/>
      <c r="C257" s="200"/>
      <c r="D257" s="200"/>
      <c r="E257" s="200"/>
      <c r="F257" s="204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  <c r="AA257" s="200"/>
    </row>
    <row r="258">
      <c r="A258" s="200"/>
      <c r="B258" s="200"/>
      <c r="C258" s="200"/>
      <c r="D258" s="200"/>
      <c r="E258" s="200"/>
      <c r="F258" s="204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  <c r="AA258" s="200"/>
    </row>
    <row r="259">
      <c r="A259" s="200"/>
      <c r="B259" s="200"/>
      <c r="C259" s="200"/>
      <c r="D259" s="200"/>
      <c r="E259" s="200"/>
      <c r="F259" s="204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  <c r="AA259" s="200"/>
    </row>
    <row r="260">
      <c r="A260" s="200"/>
      <c r="B260" s="200"/>
      <c r="C260" s="200"/>
      <c r="D260" s="200"/>
      <c r="E260" s="200"/>
      <c r="F260" s="204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</row>
    <row r="261">
      <c r="A261" s="200"/>
      <c r="B261" s="200"/>
      <c r="C261" s="200"/>
      <c r="D261" s="200"/>
      <c r="E261" s="200"/>
      <c r="F261" s="204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</row>
    <row r="262">
      <c r="A262" s="200"/>
      <c r="B262" s="200"/>
      <c r="C262" s="200"/>
      <c r="D262" s="200"/>
      <c r="E262" s="200"/>
      <c r="F262" s="204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</row>
    <row r="263">
      <c r="A263" s="200"/>
      <c r="B263" s="200"/>
      <c r="C263" s="200"/>
      <c r="D263" s="200"/>
      <c r="E263" s="200"/>
      <c r="F263" s="204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</row>
    <row r="264">
      <c r="A264" s="200"/>
      <c r="B264" s="200"/>
      <c r="C264" s="200"/>
      <c r="D264" s="200"/>
      <c r="E264" s="200"/>
      <c r="F264" s="204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  <c r="AA264" s="200"/>
    </row>
    <row r="265">
      <c r="A265" s="200"/>
      <c r="B265" s="200"/>
      <c r="C265" s="200"/>
      <c r="D265" s="200"/>
      <c r="E265" s="200"/>
      <c r="F265" s="204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  <c r="AA265" s="200"/>
    </row>
    <row r="266">
      <c r="A266" s="200"/>
      <c r="B266" s="200"/>
      <c r="C266" s="200"/>
      <c r="D266" s="200"/>
      <c r="E266" s="200"/>
      <c r="F266" s="204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  <c r="AA266" s="200"/>
    </row>
    <row r="267">
      <c r="A267" s="200"/>
      <c r="B267" s="200"/>
      <c r="C267" s="200"/>
      <c r="D267" s="200"/>
      <c r="E267" s="200"/>
      <c r="F267" s="204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  <c r="AA267" s="200"/>
    </row>
    <row r="268">
      <c r="A268" s="200"/>
      <c r="B268" s="200"/>
      <c r="C268" s="200"/>
      <c r="D268" s="200"/>
      <c r="E268" s="200"/>
      <c r="F268" s="204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  <c r="AA268" s="200"/>
    </row>
    <row r="269">
      <c r="A269" s="200"/>
      <c r="B269" s="200"/>
      <c r="C269" s="200"/>
      <c r="D269" s="200"/>
      <c r="E269" s="200"/>
      <c r="F269" s="204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  <c r="AA269" s="200"/>
    </row>
    <row r="270">
      <c r="A270" s="200"/>
      <c r="B270" s="200"/>
      <c r="C270" s="200"/>
      <c r="D270" s="200"/>
      <c r="E270" s="200"/>
      <c r="F270" s="204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  <c r="AA270" s="200"/>
    </row>
    <row r="271">
      <c r="A271" s="200"/>
      <c r="B271" s="200"/>
      <c r="C271" s="200"/>
      <c r="D271" s="200"/>
      <c r="E271" s="200"/>
      <c r="F271" s="204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  <c r="AA271" s="200"/>
    </row>
    <row r="272">
      <c r="A272" s="200"/>
      <c r="B272" s="200"/>
      <c r="C272" s="200"/>
      <c r="D272" s="200"/>
      <c r="E272" s="200"/>
      <c r="F272" s="204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  <c r="AA272" s="200"/>
    </row>
    <row r="273">
      <c r="A273" s="200"/>
      <c r="B273" s="200"/>
      <c r="C273" s="200"/>
      <c r="D273" s="200"/>
      <c r="E273" s="200"/>
      <c r="F273" s="204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  <c r="AA273" s="200"/>
    </row>
    <row r="274">
      <c r="A274" s="200"/>
      <c r="B274" s="200"/>
      <c r="C274" s="200"/>
      <c r="D274" s="200"/>
      <c r="E274" s="200"/>
      <c r="F274" s="204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  <c r="AA274" s="200"/>
    </row>
    <row r="275">
      <c r="A275" s="200"/>
      <c r="B275" s="200"/>
      <c r="C275" s="200"/>
      <c r="D275" s="200"/>
      <c r="E275" s="200"/>
      <c r="F275" s="204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  <c r="AA275" s="200"/>
    </row>
    <row r="276">
      <c r="A276" s="200"/>
      <c r="B276" s="200"/>
      <c r="C276" s="200"/>
      <c r="D276" s="200"/>
      <c r="E276" s="200"/>
      <c r="F276" s="204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  <c r="AA276" s="200"/>
    </row>
    <row r="277">
      <c r="A277" s="200"/>
      <c r="B277" s="200"/>
      <c r="C277" s="200"/>
      <c r="D277" s="200"/>
      <c r="E277" s="200"/>
      <c r="F277" s="204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  <c r="AA277" s="200"/>
    </row>
    <row r="278">
      <c r="A278" s="200"/>
      <c r="B278" s="200"/>
      <c r="C278" s="200"/>
      <c r="D278" s="200"/>
      <c r="E278" s="200"/>
      <c r="F278" s="204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  <c r="AA278" s="200"/>
    </row>
    <row r="279">
      <c r="A279" s="200"/>
      <c r="B279" s="200"/>
      <c r="C279" s="200"/>
      <c r="D279" s="200"/>
      <c r="E279" s="200"/>
      <c r="F279" s="204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  <c r="AA279" s="200"/>
    </row>
    <row r="280">
      <c r="A280" s="200"/>
      <c r="B280" s="200"/>
      <c r="C280" s="200"/>
      <c r="D280" s="200"/>
      <c r="E280" s="200"/>
      <c r="F280" s="204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  <c r="AA280" s="200"/>
    </row>
    <row r="281">
      <c r="A281" s="200"/>
      <c r="B281" s="200"/>
      <c r="C281" s="200"/>
      <c r="D281" s="200"/>
      <c r="E281" s="200"/>
      <c r="F281" s="204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  <c r="AA281" s="200"/>
    </row>
    <row r="282">
      <c r="A282" s="200"/>
      <c r="B282" s="200"/>
      <c r="C282" s="200"/>
      <c r="D282" s="200"/>
      <c r="E282" s="200"/>
      <c r="F282" s="204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  <c r="AA282" s="200"/>
    </row>
    <row r="283">
      <c r="A283" s="200"/>
      <c r="B283" s="200"/>
      <c r="C283" s="200"/>
      <c r="D283" s="200"/>
      <c r="E283" s="200"/>
      <c r="F283" s="204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  <c r="AA283" s="200"/>
    </row>
    <row r="284">
      <c r="A284" s="200"/>
      <c r="B284" s="200"/>
      <c r="C284" s="200"/>
      <c r="D284" s="200"/>
      <c r="E284" s="200"/>
      <c r="F284" s="204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  <c r="AA284" s="200"/>
    </row>
    <row r="285">
      <c r="A285" s="200"/>
      <c r="B285" s="200"/>
      <c r="C285" s="200"/>
      <c r="D285" s="200"/>
      <c r="E285" s="200"/>
      <c r="F285" s="204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  <c r="AA285" s="200"/>
    </row>
    <row r="286">
      <c r="A286" s="200"/>
      <c r="B286" s="200"/>
      <c r="C286" s="200"/>
      <c r="D286" s="200"/>
      <c r="E286" s="200"/>
      <c r="F286" s="204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  <c r="AA286" s="200"/>
    </row>
    <row r="287">
      <c r="A287" s="200"/>
      <c r="B287" s="200"/>
      <c r="C287" s="200"/>
      <c r="D287" s="200"/>
      <c r="E287" s="200"/>
      <c r="F287" s="204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  <c r="AA287" s="200"/>
    </row>
    <row r="288">
      <c r="A288" s="200"/>
      <c r="B288" s="200"/>
      <c r="C288" s="200"/>
      <c r="D288" s="200"/>
      <c r="E288" s="200"/>
      <c r="F288" s="204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  <c r="AA288" s="200"/>
    </row>
    <row r="289">
      <c r="A289" s="200"/>
      <c r="B289" s="200"/>
      <c r="C289" s="200"/>
      <c r="D289" s="200"/>
      <c r="E289" s="200"/>
      <c r="F289" s="204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  <c r="AA289" s="200"/>
    </row>
    <row r="290">
      <c r="A290" s="200"/>
      <c r="B290" s="200"/>
      <c r="C290" s="200"/>
      <c r="D290" s="200"/>
      <c r="E290" s="200"/>
      <c r="F290" s="204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  <c r="AA290" s="200"/>
    </row>
    <row r="291">
      <c r="A291" s="200"/>
      <c r="B291" s="200"/>
      <c r="C291" s="200"/>
      <c r="D291" s="200"/>
      <c r="E291" s="200"/>
      <c r="F291" s="204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  <c r="AA291" s="200"/>
    </row>
    <row r="292">
      <c r="A292" s="200"/>
      <c r="B292" s="200"/>
      <c r="C292" s="200"/>
      <c r="D292" s="200"/>
      <c r="E292" s="200"/>
      <c r="F292" s="204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  <c r="AA292" s="200"/>
    </row>
    <row r="293">
      <c r="A293" s="200"/>
      <c r="B293" s="200"/>
      <c r="C293" s="200"/>
      <c r="D293" s="200"/>
      <c r="E293" s="200"/>
      <c r="F293" s="204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  <c r="AA293" s="200"/>
    </row>
    <row r="294">
      <c r="A294" s="200"/>
      <c r="B294" s="200"/>
      <c r="C294" s="200"/>
      <c r="D294" s="200"/>
      <c r="E294" s="200"/>
      <c r="F294" s="204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  <c r="AA294" s="200"/>
    </row>
    <row r="295">
      <c r="A295" s="200"/>
      <c r="B295" s="200"/>
      <c r="C295" s="200"/>
      <c r="D295" s="200"/>
      <c r="E295" s="200"/>
      <c r="F295" s="204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  <c r="AA295" s="200"/>
    </row>
    <row r="296">
      <c r="A296" s="200"/>
      <c r="B296" s="200"/>
      <c r="C296" s="200"/>
      <c r="D296" s="200"/>
      <c r="E296" s="200"/>
      <c r="F296" s="204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  <c r="AA296" s="200"/>
    </row>
    <row r="297">
      <c r="A297" s="200"/>
      <c r="B297" s="200"/>
      <c r="C297" s="200"/>
      <c r="D297" s="200"/>
      <c r="E297" s="200"/>
      <c r="F297" s="204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  <c r="AA297" s="200"/>
    </row>
    <row r="298">
      <c r="A298" s="200"/>
      <c r="B298" s="200"/>
      <c r="C298" s="200"/>
      <c r="D298" s="200"/>
      <c r="E298" s="200"/>
      <c r="F298" s="204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  <c r="AA298" s="200"/>
    </row>
    <row r="299">
      <c r="A299" s="200"/>
      <c r="B299" s="200"/>
      <c r="C299" s="200"/>
      <c r="D299" s="200"/>
      <c r="E299" s="200"/>
      <c r="F299" s="204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  <c r="AA299" s="200"/>
    </row>
    <row r="300">
      <c r="A300" s="200"/>
      <c r="B300" s="200"/>
      <c r="C300" s="200"/>
      <c r="D300" s="200"/>
      <c r="E300" s="200"/>
      <c r="F300" s="204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  <c r="AA300" s="200"/>
    </row>
    <row r="301">
      <c r="A301" s="200"/>
      <c r="B301" s="200"/>
      <c r="C301" s="200"/>
      <c r="D301" s="200"/>
      <c r="E301" s="200"/>
      <c r="F301" s="204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  <c r="AA301" s="200"/>
    </row>
    <row r="302">
      <c r="A302" s="200"/>
      <c r="B302" s="200"/>
      <c r="C302" s="200"/>
      <c r="D302" s="200"/>
      <c r="E302" s="200"/>
      <c r="F302" s="204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  <c r="AA302" s="200"/>
    </row>
    <row r="303">
      <c r="A303" s="200"/>
      <c r="B303" s="200"/>
      <c r="C303" s="200"/>
      <c r="D303" s="200"/>
      <c r="E303" s="200"/>
      <c r="F303" s="204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  <c r="AA303" s="200"/>
    </row>
    <row r="304">
      <c r="A304" s="200"/>
      <c r="B304" s="200"/>
      <c r="C304" s="200"/>
      <c r="D304" s="200"/>
      <c r="E304" s="200"/>
      <c r="F304" s="204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  <c r="AA304" s="200"/>
    </row>
    <row r="305">
      <c r="A305" s="200"/>
      <c r="B305" s="200"/>
      <c r="C305" s="200"/>
      <c r="D305" s="200"/>
      <c r="E305" s="200"/>
      <c r="F305" s="204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  <c r="AA305" s="200"/>
    </row>
    <row r="306">
      <c r="A306" s="200"/>
      <c r="B306" s="200"/>
      <c r="C306" s="200"/>
      <c r="D306" s="200"/>
      <c r="E306" s="200"/>
      <c r="F306" s="204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  <c r="AA306" s="200"/>
    </row>
    <row r="307">
      <c r="A307" s="200"/>
      <c r="B307" s="200"/>
      <c r="C307" s="200"/>
      <c r="D307" s="200"/>
      <c r="E307" s="200"/>
      <c r="F307" s="204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  <c r="AA307" s="200"/>
    </row>
    <row r="308">
      <c r="A308" s="200"/>
      <c r="B308" s="200"/>
      <c r="C308" s="200"/>
      <c r="D308" s="200"/>
      <c r="E308" s="200"/>
      <c r="F308" s="204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  <c r="AA308" s="200"/>
    </row>
    <row r="309">
      <c r="A309" s="200"/>
      <c r="B309" s="200"/>
      <c r="C309" s="200"/>
      <c r="D309" s="200"/>
      <c r="E309" s="200"/>
      <c r="F309" s="204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  <c r="AA309" s="200"/>
    </row>
    <row r="310">
      <c r="A310" s="200"/>
      <c r="B310" s="200"/>
      <c r="C310" s="200"/>
      <c r="D310" s="200"/>
      <c r="E310" s="200"/>
      <c r="F310" s="204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  <c r="AA310" s="200"/>
    </row>
    <row r="311">
      <c r="A311" s="200"/>
      <c r="B311" s="200"/>
      <c r="C311" s="200"/>
      <c r="D311" s="200"/>
      <c r="E311" s="200"/>
      <c r="F311" s="204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  <c r="AA311" s="200"/>
    </row>
    <row r="312">
      <c r="A312" s="200"/>
      <c r="B312" s="200"/>
      <c r="C312" s="200"/>
      <c r="D312" s="200"/>
      <c r="E312" s="200"/>
      <c r="F312" s="204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  <c r="AA312" s="200"/>
    </row>
    <row r="313">
      <c r="A313" s="200"/>
      <c r="B313" s="200"/>
      <c r="C313" s="200"/>
      <c r="D313" s="200"/>
      <c r="E313" s="200"/>
      <c r="F313" s="204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  <c r="AA313" s="200"/>
    </row>
    <row r="314">
      <c r="A314" s="200"/>
      <c r="B314" s="200"/>
      <c r="C314" s="200"/>
      <c r="D314" s="200"/>
      <c r="E314" s="200"/>
      <c r="F314" s="204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  <c r="AA314" s="200"/>
    </row>
    <row r="315">
      <c r="A315" s="200"/>
      <c r="B315" s="200"/>
      <c r="C315" s="200"/>
      <c r="D315" s="200"/>
      <c r="E315" s="200"/>
      <c r="F315" s="204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  <c r="AA315" s="200"/>
    </row>
    <row r="316">
      <c r="A316" s="200"/>
      <c r="B316" s="200"/>
      <c r="C316" s="200"/>
      <c r="D316" s="200"/>
      <c r="E316" s="200"/>
      <c r="F316" s="204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  <c r="AA316" s="200"/>
    </row>
    <row r="317">
      <c r="A317" s="200"/>
      <c r="B317" s="200"/>
      <c r="C317" s="200"/>
      <c r="D317" s="200"/>
      <c r="E317" s="200"/>
      <c r="F317" s="204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  <c r="AA317" s="200"/>
    </row>
    <row r="318">
      <c r="A318" s="200"/>
      <c r="B318" s="200"/>
      <c r="C318" s="200"/>
      <c r="D318" s="200"/>
      <c r="E318" s="200"/>
      <c r="F318" s="204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  <c r="AA318" s="200"/>
    </row>
    <row r="319">
      <c r="A319" s="200"/>
      <c r="B319" s="200"/>
      <c r="C319" s="200"/>
      <c r="D319" s="200"/>
      <c r="E319" s="200"/>
      <c r="F319" s="204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  <c r="AA319" s="200"/>
    </row>
    <row r="320">
      <c r="A320" s="200"/>
      <c r="B320" s="200"/>
      <c r="C320" s="200"/>
      <c r="D320" s="200"/>
      <c r="E320" s="200"/>
      <c r="F320" s="204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  <c r="AA320" s="200"/>
    </row>
    <row r="321">
      <c r="A321" s="200"/>
      <c r="B321" s="200"/>
      <c r="C321" s="200"/>
      <c r="D321" s="200"/>
      <c r="E321" s="200"/>
      <c r="F321" s="204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  <c r="AA321" s="200"/>
    </row>
    <row r="322">
      <c r="A322" s="200"/>
      <c r="B322" s="200"/>
      <c r="C322" s="200"/>
      <c r="D322" s="200"/>
      <c r="E322" s="200"/>
      <c r="F322" s="204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  <c r="AA322" s="200"/>
    </row>
    <row r="323">
      <c r="A323" s="200"/>
      <c r="B323" s="200"/>
      <c r="C323" s="200"/>
      <c r="D323" s="200"/>
      <c r="E323" s="200"/>
      <c r="F323" s="204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  <c r="AA323" s="200"/>
    </row>
    <row r="324">
      <c r="A324" s="200"/>
      <c r="B324" s="200"/>
      <c r="C324" s="200"/>
      <c r="D324" s="200"/>
      <c r="E324" s="200"/>
      <c r="F324" s="204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  <c r="AA324" s="200"/>
    </row>
    <row r="325">
      <c r="A325" s="200"/>
      <c r="B325" s="200"/>
      <c r="C325" s="200"/>
      <c r="D325" s="200"/>
      <c r="E325" s="200"/>
      <c r="F325" s="204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  <c r="AA325" s="200"/>
    </row>
    <row r="326">
      <c r="A326" s="200"/>
      <c r="B326" s="200"/>
      <c r="C326" s="200"/>
      <c r="D326" s="200"/>
      <c r="E326" s="200"/>
      <c r="F326" s="204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  <c r="AA326" s="200"/>
    </row>
    <row r="327">
      <c r="A327" s="200"/>
      <c r="B327" s="200"/>
      <c r="C327" s="200"/>
      <c r="D327" s="200"/>
      <c r="E327" s="200"/>
      <c r="F327" s="204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  <c r="AA327" s="200"/>
    </row>
    <row r="328">
      <c r="A328" s="200"/>
      <c r="B328" s="200"/>
      <c r="C328" s="200"/>
      <c r="D328" s="200"/>
      <c r="E328" s="200"/>
      <c r="F328" s="204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  <c r="AA328" s="200"/>
    </row>
    <row r="329">
      <c r="A329" s="200"/>
      <c r="B329" s="200"/>
      <c r="C329" s="200"/>
      <c r="D329" s="200"/>
      <c r="E329" s="200"/>
      <c r="F329" s="204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  <c r="AA329" s="200"/>
    </row>
    <row r="330">
      <c r="A330" s="200"/>
      <c r="B330" s="200"/>
      <c r="C330" s="200"/>
      <c r="D330" s="200"/>
      <c r="E330" s="200"/>
      <c r="F330" s="204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  <c r="AA330" s="200"/>
    </row>
    <row r="331">
      <c r="A331" s="200"/>
      <c r="B331" s="200"/>
      <c r="C331" s="200"/>
      <c r="D331" s="200"/>
      <c r="E331" s="200"/>
      <c r="F331" s="204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  <c r="AA331" s="200"/>
    </row>
    <row r="332">
      <c r="A332" s="200"/>
      <c r="B332" s="200"/>
      <c r="C332" s="200"/>
      <c r="D332" s="200"/>
      <c r="E332" s="200"/>
      <c r="F332" s="204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  <c r="AA332" s="200"/>
    </row>
    <row r="333">
      <c r="A333" s="200"/>
      <c r="B333" s="200"/>
      <c r="C333" s="200"/>
      <c r="D333" s="200"/>
      <c r="E333" s="200"/>
      <c r="F333" s="204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  <c r="AA333" s="200"/>
    </row>
    <row r="334">
      <c r="A334" s="200"/>
      <c r="B334" s="200"/>
      <c r="C334" s="200"/>
      <c r="D334" s="200"/>
      <c r="E334" s="200"/>
      <c r="F334" s="204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  <c r="AA334" s="200"/>
    </row>
    <row r="335">
      <c r="A335" s="200"/>
      <c r="B335" s="200"/>
      <c r="C335" s="200"/>
      <c r="D335" s="200"/>
      <c r="E335" s="200"/>
      <c r="F335" s="204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  <c r="AA335" s="200"/>
    </row>
    <row r="336">
      <c r="A336" s="200"/>
      <c r="B336" s="200"/>
      <c r="C336" s="200"/>
      <c r="D336" s="200"/>
      <c r="E336" s="200"/>
      <c r="F336" s="204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  <c r="AA336" s="200"/>
    </row>
    <row r="337">
      <c r="A337" s="200"/>
      <c r="B337" s="200"/>
      <c r="C337" s="200"/>
      <c r="D337" s="200"/>
      <c r="E337" s="200"/>
      <c r="F337" s="204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  <c r="AA337" s="200"/>
    </row>
    <row r="338">
      <c r="A338" s="200"/>
      <c r="B338" s="200"/>
      <c r="C338" s="200"/>
      <c r="D338" s="200"/>
      <c r="E338" s="200"/>
      <c r="F338" s="204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  <c r="AA338" s="200"/>
    </row>
    <row r="339">
      <c r="A339" s="200"/>
      <c r="B339" s="200"/>
      <c r="C339" s="200"/>
      <c r="D339" s="200"/>
      <c r="E339" s="200"/>
      <c r="F339" s="204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  <c r="AA339" s="200"/>
    </row>
    <row r="340">
      <c r="A340" s="200"/>
      <c r="B340" s="200"/>
      <c r="C340" s="200"/>
      <c r="D340" s="200"/>
      <c r="E340" s="200"/>
      <c r="F340" s="204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  <c r="AA340" s="200"/>
    </row>
    <row r="341">
      <c r="A341" s="200"/>
      <c r="B341" s="200"/>
      <c r="C341" s="200"/>
      <c r="D341" s="200"/>
      <c r="E341" s="200"/>
      <c r="F341" s="204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  <c r="AA341" s="200"/>
    </row>
    <row r="342">
      <c r="A342" s="200"/>
      <c r="B342" s="200"/>
      <c r="C342" s="200"/>
      <c r="D342" s="200"/>
      <c r="E342" s="200"/>
      <c r="F342" s="204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  <c r="AA342" s="200"/>
    </row>
    <row r="343">
      <c r="A343" s="200"/>
      <c r="B343" s="200"/>
      <c r="C343" s="200"/>
      <c r="D343" s="200"/>
      <c r="E343" s="200"/>
      <c r="F343" s="204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  <c r="AA343" s="200"/>
    </row>
    <row r="344">
      <c r="A344" s="200"/>
      <c r="B344" s="200"/>
      <c r="C344" s="200"/>
      <c r="D344" s="200"/>
      <c r="E344" s="200"/>
      <c r="F344" s="204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  <c r="AA344" s="200"/>
    </row>
    <row r="345">
      <c r="A345" s="200"/>
      <c r="B345" s="200"/>
      <c r="C345" s="200"/>
      <c r="D345" s="200"/>
      <c r="E345" s="200"/>
      <c r="F345" s="204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  <c r="AA345" s="200"/>
    </row>
    <row r="346">
      <c r="A346" s="200"/>
      <c r="B346" s="200"/>
      <c r="C346" s="200"/>
      <c r="D346" s="200"/>
      <c r="E346" s="200"/>
      <c r="F346" s="204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  <c r="AA346" s="200"/>
    </row>
    <row r="347">
      <c r="A347" s="200"/>
      <c r="B347" s="200"/>
      <c r="C347" s="200"/>
      <c r="D347" s="200"/>
      <c r="E347" s="200"/>
      <c r="F347" s="204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  <c r="AA347" s="200"/>
    </row>
    <row r="348">
      <c r="A348" s="200"/>
      <c r="B348" s="200"/>
      <c r="C348" s="200"/>
      <c r="D348" s="200"/>
      <c r="E348" s="200"/>
      <c r="F348" s="204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  <c r="AA348" s="200"/>
    </row>
    <row r="349">
      <c r="A349" s="200"/>
      <c r="B349" s="200"/>
      <c r="C349" s="200"/>
      <c r="D349" s="200"/>
      <c r="E349" s="200"/>
      <c r="F349" s="204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  <c r="AA349" s="200"/>
    </row>
    <row r="350">
      <c r="A350" s="200"/>
      <c r="B350" s="200"/>
      <c r="C350" s="200"/>
      <c r="D350" s="200"/>
      <c r="E350" s="200"/>
      <c r="F350" s="204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  <c r="AA350" s="200"/>
    </row>
    <row r="351">
      <c r="A351" s="200"/>
      <c r="B351" s="200"/>
      <c r="C351" s="200"/>
      <c r="D351" s="200"/>
      <c r="E351" s="200"/>
      <c r="F351" s="204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  <c r="AA351" s="200"/>
    </row>
    <row r="352">
      <c r="A352" s="200"/>
      <c r="B352" s="200"/>
      <c r="C352" s="200"/>
      <c r="D352" s="200"/>
      <c r="E352" s="200"/>
      <c r="F352" s="204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  <c r="AA352" s="200"/>
    </row>
    <row r="353">
      <c r="A353" s="200"/>
      <c r="B353" s="200"/>
      <c r="C353" s="200"/>
      <c r="D353" s="200"/>
      <c r="E353" s="200"/>
      <c r="F353" s="204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  <c r="AA353" s="200"/>
    </row>
    <row r="354">
      <c r="A354" s="200"/>
      <c r="B354" s="200"/>
      <c r="C354" s="200"/>
      <c r="D354" s="200"/>
      <c r="E354" s="200"/>
      <c r="F354" s="204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  <c r="AA354" s="200"/>
    </row>
    <row r="355">
      <c r="A355" s="200"/>
      <c r="B355" s="200"/>
      <c r="C355" s="200"/>
      <c r="D355" s="200"/>
      <c r="E355" s="200"/>
      <c r="F355" s="204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  <c r="AA355" s="200"/>
    </row>
    <row r="356">
      <c r="A356" s="200"/>
      <c r="B356" s="200"/>
      <c r="C356" s="200"/>
      <c r="D356" s="200"/>
      <c r="E356" s="200"/>
      <c r="F356" s="204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  <c r="AA356" s="200"/>
    </row>
    <row r="357">
      <c r="A357" s="200"/>
      <c r="B357" s="200"/>
      <c r="C357" s="200"/>
      <c r="D357" s="200"/>
      <c r="E357" s="200"/>
      <c r="F357" s="204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  <c r="AA357" s="200"/>
    </row>
    <row r="358">
      <c r="A358" s="200"/>
      <c r="B358" s="200"/>
      <c r="C358" s="200"/>
      <c r="D358" s="200"/>
      <c r="E358" s="200"/>
      <c r="F358" s="204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  <c r="AA358" s="200"/>
    </row>
    <row r="359">
      <c r="A359" s="200"/>
      <c r="B359" s="200"/>
      <c r="C359" s="200"/>
      <c r="D359" s="200"/>
      <c r="E359" s="200"/>
      <c r="F359" s="204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  <c r="AA359" s="200"/>
    </row>
    <row r="360">
      <c r="A360" s="200"/>
      <c r="B360" s="200"/>
      <c r="C360" s="200"/>
      <c r="D360" s="200"/>
      <c r="E360" s="200"/>
      <c r="F360" s="204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  <c r="AA360" s="200"/>
    </row>
    <row r="361">
      <c r="A361" s="200"/>
      <c r="B361" s="200"/>
      <c r="C361" s="200"/>
      <c r="D361" s="200"/>
      <c r="E361" s="200"/>
      <c r="F361" s="204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  <c r="AA361" s="200"/>
    </row>
    <row r="362">
      <c r="A362" s="200"/>
      <c r="B362" s="200"/>
      <c r="C362" s="200"/>
      <c r="D362" s="200"/>
      <c r="E362" s="200"/>
      <c r="F362" s="204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  <c r="AA362" s="200"/>
    </row>
    <row r="363">
      <c r="A363" s="200"/>
      <c r="B363" s="200"/>
      <c r="C363" s="200"/>
      <c r="D363" s="200"/>
      <c r="E363" s="200"/>
      <c r="F363" s="204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  <c r="AA363" s="200"/>
    </row>
    <row r="364">
      <c r="A364" s="200"/>
      <c r="B364" s="200"/>
      <c r="C364" s="200"/>
      <c r="D364" s="200"/>
      <c r="E364" s="200"/>
      <c r="F364" s="204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  <c r="AA364" s="200"/>
    </row>
    <row r="365">
      <c r="A365" s="200"/>
      <c r="B365" s="200"/>
      <c r="C365" s="200"/>
      <c r="D365" s="200"/>
      <c r="E365" s="200"/>
      <c r="F365" s="204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  <c r="AA365" s="200"/>
    </row>
    <row r="366">
      <c r="A366" s="200"/>
      <c r="B366" s="200"/>
      <c r="C366" s="200"/>
      <c r="D366" s="200"/>
      <c r="E366" s="200"/>
      <c r="F366" s="204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  <c r="AA366" s="200"/>
    </row>
    <row r="367">
      <c r="A367" s="200"/>
      <c r="B367" s="200"/>
      <c r="C367" s="200"/>
      <c r="D367" s="200"/>
      <c r="E367" s="200"/>
      <c r="F367" s="204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  <c r="AA367" s="200"/>
    </row>
    <row r="368">
      <c r="A368" s="200"/>
      <c r="B368" s="200"/>
      <c r="C368" s="200"/>
      <c r="D368" s="200"/>
      <c r="E368" s="200"/>
      <c r="F368" s="204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  <c r="AA368" s="200"/>
    </row>
    <row r="369">
      <c r="A369" s="200"/>
      <c r="B369" s="200"/>
      <c r="C369" s="200"/>
      <c r="D369" s="200"/>
      <c r="E369" s="200"/>
      <c r="F369" s="204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  <c r="AA369" s="200"/>
    </row>
    <row r="370">
      <c r="A370" s="200"/>
      <c r="B370" s="200"/>
      <c r="C370" s="200"/>
      <c r="D370" s="200"/>
      <c r="E370" s="200"/>
      <c r="F370" s="204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  <c r="AA370" s="200"/>
    </row>
    <row r="371">
      <c r="A371" s="200"/>
      <c r="B371" s="200"/>
      <c r="C371" s="200"/>
      <c r="D371" s="200"/>
      <c r="E371" s="200"/>
      <c r="F371" s="204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  <c r="AA371" s="200"/>
    </row>
    <row r="372">
      <c r="A372" s="200"/>
      <c r="B372" s="200"/>
      <c r="C372" s="200"/>
      <c r="D372" s="200"/>
      <c r="E372" s="200"/>
      <c r="F372" s="204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  <c r="AA372" s="200"/>
    </row>
    <row r="373">
      <c r="A373" s="200"/>
      <c r="B373" s="200"/>
      <c r="C373" s="200"/>
      <c r="D373" s="200"/>
      <c r="E373" s="200"/>
      <c r="F373" s="204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  <c r="AA373" s="200"/>
    </row>
    <row r="374">
      <c r="A374" s="200"/>
      <c r="B374" s="200"/>
      <c r="C374" s="200"/>
      <c r="D374" s="200"/>
      <c r="E374" s="200"/>
      <c r="F374" s="204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  <c r="AA374" s="200"/>
    </row>
    <row r="375">
      <c r="A375" s="200"/>
      <c r="B375" s="200"/>
      <c r="C375" s="200"/>
      <c r="D375" s="200"/>
      <c r="E375" s="200"/>
      <c r="F375" s="204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  <c r="AA375" s="200"/>
    </row>
    <row r="376">
      <c r="A376" s="200"/>
      <c r="B376" s="200"/>
      <c r="C376" s="200"/>
      <c r="D376" s="200"/>
      <c r="E376" s="200"/>
      <c r="F376" s="204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  <c r="AA376" s="200"/>
    </row>
    <row r="377">
      <c r="A377" s="200"/>
      <c r="B377" s="200"/>
      <c r="C377" s="200"/>
      <c r="D377" s="200"/>
      <c r="E377" s="200"/>
      <c r="F377" s="204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  <c r="AA377" s="200"/>
    </row>
    <row r="378">
      <c r="A378" s="200"/>
      <c r="B378" s="200"/>
      <c r="C378" s="200"/>
      <c r="D378" s="200"/>
      <c r="E378" s="200"/>
      <c r="F378" s="204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  <c r="AA378" s="200"/>
    </row>
    <row r="379">
      <c r="A379" s="200"/>
      <c r="B379" s="200"/>
      <c r="C379" s="200"/>
      <c r="D379" s="200"/>
      <c r="E379" s="200"/>
      <c r="F379" s="204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  <c r="AA379" s="200"/>
    </row>
    <row r="380">
      <c r="A380" s="200"/>
      <c r="B380" s="200"/>
      <c r="C380" s="200"/>
      <c r="D380" s="200"/>
      <c r="E380" s="200"/>
      <c r="F380" s="204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  <c r="AA380" s="200"/>
    </row>
    <row r="381">
      <c r="A381" s="200"/>
      <c r="B381" s="200"/>
      <c r="C381" s="200"/>
      <c r="D381" s="200"/>
      <c r="E381" s="200"/>
      <c r="F381" s="204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  <c r="AA381" s="200"/>
    </row>
    <row r="382">
      <c r="A382" s="200"/>
      <c r="B382" s="200"/>
      <c r="C382" s="200"/>
      <c r="D382" s="200"/>
      <c r="E382" s="200"/>
      <c r="F382" s="204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  <c r="AA382" s="200"/>
    </row>
    <row r="383">
      <c r="A383" s="200"/>
      <c r="B383" s="200"/>
      <c r="C383" s="200"/>
      <c r="D383" s="200"/>
      <c r="E383" s="200"/>
      <c r="F383" s="204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  <c r="AA383" s="200"/>
    </row>
    <row r="384">
      <c r="A384" s="200"/>
      <c r="B384" s="200"/>
      <c r="C384" s="200"/>
      <c r="D384" s="200"/>
      <c r="E384" s="200"/>
      <c r="F384" s="204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  <c r="AA384" s="200"/>
    </row>
    <row r="385">
      <c r="A385" s="200"/>
      <c r="B385" s="200"/>
      <c r="C385" s="200"/>
      <c r="D385" s="200"/>
      <c r="E385" s="200"/>
      <c r="F385" s="204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  <c r="AA385" s="200"/>
    </row>
    <row r="386">
      <c r="A386" s="200"/>
      <c r="B386" s="200"/>
      <c r="C386" s="200"/>
      <c r="D386" s="200"/>
      <c r="E386" s="200"/>
      <c r="F386" s="204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  <c r="AA386" s="200"/>
    </row>
    <row r="387">
      <c r="A387" s="200"/>
      <c r="B387" s="200"/>
      <c r="C387" s="200"/>
      <c r="D387" s="200"/>
      <c r="E387" s="200"/>
      <c r="F387" s="204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  <c r="AA387" s="200"/>
    </row>
    <row r="388">
      <c r="A388" s="200"/>
      <c r="B388" s="200"/>
      <c r="C388" s="200"/>
      <c r="D388" s="200"/>
      <c r="E388" s="200"/>
      <c r="F388" s="204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  <c r="AA388" s="200"/>
    </row>
    <row r="389">
      <c r="A389" s="200"/>
      <c r="B389" s="200"/>
      <c r="C389" s="200"/>
      <c r="D389" s="200"/>
      <c r="E389" s="200"/>
      <c r="F389" s="204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  <c r="AA389" s="200"/>
    </row>
    <row r="390">
      <c r="A390" s="200"/>
      <c r="B390" s="200"/>
      <c r="C390" s="200"/>
      <c r="D390" s="200"/>
      <c r="E390" s="200"/>
      <c r="F390" s="204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  <c r="AA390" s="200"/>
    </row>
    <row r="391">
      <c r="A391" s="200"/>
      <c r="B391" s="200"/>
      <c r="C391" s="200"/>
      <c r="D391" s="200"/>
      <c r="E391" s="200"/>
      <c r="F391" s="204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  <c r="AA391" s="200"/>
    </row>
    <row r="392">
      <c r="A392" s="200"/>
      <c r="B392" s="200"/>
      <c r="C392" s="200"/>
      <c r="D392" s="200"/>
      <c r="E392" s="200"/>
      <c r="F392" s="204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  <c r="AA392" s="200"/>
    </row>
    <row r="393">
      <c r="A393" s="200"/>
      <c r="B393" s="200"/>
      <c r="C393" s="200"/>
      <c r="D393" s="200"/>
      <c r="E393" s="200"/>
      <c r="F393" s="204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  <c r="AA393" s="200"/>
    </row>
    <row r="394">
      <c r="A394" s="200"/>
      <c r="B394" s="200"/>
      <c r="C394" s="200"/>
      <c r="D394" s="200"/>
      <c r="E394" s="200"/>
      <c r="F394" s="204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  <c r="AA394" s="200"/>
    </row>
    <row r="395">
      <c r="A395" s="200"/>
      <c r="B395" s="200"/>
      <c r="C395" s="200"/>
      <c r="D395" s="200"/>
      <c r="E395" s="200"/>
      <c r="F395" s="204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  <c r="AA395" s="200"/>
    </row>
    <row r="396">
      <c r="A396" s="200"/>
      <c r="B396" s="200"/>
      <c r="C396" s="200"/>
      <c r="D396" s="200"/>
      <c r="E396" s="200"/>
      <c r="F396" s="204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  <c r="AA396" s="200"/>
    </row>
    <row r="397">
      <c r="A397" s="200"/>
      <c r="B397" s="200"/>
      <c r="C397" s="200"/>
      <c r="D397" s="200"/>
      <c r="E397" s="200"/>
      <c r="F397" s="204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  <c r="AA397" s="200"/>
    </row>
    <row r="398">
      <c r="A398" s="200"/>
      <c r="B398" s="200"/>
      <c r="C398" s="200"/>
      <c r="D398" s="200"/>
      <c r="E398" s="200"/>
      <c r="F398" s="204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  <c r="AA398" s="200"/>
    </row>
    <row r="399">
      <c r="A399" s="200"/>
      <c r="B399" s="200"/>
      <c r="C399" s="200"/>
      <c r="D399" s="200"/>
      <c r="E399" s="200"/>
      <c r="F399" s="204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  <c r="AA399" s="200"/>
    </row>
    <row r="400">
      <c r="A400" s="200"/>
      <c r="B400" s="200"/>
      <c r="C400" s="200"/>
      <c r="D400" s="200"/>
      <c r="E400" s="200"/>
      <c r="F400" s="204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  <c r="AA400" s="200"/>
    </row>
    <row r="401">
      <c r="A401" s="200"/>
      <c r="B401" s="200"/>
      <c r="C401" s="200"/>
      <c r="D401" s="200"/>
      <c r="E401" s="200"/>
      <c r="F401" s="204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  <c r="AA401" s="200"/>
    </row>
    <row r="402">
      <c r="A402" s="200"/>
      <c r="B402" s="200"/>
      <c r="C402" s="200"/>
      <c r="D402" s="200"/>
      <c r="E402" s="200"/>
      <c r="F402" s="204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  <c r="AA402" s="200"/>
    </row>
    <row r="403">
      <c r="A403" s="200"/>
      <c r="B403" s="200"/>
      <c r="C403" s="200"/>
      <c r="D403" s="200"/>
      <c r="E403" s="200"/>
      <c r="F403" s="204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  <c r="AA403" s="200"/>
    </row>
    <row r="404">
      <c r="A404" s="200"/>
      <c r="B404" s="200"/>
      <c r="C404" s="200"/>
      <c r="D404" s="200"/>
      <c r="E404" s="200"/>
      <c r="F404" s="204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  <c r="AA404" s="200"/>
    </row>
    <row r="405">
      <c r="A405" s="200"/>
      <c r="B405" s="200"/>
      <c r="C405" s="200"/>
      <c r="D405" s="200"/>
      <c r="E405" s="200"/>
      <c r="F405" s="204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  <c r="AA405" s="200"/>
    </row>
    <row r="406">
      <c r="A406" s="200"/>
      <c r="B406" s="200"/>
      <c r="C406" s="200"/>
      <c r="D406" s="200"/>
      <c r="E406" s="200"/>
      <c r="F406" s="204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  <c r="AA406" s="200"/>
    </row>
    <row r="407">
      <c r="A407" s="200"/>
      <c r="B407" s="200"/>
      <c r="C407" s="200"/>
      <c r="D407" s="200"/>
      <c r="E407" s="200"/>
      <c r="F407" s="204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  <c r="AA407" s="200"/>
    </row>
    <row r="408">
      <c r="A408" s="200"/>
      <c r="B408" s="200"/>
      <c r="C408" s="200"/>
      <c r="D408" s="200"/>
      <c r="E408" s="200"/>
      <c r="F408" s="204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  <c r="AA408" s="200"/>
    </row>
    <row r="409">
      <c r="A409" s="200"/>
      <c r="B409" s="200"/>
      <c r="C409" s="200"/>
      <c r="D409" s="200"/>
      <c r="E409" s="200"/>
      <c r="F409" s="204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  <c r="AA409" s="200"/>
    </row>
    <row r="410">
      <c r="A410" s="200"/>
      <c r="B410" s="200"/>
      <c r="C410" s="200"/>
      <c r="D410" s="200"/>
      <c r="E410" s="200"/>
      <c r="F410" s="204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  <c r="AA410" s="200"/>
    </row>
    <row r="411">
      <c r="A411" s="200"/>
      <c r="B411" s="200"/>
      <c r="C411" s="200"/>
      <c r="D411" s="200"/>
      <c r="E411" s="200"/>
      <c r="F411" s="204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  <c r="AA411" s="200"/>
    </row>
    <row r="412">
      <c r="A412" s="200"/>
      <c r="B412" s="200"/>
      <c r="C412" s="200"/>
      <c r="D412" s="200"/>
      <c r="E412" s="200"/>
      <c r="F412" s="204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  <c r="AA412" s="200"/>
    </row>
    <row r="413">
      <c r="A413" s="200"/>
      <c r="B413" s="200"/>
      <c r="C413" s="200"/>
      <c r="D413" s="200"/>
      <c r="E413" s="200"/>
      <c r="F413" s="204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  <c r="AA413" s="200"/>
    </row>
    <row r="414">
      <c r="A414" s="200"/>
      <c r="B414" s="200"/>
      <c r="C414" s="200"/>
      <c r="D414" s="200"/>
      <c r="E414" s="200"/>
      <c r="F414" s="204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  <c r="AA414" s="200"/>
    </row>
    <row r="415">
      <c r="A415" s="200"/>
      <c r="B415" s="200"/>
      <c r="C415" s="200"/>
      <c r="D415" s="200"/>
      <c r="E415" s="200"/>
      <c r="F415" s="204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  <c r="AA415" s="200"/>
    </row>
    <row r="416">
      <c r="A416" s="200"/>
      <c r="B416" s="200"/>
      <c r="C416" s="200"/>
      <c r="D416" s="200"/>
      <c r="E416" s="200"/>
      <c r="F416" s="204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  <c r="AA416" s="200"/>
    </row>
    <row r="417">
      <c r="A417" s="200"/>
      <c r="B417" s="200"/>
      <c r="C417" s="200"/>
      <c r="D417" s="200"/>
      <c r="E417" s="200"/>
      <c r="F417" s="204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  <c r="AA417" s="200"/>
    </row>
    <row r="418">
      <c r="A418" s="200"/>
      <c r="B418" s="200"/>
      <c r="C418" s="200"/>
      <c r="D418" s="200"/>
      <c r="E418" s="200"/>
      <c r="F418" s="204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  <c r="AA418" s="200"/>
    </row>
    <row r="419">
      <c r="A419" s="200"/>
      <c r="B419" s="200"/>
      <c r="C419" s="200"/>
      <c r="D419" s="200"/>
      <c r="E419" s="200"/>
      <c r="F419" s="204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  <c r="AA419" s="200"/>
    </row>
    <row r="420">
      <c r="A420" s="200"/>
      <c r="B420" s="200"/>
      <c r="C420" s="200"/>
      <c r="D420" s="200"/>
      <c r="E420" s="200"/>
      <c r="F420" s="204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  <c r="AA420" s="200"/>
    </row>
    <row r="421">
      <c r="A421" s="200"/>
      <c r="B421" s="200"/>
      <c r="C421" s="200"/>
      <c r="D421" s="200"/>
      <c r="E421" s="200"/>
      <c r="F421" s="204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  <c r="AA421" s="200"/>
    </row>
    <row r="422">
      <c r="A422" s="200"/>
      <c r="B422" s="200"/>
      <c r="C422" s="200"/>
      <c r="D422" s="200"/>
      <c r="E422" s="200"/>
      <c r="F422" s="204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  <c r="AA422" s="200"/>
    </row>
    <row r="423">
      <c r="A423" s="200"/>
      <c r="B423" s="200"/>
      <c r="C423" s="200"/>
      <c r="D423" s="200"/>
      <c r="E423" s="200"/>
      <c r="F423" s="204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  <c r="AA423" s="200"/>
    </row>
    <row r="424">
      <c r="A424" s="200"/>
      <c r="B424" s="200"/>
      <c r="C424" s="200"/>
      <c r="D424" s="200"/>
      <c r="E424" s="200"/>
      <c r="F424" s="204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  <c r="AA424" s="200"/>
    </row>
    <row r="425">
      <c r="A425" s="200"/>
      <c r="B425" s="200"/>
      <c r="C425" s="200"/>
      <c r="D425" s="200"/>
      <c r="E425" s="200"/>
      <c r="F425" s="204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  <c r="AA425" s="200"/>
    </row>
    <row r="426">
      <c r="A426" s="200"/>
      <c r="B426" s="200"/>
      <c r="C426" s="200"/>
      <c r="D426" s="200"/>
      <c r="E426" s="200"/>
      <c r="F426" s="204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  <c r="AA426" s="200"/>
    </row>
    <row r="427">
      <c r="A427" s="200"/>
      <c r="B427" s="200"/>
      <c r="C427" s="200"/>
      <c r="D427" s="200"/>
      <c r="E427" s="200"/>
      <c r="F427" s="204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  <c r="AA427" s="200"/>
    </row>
    <row r="428">
      <c r="A428" s="200"/>
      <c r="B428" s="200"/>
      <c r="C428" s="200"/>
      <c r="D428" s="200"/>
      <c r="E428" s="200"/>
      <c r="F428" s="204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  <c r="AA428" s="200"/>
    </row>
    <row r="429">
      <c r="A429" s="200"/>
      <c r="B429" s="200"/>
      <c r="C429" s="200"/>
      <c r="D429" s="200"/>
      <c r="E429" s="200"/>
      <c r="F429" s="204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  <c r="AA429" s="200"/>
    </row>
    <row r="430">
      <c r="A430" s="200"/>
      <c r="B430" s="200"/>
      <c r="C430" s="200"/>
      <c r="D430" s="200"/>
      <c r="E430" s="200"/>
      <c r="F430" s="204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  <c r="AA430" s="200"/>
    </row>
    <row r="431">
      <c r="A431" s="200"/>
      <c r="B431" s="200"/>
      <c r="C431" s="200"/>
      <c r="D431" s="200"/>
      <c r="E431" s="200"/>
      <c r="F431" s="204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  <c r="AA431" s="200"/>
    </row>
    <row r="432">
      <c r="A432" s="200"/>
      <c r="B432" s="200"/>
      <c r="C432" s="200"/>
      <c r="D432" s="200"/>
      <c r="E432" s="200"/>
      <c r="F432" s="204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  <c r="AA432" s="200"/>
    </row>
    <row r="433">
      <c r="A433" s="200"/>
      <c r="B433" s="200"/>
      <c r="C433" s="200"/>
      <c r="D433" s="200"/>
      <c r="E433" s="200"/>
      <c r="F433" s="204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  <c r="AA433" s="200"/>
    </row>
    <row r="434">
      <c r="A434" s="200"/>
      <c r="B434" s="200"/>
      <c r="C434" s="200"/>
      <c r="D434" s="200"/>
      <c r="E434" s="200"/>
      <c r="F434" s="204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  <c r="AA434" s="200"/>
    </row>
    <row r="435">
      <c r="A435" s="200"/>
      <c r="B435" s="200"/>
      <c r="C435" s="200"/>
      <c r="D435" s="200"/>
      <c r="E435" s="200"/>
      <c r="F435" s="204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  <c r="AA435" s="200"/>
    </row>
    <row r="436">
      <c r="A436" s="200"/>
      <c r="B436" s="200"/>
      <c r="C436" s="200"/>
      <c r="D436" s="200"/>
      <c r="E436" s="200"/>
      <c r="F436" s="204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  <c r="AA436" s="200"/>
    </row>
    <row r="437">
      <c r="A437" s="200"/>
      <c r="B437" s="200"/>
      <c r="C437" s="200"/>
      <c r="D437" s="200"/>
      <c r="E437" s="200"/>
      <c r="F437" s="204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  <c r="AA437" s="200"/>
    </row>
    <row r="438">
      <c r="A438" s="200"/>
      <c r="B438" s="200"/>
      <c r="C438" s="200"/>
      <c r="D438" s="200"/>
      <c r="E438" s="200"/>
      <c r="F438" s="204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  <c r="AA438" s="200"/>
    </row>
    <row r="439">
      <c r="A439" s="200"/>
      <c r="B439" s="200"/>
      <c r="C439" s="200"/>
      <c r="D439" s="200"/>
      <c r="E439" s="200"/>
      <c r="F439" s="204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  <c r="AA439" s="200"/>
    </row>
    <row r="440">
      <c r="A440" s="200"/>
      <c r="B440" s="200"/>
      <c r="C440" s="200"/>
      <c r="D440" s="200"/>
      <c r="E440" s="200"/>
      <c r="F440" s="204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  <c r="AA440" s="200"/>
    </row>
    <row r="441">
      <c r="A441" s="200"/>
      <c r="B441" s="200"/>
      <c r="C441" s="200"/>
      <c r="D441" s="200"/>
      <c r="E441" s="200"/>
      <c r="F441" s="204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  <c r="AA441" s="200"/>
    </row>
    <row r="442">
      <c r="A442" s="200"/>
      <c r="B442" s="200"/>
      <c r="C442" s="200"/>
      <c r="D442" s="200"/>
      <c r="E442" s="200"/>
      <c r="F442" s="204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  <c r="AA442" s="200"/>
    </row>
    <row r="443">
      <c r="A443" s="200"/>
      <c r="B443" s="200"/>
      <c r="C443" s="200"/>
      <c r="D443" s="200"/>
      <c r="E443" s="200"/>
      <c r="F443" s="204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  <c r="AA443" s="200"/>
    </row>
    <row r="444">
      <c r="A444" s="200"/>
      <c r="B444" s="200"/>
      <c r="C444" s="200"/>
      <c r="D444" s="200"/>
      <c r="E444" s="200"/>
      <c r="F444" s="204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  <c r="AA444" s="200"/>
    </row>
    <row r="445">
      <c r="A445" s="200"/>
      <c r="B445" s="200"/>
      <c r="C445" s="200"/>
      <c r="D445" s="200"/>
      <c r="E445" s="200"/>
      <c r="F445" s="204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  <c r="AA445" s="200"/>
    </row>
    <row r="446">
      <c r="A446" s="200"/>
      <c r="B446" s="200"/>
      <c r="C446" s="200"/>
      <c r="D446" s="200"/>
      <c r="E446" s="200"/>
      <c r="F446" s="204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  <c r="AA446" s="200"/>
    </row>
    <row r="447">
      <c r="A447" s="200"/>
      <c r="B447" s="200"/>
      <c r="C447" s="200"/>
      <c r="D447" s="200"/>
      <c r="E447" s="200"/>
      <c r="F447" s="204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  <c r="AA447" s="200"/>
    </row>
    <row r="448">
      <c r="A448" s="200"/>
      <c r="B448" s="200"/>
      <c r="C448" s="200"/>
      <c r="D448" s="200"/>
      <c r="E448" s="200"/>
      <c r="F448" s="204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  <c r="AA448" s="200"/>
    </row>
    <row r="449">
      <c r="A449" s="200"/>
      <c r="B449" s="200"/>
      <c r="C449" s="200"/>
      <c r="D449" s="200"/>
      <c r="E449" s="200"/>
      <c r="F449" s="204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  <c r="AA449" s="200"/>
    </row>
    <row r="450">
      <c r="A450" s="200"/>
      <c r="B450" s="200"/>
      <c r="C450" s="200"/>
      <c r="D450" s="200"/>
      <c r="E450" s="200"/>
      <c r="F450" s="204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  <c r="AA450" s="200"/>
    </row>
    <row r="451">
      <c r="A451" s="200"/>
      <c r="B451" s="200"/>
      <c r="C451" s="200"/>
      <c r="D451" s="200"/>
      <c r="E451" s="200"/>
      <c r="F451" s="204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  <c r="AA451" s="200"/>
    </row>
    <row r="452">
      <c r="A452" s="200"/>
      <c r="B452" s="200"/>
      <c r="C452" s="200"/>
      <c r="D452" s="200"/>
      <c r="E452" s="200"/>
      <c r="F452" s="204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  <c r="AA452" s="200"/>
    </row>
    <row r="453">
      <c r="A453" s="200"/>
      <c r="B453" s="200"/>
      <c r="C453" s="200"/>
      <c r="D453" s="200"/>
      <c r="E453" s="200"/>
      <c r="F453" s="204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  <c r="AA453" s="200"/>
    </row>
    <row r="454">
      <c r="A454" s="200"/>
      <c r="B454" s="200"/>
      <c r="C454" s="200"/>
      <c r="D454" s="200"/>
      <c r="E454" s="200"/>
      <c r="F454" s="204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  <c r="AA454" s="200"/>
    </row>
    <row r="455">
      <c r="A455" s="200"/>
      <c r="B455" s="200"/>
      <c r="C455" s="200"/>
      <c r="D455" s="200"/>
      <c r="E455" s="200"/>
      <c r="F455" s="204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  <c r="AA455" s="200"/>
    </row>
    <row r="456">
      <c r="A456" s="200"/>
      <c r="B456" s="200"/>
      <c r="C456" s="200"/>
      <c r="D456" s="200"/>
      <c r="E456" s="200"/>
      <c r="F456" s="204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  <c r="AA456" s="200"/>
    </row>
    <row r="457">
      <c r="A457" s="200"/>
      <c r="B457" s="200"/>
      <c r="C457" s="200"/>
      <c r="D457" s="200"/>
      <c r="E457" s="200"/>
      <c r="F457" s="204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  <c r="AA457" s="200"/>
    </row>
    <row r="458">
      <c r="A458" s="200"/>
      <c r="B458" s="200"/>
      <c r="C458" s="200"/>
      <c r="D458" s="200"/>
      <c r="E458" s="200"/>
      <c r="F458" s="204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  <c r="AA458" s="200"/>
    </row>
    <row r="459">
      <c r="A459" s="200"/>
      <c r="B459" s="200"/>
      <c r="C459" s="200"/>
      <c r="D459" s="200"/>
      <c r="E459" s="200"/>
      <c r="F459" s="204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  <c r="AA459" s="200"/>
    </row>
    <row r="460">
      <c r="A460" s="200"/>
      <c r="B460" s="200"/>
      <c r="C460" s="200"/>
      <c r="D460" s="200"/>
      <c r="E460" s="200"/>
      <c r="F460" s="204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  <c r="AA460" s="200"/>
    </row>
    <row r="461">
      <c r="A461" s="200"/>
      <c r="B461" s="200"/>
      <c r="C461" s="200"/>
      <c r="D461" s="200"/>
      <c r="E461" s="200"/>
      <c r="F461" s="204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  <c r="AA461" s="200"/>
    </row>
    <row r="462">
      <c r="A462" s="200"/>
      <c r="B462" s="200"/>
      <c r="C462" s="200"/>
      <c r="D462" s="200"/>
      <c r="E462" s="200"/>
      <c r="F462" s="204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  <c r="AA462" s="200"/>
    </row>
    <row r="463">
      <c r="A463" s="200"/>
      <c r="B463" s="200"/>
      <c r="C463" s="200"/>
      <c r="D463" s="200"/>
      <c r="E463" s="200"/>
      <c r="F463" s="204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  <c r="AA463" s="200"/>
    </row>
    <row r="464">
      <c r="A464" s="200"/>
      <c r="B464" s="200"/>
      <c r="C464" s="200"/>
      <c r="D464" s="200"/>
      <c r="E464" s="200"/>
      <c r="F464" s="204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  <c r="AA464" s="200"/>
    </row>
    <row r="465">
      <c r="A465" s="200"/>
      <c r="B465" s="200"/>
      <c r="C465" s="200"/>
      <c r="D465" s="200"/>
      <c r="E465" s="200"/>
      <c r="F465" s="204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  <c r="AA465" s="200"/>
    </row>
    <row r="466">
      <c r="A466" s="200"/>
      <c r="B466" s="200"/>
      <c r="C466" s="200"/>
      <c r="D466" s="200"/>
      <c r="E466" s="200"/>
      <c r="F466" s="204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  <c r="AA466" s="200"/>
    </row>
    <row r="467">
      <c r="A467" s="200"/>
      <c r="B467" s="200"/>
      <c r="C467" s="200"/>
      <c r="D467" s="200"/>
      <c r="E467" s="200"/>
      <c r="F467" s="204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  <c r="AA467" s="200"/>
    </row>
    <row r="468">
      <c r="A468" s="200"/>
      <c r="B468" s="200"/>
      <c r="C468" s="200"/>
      <c r="D468" s="200"/>
      <c r="E468" s="200"/>
      <c r="F468" s="204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  <c r="AA468" s="200"/>
    </row>
    <row r="469">
      <c r="A469" s="200"/>
      <c r="B469" s="200"/>
      <c r="C469" s="200"/>
      <c r="D469" s="200"/>
      <c r="E469" s="200"/>
      <c r="F469" s="204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  <c r="AA469" s="200"/>
    </row>
    <row r="470">
      <c r="A470" s="200"/>
      <c r="B470" s="200"/>
      <c r="C470" s="200"/>
      <c r="D470" s="200"/>
      <c r="E470" s="200"/>
      <c r="F470" s="204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  <c r="AA470" s="200"/>
    </row>
    <row r="471">
      <c r="A471" s="200"/>
      <c r="B471" s="200"/>
      <c r="C471" s="200"/>
      <c r="D471" s="200"/>
      <c r="E471" s="200"/>
      <c r="F471" s="204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  <c r="AA471" s="200"/>
    </row>
    <row r="472">
      <c r="A472" s="200"/>
      <c r="B472" s="200"/>
      <c r="C472" s="200"/>
      <c r="D472" s="200"/>
      <c r="E472" s="200"/>
      <c r="F472" s="204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  <c r="AA472" s="200"/>
    </row>
    <row r="473">
      <c r="A473" s="200"/>
      <c r="B473" s="200"/>
      <c r="C473" s="200"/>
      <c r="D473" s="200"/>
      <c r="E473" s="200"/>
      <c r="F473" s="204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  <c r="AA473" s="200"/>
    </row>
    <row r="474">
      <c r="A474" s="200"/>
      <c r="B474" s="200"/>
      <c r="C474" s="200"/>
      <c r="D474" s="200"/>
      <c r="E474" s="200"/>
      <c r="F474" s="204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  <c r="AA474" s="200"/>
    </row>
    <row r="475">
      <c r="A475" s="200"/>
      <c r="B475" s="200"/>
      <c r="C475" s="200"/>
      <c r="D475" s="200"/>
      <c r="E475" s="200"/>
      <c r="F475" s="204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  <c r="AA475" s="200"/>
    </row>
    <row r="476">
      <c r="A476" s="200"/>
      <c r="B476" s="200"/>
      <c r="C476" s="200"/>
      <c r="D476" s="200"/>
      <c r="E476" s="200"/>
      <c r="F476" s="204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  <c r="AA476" s="200"/>
    </row>
    <row r="477">
      <c r="A477" s="200"/>
      <c r="B477" s="200"/>
      <c r="C477" s="200"/>
      <c r="D477" s="200"/>
      <c r="E477" s="200"/>
      <c r="F477" s="204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  <c r="AA477" s="200"/>
    </row>
    <row r="478">
      <c r="A478" s="200"/>
      <c r="B478" s="200"/>
      <c r="C478" s="200"/>
      <c r="D478" s="200"/>
      <c r="E478" s="200"/>
      <c r="F478" s="204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  <c r="AA478" s="200"/>
    </row>
    <row r="479">
      <c r="A479" s="200"/>
      <c r="B479" s="200"/>
      <c r="C479" s="200"/>
      <c r="D479" s="200"/>
      <c r="E479" s="200"/>
      <c r="F479" s="204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  <c r="AA479" s="200"/>
    </row>
    <row r="480">
      <c r="A480" s="200"/>
      <c r="B480" s="200"/>
      <c r="C480" s="200"/>
      <c r="D480" s="200"/>
      <c r="E480" s="200"/>
      <c r="F480" s="204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  <c r="AA480" s="200"/>
    </row>
    <row r="481">
      <c r="A481" s="200"/>
      <c r="B481" s="200"/>
      <c r="C481" s="200"/>
      <c r="D481" s="200"/>
      <c r="E481" s="200"/>
      <c r="F481" s="204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  <c r="AA481" s="200"/>
    </row>
    <row r="482">
      <c r="A482" s="200"/>
      <c r="B482" s="200"/>
      <c r="C482" s="200"/>
      <c r="D482" s="200"/>
      <c r="E482" s="200"/>
      <c r="F482" s="204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  <c r="AA482" s="200"/>
    </row>
    <row r="483">
      <c r="A483" s="200"/>
      <c r="B483" s="200"/>
      <c r="C483" s="200"/>
      <c r="D483" s="200"/>
      <c r="E483" s="200"/>
      <c r="F483" s="204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  <c r="AA483" s="200"/>
    </row>
    <row r="484">
      <c r="A484" s="200"/>
      <c r="B484" s="200"/>
      <c r="C484" s="200"/>
      <c r="D484" s="200"/>
      <c r="E484" s="200"/>
      <c r="F484" s="204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  <c r="AA484" s="200"/>
    </row>
    <row r="485">
      <c r="A485" s="200"/>
      <c r="B485" s="200"/>
      <c r="C485" s="200"/>
      <c r="D485" s="200"/>
      <c r="E485" s="200"/>
      <c r="F485" s="204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  <c r="AA485" s="200"/>
    </row>
    <row r="486">
      <c r="A486" s="200"/>
      <c r="B486" s="200"/>
      <c r="C486" s="200"/>
      <c r="D486" s="200"/>
      <c r="E486" s="200"/>
      <c r="F486" s="204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  <c r="AA486" s="200"/>
    </row>
    <row r="487">
      <c r="A487" s="200"/>
      <c r="B487" s="200"/>
      <c r="C487" s="200"/>
      <c r="D487" s="200"/>
      <c r="E487" s="200"/>
      <c r="F487" s="204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  <c r="AA487" s="200"/>
    </row>
    <row r="488">
      <c r="A488" s="200"/>
      <c r="B488" s="200"/>
      <c r="C488" s="200"/>
      <c r="D488" s="200"/>
      <c r="E488" s="200"/>
      <c r="F488" s="204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  <c r="AA488" s="200"/>
    </row>
    <row r="489">
      <c r="A489" s="200"/>
      <c r="B489" s="200"/>
      <c r="C489" s="200"/>
      <c r="D489" s="200"/>
      <c r="E489" s="200"/>
      <c r="F489" s="204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  <c r="AA489" s="200"/>
    </row>
    <row r="490">
      <c r="A490" s="200"/>
      <c r="B490" s="200"/>
      <c r="C490" s="200"/>
      <c r="D490" s="200"/>
      <c r="E490" s="200"/>
      <c r="F490" s="204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  <c r="AA490" s="200"/>
    </row>
    <row r="491">
      <c r="A491" s="200"/>
      <c r="B491" s="200"/>
      <c r="C491" s="200"/>
      <c r="D491" s="200"/>
      <c r="E491" s="200"/>
      <c r="F491" s="204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  <c r="AA491" s="200"/>
    </row>
    <row r="492">
      <c r="A492" s="200"/>
      <c r="B492" s="200"/>
      <c r="C492" s="200"/>
      <c r="D492" s="200"/>
      <c r="E492" s="200"/>
      <c r="F492" s="204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  <c r="AA492" s="200"/>
    </row>
    <row r="493">
      <c r="A493" s="200"/>
      <c r="B493" s="200"/>
      <c r="C493" s="200"/>
      <c r="D493" s="200"/>
      <c r="E493" s="200"/>
      <c r="F493" s="204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  <c r="AA493" s="200"/>
    </row>
    <row r="494">
      <c r="A494" s="200"/>
      <c r="B494" s="200"/>
      <c r="C494" s="200"/>
      <c r="D494" s="200"/>
      <c r="E494" s="200"/>
      <c r="F494" s="204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</row>
    <row r="495">
      <c r="A495" s="200"/>
      <c r="B495" s="200"/>
      <c r="C495" s="200"/>
      <c r="D495" s="200"/>
      <c r="E495" s="200"/>
      <c r="F495" s="204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  <c r="AA495" s="200"/>
    </row>
    <row r="496">
      <c r="A496" s="200"/>
      <c r="B496" s="200"/>
      <c r="C496" s="200"/>
      <c r="D496" s="200"/>
      <c r="E496" s="200"/>
      <c r="F496" s="204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  <c r="AA496" s="200"/>
    </row>
    <row r="497">
      <c r="A497" s="200"/>
      <c r="B497" s="200"/>
      <c r="C497" s="200"/>
      <c r="D497" s="200"/>
      <c r="E497" s="200"/>
      <c r="F497" s="204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  <c r="AA497" s="200"/>
    </row>
    <row r="498">
      <c r="A498" s="200"/>
      <c r="B498" s="200"/>
      <c r="C498" s="200"/>
      <c r="D498" s="200"/>
      <c r="E498" s="200"/>
      <c r="F498" s="204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  <c r="AA498" s="200"/>
    </row>
    <row r="499">
      <c r="A499" s="200"/>
      <c r="B499" s="200"/>
      <c r="C499" s="200"/>
      <c r="D499" s="200"/>
      <c r="E499" s="200"/>
      <c r="F499" s="204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  <c r="AA499" s="200"/>
    </row>
    <row r="500">
      <c r="A500" s="200"/>
      <c r="B500" s="200"/>
      <c r="C500" s="200"/>
      <c r="D500" s="200"/>
      <c r="E500" s="200"/>
      <c r="F500" s="204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  <c r="AA500" s="200"/>
    </row>
    <row r="501">
      <c r="A501" s="200"/>
      <c r="B501" s="200"/>
      <c r="C501" s="200"/>
      <c r="D501" s="200"/>
      <c r="E501" s="200"/>
      <c r="F501" s="204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  <c r="AA501" s="200"/>
    </row>
    <row r="502">
      <c r="A502" s="200"/>
      <c r="B502" s="200"/>
      <c r="C502" s="200"/>
      <c r="D502" s="200"/>
      <c r="E502" s="200"/>
      <c r="F502" s="204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  <c r="AA502" s="200"/>
    </row>
    <row r="503">
      <c r="A503" s="200"/>
      <c r="B503" s="200"/>
      <c r="C503" s="200"/>
      <c r="D503" s="200"/>
      <c r="E503" s="200"/>
      <c r="F503" s="204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  <c r="AA503" s="200"/>
    </row>
    <row r="504">
      <c r="A504" s="200"/>
      <c r="B504" s="200"/>
      <c r="C504" s="200"/>
      <c r="D504" s="200"/>
      <c r="E504" s="200"/>
      <c r="F504" s="204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  <c r="AA504" s="200"/>
    </row>
    <row r="505">
      <c r="A505" s="200"/>
      <c r="B505" s="200"/>
      <c r="C505" s="200"/>
      <c r="D505" s="200"/>
      <c r="E505" s="200"/>
      <c r="F505" s="204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  <c r="AA505" s="200"/>
    </row>
    <row r="506">
      <c r="A506" s="200"/>
      <c r="B506" s="200"/>
      <c r="C506" s="200"/>
      <c r="D506" s="200"/>
      <c r="E506" s="200"/>
      <c r="F506" s="204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  <c r="AA506" s="200"/>
    </row>
    <row r="507">
      <c r="A507" s="200"/>
      <c r="B507" s="200"/>
      <c r="C507" s="200"/>
      <c r="D507" s="200"/>
      <c r="E507" s="200"/>
      <c r="F507" s="204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  <c r="AA507" s="200"/>
    </row>
    <row r="508">
      <c r="A508" s="200"/>
      <c r="B508" s="200"/>
      <c r="C508" s="200"/>
      <c r="D508" s="200"/>
      <c r="E508" s="200"/>
      <c r="F508" s="204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  <c r="AA508" s="200"/>
    </row>
    <row r="509">
      <c r="A509" s="200"/>
      <c r="B509" s="200"/>
      <c r="C509" s="200"/>
      <c r="D509" s="200"/>
      <c r="E509" s="200"/>
      <c r="F509" s="204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  <c r="AA509" s="200"/>
    </row>
    <row r="510">
      <c r="A510" s="200"/>
      <c r="B510" s="200"/>
      <c r="C510" s="200"/>
      <c r="D510" s="200"/>
      <c r="E510" s="200"/>
      <c r="F510" s="204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  <c r="AA510" s="200"/>
    </row>
    <row r="511">
      <c r="A511" s="200"/>
      <c r="B511" s="200"/>
      <c r="C511" s="200"/>
      <c r="D511" s="200"/>
      <c r="E511" s="200"/>
      <c r="F511" s="204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  <c r="AA511" s="200"/>
    </row>
    <row r="512">
      <c r="A512" s="200"/>
      <c r="B512" s="200"/>
      <c r="C512" s="200"/>
      <c r="D512" s="200"/>
      <c r="E512" s="200"/>
      <c r="F512" s="204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  <c r="AA512" s="200"/>
    </row>
    <row r="513">
      <c r="A513" s="200"/>
      <c r="B513" s="200"/>
      <c r="C513" s="200"/>
      <c r="D513" s="200"/>
      <c r="E513" s="200"/>
      <c r="F513" s="204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  <c r="AA513" s="200"/>
    </row>
    <row r="514">
      <c r="A514" s="200"/>
      <c r="B514" s="200"/>
      <c r="C514" s="200"/>
      <c r="D514" s="200"/>
      <c r="E514" s="200"/>
      <c r="F514" s="204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  <c r="AA514" s="200"/>
    </row>
    <row r="515">
      <c r="A515" s="200"/>
      <c r="B515" s="200"/>
      <c r="C515" s="200"/>
      <c r="D515" s="200"/>
      <c r="E515" s="200"/>
      <c r="F515" s="204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  <c r="AA515" s="200"/>
    </row>
    <row r="516">
      <c r="A516" s="200"/>
      <c r="B516" s="200"/>
      <c r="C516" s="200"/>
      <c r="D516" s="200"/>
      <c r="E516" s="200"/>
      <c r="F516" s="204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  <c r="AA516" s="200"/>
    </row>
    <row r="517">
      <c r="A517" s="200"/>
      <c r="B517" s="200"/>
      <c r="C517" s="200"/>
      <c r="D517" s="200"/>
      <c r="E517" s="200"/>
      <c r="F517" s="204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</row>
    <row r="518">
      <c r="A518" s="200"/>
      <c r="B518" s="200"/>
      <c r="C518" s="200"/>
      <c r="D518" s="200"/>
      <c r="E518" s="200"/>
      <c r="F518" s="204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</row>
    <row r="519">
      <c r="A519" s="200"/>
      <c r="B519" s="200"/>
      <c r="C519" s="200"/>
      <c r="D519" s="200"/>
      <c r="E519" s="200"/>
      <c r="F519" s="204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</row>
    <row r="520">
      <c r="A520" s="200"/>
      <c r="B520" s="200"/>
      <c r="C520" s="200"/>
      <c r="D520" s="200"/>
      <c r="E520" s="200"/>
      <c r="F520" s="204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  <c r="AA520" s="200"/>
    </row>
    <row r="521">
      <c r="A521" s="200"/>
      <c r="B521" s="200"/>
      <c r="C521" s="200"/>
      <c r="D521" s="200"/>
      <c r="E521" s="200"/>
      <c r="F521" s="204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  <c r="AA521" s="200"/>
    </row>
    <row r="522">
      <c r="A522" s="200"/>
      <c r="B522" s="200"/>
      <c r="C522" s="200"/>
      <c r="D522" s="200"/>
      <c r="E522" s="200"/>
      <c r="F522" s="204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</row>
    <row r="523">
      <c r="A523" s="200"/>
      <c r="B523" s="200"/>
      <c r="C523" s="200"/>
      <c r="D523" s="200"/>
      <c r="E523" s="200"/>
      <c r="F523" s="204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  <c r="AA523" s="200"/>
    </row>
    <row r="524">
      <c r="A524" s="200"/>
      <c r="B524" s="200"/>
      <c r="C524" s="200"/>
      <c r="D524" s="200"/>
      <c r="E524" s="200"/>
      <c r="F524" s="204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  <c r="AA524" s="200"/>
    </row>
    <row r="525">
      <c r="A525" s="200"/>
      <c r="B525" s="200"/>
      <c r="C525" s="200"/>
      <c r="D525" s="200"/>
      <c r="E525" s="200"/>
      <c r="F525" s="204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  <c r="AA525" s="200"/>
    </row>
    <row r="526">
      <c r="A526" s="200"/>
      <c r="B526" s="200"/>
      <c r="C526" s="200"/>
      <c r="D526" s="200"/>
      <c r="E526" s="200"/>
      <c r="F526" s="204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  <c r="AA526" s="200"/>
    </row>
    <row r="527">
      <c r="A527" s="200"/>
      <c r="B527" s="200"/>
      <c r="C527" s="200"/>
      <c r="D527" s="200"/>
      <c r="E527" s="200"/>
      <c r="F527" s="204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  <c r="AA527" s="200"/>
    </row>
    <row r="528">
      <c r="A528" s="200"/>
      <c r="B528" s="200"/>
      <c r="C528" s="200"/>
      <c r="D528" s="200"/>
      <c r="E528" s="200"/>
      <c r="F528" s="204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  <c r="AA528" s="200"/>
    </row>
    <row r="529">
      <c r="A529" s="200"/>
      <c r="B529" s="200"/>
      <c r="C529" s="200"/>
      <c r="D529" s="200"/>
      <c r="E529" s="200"/>
      <c r="F529" s="204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  <c r="AA529" s="200"/>
    </row>
    <row r="530">
      <c r="A530" s="200"/>
      <c r="B530" s="200"/>
      <c r="C530" s="200"/>
      <c r="D530" s="200"/>
      <c r="E530" s="200"/>
      <c r="F530" s="204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  <c r="AA530" s="200"/>
    </row>
    <row r="531">
      <c r="A531" s="200"/>
      <c r="B531" s="200"/>
      <c r="C531" s="200"/>
      <c r="D531" s="200"/>
      <c r="E531" s="200"/>
      <c r="F531" s="204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  <c r="AA531" s="200"/>
    </row>
    <row r="532">
      <c r="A532" s="200"/>
      <c r="B532" s="200"/>
      <c r="C532" s="200"/>
      <c r="D532" s="200"/>
      <c r="E532" s="200"/>
      <c r="F532" s="204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  <c r="AA532" s="200"/>
    </row>
    <row r="533">
      <c r="A533" s="200"/>
      <c r="B533" s="200"/>
      <c r="C533" s="200"/>
      <c r="D533" s="200"/>
      <c r="E533" s="200"/>
      <c r="F533" s="204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  <c r="AA533" s="200"/>
    </row>
    <row r="534">
      <c r="A534" s="200"/>
      <c r="B534" s="200"/>
      <c r="C534" s="200"/>
      <c r="D534" s="200"/>
      <c r="E534" s="200"/>
      <c r="F534" s="204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  <c r="AA534" s="200"/>
    </row>
    <row r="535">
      <c r="A535" s="200"/>
      <c r="B535" s="200"/>
      <c r="C535" s="200"/>
      <c r="D535" s="200"/>
      <c r="E535" s="200"/>
      <c r="F535" s="204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  <c r="AA535" s="200"/>
    </row>
    <row r="536">
      <c r="A536" s="200"/>
      <c r="B536" s="200"/>
      <c r="C536" s="200"/>
      <c r="D536" s="200"/>
      <c r="E536" s="200"/>
      <c r="F536" s="204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  <c r="AA536" s="200"/>
    </row>
    <row r="537">
      <c r="A537" s="200"/>
      <c r="B537" s="200"/>
      <c r="C537" s="200"/>
      <c r="D537" s="200"/>
      <c r="E537" s="200"/>
      <c r="F537" s="204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  <c r="AA537" s="200"/>
    </row>
    <row r="538">
      <c r="A538" s="200"/>
      <c r="B538" s="200"/>
      <c r="C538" s="200"/>
      <c r="D538" s="200"/>
      <c r="E538" s="200"/>
      <c r="F538" s="204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  <c r="AA538" s="200"/>
    </row>
    <row r="539">
      <c r="A539" s="200"/>
      <c r="B539" s="200"/>
      <c r="C539" s="200"/>
      <c r="D539" s="200"/>
      <c r="E539" s="200"/>
      <c r="F539" s="204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  <c r="AA539" s="200"/>
    </row>
    <row r="540">
      <c r="A540" s="200"/>
      <c r="B540" s="200"/>
      <c r="C540" s="200"/>
      <c r="D540" s="200"/>
      <c r="E540" s="200"/>
      <c r="F540" s="204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  <c r="AA540" s="200"/>
    </row>
    <row r="541">
      <c r="A541" s="200"/>
      <c r="B541" s="200"/>
      <c r="C541" s="200"/>
      <c r="D541" s="200"/>
      <c r="E541" s="200"/>
      <c r="F541" s="204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  <c r="AA541" s="200"/>
    </row>
    <row r="542">
      <c r="A542" s="200"/>
      <c r="B542" s="200"/>
      <c r="C542" s="200"/>
      <c r="D542" s="200"/>
      <c r="E542" s="200"/>
      <c r="F542" s="204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  <c r="AA542" s="200"/>
    </row>
    <row r="543">
      <c r="A543" s="200"/>
      <c r="B543" s="200"/>
      <c r="C543" s="200"/>
      <c r="D543" s="200"/>
      <c r="E543" s="200"/>
      <c r="F543" s="204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  <c r="AA543" s="200"/>
    </row>
    <row r="544">
      <c r="A544" s="200"/>
      <c r="B544" s="200"/>
      <c r="C544" s="200"/>
      <c r="D544" s="200"/>
      <c r="E544" s="200"/>
      <c r="F544" s="204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  <c r="AA544" s="200"/>
    </row>
    <row r="545">
      <c r="A545" s="200"/>
      <c r="B545" s="200"/>
      <c r="C545" s="200"/>
      <c r="D545" s="200"/>
      <c r="E545" s="200"/>
      <c r="F545" s="204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  <c r="AA545" s="200"/>
    </row>
    <row r="546">
      <c r="A546" s="200"/>
      <c r="B546" s="200"/>
      <c r="C546" s="200"/>
      <c r="D546" s="200"/>
      <c r="E546" s="200"/>
      <c r="F546" s="204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</row>
    <row r="547">
      <c r="A547" s="200"/>
      <c r="B547" s="200"/>
      <c r="C547" s="200"/>
      <c r="D547" s="200"/>
      <c r="E547" s="200"/>
      <c r="F547" s="204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  <c r="AA547" s="200"/>
    </row>
    <row r="548">
      <c r="A548" s="200"/>
      <c r="B548" s="200"/>
      <c r="C548" s="200"/>
      <c r="D548" s="200"/>
      <c r="E548" s="200"/>
      <c r="F548" s="204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  <c r="AA548" s="200"/>
    </row>
    <row r="549">
      <c r="A549" s="200"/>
      <c r="B549" s="200"/>
      <c r="C549" s="200"/>
      <c r="D549" s="200"/>
      <c r="E549" s="200"/>
      <c r="F549" s="204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  <c r="AA549" s="200"/>
    </row>
    <row r="550">
      <c r="A550" s="200"/>
      <c r="B550" s="200"/>
      <c r="C550" s="200"/>
      <c r="D550" s="200"/>
      <c r="E550" s="200"/>
      <c r="F550" s="204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  <c r="AA550" s="200"/>
    </row>
    <row r="551">
      <c r="A551" s="200"/>
      <c r="B551" s="200"/>
      <c r="C551" s="200"/>
      <c r="D551" s="200"/>
      <c r="E551" s="200"/>
      <c r="F551" s="204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  <c r="AA551" s="200"/>
    </row>
    <row r="552">
      <c r="A552" s="200"/>
      <c r="B552" s="200"/>
      <c r="C552" s="200"/>
      <c r="D552" s="200"/>
      <c r="E552" s="200"/>
      <c r="F552" s="204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  <c r="AA552" s="200"/>
    </row>
    <row r="553">
      <c r="A553" s="200"/>
      <c r="B553" s="200"/>
      <c r="C553" s="200"/>
      <c r="D553" s="200"/>
      <c r="E553" s="200"/>
      <c r="F553" s="204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  <c r="AA553" s="200"/>
    </row>
    <row r="554">
      <c r="A554" s="200"/>
      <c r="B554" s="200"/>
      <c r="C554" s="200"/>
      <c r="D554" s="200"/>
      <c r="E554" s="200"/>
      <c r="F554" s="204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  <c r="AA554" s="200"/>
    </row>
    <row r="555">
      <c r="A555" s="200"/>
      <c r="B555" s="200"/>
      <c r="C555" s="200"/>
      <c r="D555" s="200"/>
      <c r="E555" s="200"/>
      <c r="F555" s="204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  <c r="AA555" s="200"/>
    </row>
    <row r="556">
      <c r="A556" s="200"/>
      <c r="B556" s="200"/>
      <c r="C556" s="200"/>
      <c r="D556" s="200"/>
      <c r="E556" s="200"/>
      <c r="F556" s="204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  <c r="AA556" s="200"/>
    </row>
    <row r="557">
      <c r="A557" s="200"/>
      <c r="B557" s="200"/>
      <c r="C557" s="200"/>
      <c r="D557" s="200"/>
      <c r="E557" s="200"/>
      <c r="F557" s="204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  <c r="AA557" s="200"/>
    </row>
    <row r="558">
      <c r="A558" s="200"/>
      <c r="B558" s="200"/>
      <c r="C558" s="200"/>
      <c r="D558" s="200"/>
      <c r="E558" s="200"/>
      <c r="F558" s="204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  <c r="AA558" s="200"/>
    </row>
    <row r="559">
      <c r="A559" s="200"/>
      <c r="B559" s="200"/>
      <c r="C559" s="200"/>
      <c r="D559" s="200"/>
      <c r="E559" s="200"/>
      <c r="F559" s="204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  <c r="AA559" s="200"/>
    </row>
    <row r="560">
      <c r="A560" s="200"/>
      <c r="B560" s="200"/>
      <c r="C560" s="200"/>
      <c r="D560" s="200"/>
      <c r="E560" s="200"/>
      <c r="F560" s="204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  <c r="AA560" s="200"/>
    </row>
    <row r="561">
      <c r="A561" s="200"/>
      <c r="B561" s="200"/>
      <c r="C561" s="200"/>
      <c r="D561" s="200"/>
      <c r="E561" s="200"/>
      <c r="F561" s="204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  <c r="AA561" s="200"/>
    </row>
    <row r="562">
      <c r="A562" s="200"/>
      <c r="B562" s="200"/>
      <c r="C562" s="200"/>
      <c r="D562" s="200"/>
      <c r="E562" s="200"/>
      <c r="F562" s="204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  <c r="AA562" s="200"/>
    </row>
    <row r="563">
      <c r="A563" s="200"/>
      <c r="B563" s="200"/>
      <c r="C563" s="200"/>
      <c r="D563" s="200"/>
      <c r="E563" s="200"/>
      <c r="F563" s="204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  <c r="AA563" s="200"/>
    </row>
    <row r="564">
      <c r="A564" s="200"/>
      <c r="B564" s="200"/>
      <c r="C564" s="200"/>
      <c r="D564" s="200"/>
      <c r="E564" s="200"/>
      <c r="F564" s="204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  <c r="AA564" s="200"/>
    </row>
    <row r="565">
      <c r="A565" s="200"/>
      <c r="B565" s="200"/>
      <c r="C565" s="200"/>
      <c r="D565" s="200"/>
      <c r="E565" s="200"/>
      <c r="F565" s="204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  <c r="AA565" s="200"/>
    </row>
    <row r="566">
      <c r="A566" s="200"/>
      <c r="B566" s="200"/>
      <c r="C566" s="200"/>
      <c r="D566" s="200"/>
      <c r="E566" s="200"/>
      <c r="F566" s="204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</row>
    <row r="567">
      <c r="A567" s="200"/>
      <c r="B567" s="200"/>
      <c r="C567" s="200"/>
      <c r="D567" s="200"/>
      <c r="E567" s="200"/>
      <c r="F567" s="204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  <c r="AA567" s="200"/>
    </row>
    <row r="568">
      <c r="A568" s="200"/>
      <c r="B568" s="200"/>
      <c r="C568" s="200"/>
      <c r="D568" s="200"/>
      <c r="E568" s="200"/>
      <c r="F568" s="204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  <c r="AA568" s="200"/>
    </row>
    <row r="569">
      <c r="A569" s="200"/>
      <c r="B569" s="200"/>
      <c r="C569" s="200"/>
      <c r="D569" s="200"/>
      <c r="E569" s="200"/>
      <c r="F569" s="204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  <c r="AA569" s="200"/>
    </row>
    <row r="570">
      <c r="A570" s="200"/>
      <c r="B570" s="200"/>
      <c r="C570" s="200"/>
      <c r="D570" s="200"/>
      <c r="E570" s="200"/>
      <c r="F570" s="204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  <c r="AA570" s="200"/>
    </row>
    <row r="571">
      <c r="A571" s="200"/>
      <c r="B571" s="200"/>
      <c r="C571" s="200"/>
      <c r="D571" s="200"/>
      <c r="E571" s="200"/>
      <c r="F571" s="204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  <c r="AA571" s="200"/>
    </row>
    <row r="572">
      <c r="A572" s="200"/>
      <c r="B572" s="200"/>
      <c r="C572" s="200"/>
      <c r="D572" s="200"/>
      <c r="E572" s="200"/>
      <c r="F572" s="204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  <c r="AA572" s="200"/>
    </row>
    <row r="573">
      <c r="A573" s="200"/>
      <c r="B573" s="200"/>
      <c r="C573" s="200"/>
      <c r="D573" s="200"/>
      <c r="E573" s="200"/>
      <c r="F573" s="204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  <c r="AA573" s="200"/>
    </row>
    <row r="574">
      <c r="A574" s="200"/>
      <c r="B574" s="200"/>
      <c r="C574" s="200"/>
      <c r="D574" s="200"/>
      <c r="E574" s="200"/>
      <c r="F574" s="204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  <c r="AA574" s="200"/>
    </row>
    <row r="575">
      <c r="A575" s="200"/>
      <c r="B575" s="200"/>
      <c r="C575" s="200"/>
      <c r="D575" s="200"/>
      <c r="E575" s="200"/>
      <c r="F575" s="204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  <c r="AA575" s="200"/>
    </row>
    <row r="576">
      <c r="A576" s="200"/>
      <c r="B576" s="200"/>
      <c r="C576" s="200"/>
      <c r="D576" s="200"/>
      <c r="E576" s="200"/>
      <c r="F576" s="204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  <c r="AA576" s="200"/>
    </row>
    <row r="577">
      <c r="A577" s="200"/>
      <c r="B577" s="200"/>
      <c r="C577" s="200"/>
      <c r="D577" s="200"/>
      <c r="E577" s="200"/>
      <c r="F577" s="204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  <c r="AA577" s="200"/>
    </row>
    <row r="578">
      <c r="A578" s="200"/>
      <c r="B578" s="200"/>
      <c r="C578" s="200"/>
      <c r="D578" s="200"/>
      <c r="E578" s="200"/>
      <c r="F578" s="204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  <c r="AA578" s="200"/>
    </row>
    <row r="579">
      <c r="A579" s="200"/>
      <c r="B579" s="200"/>
      <c r="C579" s="200"/>
      <c r="D579" s="200"/>
      <c r="E579" s="200"/>
      <c r="F579" s="204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  <c r="AA579" s="200"/>
    </row>
    <row r="580">
      <c r="A580" s="200"/>
      <c r="B580" s="200"/>
      <c r="C580" s="200"/>
      <c r="D580" s="200"/>
      <c r="E580" s="200"/>
      <c r="F580" s="204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</row>
    <row r="581">
      <c r="A581" s="200"/>
      <c r="B581" s="200"/>
      <c r="C581" s="200"/>
      <c r="D581" s="200"/>
      <c r="E581" s="200"/>
      <c r="F581" s="204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  <c r="AA581" s="200"/>
    </row>
    <row r="582">
      <c r="A582" s="200"/>
      <c r="B582" s="200"/>
      <c r="C582" s="200"/>
      <c r="D582" s="200"/>
      <c r="E582" s="200"/>
      <c r="F582" s="204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  <c r="AA582" s="200"/>
    </row>
    <row r="583">
      <c r="A583" s="200"/>
      <c r="B583" s="200"/>
      <c r="C583" s="200"/>
      <c r="D583" s="200"/>
      <c r="E583" s="200"/>
      <c r="F583" s="204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  <c r="AA583" s="200"/>
    </row>
    <row r="584">
      <c r="A584" s="200"/>
      <c r="B584" s="200"/>
      <c r="C584" s="200"/>
      <c r="D584" s="200"/>
      <c r="E584" s="200"/>
      <c r="F584" s="204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  <c r="AA584" s="200"/>
    </row>
    <row r="585">
      <c r="A585" s="200"/>
      <c r="B585" s="200"/>
      <c r="C585" s="200"/>
      <c r="D585" s="200"/>
      <c r="E585" s="200"/>
      <c r="F585" s="204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  <c r="AA585" s="200"/>
    </row>
    <row r="586">
      <c r="A586" s="200"/>
      <c r="B586" s="200"/>
      <c r="C586" s="200"/>
      <c r="D586" s="200"/>
      <c r="E586" s="200"/>
      <c r="F586" s="204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  <c r="AA586" s="200"/>
    </row>
    <row r="587">
      <c r="A587" s="200"/>
      <c r="B587" s="200"/>
      <c r="C587" s="200"/>
      <c r="D587" s="200"/>
      <c r="E587" s="200"/>
      <c r="F587" s="204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  <c r="AA587" s="200"/>
    </row>
    <row r="588">
      <c r="A588" s="200"/>
      <c r="B588" s="200"/>
      <c r="C588" s="200"/>
      <c r="D588" s="200"/>
      <c r="E588" s="200"/>
      <c r="F588" s="204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  <c r="AA588" s="200"/>
    </row>
    <row r="589">
      <c r="A589" s="200"/>
      <c r="B589" s="200"/>
      <c r="C589" s="200"/>
      <c r="D589" s="200"/>
      <c r="E589" s="200"/>
      <c r="F589" s="204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  <c r="AA589" s="200"/>
    </row>
    <row r="590">
      <c r="A590" s="200"/>
      <c r="B590" s="200"/>
      <c r="C590" s="200"/>
      <c r="D590" s="200"/>
      <c r="E590" s="200"/>
      <c r="F590" s="204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  <c r="AA590" s="200"/>
    </row>
    <row r="591">
      <c r="A591" s="200"/>
      <c r="B591" s="200"/>
      <c r="C591" s="200"/>
      <c r="D591" s="200"/>
      <c r="E591" s="200"/>
      <c r="F591" s="204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  <c r="AA591" s="200"/>
    </row>
    <row r="592">
      <c r="A592" s="200"/>
      <c r="B592" s="200"/>
      <c r="C592" s="200"/>
      <c r="D592" s="200"/>
      <c r="E592" s="200"/>
      <c r="F592" s="204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  <c r="AA592" s="200"/>
    </row>
    <row r="593">
      <c r="A593" s="200"/>
      <c r="B593" s="200"/>
      <c r="C593" s="200"/>
      <c r="D593" s="200"/>
      <c r="E593" s="200"/>
      <c r="F593" s="204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  <c r="AA593" s="200"/>
    </row>
    <row r="594">
      <c r="A594" s="200"/>
      <c r="B594" s="200"/>
      <c r="C594" s="200"/>
      <c r="D594" s="200"/>
      <c r="E594" s="200"/>
      <c r="F594" s="204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  <c r="AA594" s="200"/>
    </row>
    <row r="595">
      <c r="A595" s="200"/>
      <c r="B595" s="200"/>
      <c r="C595" s="200"/>
      <c r="D595" s="200"/>
      <c r="E595" s="200"/>
      <c r="F595" s="204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  <c r="AA595" s="200"/>
    </row>
    <row r="596">
      <c r="A596" s="200"/>
      <c r="B596" s="200"/>
      <c r="C596" s="200"/>
      <c r="D596" s="200"/>
      <c r="E596" s="200"/>
      <c r="F596" s="204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  <c r="AA596" s="200"/>
    </row>
    <row r="597">
      <c r="A597" s="200"/>
      <c r="B597" s="200"/>
      <c r="C597" s="200"/>
      <c r="D597" s="200"/>
      <c r="E597" s="200"/>
      <c r="F597" s="204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  <c r="AA597" s="200"/>
    </row>
    <row r="598">
      <c r="A598" s="200"/>
      <c r="B598" s="200"/>
      <c r="C598" s="200"/>
      <c r="D598" s="200"/>
      <c r="E598" s="200"/>
      <c r="F598" s="204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  <c r="AA598" s="200"/>
    </row>
    <row r="599">
      <c r="A599" s="200"/>
      <c r="B599" s="200"/>
      <c r="C599" s="200"/>
      <c r="D599" s="200"/>
      <c r="E599" s="200"/>
      <c r="F599" s="204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  <c r="AA599" s="200"/>
    </row>
    <row r="600">
      <c r="A600" s="200"/>
      <c r="B600" s="200"/>
      <c r="C600" s="200"/>
      <c r="D600" s="200"/>
      <c r="E600" s="200"/>
      <c r="F600" s="204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  <c r="AA600" s="200"/>
    </row>
    <row r="601">
      <c r="A601" s="200"/>
      <c r="B601" s="200"/>
      <c r="C601" s="200"/>
      <c r="D601" s="200"/>
      <c r="E601" s="200"/>
      <c r="F601" s="204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  <c r="AA601" s="200"/>
    </row>
    <row r="602">
      <c r="A602" s="200"/>
      <c r="B602" s="200"/>
      <c r="C602" s="200"/>
      <c r="D602" s="200"/>
      <c r="E602" s="200"/>
      <c r="F602" s="204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  <c r="AA602" s="200"/>
    </row>
    <row r="603">
      <c r="A603" s="200"/>
      <c r="B603" s="200"/>
      <c r="C603" s="200"/>
      <c r="D603" s="200"/>
      <c r="E603" s="200"/>
      <c r="F603" s="204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  <c r="AA603" s="200"/>
    </row>
    <row r="604">
      <c r="A604" s="200"/>
      <c r="B604" s="200"/>
      <c r="C604" s="200"/>
      <c r="D604" s="200"/>
      <c r="E604" s="200"/>
      <c r="F604" s="204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  <c r="AA604" s="200"/>
    </row>
    <row r="605">
      <c r="A605" s="200"/>
      <c r="B605" s="200"/>
      <c r="C605" s="200"/>
      <c r="D605" s="200"/>
      <c r="E605" s="200"/>
      <c r="F605" s="204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  <c r="AA605" s="200"/>
    </row>
    <row r="606">
      <c r="A606" s="200"/>
      <c r="B606" s="200"/>
      <c r="C606" s="200"/>
      <c r="D606" s="200"/>
      <c r="E606" s="200"/>
      <c r="F606" s="204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  <c r="AA606" s="200"/>
    </row>
    <row r="607">
      <c r="A607" s="200"/>
      <c r="B607" s="200"/>
      <c r="C607" s="200"/>
      <c r="D607" s="200"/>
      <c r="E607" s="200"/>
      <c r="F607" s="204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  <c r="AA607" s="200"/>
    </row>
    <row r="608">
      <c r="A608" s="200"/>
      <c r="B608" s="200"/>
      <c r="C608" s="200"/>
      <c r="D608" s="200"/>
      <c r="E608" s="200"/>
      <c r="F608" s="204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  <c r="AA608" s="200"/>
    </row>
    <row r="609">
      <c r="A609" s="200"/>
      <c r="B609" s="200"/>
      <c r="C609" s="200"/>
      <c r="D609" s="200"/>
      <c r="E609" s="200"/>
      <c r="F609" s="204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  <c r="AA609" s="200"/>
    </row>
    <row r="610">
      <c r="A610" s="200"/>
      <c r="B610" s="200"/>
      <c r="C610" s="200"/>
      <c r="D610" s="200"/>
      <c r="E610" s="200"/>
      <c r="F610" s="204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  <c r="AA610" s="200"/>
    </row>
    <row r="611">
      <c r="A611" s="200"/>
      <c r="B611" s="200"/>
      <c r="C611" s="200"/>
      <c r="D611" s="200"/>
      <c r="E611" s="200"/>
      <c r="F611" s="204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  <c r="AA611" s="200"/>
    </row>
    <row r="612">
      <c r="A612" s="200"/>
      <c r="B612" s="200"/>
      <c r="C612" s="200"/>
      <c r="D612" s="200"/>
      <c r="E612" s="200"/>
      <c r="F612" s="204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  <c r="AA612" s="200"/>
    </row>
    <row r="613">
      <c r="A613" s="200"/>
      <c r="B613" s="200"/>
      <c r="C613" s="200"/>
      <c r="D613" s="200"/>
      <c r="E613" s="200"/>
      <c r="F613" s="204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  <c r="AA613" s="200"/>
    </row>
    <row r="614">
      <c r="A614" s="200"/>
      <c r="B614" s="200"/>
      <c r="C614" s="200"/>
      <c r="D614" s="200"/>
      <c r="E614" s="200"/>
      <c r="F614" s="204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  <c r="AA614" s="200"/>
    </row>
    <row r="615">
      <c r="A615" s="200"/>
      <c r="B615" s="200"/>
      <c r="C615" s="200"/>
      <c r="D615" s="200"/>
      <c r="E615" s="200"/>
      <c r="F615" s="204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  <c r="AA615" s="200"/>
    </row>
    <row r="616">
      <c r="A616" s="200"/>
      <c r="B616" s="200"/>
      <c r="C616" s="200"/>
      <c r="D616" s="200"/>
      <c r="E616" s="200"/>
      <c r="F616" s="204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  <c r="AA616" s="200"/>
    </row>
    <row r="617">
      <c r="A617" s="200"/>
      <c r="B617" s="200"/>
      <c r="C617" s="200"/>
      <c r="D617" s="200"/>
      <c r="E617" s="200"/>
      <c r="F617" s="204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  <c r="AA617" s="200"/>
    </row>
    <row r="618">
      <c r="A618" s="200"/>
      <c r="B618" s="200"/>
      <c r="C618" s="200"/>
      <c r="D618" s="200"/>
      <c r="E618" s="200"/>
      <c r="F618" s="204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  <c r="AA618" s="200"/>
    </row>
    <row r="619">
      <c r="A619" s="200"/>
      <c r="B619" s="200"/>
      <c r="C619" s="200"/>
      <c r="D619" s="200"/>
      <c r="E619" s="200"/>
      <c r="F619" s="204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  <c r="AA619" s="200"/>
    </row>
    <row r="620">
      <c r="A620" s="200"/>
      <c r="B620" s="200"/>
      <c r="C620" s="200"/>
      <c r="D620" s="200"/>
      <c r="E620" s="200"/>
      <c r="F620" s="204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  <c r="AA620" s="200"/>
    </row>
    <row r="621">
      <c r="A621" s="200"/>
      <c r="B621" s="200"/>
      <c r="C621" s="200"/>
      <c r="D621" s="200"/>
      <c r="E621" s="200"/>
      <c r="F621" s="204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  <c r="AA621" s="200"/>
    </row>
    <row r="622">
      <c r="A622" s="200"/>
      <c r="B622" s="200"/>
      <c r="C622" s="200"/>
      <c r="D622" s="200"/>
      <c r="E622" s="200"/>
      <c r="F622" s="204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  <c r="AA622" s="200"/>
    </row>
    <row r="623">
      <c r="A623" s="200"/>
      <c r="B623" s="200"/>
      <c r="C623" s="200"/>
      <c r="D623" s="200"/>
      <c r="E623" s="200"/>
      <c r="F623" s="204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  <c r="AA623" s="200"/>
    </row>
    <row r="624">
      <c r="A624" s="200"/>
      <c r="B624" s="200"/>
      <c r="C624" s="200"/>
      <c r="D624" s="200"/>
      <c r="E624" s="200"/>
      <c r="F624" s="204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  <c r="AA624" s="200"/>
    </row>
    <row r="625">
      <c r="A625" s="200"/>
      <c r="B625" s="200"/>
      <c r="C625" s="200"/>
      <c r="D625" s="200"/>
      <c r="E625" s="200"/>
      <c r="F625" s="204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  <c r="AA625" s="200"/>
    </row>
    <row r="626">
      <c r="A626" s="200"/>
      <c r="B626" s="200"/>
      <c r="C626" s="200"/>
      <c r="D626" s="200"/>
      <c r="E626" s="200"/>
      <c r="F626" s="204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  <c r="AA626" s="200"/>
    </row>
    <row r="627">
      <c r="A627" s="200"/>
      <c r="B627" s="200"/>
      <c r="C627" s="200"/>
      <c r="D627" s="200"/>
      <c r="E627" s="200"/>
      <c r="F627" s="204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  <c r="AA627" s="200"/>
    </row>
    <row r="628">
      <c r="A628" s="200"/>
      <c r="B628" s="200"/>
      <c r="C628" s="200"/>
      <c r="D628" s="200"/>
      <c r="E628" s="200"/>
      <c r="F628" s="204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  <c r="AA628" s="200"/>
    </row>
    <row r="629">
      <c r="A629" s="200"/>
      <c r="B629" s="200"/>
      <c r="C629" s="200"/>
      <c r="D629" s="200"/>
      <c r="E629" s="200"/>
      <c r="F629" s="204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  <c r="AA629" s="200"/>
    </row>
    <row r="630">
      <c r="A630" s="200"/>
      <c r="B630" s="200"/>
      <c r="C630" s="200"/>
      <c r="D630" s="200"/>
      <c r="E630" s="200"/>
      <c r="F630" s="204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  <c r="AA630" s="200"/>
    </row>
    <row r="631">
      <c r="A631" s="200"/>
      <c r="B631" s="200"/>
      <c r="C631" s="200"/>
      <c r="D631" s="200"/>
      <c r="E631" s="200"/>
      <c r="F631" s="204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  <c r="AA631" s="200"/>
    </row>
    <row r="632">
      <c r="A632" s="200"/>
      <c r="B632" s="200"/>
      <c r="C632" s="200"/>
      <c r="D632" s="200"/>
      <c r="E632" s="200"/>
      <c r="F632" s="204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  <c r="AA632" s="200"/>
    </row>
    <row r="633">
      <c r="A633" s="200"/>
      <c r="B633" s="200"/>
      <c r="C633" s="200"/>
      <c r="D633" s="200"/>
      <c r="E633" s="200"/>
      <c r="F633" s="204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  <c r="AA633" s="200"/>
    </row>
    <row r="634">
      <c r="A634" s="200"/>
      <c r="B634" s="200"/>
      <c r="C634" s="200"/>
      <c r="D634" s="200"/>
      <c r="E634" s="200"/>
      <c r="F634" s="204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  <c r="AA634" s="200"/>
    </row>
    <row r="635">
      <c r="A635" s="200"/>
      <c r="B635" s="200"/>
      <c r="C635" s="200"/>
      <c r="D635" s="200"/>
      <c r="E635" s="200"/>
      <c r="F635" s="204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  <c r="AA635" s="200"/>
    </row>
    <row r="636">
      <c r="A636" s="200"/>
      <c r="B636" s="200"/>
      <c r="C636" s="200"/>
      <c r="D636" s="200"/>
      <c r="E636" s="200"/>
      <c r="F636" s="204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  <c r="AA636" s="200"/>
    </row>
    <row r="637">
      <c r="A637" s="200"/>
      <c r="B637" s="200"/>
      <c r="C637" s="200"/>
      <c r="D637" s="200"/>
      <c r="E637" s="200"/>
      <c r="F637" s="204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  <c r="AA637" s="200"/>
    </row>
    <row r="638">
      <c r="A638" s="200"/>
      <c r="B638" s="200"/>
      <c r="C638" s="200"/>
      <c r="D638" s="200"/>
      <c r="E638" s="200"/>
      <c r="F638" s="204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  <c r="AA638" s="200"/>
    </row>
    <row r="639">
      <c r="A639" s="200"/>
      <c r="B639" s="200"/>
      <c r="C639" s="200"/>
      <c r="D639" s="200"/>
      <c r="E639" s="200"/>
      <c r="F639" s="204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  <c r="AA639" s="200"/>
    </row>
    <row r="640">
      <c r="A640" s="200"/>
      <c r="B640" s="200"/>
      <c r="C640" s="200"/>
      <c r="D640" s="200"/>
      <c r="E640" s="200"/>
      <c r="F640" s="204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  <c r="AA640" s="200"/>
    </row>
    <row r="641">
      <c r="A641" s="200"/>
      <c r="B641" s="200"/>
      <c r="C641" s="200"/>
      <c r="D641" s="200"/>
      <c r="E641" s="200"/>
      <c r="F641" s="204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  <c r="AA641" s="200"/>
    </row>
    <row r="642">
      <c r="A642" s="200"/>
      <c r="B642" s="200"/>
      <c r="C642" s="200"/>
      <c r="D642" s="200"/>
      <c r="E642" s="200"/>
      <c r="F642" s="204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  <c r="AA642" s="200"/>
    </row>
    <row r="643">
      <c r="A643" s="200"/>
      <c r="B643" s="200"/>
      <c r="C643" s="200"/>
      <c r="D643" s="200"/>
      <c r="E643" s="200"/>
      <c r="F643" s="204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  <c r="AA643" s="200"/>
    </row>
    <row r="644">
      <c r="A644" s="200"/>
      <c r="B644" s="200"/>
      <c r="C644" s="200"/>
      <c r="D644" s="200"/>
      <c r="E644" s="200"/>
      <c r="F644" s="204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  <c r="AA644" s="200"/>
    </row>
    <row r="645">
      <c r="A645" s="200"/>
      <c r="B645" s="200"/>
      <c r="C645" s="200"/>
      <c r="D645" s="200"/>
      <c r="E645" s="200"/>
      <c r="F645" s="204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  <c r="AA645" s="200"/>
    </row>
    <row r="646">
      <c r="A646" s="200"/>
      <c r="B646" s="200"/>
      <c r="C646" s="200"/>
      <c r="D646" s="200"/>
      <c r="E646" s="200"/>
      <c r="F646" s="204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  <c r="AA646" s="200"/>
    </row>
    <row r="647">
      <c r="A647" s="200"/>
      <c r="B647" s="200"/>
      <c r="C647" s="200"/>
      <c r="D647" s="200"/>
      <c r="E647" s="200"/>
      <c r="F647" s="204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  <c r="AA647" s="200"/>
    </row>
    <row r="648">
      <c r="A648" s="200"/>
      <c r="B648" s="200"/>
      <c r="C648" s="200"/>
      <c r="D648" s="200"/>
      <c r="E648" s="200"/>
      <c r="F648" s="204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  <c r="AA648" s="200"/>
    </row>
    <row r="649">
      <c r="A649" s="200"/>
      <c r="B649" s="200"/>
      <c r="C649" s="200"/>
      <c r="D649" s="200"/>
      <c r="E649" s="200"/>
      <c r="F649" s="204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  <c r="AA649" s="200"/>
    </row>
    <row r="650">
      <c r="A650" s="200"/>
      <c r="B650" s="200"/>
      <c r="C650" s="200"/>
      <c r="D650" s="200"/>
      <c r="E650" s="200"/>
      <c r="F650" s="204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  <c r="AA650" s="200"/>
    </row>
    <row r="651">
      <c r="A651" s="200"/>
      <c r="B651" s="200"/>
      <c r="C651" s="200"/>
      <c r="D651" s="200"/>
      <c r="E651" s="200"/>
      <c r="F651" s="204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  <c r="AA651" s="200"/>
    </row>
    <row r="652">
      <c r="A652" s="200"/>
      <c r="B652" s="200"/>
      <c r="C652" s="200"/>
      <c r="D652" s="200"/>
      <c r="E652" s="200"/>
      <c r="F652" s="204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  <c r="AA652" s="200"/>
    </row>
    <row r="653">
      <c r="A653" s="200"/>
      <c r="B653" s="200"/>
      <c r="C653" s="200"/>
      <c r="D653" s="200"/>
      <c r="E653" s="200"/>
      <c r="F653" s="204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  <c r="AA653" s="200"/>
    </row>
    <row r="654">
      <c r="A654" s="200"/>
      <c r="B654" s="200"/>
      <c r="C654" s="200"/>
      <c r="D654" s="200"/>
      <c r="E654" s="200"/>
      <c r="F654" s="204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  <c r="AA654" s="200"/>
    </row>
    <row r="655">
      <c r="A655" s="200"/>
      <c r="B655" s="200"/>
      <c r="C655" s="200"/>
      <c r="D655" s="200"/>
      <c r="E655" s="200"/>
      <c r="F655" s="204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  <c r="AA655" s="200"/>
    </row>
    <row r="656">
      <c r="A656" s="200"/>
      <c r="B656" s="200"/>
      <c r="C656" s="200"/>
      <c r="D656" s="200"/>
      <c r="E656" s="200"/>
      <c r="F656" s="204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  <c r="AA656" s="200"/>
    </row>
    <row r="657">
      <c r="A657" s="200"/>
      <c r="B657" s="200"/>
      <c r="C657" s="200"/>
      <c r="D657" s="200"/>
      <c r="E657" s="200"/>
      <c r="F657" s="204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  <c r="AA657" s="200"/>
    </row>
    <row r="658">
      <c r="A658" s="200"/>
      <c r="B658" s="200"/>
      <c r="C658" s="200"/>
      <c r="D658" s="200"/>
      <c r="E658" s="200"/>
      <c r="F658" s="204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  <c r="AA658" s="200"/>
    </row>
    <row r="659">
      <c r="A659" s="200"/>
      <c r="B659" s="200"/>
      <c r="C659" s="200"/>
      <c r="D659" s="200"/>
      <c r="E659" s="200"/>
      <c r="F659" s="204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  <c r="AA659" s="200"/>
    </row>
    <row r="660">
      <c r="A660" s="200"/>
      <c r="B660" s="200"/>
      <c r="C660" s="200"/>
      <c r="D660" s="200"/>
      <c r="E660" s="200"/>
      <c r="F660" s="204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  <c r="AA660" s="200"/>
    </row>
    <row r="661">
      <c r="A661" s="200"/>
      <c r="B661" s="200"/>
      <c r="C661" s="200"/>
      <c r="D661" s="200"/>
      <c r="E661" s="200"/>
      <c r="F661" s="204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  <c r="AA661" s="200"/>
    </row>
    <row r="662">
      <c r="A662" s="200"/>
      <c r="B662" s="200"/>
      <c r="C662" s="200"/>
      <c r="D662" s="200"/>
      <c r="E662" s="200"/>
      <c r="F662" s="204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  <c r="AA662" s="200"/>
    </row>
    <row r="663">
      <c r="A663" s="200"/>
      <c r="B663" s="200"/>
      <c r="C663" s="200"/>
      <c r="D663" s="200"/>
      <c r="E663" s="200"/>
      <c r="F663" s="204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  <c r="AA663" s="200"/>
    </row>
    <row r="664">
      <c r="A664" s="200"/>
      <c r="B664" s="200"/>
      <c r="C664" s="200"/>
      <c r="D664" s="200"/>
      <c r="E664" s="200"/>
      <c r="F664" s="204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  <c r="AA664" s="200"/>
    </row>
    <row r="665">
      <c r="A665" s="200"/>
      <c r="B665" s="200"/>
      <c r="C665" s="200"/>
      <c r="D665" s="200"/>
      <c r="E665" s="200"/>
      <c r="F665" s="204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  <c r="AA665" s="200"/>
    </row>
    <row r="666">
      <c r="A666" s="200"/>
      <c r="B666" s="200"/>
      <c r="C666" s="200"/>
      <c r="D666" s="200"/>
      <c r="E666" s="200"/>
      <c r="F666" s="204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  <c r="AA666" s="200"/>
    </row>
    <row r="667">
      <c r="A667" s="200"/>
      <c r="B667" s="200"/>
      <c r="C667" s="200"/>
      <c r="D667" s="200"/>
      <c r="E667" s="200"/>
      <c r="F667" s="204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  <c r="AA667" s="200"/>
    </row>
    <row r="668">
      <c r="A668" s="200"/>
      <c r="B668" s="200"/>
      <c r="C668" s="200"/>
      <c r="D668" s="200"/>
      <c r="E668" s="200"/>
      <c r="F668" s="204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  <c r="AA668" s="200"/>
    </row>
    <row r="669">
      <c r="A669" s="200"/>
      <c r="B669" s="200"/>
      <c r="C669" s="200"/>
      <c r="D669" s="200"/>
      <c r="E669" s="200"/>
      <c r="F669" s="204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  <c r="AA669" s="200"/>
    </row>
    <row r="670">
      <c r="A670" s="200"/>
      <c r="B670" s="200"/>
      <c r="C670" s="200"/>
      <c r="D670" s="200"/>
      <c r="E670" s="200"/>
      <c r="F670" s="204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  <c r="AA670" s="200"/>
    </row>
    <row r="671">
      <c r="A671" s="200"/>
      <c r="B671" s="200"/>
      <c r="C671" s="200"/>
      <c r="D671" s="200"/>
      <c r="E671" s="200"/>
      <c r="F671" s="204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  <c r="AA671" s="200"/>
    </row>
    <row r="672">
      <c r="A672" s="200"/>
      <c r="B672" s="200"/>
      <c r="C672" s="200"/>
      <c r="D672" s="200"/>
      <c r="E672" s="200"/>
      <c r="F672" s="204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  <c r="AA672" s="200"/>
    </row>
    <row r="673">
      <c r="A673" s="200"/>
      <c r="B673" s="200"/>
      <c r="C673" s="200"/>
      <c r="D673" s="200"/>
      <c r="E673" s="200"/>
      <c r="F673" s="204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  <c r="AA673" s="200"/>
    </row>
    <row r="674">
      <c r="A674" s="200"/>
      <c r="B674" s="200"/>
      <c r="C674" s="200"/>
      <c r="D674" s="200"/>
      <c r="E674" s="200"/>
      <c r="F674" s="204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  <c r="AA674" s="200"/>
    </row>
    <row r="675">
      <c r="A675" s="200"/>
      <c r="B675" s="200"/>
      <c r="C675" s="200"/>
      <c r="D675" s="200"/>
      <c r="E675" s="200"/>
      <c r="F675" s="204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  <c r="AA675" s="200"/>
    </row>
    <row r="676">
      <c r="A676" s="200"/>
      <c r="B676" s="200"/>
      <c r="C676" s="200"/>
      <c r="D676" s="200"/>
      <c r="E676" s="200"/>
      <c r="F676" s="204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  <c r="AA676" s="200"/>
    </row>
    <row r="677">
      <c r="A677" s="200"/>
      <c r="B677" s="200"/>
      <c r="C677" s="200"/>
      <c r="D677" s="200"/>
      <c r="E677" s="200"/>
      <c r="F677" s="204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  <c r="AA677" s="200"/>
    </row>
    <row r="678">
      <c r="A678" s="200"/>
      <c r="B678" s="200"/>
      <c r="C678" s="200"/>
      <c r="D678" s="200"/>
      <c r="E678" s="200"/>
      <c r="F678" s="204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  <c r="AA678" s="200"/>
    </row>
    <row r="679">
      <c r="A679" s="200"/>
      <c r="B679" s="200"/>
      <c r="C679" s="200"/>
      <c r="D679" s="200"/>
      <c r="E679" s="200"/>
      <c r="F679" s="204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  <c r="AA679" s="200"/>
    </row>
    <row r="680">
      <c r="A680" s="200"/>
      <c r="B680" s="200"/>
      <c r="C680" s="200"/>
      <c r="D680" s="200"/>
      <c r="E680" s="200"/>
      <c r="F680" s="204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  <c r="AA680" s="200"/>
    </row>
    <row r="681">
      <c r="A681" s="200"/>
      <c r="B681" s="200"/>
      <c r="C681" s="200"/>
      <c r="D681" s="200"/>
      <c r="E681" s="200"/>
      <c r="F681" s="204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  <c r="AA681" s="200"/>
    </row>
    <row r="682">
      <c r="A682" s="200"/>
      <c r="B682" s="200"/>
      <c r="C682" s="200"/>
      <c r="D682" s="200"/>
      <c r="E682" s="200"/>
      <c r="F682" s="204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  <c r="AA682" s="200"/>
    </row>
    <row r="683">
      <c r="A683" s="200"/>
      <c r="B683" s="200"/>
      <c r="C683" s="200"/>
      <c r="D683" s="200"/>
      <c r="E683" s="200"/>
      <c r="F683" s="204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  <c r="AA683" s="200"/>
    </row>
    <row r="684">
      <c r="A684" s="200"/>
      <c r="B684" s="200"/>
      <c r="C684" s="200"/>
      <c r="D684" s="200"/>
      <c r="E684" s="200"/>
      <c r="F684" s="204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  <c r="AA684" s="200"/>
    </row>
    <row r="685">
      <c r="A685" s="200"/>
      <c r="B685" s="200"/>
      <c r="C685" s="200"/>
      <c r="D685" s="200"/>
      <c r="E685" s="200"/>
      <c r="F685" s="204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  <c r="AA685" s="200"/>
    </row>
    <row r="686">
      <c r="A686" s="200"/>
      <c r="B686" s="200"/>
      <c r="C686" s="200"/>
      <c r="D686" s="200"/>
      <c r="E686" s="200"/>
      <c r="F686" s="204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  <c r="AA686" s="200"/>
    </row>
    <row r="687">
      <c r="A687" s="200"/>
      <c r="B687" s="200"/>
      <c r="C687" s="200"/>
      <c r="D687" s="200"/>
      <c r="E687" s="200"/>
      <c r="F687" s="204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  <c r="AA687" s="200"/>
    </row>
    <row r="688">
      <c r="A688" s="200"/>
      <c r="B688" s="200"/>
      <c r="C688" s="200"/>
      <c r="D688" s="200"/>
      <c r="E688" s="200"/>
      <c r="F688" s="204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  <c r="AA688" s="200"/>
    </row>
    <row r="689">
      <c r="A689" s="200"/>
      <c r="B689" s="200"/>
      <c r="C689" s="200"/>
      <c r="D689" s="200"/>
      <c r="E689" s="200"/>
      <c r="F689" s="204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  <c r="AA689" s="200"/>
    </row>
    <row r="690">
      <c r="A690" s="200"/>
      <c r="B690" s="200"/>
      <c r="C690" s="200"/>
      <c r="D690" s="200"/>
      <c r="E690" s="200"/>
      <c r="F690" s="204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  <c r="AA690" s="200"/>
    </row>
    <row r="691">
      <c r="A691" s="200"/>
      <c r="B691" s="200"/>
      <c r="C691" s="200"/>
      <c r="D691" s="200"/>
      <c r="E691" s="200"/>
      <c r="F691" s="204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  <c r="AA691" s="200"/>
    </row>
    <row r="692">
      <c r="A692" s="200"/>
      <c r="B692" s="200"/>
      <c r="C692" s="200"/>
      <c r="D692" s="200"/>
      <c r="E692" s="200"/>
      <c r="F692" s="204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  <c r="AA692" s="200"/>
    </row>
    <row r="693">
      <c r="A693" s="200"/>
      <c r="B693" s="200"/>
      <c r="C693" s="200"/>
      <c r="D693" s="200"/>
      <c r="E693" s="200"/>
      <c r="F693" s="204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  <c r="AA693" s="200"/>
    </row>
    <row r="694">
      <c r="A694" s="200"/>
      <c r="B694" s="200"/>
      <c r="C694" s="200"/>
      <c r="D694" s="200"/>
      <c r="E694" s="200"/>
      <c r="F694" s="204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  <c r="AA694" s="200"/>
    </row>
    <row r="695">
      <c r="A695" s="200"/>
      <c r="B695" s="200"/>
      <c r="C695" s="200"/>
      <c r="D695" s="200"/>
      <c r="E695" s="200"/>
      <c r="F695" s="204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  <c r="AA695" s="200"/>
    </row>
    <row r="696">
      <c r="A696" s="200"/>
      <c r="B696" s="200"/>
      <c r="C696" s="200"/>
      <c r="D696" s="200"/>
      <c r="E696" s="200"/>
      <c r="F696" s="204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  <c r="AA696" s="200"/>
    </row>
    <row r="697">
      <c r="A697" s="200"/>
      <c r="B697" s="200"/>
      <c r="C697" s="200"/>
      <c r="D697" s="200"/>
      <c r="E697" s="200"/>
      <c r="F697" s="204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  <c r="AA697" s="200"/>
    </row>
    <row r="698">
      <c r="A698" s="200"/>
      <c r="B698" s="200"/>
      <c r="C698" s="200"/>
      <c r="D698" s="200"/>
      <c r="E698" s="200"/>
      <c r="F698" s="204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  <c r="AA698" s="200"/>
    </row>
    <row r="699">
      <c r="A699" s="200"/>
      <c r="B699" s="200"/>
      <c r="C699" s="200"/>
      <c r="D699" s="200"/>
      <c r="E699" s="200"/>
      <c r="F699" s="204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  <c r="AA699" s="200"/>
    </row>
    <row r="700">
      <c r="A700" s="200"/>
      <c r="B700" s="200"/>
      <c r="C700" s="200"/>
      <c r="D700" s="200"/>
      <c r="E700" s="200"/>
      <c r="F700" s="204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  <c r="AA700" s="200"/>
    </row>
    <row r="701">
      <c r="A701" s="200"/>
      <c r="B701" s="200"/>
      <c r="C701" s="200"/>
      <c r="D701" s="200"/>
      <c r="E701" s="200"/>
      <c r="F701" s="204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  <c r="AA701" s="200"/>
    </row>
    <row r="702">
      <c r="A702" s="200"/>
      <c r="B702" s="200"/>
      <c r="C702" s="200"/>
      <c r="D702" s="200"/>
      <c r="E702" s="200"/>
      <c r="F702" s="204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  <c r="AA702" s="200"/>
    </row>
    <row r="703">
      <c r="A703" s="200"/>
      <c r="B703" s="200"/>
      <c r="C703" s="200"/>
      <c r="D703" s="200"/>
      <c r="E703" s="200"/>
      <c r="F703" s="204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  <c r="AA703" s="200"/>
    </row>
    <row r="704">
      <c r="A704" s="200"/>
      <c r="B704" s="200"/>
      <c r="C704" s="200"/>
      <c r="D704" s="200"/>
      <c r="E704" s="200"/>
      <c r="F704" s="204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  <c r="AA704" s="200"/>
    </row>
    <row r="705">
      <c r="A705" s="200"/>
      <c r="B705" s="200"/>
      <c r="C705" s="200"/>
      <c r="D705" s="200"/>
      <c r="E705" s="200"/>
      <c r="F705" s="204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  <c r="AA705" s="200"/>
    </row>
    <row r="706">
      <c r="A706" s="200"/>
      <c r="B706" s="200"/>
      <c r="C706" s="200"/>
      <c r="D706" s="200"/>
      <c r="E706" s="200"/>
      <c r="F706" s="204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  <c r="AA706" s="200"/>
    </row>
    <row r="707">
      <c r="A707" s="200"/>
      <c r="B707" s="200"/>
      <c r="C707" s="200"/>
      <c r="D707" s="200"/>
      <c r="E707" s="200"/>
      <c r="F707" s="204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  <c r="AA707" s="200"/>
    </row>
    <row r="708">
      <c r="A708" s="200"/>
      <c r="B708" s="200"/>
      <c r="C708" s="200"/>
      <c r="D708" s="200"/>
      <c r="E708" s="200"/>
      <c r="F708" s="204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  <c r="AA708" s="200"/>
    </row>
    <row r="709">
      <c r="A709" s="200"/>
      <c r="B709" s="200"/>
      <c r="C709" s="200"/>
      <c r="D709" s="200"/>
      <c r="E709" s="200"/>
      <c r="F709" s="204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  <c r="AA709" s="200"/>
    </row>
    <row r="710">
      <c r="A710" s="200"/>
      <c r="B710" s="200"/>
      <c r="C710" s="200"/>
      <c r="D710" s="200"/>
      <c r="E710" s="200"/>
      <c r="F710" s="204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  <c r="AA710" s="200"/>
    </row>
    <row r="711">
      <c r="A711" s="200"/>
      <c r="B711" s="200"/>
      <c r="C711" s="200"/>
      <c r="D711" s="200"/>
      <c r="E711" s="200"/>
      <c r="F711" s="204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  <c r="AA711" s="200"/>
    </row>
    <row r="712">
      <c r="A712" s="200"/>
      <c r="B712" s="200"/>
      <c r="C712" s="200"/>
      <c r="D712" s="200"/>
      <c r="E712" s="200"/>
      <c r="F712" s="204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  <c r="AA712" s="200"/>
    </row>
    <row r="713">
      <c r="A713" s="200"/>
      <c r="B713" s="200"/>
      <c r="C713" s="200"/>
      <c r="D713" s="200"/>
      <c r="E713" s="200"/>
      <c r="F713" s="204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  <c r="AA713" s="200"/>
    </row>
    <row r="714">
      <c r="A714" s="200"/>
      <c r="B714" s="200"/>
      <c r="C714" s="200"/>
      <c r="D714" s="200"/>
      <c r="E714" s="200"/>
      <c r="F714" s="204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  <c r="AA714" s="200"/>
    </row>
    <row r="715">
      <c r="A715" s="200"/>
      <c r="B715" s="200"/>
      <c r="C715" s="200"/>
      <c r="D715" s="200"/>
      <c r="E715" s="200"/>
      <c r="F715" s="204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  <c r="AA715" s="200"/>
    </row>
    <row r="716">
      <c r="A716" s="200"/>
      <c r="B716" s="200"/>
      <c r="C716" s="200"/>
      <c r="D716" s="200"/>
      <c r="E716" s="200"/>
      <c r="F716" s="204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  <c r="AA716" s="200"/>
    </row>
    <row r="717">
      <c r="A717" s="200"/>
      <c r="B717" s="200"/>
      <c r="C717" s="200"/>
      <c r="D717" s="200"/>
      <c r="E717" s="200"/>
      <c r="F717" s="204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  <c r="AA717" s="200"/>
    </row>
    <row r="718">
      <c r="A718" s="200"/>
      <c r="B718" s="200"/>
      <c r="C718" s="200"/>
      <c r="D718" s="200"/>
      <c r="E718" s="200"/>
      <c r="F718" s="204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  <c r="AA718" s="200"/>
    </row>
    <row r="719">
      <c r="A719" s="200"/>
      <c r="B719" s="200"/>
      <c r="C719" s="200"/>
      <c r="D719" s="200"/>
      <c r="E719" s="200"/>
      <c r="F719" s="204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  <c r="AA719" s="200"/>
    </row>
    <row r="720">
      <c r="A720" s="200"/>
      <c r="B720" s="200"/>
      <c r="C720" s="200"/>
      <c r="D720" s="200"/>
      <c r="E720" s="200"/>
      <c r="F720" s="204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  <c r="AA720" s="200"/>
    </row>
    <row r="721">
      <c r="A721" s="200"/>
      <c r="B721" s="200"/>
      <c r="C721" s="200"/>
      <c r="D721" s="200"/>
      <c r="E721" s="200"/>
      <c r="F721" s="204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  <c r="AA721" s="200"/>
    </row>
    <row r="722">
      <c r="A722" s="200"/>
      <c r="B722" s="200"/>
      <c r="C722" s="200"/>
      <c r="D722" s="200"/>
      <c r="E722" s="200"/>
      <c r="F722" s="204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  <c r="AA722" s="200"/>
    </row>
    <row r="723">
      <c r="A723" s="200"/>
      <c r="B723" s="200"/>
      <c r="C723" s="200"/>
      <c r="D723" s="200"/>
      <c r="E723" s="200"/>
      <c r="F723" s="204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  <c r="AA723" s="200"/>
    </row>
    <row r="724">
      <c r="A724" s="200"/>
      <c r="B724" s="200"/>
      <c r="C724" s="200"/>
      <c r="D724" s="200"/>
      <c r="E724" s="200"/>
      <c r="F724" s="204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  <c r="AA724" s="200"/>
    </row>
    <row r="725">
      <c r="A725" s="200"/>
      <c r="B725" s="200"/>
      <c r="C725" s="200"/>
      <c r="D725" s="200"/>
      <c r="E725" s="200"/>
      <c r="F725" s="204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  <c r="AA725" s="200"/>
    </row>
    <row r="726">
      <c r="A726" s="200"/>
      <c r="B726" s="200"/>
      <c r="C726" s="200"/>
      <c r="D726" s="200"/>
      <c r="E726" s="200"/>
      <c r="F726" s="204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  <c r="AA726" s="200"/>
    </row>
    <row r="727">
      <c r="A727" s="200"/>
      <c r="B727" s="200"/>
      <c r="C727" s="200"/>
      <c r="D727" s="200"/>
      <c r="E727" s="200"/>
      <c r="F727" s="204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  <c r="AA727" s="200"/>
    </row>
    <row r="728">
      <c r="A728" s="200"/>
      <c r="B728" s="200"/>
      <c r="C728" s="200"/>
      <c r="D728" s="200"/>
      <c r="E728" s="200"/>
      <c r="F728" s="204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  <c r="AA728" s="200"/>
    </row>
    <row r="729">
      <c r="A729" s="200"/>
      <c r="B729" s="200"/>
      <c r="C729" s="200"/>
      <c r="D729" s="200"/>
      <c r="E729" s="200"/>
      <c r="F729" s="204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  <c r="AA729" s="200"/>
    </row>
    <row r="730">
      <c r="A730" s="200"/>
      <c r="B730" s="200"/>
      <c r="C730" s="200"/>
      <c r="D730" s="200"/>
      <c r="E730" s="200"/>
      <c r="F730" s="204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  <c r="AA730" s="200"/>
    </row>
    <row r="731">
      <c r="A731" s="200"/>
      <c r="B731" s="200"/>
      <c r="C731" s="200"/>
      <c r="D731" s="200"/>
      <c r="E731" s="200"/>
      <c r="F731" s="204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  <c r="AA731" s="200"/>
    </row>
    <row r="732">
      <c r="A732" s="200"/>
      <c r="B732" s="200"/>
      <c r="C732" s="200"/>
      <c r="D732" s="200"/>
      <c r="E732" s="200"/>
      <c r="F732" s="204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  <c r="AA732" s="200"/>
    </row>
    <row r="733">
      <c r="A733" s="200"/>
      <c r="B733" s="200"/>
      <c r="C733" s="200"/>
      <c r="D733" s="200"/>
      <c r="E733" s="200"/>
      <c r="F733" s="204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  <c r="AA733" s="200"/>
    </row>
    <row r="734">
      <c r="A734" s="200"/>
      <c r="B734" s="200"/>
      <c r="C734" s="200"/>
      <c r="D734" s="200"/>
      <c r="E734" s="200"/>
      <c r="F734" s="204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  <c r="AA734" s="200"/>
    </row>
    <row r="735">
      <c r="A735" s="200"/>
      <c r="B735" s="200"/>
      <c r="C735" s="200"/>
      <c r="D735" s="200"/>
      <c r="E735" s="200"/>
      <c r="F735" s="204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  <c r="AA735" s="200"/>
    </row>
    <row r="736">
      <c r="A736" s="200"/>
      <c r="B736" s="200"/>
      <c r="C736" s="200"/>
      <c r="D736" s="200"/>
      <c r="E736" s="200"/>
      <c r="F736" s="204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  <c r="AA736" s="200"/>
    </row>
    <row r="737">
      <c r="A737" s="200"/>
      <c r="B737" s="200"/>
      <c r="C737" s="200"/>
      <c r="D737" s="200"/>
      <c r="E737" s="200"/>
      <c r="F737" s="204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  <c r="AA737" s="200"/>
    </row>
    <row r="738">
      <c r="A738" s="200"/>
      <c r="B738" s="200"/>
      <c r="C738" s="200"/>
      <c r="D738" s="200"/>
      <c r="E738" s="200"/>
      <c r="F738" s="204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  <c r="AA738" s="200"/>
    </row>
    <row r="739">
      <c r="A739" s="200"/>
      <c r="B739" s="200"/>
      <c r="C739" s="200"/>
      <c r="D739" s="200"/>
      <c r="E739" s="200"/>
      <c r="F739" s="204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  <c r="AA739" s="200"/>
    </row>
    <row r="740">
      <c r="A740" s="200"/>
      <c r="B740" s="200"/>
      <c r="C740" s="200"/>
      <c r="D740" s="200"/>
      <c r="E740" s="200"/>
      <c r="F740" s="204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  <c r="AA740" s="200"/>
    </row>
    <row r="741">
      <c r="A741" s="200"/>
      <c r="B741" s="200"/>
      <c r="C741" s="200"/>
      <c r="D741" s="200"/>
      <c r="E741" s="200"/>
      <c r="F741" s="204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  <c r="AA741" s="200"/>
    </row>
    <row r="742">
      <c r="A742" s="200"/>
      <c r="B742" s="200"/>
      <c r="C742" s="200"/>
      <c r="D742" s="200"/>
      <c r="E742" s="200"/>
      <c r="F742" s="204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  <c r="AA742" s="200"/>
    </row>
    <row r="743">
      <c r="A743" s="200"/>
      <c r="B743" s="200"/>
      <c r="C743" s="200"/>
      <c r="D743" s="200"/>
      <c r="E743" s="200"/>
      <c r="F743" s="204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  <c r="AA743" s="200"/>
    </row>
    <row r="744">
      <c r="A744" s="200"/>
      <c r="B744" s="200"/>
      <c r="C744" s="200"/>
      <c r="D744" s="200"/>
      <c r="E744" s="200"/>
      <c r="F744" s="204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  <c r="AA744" s="200"/>
    </row>
    <row r="745">
      <c r="A745" s="200"/>
      <c r="B745" s="200"/>
      <c r="C745" s="200"/>
      <c r="D745" s="200"/>
      <c r="E745" s="200"/>
      <c r="F745" s="204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  <c r="AA745" s="200"/>
    </row>
    <row r="746">
      <c r="A746" s="200"/>
      <c r="B746" s="200"/>
      <c r="C746" s="200"/>
      <c r="D746" s="200"/>
      <c r="E746" s="200"/>
      <c r="F746" s="204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  <c r="AA746" s="200"/>
    </row>
    <row r="747">
      <c r="A747" s="200"/>
      <c r="B747" s="200"/>
      <c r="C747" s="200"/>
      <c r="D747" s="200"/>
      <c r="E747" s="200"/>
      <c r="F747" s="204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  <c r="AA747" s="200"/>
    </row>
    <row r="748">
      <c r="A748" s="200"/>
      <c r="B748" s="200"/>
      <c r="C748" s="200"/>
      <c r="D748" s="200"/>
      <c r="E748" s="200"/>
      <c r="F748" s="204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  <c r="AA748" s="200"/>
    </row>
    <row r="749">
      <c r="A749" s="200"/>
      <c r="B749" s="200"/>
      <c r="C749" s="200"/>
      <c r="D749" s="200"/>
      <c r="E749" s="200"/>
      <c r="F749" s="204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  <c r="AA749" s="200"/>
    </row>
    <row r="750">
      <c r="A750" s="200"/>
      <c r="B750" s="200"/>
      <c r="C750" s="200"/>
      <c r="D750" s="200"/>
      <c r="E750" s="200"/>
      <c r="F750" s="204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  <c r="AA750" s="200"/>
    </row>
    <row r="751">
      <c r="A751" s="200"/>
      <c r="B751" s="200"/>
      <c r="C751" s="200"/>
      <c r="D751" s="200"/>
      <c r="E751" s="200"/>
      <c r="F751" s="204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  <c r="AA751" s="200"/>
    </row>
    <row r="752">
      <c r="A752" s="200"/>
      <c r="B752" s="200"/>
      <c r="C752" s="200"/>
      <c r="D752" s="200"/>
      <c r="E752" s="200"/>
      <c r="F752" s="204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  <c r="AA752" s="200"/>
    </row>
    <row r="753">
      <c r="A753" s="200"/>
      <c r="B753" s="200"/>
      <c r="C753" s="200"/>
      <c r="D753" s="200"/>
      <c r="E753" s="200"/>
      <c r="F753" s="204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  <c r="AA753" s="200"/>
    </row>
    <row r="754">
      <c r="A754" s="200"/>
      <c r="B754" s="200"/>
      <c r="C754" s="200"/>
      <c r="D754" s="200"/>
      <c r="E754" s="200"/>
      <c r="F754" s="204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  <c r="AA754" s="200"/>
    </row>
    <row r="755">
      <c r="A755" s="200"/>
      <c r="B755" s="200"/>
      <c r="C755" s="200"/>
      <c r="D755" s="200"/>
      <c r="E755" s="200"/>
      <c r="F755" s="204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  <c r="AA755" s="200"/>
    </row>
    <row r="756">
      <c r="A756" s="200"/>
      <c r="B756" s="200"/>
      <c r="C756" s="200"/>
      <c r="D756" s="200"/>
      <c r="E756" s="200"/>
      <c r="F756" s="204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  <c r="AA756" s="200"/>
    </row>
    <row r="757">
      <c r="A757" s="200"/>
      <c r="B757" s="200"/>
      <c r="C757" s="200"/>
      <c r="D757" s="200"/>
      <c r="E757" s="200"/>
      <c r="F757" s="204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  <c r="AA757" s="200"/>
    </row>
    <row r="758">
      <c r="A758" s="200"/>
      <c r="B758" s="200"/>
      <c r="C758" s="200"/>
      <c r="D758" s="200"/>
      <c r="E758" s="200"/>
      <c r="F758" s="204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  <c r="AA758" s="200"/>
    </row>
    <row r="759">
      <c r="A759" s="200"/>
      <c r="B759" s="200"/>
      <c r="C759" s="200"/>
      <c r="D759" s="200"/>
      <c r="E759" s="200"/>
      <c r="F759" s="204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  <c r="AA759" s="200"/>
    </row>
    <row r="760">
      <c r="A760" s="200"/>
      <c r="B760" s="200"/>
      <c r="C760" s="200"/>
      <c r="D760" s="200"/>
      <c r="E760" s="200"/>
      <c r="F760" s="204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  <c r="AA760" s="200"/>
    </row>
    <row r="761">
      <c r="A761" s="200"/>
      <c r="B761" s="200"/>
      <c r="C761" s="200"/>
      <c r="D761" s="200"/>
      <c r="E761" s="200"/>
      <c r="F761" s="204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  <c r="AA761" s="200"/>
    </row>
    <row r="762">
      <c r="A762" s="200"/>
      <c r="B762" s="200"/>
      <c r="C762" s="200"/>
      <c r="D762" s="200"/>
      <c r="E762" s="200"/>
      <c r="F762" s="204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  <c r="AA762" s="200"/>
    </row>
    <row r="763">
      <c r="A763" s="200"/>
      <c r="B763" s="200"/>
      <c r="C763" s="200"/>
      <c r="D763" s="200"/>
      <c r="E763" s="200"/>
      <c r="F763" s="204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  <c r="AA763" s="200"/>
    </row>
    <row r="764">
      <c r="A764" s="200"/>
      <c r="B764" s="200"/>
      <c r="C764" s="200"/>
      <c r="D764" s="200"/>
      <c r="E764" s="200"/>
      <c r="F764" s="204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  <c r="AA764" s="200"/>
    </row>
    <row r="765">
      <c r="A765" s="200"/>
      <c r="B765" s="200"/>
      <c r="C765" s="200"/>
      <c r="D765" s="200"/>
      <c r="E765" s="200"/>
      <c r="F765" s="204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  <c r="AA765" s="200"/>
    </row>
    <row r="766">
      <c r="A766" s="200"/>
      <c r="B766" s="200"/>
      <c r="C766" s="200"/>
      <c r="D766" s="200"/>
      <c r="E766" s="200"/>
      <c r="F766" s="204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  <c r="AA766" s="200"/>
    </row>
    <row r="767">
      <c r="A767" s="200"/>
      <c r="B767" s="200"/>
      <c r="C767" s="200"/>
      <c r="D767" s="200"/>
      <c r="E767" s="200"/>
      <c r="F767" s="204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  <c r="AA767" s="200"/>
    </row>
    <row r="768">
      <c r="A768" s="200"/>
      <c r="B768" s="200"/>
      <c r="C768" s="200"/>
      <c r="D768" s="200"/>
      <c r="E768" s="200"/>
      <c r="F768" s="204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  <c r="AA768" s="200"/>
    </row>
    <row r="769">
      <c r="A769" s="200"/>
      <c r="B769" s="200"/>
      <c r="C769" s="200"/>
      <c r="D769" s="200"/>
      <c r="E769" s="200"/>
      <c r="F769" s="204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  <c r="AA769" s="200"/>
    </row>
    <row r="770">
      <c r="A770" s="200"/>
      <c r="B770" s="200"/>
      <c r="C770" s="200"/>
      <c r="D770" s="200"/>
      <c r="E770" s="200"/>
      <c r="F770" s="204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  <c r="AA770" s="200"/>
    </row>
    <row r="771">
      <c r="A771" s="200"/>
      <c r="B771" s="200"/>
      <c r="C771" s="200"/>
      <c r="D771" s="200"/>
      <c r="E771" s="200"/>
      <c r="F771" s="204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  <c r="AA771" s="200"/>
    </row>
    <row r="772">
      <c r="A772" s="200"/>
      <c r="B772" s="200"/>
      <c r="C772" s="200"/>
      <c r="D772" s="200"/>
      <c r="E772" s="200"/>
      <c r="F772" s="204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  <c r="AA772" s="200"/>
    </row>
    <row r="773">
      <c r="A773" s="200"/>
      <c r="B773" s="200"/>
      <c r="C773" s="200"/>
      <c r="D773" s="200"/>
      <c r="E773" s="200"/>
      <c r="F773" s="204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  <c r="AA773" s="200"/>
    </row>
    <row r="774">
      <c r="A774" s="200"/>
      <c r="B774" s="200"/>
      <c r="C774" s="200"/>
      <c r="D774" s="200"/>
      <c r="E774" s="200"/>
      <c r="F774" s="204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  <c r="AA774" s="200"/>
    </row>
    <row r="775">
      <c r="A775" s="200"/>
      <c r="B775" s="200"/>
      <c r="C775" s="200"/>
      <c r="D775" s="200"/>
      <c r="E775" s="200"/>
      <c r="F775" s="204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  <c r="AA775" s="200"/>
    </row>
    <row r="776">
      <c r="A776" s="200"/>
      <c r="B776" s="200"/>
      <c r="C776" s="200"/>
      <c r="D776" s="200"/>
      <c r="E776" s="200"/>
      <c r="F776" s="204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  <c r="AA776" s="200"/>
    </row>
    <row r="777">
      <c r="A777" s="200"/>
      <c r="B777" s="200"/>
      <c r="C777" s="200"/>
      <c r="D777" s="200"/>
      <c r="E777" s="200"/>
      <c r="F777" s="204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  <c r="AA777" s="200"/>
    </row>
    <row r="778">
      <c r="A778" s="200"/>
      <c r="B778" s="200"/>
      <c r="C778" s="200"/>
      <c r="D778" s="200"/>
      <c r="E778" s="200"/>
      <c r="F778" s="204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  <c r="AA778" s="200"/>
    </row>
    <row r="779">
      <c r="A779" s="200"/>
      <c r="B779" s="200"/>
      <c r="C779" s="200"/>
      <c r="D779" s="200"/>
      <c r="E779" s="200"/>
      <c r="F779" s="204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  <c r="AA779" s="200"/>
    </row>
    <row r="780">
      <c r="A780" s="200"/>
      <c r="B780" s="200"/>
      <c r="C780" s="200"/>
      <c r="D780" s="200"/>
      <c r="E780" s="200"/>
      <c r="F780" s="204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  <c r="AA780" s="200"/>
    </row>
    <row r="781">
      <c r="A781" s="200"/>
      <c r="B781" s="200"/>
      <c r="C781" s="200"/>
      <c r="D781" s="200"/>
      <c r="E781" s="200"/>
      <c r="F781" s="204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  <c r="AA781" s="200"/>
    </row>
    <row r="782">
      <c r="A782" s="200"/>
      <c r="B782" s="200"/>
      <c r="C782" s="200"/>
      <c r="D782" s="200"/>
      <c r="E782" s="200"/>
      <c r="F782" s="204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  <c r="AA782" s="200"/>
    </row>
    <row r="783">
      <c r="A783" s="200"/>
      <c r="B783" s="200"/>
      <c r="C783" s="200"/>
      <c r="D783" s="200"/>
      <c r="E783" s="200"/>
      <c r="F783" s="204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  <c r="AA783" s="200"/>
    </row>
    <row r="784">
      <c r="A784" s="200"/>
      <c r="B784" s="200"/>
      <c r="C784" s="200"/>
      <c r="D784" s="200"/>
      <c r="E784" s="200"/>
      <c r="F784" s="204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  <c r="AA784" s="200"/>
    </row>
    <row r="785">
      <c r="A785" s="200"/>
      <c r="B785" s="200"/>
      <c r="C785" s="200"/>
      <c r="D785" s="200"/>
      <c r="E785" s="200"/>
      <c r="F785" s="204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  <c r="AA785" s="200"/>
    </row>
    <row r="786">
      <c r="A786" s="200"/>
      <c r="B786" s="200"/>
      <c r="C786" s="200"/>
      <c r="D786" s="200"/>
      <c r="E786" s="200"/>
      <c r="F786" s="204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  <c r="AA786" s="200"/>
    </row>
    <row r="787">
      <c r="A787" s="200"/>
      <c r="B787" s="200"/>
      <c r="C787" s="200"/>
      <c r="D787" s="200"/>
      <c r="E787" s="200"/>
      <c r="F787" s="204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  <c r="AA787" s="200"/>
    </row>
    <row r="788">
      <c r="A788" s="200"/>
      <c r="B788" s="200"/>
      <c r="C788" s="200"/>
      <c r="D788" s="200"/>
      <c r="E788" s="200"/>
      <c r="F788" s="204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  <c r="AA788" s="200"/>
    </row>
    <row r="789">
      <c r="A789" s="200"/>
      <c r="B789" s="200"/>
      <c r="C789" s="200"/>
      <c r="D789" s="200"/>
      <c r="E789" s="200"/>
      <c r="F789" s="204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  <c r="AA789" s="200"/>
    </row>
    <row r="790">
      <c r="A790" s="200"/>
      <c r="B790" s="200"/>
      <c r="C790" s="200"/>
      <c r="D790" s="200"/>
      <c r="E790" s="200"/>
      <c r="F790" s="204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  <c r="AA790" s="200"/>
    </row>
    <row r="791">
      <c r="A791" s="200"/>
      <c r="B791" s="200"/>
      <c r="C791" s="200"/>
      <c r="D791" s="200"/>
      <c r="E791" s="200"/>
      <c r="F791" s="204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  <c r="AA791" s="200"/>
    </row>
    <row r="792">
      <c r="A792" s="200"/>
      <c r="B792" s="200"/>
      <c r="C792" s="200"/>
      <c r="D792" s="200"/>
      <c r="E792" s="200"/>
      <c r="F792" s="204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  <c r="AA792" s="200"/>
    </row>
    <row r="793">
      <c r="A793" s="200"/>
      <c r="B793" s="200"/>
      <c r="C793" s="200"/>
      <c r="D793" s="200"/>
      <c r="E793" s="200"/>
      <c r="F793" s="204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  <c r="AA793" s="200"/>
    </row>
    <row r="794">
      <c r="A794" s="200"/>
      <c r="B794" s="200"/>
      <c r="C794" s="200"/>
      <c r="D794" s="200"/>
      <c r="E794" s="200"/>
      <c r="F794" s="204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  <c r="AA794" s="200"/>
    </row>
    <row r="795">
      <c r="A795" s="200"/>
      <c r="B795" s="200"/>
      <c r="C795" s="200"/>
      <c r="D795" s="200"/>
      <c r="E795" s="200"/>
      <c r="F795" s="204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  <c r="AA795" s="200"/>
    </row>
    <row r="796">
      <c r="A796" s="200"/>
      <c r="B796" s="200"/>
      <c r="C796" s="200"/>
      <c r="D796" s="200"/>
      <c r="E796" s="200"/>
      <c r="F796" s="204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  <c r="AA796" s="200"/>
    </row>
    <row r="797">
      <c r="A797" s="200"/>
      <c r="B797" s="200"/>
      <c r="C797" s="200"/>
      <c r="D797" s="200"/>
      <c r="E797" s="200"/>
      <c r="F797" s="204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  <c r="AA797" s="200"/>
    </row>
    <row r="798">
      <c r="A798" s="200"/>
      <c r="B798" s="200"/>
      <c r="C798" s="200"/>
      <c r="D798" s="200"/>
      <c r="E798" s="200"/>
      <c r="F798" s="204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  <c r="AA798" s="200"/>
    </row>
    <row r="799">
      <c r="A799" s="200"/>
      <c r="B799" s="200"/>
      <c r="C799" s="200"/>
      <c r="D799" s="200"/>
      <c r="E799" s="200"/>
      <c r="F799" s="204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  <c r="AA799" s="200"/>
    </row>
    <row r="800">
      <c r="A800" s="200"/>
      <c r="B800" s="200"/>
      <c r="C800" s="200"/>
      <c r="D800" s="200"/>
      <c r="E800" s="200"/>
      <c r="F800" s="204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  <c r="AA800" s="200"/>
    </row>
    <row r="801">
      <c r="A801" s="200"/>
      <c r="B801" s="200"/>
      <c r="C801" s="200"/>
      <c r="D801" s="200"/>
      <c r="E801" s="200"/>
      <c r="F801" s="204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  <c r="AA801" s="200"/>
    </row>
    <row r="802">
      <c r="A802" s="200"/>
      <c r="B802" s="200"/>
      <c r="C802" s="200"/>
      <c r="D802" s="200"/>
      <c r="E802" s="200"/>
      <c r="F802" s="204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  <c r="AA802" s="200"/>
    </row>
    <row r="803">
      <c r="A803" s="200"/>
      <c r="B803" s="200"/>
      <c r="C803" s="200"/>
      <c r="D803" s="200"/>
      <c r="E803" s="200"/>
      <c r="F803" s="204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  <c r="AA803" s="200"/>
    </row>
    <row r="804">
      <c r="A804" s="200"/>
      <c r="B804" s="200"/>
      <c r="C804" s="200"/>
      <c r="D804" s="200"/>
      <c r="E804" s="200"/>
      <c r="F804" s="204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  <c r="AA804" s="200"/>
    </row>
    <row r="805">
      <c r="A805" s="200"/>
      <c r="B805" s="200"/>
      <c r="C805" s="200"/>
      <c r="D805" s="200"/>
      <c r="E805" s="200"/>
      <c r="F805" s="204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  <c r="AA805" s="200"/>
    </row>
    <row r="806">
      <c r="A806" s="200"/>
      <c r="B806" s="200"/>
      <c r="C806" s="200"/>
      <c r="D806" s="200"/>
      <c r="E806" s="200"/>
      <c r="F806" s="204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  <c r="AA806" s="200"/>
    </row>
    <row r="807">
      <c r="A807" s="200"/>
      <c r="B807" s="200"/>
      <c r="C807" s="200"/>
      <c r="D807" s="200"/>
      <c r="E807" s="200"/>
      <c r="F807" s="204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  <c r="AA807" s="200"/>
    </row>
    <row r="808">
      <c r="A808" s="200"/>
      <c r="B808" s="200"/>
      <c r="C808" s="200"/>
      <c r="D808" s="200"/>
      <c r="E808" s="200"/>
      <c r="F808" s="204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  <c r="AA808" s="200"/>
    </row>
    <row r="809">
      <c r="A809" s="200"/>
      <c r="B809" s="200"/>
      <c r="C809" s="200"/>
      <c r="D809" s="200"/>
      <c r="E809" s="200"/>
      <c r="F809" s="204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  <c r="AA809" s="200"/>
    </row>
    <row r="810">
      <c r="A810" s="200"/>
      <c r="B810" s="200"/>
      <c r="C810" s="200"/>
      <c r="D810" s="200"/>
      <c r="E810" s="200"/>
      <c r="F810" s="204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  <c r="AA810" s="200"/>
    </row>
    <row r="811">
      <c r="A811" s="200"/>
      <c r="B811" s="200"/>
      <c r="C811" s="200"/>
      <c r="D811" s="200"/>
      <c r="E811" s="200"/>
      <c r="F811" s="204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  <c r="AA811" s="200"/>
    </row>
    <row r="812">
      <c r="A812" s="200"/>
      <c r="B812" s="200"/>
      <c r="C812" s="200"/>
      <c r="D812" s="200"/>
      <c r="E812" s="200"/>
      <c r="F812" s="204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  <c r="AA812" s="200"/>
    </row>
    <row r="813">
      <c r="A813" s="200"/>
      <c r="B813" s="200"/>
      <c r="C813" s="200"/>
      <c r="D813" s="200"/>
      <c r="E813" s="200"/>
      <c r="F813" s="204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  <c r="AA813" s="200"/>
    </row>
    <row r="814">
      <c r="A814" s="200"/>
      <c r="B814" s="200"/>
      <c r="C814" s="200"/>
      <c r="D814" s="200"/>
      <c r="E814" s="200"/>
      <c r="F814" s="204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  <c r="AA814" s="200"/>
    </row>
    <row r="815">
      <c r="A815" s="200"/>
      <c r="B815" s="200"/>
      <c r="C815" s="200"/>
      <c r="D815" s="200"/>
      <c r="E815" s="200"/>
      <c r="F815" s="204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  <c r="AA815" s="200"/>
    </row>
    <row r="816">
      <c r="A816" s="200"/>
      <c r="B816" s="200"/>
      <c r="C816" s="200"/>
      <c r="D816" s="200"/>
      <c r="E816" s="200"/>
      <c r="F816" s="204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  <c r="AA816" s="200"/>
    </row>
    <row r="817">
      <c r="A817" s="200"/>
      <c r="B817" s="200"/>
      <c r="C817" s="200"/>
      <c r="D817" s="200"/>
      <c r="E817" s="200"/>
      <c r="F817" s="204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  <c r="AA817" s="200"/>
    </row>
    <row r="818">
      <c r="A818" s="200"/>
      <c r="B818" s="200"/>
      <c r="C818" s="200"/>
      <c r="D818" s="200"/>
      <c r="E818" s="200"/>
      <c r="F818" s="204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  <c r="AA818" s="200"/>
    </row>
    <row r="819">
      <c r="A819" s="200"/>
      <c r="B819" s="200"/>
      <c r="C819" s="200"/>
      <c r="D819" s="200"/>
      <c r="E819" s="200"/>
      <c r="F819" s="204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  <c r="AA819" s="200"/>
    </row>
    <row r="820">
      <c r="A820" s="200"/>
      <c r="B820" s="200"/>
      <c r="C820" s="200"/>
      <c r="D820" s="200"/>
      <c r="E820" s="200"/>
      <c r="F820" s="204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  <c r="AA820" s="200"/>
    </row>
    <row r="821">
      <c r="A821" s="200"/>
      <c r="B821" s="200"/>
      <c r="C821" s="200"/>
      <c r="D821" s="200"/>
      <c r="E821" s="200"/>
      <c r="F821" s="204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  <c r="AA821" s="200"/>
    </row>
    <row r="822">
      <c r="A822" s="200"/>
      <c r="B822" s="200"/>
      <c r="C822" s="200"/>
      <c r="D822" s="200"/>
      <c r="E822" s="200"/>
      <c r="F822" s="204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  <c r="AA822" s="200"/>
    </row>
    <row r="823">
      <c r="A823" s="200"/>
      <c r="B823" s="200"/>
      <c r="C823" s="200"/>
      <c r="D823" s="200"/>
      <c r="E823" s="200"/>
      <c r="F823" s="204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  <c r="AA823" s="200"/>
    </row>
    <row r="824">
      <c r="A824" s="200"/>
      <c r="B824" s="200"/>
      <c r="C824" s="200"/>
      <c r="D824" s="200"/>
      <c r="E824" s="200"/>
      <c r="F824" s="204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  <c r="AA824" s="200"/>
    </row>
    <row r="825">
      <c r="A825" s="200"/>
      <c r="B825" s="200"/>
      <c r="C825" s="200"/>
      <c r="D825" s="200"/>
      <c r="E825" s="200"/>
      <c r="F825" s="204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  <c r="AA825" s="200"/>
    </row>
    <row r="826">
      <c r="A826" s="200"/>
      <c r="B826" s="200"/>
      <c r="C826" s="200"/>
      <c r="D826" s="200"/>
      <c r="E826" s="200"/>
      <c r="F826" s="204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  <c r="AA826" s="200"/>
    </row>
    <row r="827">
      <c r="A827" s="200"/>
      <c r="B827" s="200"/>
      <c r="C827" s="200"/>
      <c r="D827" s="200"/>
      <c r="E827" s="200"/>
      <c r="F827" s="204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  <c r="AA827" s="200"/>
    </row>
    <row r="828">
      <c r="A828" s="200"/>
      <c r="B828" s="200"/>
      <c r="C828" s="200"/>
      <c r="D828" s="200"/>
      <c r="E828" s="200"/>
      <c r="F828" s="204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  <c r="AA828" s="200"/>
    </row>
    <row r="829">
      <c r="A829" s="200"/>
      <c r="B829" s="200"/>
      <c r="C829" s="200"/>
      <c r="D829" s="200"/>
      <c r="E829" s="200"/>
      <c r="F829" s="204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  <c r="AA829" s="200"/>
    </row>
    <row r="830">
      <c r="A830" s="200"/>
      <c r="B830" s="200"/>
      <c r="C830" s="200"/>
      <c r="D830" s="200"/>
      <c r="E830" s="200"/>
      <c r="F830" s="204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  <c r="AA830" s="200"/>
    </row>
    <row r="831">
      <c r="A831" s="200"/>
      <c r="B831" s="200"/>
      <c r="C831" s="200"/>
      <c r="D831" s="200"/>
      <c r="E831" s="200"/>
      <c r="F831" s="204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  <c r="AA831" s="200"/>
    </row>
    <row r="832">
      <c r="A832" s="200"/>
      <c r="B832" s="200"/>
      <c r="C832" s="200"/>
      <c r="D832" s="200"/>
      <c r="E832" s="200"/>
      <c r="F832" s="204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  <c r="AA832" s="200"/>
    </row>
    <row r="833">
      <c r="A833" s="200"/>
      <c r="B833" s="200"/>
      <c r="C833" s="200"/>
      <c r="D833" s="200"/>
      <c r="E833" s="200"/>
      <c r="F833" s="204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  <c r="AA833" s="200"/>
    </row>
    <row r="834">
      <c r="A834" s="200"/>
      <c r="B834" s="200"/>
      <c r="C834" s="200"/>
      <c r="D834" s="200"/>
      <c r="E834" s="200"/>
      <c r="F834" s="204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  <c r="AA834" s="200"/>
    </row>
    <row r="835">
      <c r="A835" s="200"/>
      <c r="B835" s="200"/>
      <c r="C835" s="200"/>
      <c r="D835" s="200"/>
      <c r="E835" s="200"/>
      <c r="F835" s="204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  <c r="AA835" s="200"/>
    </row>
    <row r="836">
      <c r="A836" s="200"/>
      <c r="B836" s="200"/>
      <c r="C836" s="200"/>
      <c r="D836" s="200"/>
      <c r="E836" s="200"/>
      <c r="F836" s="204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  <c r="AA836" s="200"/>
    </row>
    <row r="837">
      <c r="A837" s="200"/>
      <c r="B837" s="200"/>
      <c r="C837" s="200"/>
      <c r="D837" s="200"/>
      <c r="E837" s="200"/>
      <c r="F837" s="204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  <c r="AA837" s="200"/>
    </row>
    <row r="838">
      <c r="A838" s="200"/>
      <c r="B838" s="200"/>
      <c r="C838" s="200"/>
      <c r="D838" s="200"/>
      <c r="E838" s="200"/>
      <c r="F838" s="204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  <c r="AA838" s="200"/>
    </row>
    <row r="839">
      <c r="A839" s="200"/>
      <c r="B839" s="200"/>
      <c r="C839" s="200"/>
      <c r="D839" s="200"/>
      <c r="E839" s="200"/>
      <c r="F839" s="204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  <c r="AA839" s="200"/>
    </row>
    <row r="840">
      <c r="A840" s="200"/>
      <c r="B840" s="200"/>
      <c r="C840" s="200"/>
      <c r="D840" s="200"/>
      <c r="E840" s="200"/>
      <c r="F840" s="204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  <c r="AA840" s="200"/>
    </row>
    <row r="841">
      <c r="A841" s="200"/>
      <c r="B841" s="200"/>
      <c r="C841" s="200"/>
      <c r="D841" s="200"/>
      <c r="E841" s="200"/>
      <c r="F841" s="204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  <c r="AA841" s="200"/>
    </row>
    <row r="842">
      <c r="A842" s="200"/>
      <c r="B842" s="200"/>
      <c r="C842" s="200"/>
      <c r="D842" s="200"/>
      <c r="E842" s="200"/>
      <c r="F842" s="204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  <c r="AA842" s="200"/>
    </row>
    <row r="843">
      <c r="A843" s="200"/>
      <c r="B843" s="200"/>
      <c r="C843" s="200"/>
      <c r="D843" s="200"/>
      <c r="E843" s="200"/>
      <c r="F843" s="204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  <c r="AA843" s="200"/>
    </row>
    <row r="844">
      <c r="A844" s="200"/>
      <c r="B844" s="200"/>
      <c r="C844" s="200"/>
      <c r="D844" s="200"/>
      <c r="E844" s="200"/>
      <c r="F844" s="204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  <c r="AA844" s="200"/>
    </row>
    <row r="845">
      <c r="A845" s="200"/>
      <c r="B845" s="200"/>
      <c r="C845" s="200"/>
      <c r="D845" s="200"/>
      <c r="E845" s="200"/>
      <c r="F845" s="204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  <c r="AA845" s="200"/>
    </row>
    <row r="846">
      <c r="A846" s="200"/>
      <c r="B846" s="200"/>
      <c r="C846" s="200"/>
      <c r="D846" s="200"/>
      <c r="E846" s="200"/>
      <c r="F846" s="204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  <c r="AA846" s="200"/>
    </row>
    <row r="847">
      <c r="A847" s="200"/>
      <c r="B847" s="200"/>
      <c r="C847" s="200"/>
      <c r="D847" s="200"/>
      <c r="E847" s="200"/>
      <c r="F847" s="204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  <c r="AA847" s="200"/>
    </row>
    <row r="848">
      <c r="A848" s="200"/>
      <c r="B848" s="200"/>
      <c r="C848" s="200"/>
      <c r="D848" s="200"/>
      <c r="E848" s="200"/>
      <c r="F848" s="204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  <c r="AA848" s="200"/>
    </row>
    <row r="849">
      <c r="A849" s="200"/>
      <c r="B849" s="200"/>
      <c r="C849" s="200"/>
      <c r="D849" s="200"/>
      <c r="E849" s="200"/>
      <c r="F849" s="204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  <c r="AA849" s="200"/>
    </row>
    <row r="850">
      <c r="A850" s="200"/>
      <c r="B850" s="200"/>
      <c r="C850" s="200"/>
      <c r="D850" s="200"/>
      <c r="E850" s="200"/>
      <c r="F850" s="204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  <c r="AA850" s="200"/>
    </row>
    <row r="851">
      <c r="A851" s="200"/>
      <c r="B851" s="200"/>
      <c r="C851" s="200"/>
      <c r="D851" s="200"/>
      <c r="E851" s="200"/>
      <c r="F851" s="204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  <c r="AA851" s="200"/>
    </row>
    <row r="852">
      <c r="A852" s="200"/>
      <c r="B852" s="200"/>
      <c r="C852" s="200"/>
      <c r="D852" s="200"/>
      <c r="E852" s="200"/>
      <c r="F852" s="204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  <c r="AA852" s="200"/>
    </row>
    <row r="853">
      <c r="A853" s="200"/>
      <c r="B853" s="200"/>
      <c r="C853" s="200"/>
      <c r="D853" s="200"/>
      <c r="E853" s="200"/>
      <c r="F853" s="204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  <c r="AA853" s="200"/>
    </row>
    <row r="854">
      <c r="A854" s="200"/>
      <c r="B854" s="200"/>
      <c r="C854" s="200"/>
      <c r="D854" s="200"/>
      <c r="E854" s="200"/>
      <c r="F854" s="204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  <c r="AA854" s="200"/>
    </row>
    <row r="855">
      <c r="A855" s="200"/>
      <c r="B855" s="200"/>
      <c r="C855" s="200"/>
      <c r="D855" s="200"/>
      <c r="E855" s="200"/>
      <c r="F855" s="204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  <c r="AA855" s="200"/>
    </row>
    <row r="856">
      <c r="A856" s="200"/>
      <c r="B856" s="200"/>
      <c r="C856" s="200"/>
      <c r="D856" s="200"/>
      <c r="E856" s="200"/>
      <c r="F856" s="204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  <c r="AA856" s="200"/>
    </row>
    <row r="857">
      <c r="A857" s="200"/>
      <c r="B857" s="200"/>
      <c r="C857" s="200"/>
      <c r="D857" s="200"/>
      <c r="E857" s="200"/>
      <c r="F857" s="204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  <c r="AA857" s="200"/>
    </row>
    <row r="858">
      <c r="A858" s="200"/>
      <c r="B858" s="200"/>
      <c r="C858" s="200"/>
      <c r="D858" s="200"/>
      <c r="E858" s="200"/>
      <c r="F858" s="204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  <c r="AA858" s="200"/>
    </row>
    <row r="859">
      <c r="A859" s="200"/>
      <c r="B859" s="200"/>
      <c r="C859" s="200"/>
      <c r="D859" s="200"/>
      <c r="E859" s="200"/>
      <c r="F859" s="204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  <c r="AA859" s="200"/>
    </row>
    <row r="860">
      <c r="A860" s="200"/>
      <c r="B860" s="200"/>
      <c r="C860" s="200"/>
      <c r="D860" s="200"/>
      <c r="E860" s="200"/>
      <c r="F860" s="204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  <c r="AA860" s="200"/>
    </row>
    <row r="861">
      <c r="A861" s="200"/>
      <c r="B861" s="200"/>
      <c r="C861" s="200"/>
      <c r="D861" s="200"/>
      <c r="E861" s="200"/>
      <c r="F861" s="204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  <c r="AA861" s="200"/>
    </row>
    <row r="862">
      <c r="A862" s="200"/>
      <c r="B862" s="200"/>
      <c r="C862" s="200"/>
      <c r="D862" s="200"/>
      <c r="E862" s="200"/>
      <c r="F862" s="204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  <c r="AA862" s="200"/>
    </row>
    <row r="863">
      <c r="A863" s="200"/>
      <c r="B863" s="200"/>
      <c r="C863" s="200"/>
      <c r="D863" s="200"/>
      <c r="E863" s="200"/>
      <c r="F863" s="204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  <c r="AA863" s="200"/>
    </row>
    <row r="864">
      <c r="A864" s="200"/>
      <c r="B864" s="200"/>
      <c r="C864" s="200"/>
      <c r="D864" s="200"/>
      <c r="E864" s="200"/>
      <c r="F864" s="204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  <c r="AA864" s="200"/>
    </row>
    <row r="865">
      <c r="A865" s="200"/>
      <c r="B865" s="200"/>
      <c r="C865" s="200"/>
      <c r="D865" s="200"/>
      <c r="E865" s="200"/>
      <c r="F865" s="204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  <c r="AA865" s="200"/>
    </row>
    <row r="866">
      <c r="A866" s="200"/>
      <c r="B866" s="200"/>
      <c r="C866" s="200"/>
      <c r="D866" s="200"/>
      <c r="E866" s="200"/>
      <c r="F866" s="204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  <c r="AA866" s="200"/>
    </row>
    <row r="867">
      <c r="A867" s="200"/>
      <c r="B867" s="200"/>
      <c r="C867" s="200"/>
      <c r="D867" s="200"/>
      <c r="E867" s="200"/>
      <c r="F867" s="204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  <c r="AA867" s="200"/>
    </row>
    <row r="868">
      <c r="A868" s="200"/>
      <c r="B868" s="200"/>
      <c r="C868" s="200"/>
      <c r="D868" s="200"/>
      <c r="E868" s="200"/>
      <c r="F868" s="204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  <c r="AA868" s="200"/>
    </row>
    <row r="869">
      <c r="A869" s="200"/>
      <c r="B869" s="200"/>
      <c r="C869" s="200"/>
      <c r="D869" s="200"/>
      <c r="E869" s="200"/>
      <c r="F869" s="204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  <c r="AA869" s="200"/>
    </row>
    <row r="870">
      <c r="A870" s="200"/>
      <c r="B870" s="200"/>
      <c r="C870" s="200"/>
      <c r="D870" s="200"/>
      <c r="E870" s="200"/>
      <c r="F870" s="204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  <c r="AA870" s="200"/>
    </row>
    <row r="871">
      <c r="A871" s="200"/>
      <c r="B871" s="200"/>
      <c r="C871" s="200"/>
      <c r="D871" s="200"/>
      <c r="E871" s="200"/>
      <c r="F871" s="204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  <c r="AA871" s="200"/>
    </row>
    <row r="872">
      <c r="A872" s="200"/>
      <c r="B872" s="200"/>
      <c r="C872" s="200"/>
      <c r="D872" s="200"/>
      <c r="E872" s="200"/>
      <c r="F872" s="204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  <c r="AA872" s="200"/>
    </row>
    <row r="873">
      <c r="A873" s="200"/>
      <c r="B873" s="200"/>
      <c r="C873" s="200"/>
      <c r="D873" s="200"/>
      <c r="E873" s="200"/>
      <c r="F873" s="204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  <c r="AA873" s="200"/>
    </row>
    <row r="874">
      <c r="A874" s="200"/>
      <c r="B874" s="200"/>
      <c r="C874" s="200"/>
      <c r="D874" s="200"/>
      <c r="E874" s="200"/>
      <c r="F874" s="204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  <c r="AA874" s="200"/>
    </row>
    <row r="875">
      <c r="A875" s="200"/>
      <c r="B875" s="200"/>
      <c r="C875" s="200"/>
      <c r="D875" s="200"/>
      <c r="E875" s="200"/>
      <c r="F875" s="204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  <c r="AA875" s="200"/>
    </row>
    <row r="876">
      <c r="A876" s="200"/>
      <c r="B876" s="200"/>
      <c r="C876" s="200"/>
      <c r="D876" s="200"/>
      <c r="E876" s="200"/>
      <c r="F876" s="204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  <c r="AA876" s="200"/>
    </row>
    <row r="877">
      <c r="A877" s="200"/>
      <c r="B877" s="200"/>
      <c r="C877" s="200"/>
      <c r="D877" s="200"/>
      <c r="E877" s="200"/>
      <c r="F877" s="204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  <c r="AA877" s="200"/>
    </row>
    <row r="878">
      <c r="A878" s="200"/>
      <c r="B878" s="200"/>
      <c r="C878" s="200"/>
      <c r="D878" s="200"/>
      <c r="E878" s="200"/>
      <c r="F878" s="204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  <c r="AA878" s="200"/>
    </row>
    <row r="879">
      <c r="A879" s="200"/>
      <c r="B879" s="200"/>
      <c r="C879" s="200"/>
      <c r="D879" s="200"/>
      <c r="E879" s="200"/>
      <c r="F879" s="204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  <c r="AA879" s="200"/>
    </row>
    <row r="880">
      <c r="A880" s="200"/>
      <c r="B880" s="200"/>
      <c r="C880" s="200"/>
      <c r="D880" s="200"/>
      <c r="E880" s="200"/>
      <c r="F880" s="204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  <c r="AA880" s="200"/>
    </row>
    <row r="881">
      <c r="A881" s="200"/>
      <c r="B881" s="200"/>
      <c r="C881" s="200"/>
      <c r="D881" s="200"/>
      <c r="E881" s="200"/>
      <c r="F881" s="204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  <c r="AA881" s="200"/>
    </row>
    <row r="882">
      <c r="A882" s="200"/>
      <c r="B882" s="200"/>
      <c r="C882" s="200"/>
      <c r="D882" s="200"/>
      <c r="E882" s="200"/>
      <c r="F882" s="204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  <c r="AA882" s="200"/>
    </row>
    <row r="883">
      <c r="A883" s="200"/>
      <c r="B883" s="200"/>
      <c r="C883" s="200"/>
      <c r="D883" s="200"/>
      <c r="E883" s="200"/>
      <c r="F883" s="204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  <c r="AA883" s="200"/>
    </row>
    <row r="884">
      <c r="A884" s="200"/>
      <c r="B884" s="200"/>
      <c r="C884" s="200"/>
      <c r="D884" s="200"/>
      <c r="E884" s="200"/>
      <c r="F884" s="204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  <c r="AA884" s="200"/>
    </row>
    <row r="885">
      <c r="A885" s="200"/>
      <c r="B885" s="200"/>
      <c r="C885" s="200"/>
      <c r="D885" s="200"/>
      <c r="E885" s="200"/>
      <c r="F885" s="204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  <c r="AA885" s="200"/>
    </row>
    <row r="886">
      <c r="A886" s="200"/>
      <c r="B886" s="200"/>
      <c r="C886" s="200"/>
      <c r="D886" s="200"/>
      <c r="E886" s="200"/>
      <c r="F886" s="204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  <c r="AA886" s="200"/>
    </row>
    <row r="887">
      <c r="A887" s="200"/>
      <c r="B887" s="200"/>
      <c r="C887" s="200"/>
      <c r="D887" s="200"/>
      <c r="E887" s="200"/>
      <c r="F887" s="204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  <c r="AA887" s="200"/>
    </row>
    <row r="888">
      <c r="A888" s="200"/>
      <c r="B888" s="200"/>
      <c r="C888" s="200"/>
      <c r="D888" s="200"/>
      <c r="E888" s="200"/>
      <c r="F888" s="204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  <c r="AA888" s="200"/>
    </row>
    <row r="889">
      <c r="A889" s="200"/>
      <c r="B889" s="200"/>
      <c r="C889" s="200"/>
      <c r="D889" s="200"/>
      <c r="E889" s="200"/>
      <c r="F889" s="204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  <c r="AA889" s="200"/>
    </row>
    <row r="890">
      <c r="A890" s="200"/>
      <c r="B890" s="200"/>
      <c r="C890" s="200"/>
      <c r="D890" s="200"/>
      <c r="E890" s="200"/>
      <c r="F890" s="204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  <c r="AA890" s="200"/>
    </row>
    <row r="891">
      <c r="A891" s="200"/>
      <c r="B891" s="200"/>
      <c r="C891" s="200"/>
      <c r="D891" s="200"/>
      <c r="E891" s="200"/>
      <c r="F891" s="204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  <c r="AA891" s="200"/>
    </row>
    <row r="892">
      <c r="A892" s="200"/>
      <c r="B892" s="200"/>
      <c r="C892" s="200"/>
      <c r="D892" s="200"/>
      <c r="E892" s="200"/>
      <c r="F892" s="204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  <c r="AA892" s="200"/>
    </row>
    <row r="893">
      <c r="A893" s="200"/>
      <c r="B893" s="200"/>
      <c r="C893" s="200"/>
      <c r="D893" s="200"/>
      <c r="E893" s="200"/>
      <c r="F893" s="204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  <c r="AA893" s="200"/>
    </row>
    <row r="894">
      <c r="A894" s="200"/>
      <c r="B894" s="200"/>
      <c r="C894" s="200"/>
      <c r="D894" s="200"/>
      <c r="E894" s="200"/>
      <c r="F894" s="204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  <c r="AA894" s="200"/>
    </row>
    <row r="895">
      <c r="A895" s="200"/>
      <c r="B895" s="200"/>
      <c r="C895" s="200"/>
      <c r="D895" s="200"/>
      <c r="E895" s="200"/>
      <c r="F895" s="204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  <c r="AA895" s="200"/>
    </row>
    <row r="896">
      <c r="A896" s="200"/>
      <c r="B896" s="200"/>
      <c r="C896" s="200"/>
      <c r="D896" s="200"/>
      <c r="E896" s="200"/>
      <c r="F896" s="204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  <c r="AA896" s="200"/>
    </row>
    <row r="897">
      <c r="A897" s="200"/>
      <c r="B897" s="200"/>
      <c r="C897" s="200"/>
      <c r="D897" s="200"/>
      <c r="E897" s="200"/>
      <c r="F897" s="204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  <c r="AA897" s="200"/>
    </row>
    <row r="898">
      <c r="A898" s="200"/>
      <c r="B898" s="200"/>
      <c r="C898" s="200"/>
      <c r="D898" s="200"/>
      <c r="E898" s="200"/>
      <c r="F898" s="204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  <c r="AA898" s="200"/>
    </row>
    <row r="899">
      <c r="A899" s="200"/>
      <c r="B899" s="200"/>
      <c r="C899" s="200"/>
      <c r="D899" s="200"/>
      <c r="E899" s="200"/>
      <c r="F899" s="204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  <c r="AA899" s="200"/>
    </row>
    <row r="900">
      <c r="A900" s="200"/>
      <c r="B900" s="200"/>
      <c r="C900" s="200"/>
      <c r="D900" s="200"/>
      <c r="E900" s="200"/>
      <c r="F900" s="204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  <c r="AA900" s="200"/>
    </row>
    <row r="901">
      <c r="A901" s="200"/>
      <c r="B901" s="200"/>
      <c r="C901" s="200"/>
      <c r="D901" s="200"/>
      <c r="E901" s="200"/>
      <c r="F901" s="204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  <c r="AA901" s="200"/>
    </row>
    <row r="902">
      <c r="A902" s="200"/>
      <c r="B902" s="200"/>
      <c r="C902" s="200"/>
      <c r="D902" s="200"/>
      <c r="E902" s="200"/>
      <c r="F902" s="204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  <c r="AA902" s="200"/>
    </row>
    <row r="903">
      <c r="A903" s="200"/>
      <c r="B903" s="200"/>
      <c r="C903" s="200"/>
      <c r="D903" s="200"/>
      <c r="E903" s="200"/>
      <c r="F903" s="204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  <c r="AA903" s="200"/>
    </row>
    <row r="904">
      <c r="A904" s="200"/>
      <c r="B904" s="200"/>
      <c r="C904" s="200"/>
      <c r="D904" s="200"/>
      <c r="E904" s="200"/>
      <c r="F904" s="204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  <c r="AA904" s="200"/>
    </row>
    <row r="905">
      <c r="A905" s="200"/>
      <c r="B905" s="200"/>
      <c r="C905" s="200"/>
      <c r="D905" s="200"/>
      <c r="E905" s="200"/>
      <c r="F905" s="204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  <c r="AA905" s="200"/>
    </row>
    <row r="906">
      <c r="A906" s="200"/>
      <c r="B906" s="200"/>
      <c r="C906" s="200"/>
      <c r="D906" s="200"/>
      <c r="E906" s="200"/>
      <c r="F906" s="204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  <c r="AA906" s="200"/>
    </row>
    <row r="907">
      <c r="A907" s="200"/>
      <c r="B907" s="200"/>
      <c r="C907" s="200"/>
      <c r="D907" s="200"/>
      <c r="E907" s="200"/>
      <c r="F907" s="204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  <c r="AA907" s="200"/>
    </row>
    <row r="908">
      <c r="A908" s="200"/>
      <c r="B908" s="200"/>
      <c r="C908" s="200"/>
      <c r="D908" s="200"/>
      <c r="E908" s="200"/>
      <c r="F908" s="204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  <c r="AA908" s="200"/>
    </row>
    <row r="909">
      <c r="A909" s="200"/>
      <c r="B909" s="200"/>
      <c r="C909" s="200"/>
      <c r="D909" s="200"/>
      <c r="E909" s="200"/>
      <c r="F909" s="204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  <c r="AA909" s="200"/>
    </row>
    <row r="910">
      <c r="A910" s="200"/>
      <c r="B910" s="200"/>
      <c r="C910" s="200"/>
      <c r="D910" s="200"/>
      <c r="E910" s="200"/>
      <c r="F910" s="204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  <c r="AA910" s="200"/>
    </row>
    <row r="911">
      <c r="A911" s="200"/>
      <c r="B911" s="200"/>
      <c r="C911" s="200"/>
      <c r="D911" s="200"/>
      <c r="E911" s="200"/>
      <c r="F911" s="204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  <c r="AA911" s="200"/>
    </row>
    <row r="912">
      <c r="A912" s="200"/>
      <c r="B912" s="200"/>
      <c r="C912" s="200"/>
      <c r="D912" s="200"/>
      <c r="E912" s="200"/>
      <c r="F912" s="204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  <c r="AA912" s="200"/>
    </row>
    <row r="913">
      <c r="A913" s="200"/>
      <c r="B913" s="200"/>
      <c r="C913" s="200"/>
      <c r="D913" s="200"/>
      <c r="E913" s="200"/>
      <c r="F913" s="204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  <c r="AA913" s="200"/>
    </row>
    <row r="914">
      <c r="A914" s="200"/>
      <c r="B914" s="200"/>
      <c r="C914" s="200"/>
      <c r="D914" s="200"/>
      <c r="E914" s="200"/>
      <c r="F914" s="204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  <c r="AA914" s="200"/>
    </row>
    <row r="915">
      <c r="A915" s="200"/>
      <c r="B915" s="200"/>
      <c r="C915" s="200"/>
      <c r="D915" s="200"/>
      <c r="E915" s="200"/>
      <c r="F915" s="204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  <c r="AA915" s="200"/>
    </row>
    <row r="916">
      <c r="A916" s="200"/>
      <c r="B916" s="200"/>
      <c r="C916" s="200"/>
      <c r="D916" s="200"/>
      <c r="E916" s="200"/>
      <c r="F916" s="204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  <c r="AA916" s="200"/>
    </row>
    <row r="917">
      <c r="A917" s="200"/>
      <c r="B917" s="200"/>
      <c r="C917" s="200"/>
      <c r="D917" s="200"/>
      <c r="E917" s="200"/>
      <c r="F917" s="204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  <c r="AA917" s="200"/>
    </row>
    <row r="918">
      <c r="A918" s="200"/>
      <c r="B918" s="200"/>
      <c r="C918" s="200"/>
      <c r="D918" s="200"/>
      <c r="E918" s="200"/>
      <c r="F918" s="204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  <c r="AA918" s="200"/>
    </row>
    <row r="919">
      <c r="A919" s="200"/>
      <c r="B919" s="200"/>
      <c r="C919" s="200"/>
      <c r="D919" s="200"/>
      <c r="E919" s="200"/>
      <c r="F919" s="204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  <c r="AA919" s="200"/>
    </row>
    <row r="920">
      <c r="A920" s="200"/>
      <c r="B920" s="200"/>
      <c r="C920" s="200"/>
      <c r="D920" s="200"/>
      <c r="E920" s="200"/>
      <c r="F920" s="204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  <c r="AA920" s="200"/>
    </row>
    <row r="921">
      <c r="A921" s="200"/>
      <c r="B921" s="200"/>
      <c r="C921" s="200"/>
      <c r="D921" s="200"/>
      <c r="E921" s="200"/>
      <c r="F921" s="204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  <c r="AA921" s="200"/>
    </row>
    <row r="922">
      <c r="A922" s="200"/>
      <c r="B922" s="200"/>
      <c r="C922" s="200"/>
      <c r="D922" s="200"/>
      <c r="E922" s="200"/>
      <c r="F922" s="204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  <c r="AA922" s="200"/>
    </row>
    <row r="923">
      <c r="A923" s="200"/>
      <c r="B923" s="200"/>
      <c r="C923" s="200"/>
      <c r="D923" s="200"/>
      <c r="E923" s="200"/>
      <c r="F923" s="204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  <c r="AA923" s="200"/>
    </row>
    <row r="924">
      <c r="A924" s="200"/>
      <c r="B924" s="200"/>
      <c r="C924" s="200"/>
      <c r="D924" s="200"/>
      <c r="E924" s="200"/>
      <c r="F924" s="204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  <c r="AA924" s="200"/>
    </row>
    <row r="925">
      <c r="A925" s="200"/>
      <c r="B925" s="200"/>
      <c r="C925" s="200"/>
      <c r="D925" s="200"/>
      <c r="E925" s="200"/>
      <c r="F925" s="204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  <c r="AA925" s="200"/>
    </row>
    <row r="926">
      <c r="A926" s="200"/>
      <c r="B926" s="200"/>
      <c r="C926" s="200"/>
      <c r="D926" s="200"/>
      <c r="E926" s="200"/>
      <c r="F926" s="204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  <c r="AA926" s="200"/>
    </row>
    <row r="927">
      <c r="A927" s="200"/>
      <c r="B927" s="200"/>
      <c r="C927" s="200"/>
      <c r="D927" s="200"/>
      <c r="E927" s="200"/>
      <c r="F927" s="204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  <c r="AA927" s="200"/>
    </row>
    <row r="928">
      <c r="A928" s="200"/>
      <c r="B928" s="200"/>
      <c r="C928" s="200"/>
      <c r="D928" s="200"/>
      <c r="E928" s="200"/>
      <c r="F928" s="204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  <c r="AA928" s="200"/>
    </row>
    <row r="929">
      <c r="A929" s="200"/>
      <c r="B929" s="200"/>
      <c r="C929" s="200"/>
      <c r="D929" s="200"/>
      <c r="E929" s="200"/>
      <c r="F929" s="204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  <c r="AA929" s="200"/>
    </row>
    <row r="930">
      <c r="A930" s="200"/>
      <c r="B930" s="200"/>
      <c r="C930" s="200"/>
      <c r="D930" s="200"/>
      <c r="E930" s="200"/>
      <c r="F930" s="204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  <c r="AA930" s="200"/>
    </row>
    <row r="931">
      <c r="A931" s="200"/>
      <c r="B931" s="200"/>
      <c r="C931" s="200"/>
      <c r="D931" s="200"/>
      <c r="E931" s="200"/>
      <c r="F931" s="204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  <c r="AA931" s="200"/>
    </row>
    <row r="932">
      <c r="A932" s="200"/>
      <c r="B932" s="200"/>
      <c r="C932" s="200"/>
      <c r="D932" s="200"/>
      <c r="E932" s="200"/>
      <c r="F932" s="204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  <c r="AA932" s="200"/>
    </row>
    <row r="933">
      <c r="A933" s="200"/>
      <c r="B933" s="200"/>
      <c r="C933" s="200"/>
      <c r="D933" s="200"/>
      <c r="E933" s="200"/>
      <c r="F933" s="204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  <c r="AA933" s="200"/>
    </row>
    <row r="934">
      <c r="A934" s="200"/>
      <c r="B934" s="200"/>
      <c r="C934" s="200"/>
      <c r="D934" s="200"/>
      <c r="E934" s="200"/>
      <c r="F934" s="204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  <c r="AA934" s="200"/>
    </row>
    <row r="935">
      <c r="A935" s="200"/>
      <c r="B935" s="200"/>
      <c r="C935" s="200"/>
      <c r="D935" s="200"/>
      <c r="E935" s="200"/>
      <c r="F935" s="204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  <c r="AA935" s="200"/>
    </row>
    <row r="936">
      <c r="A936" s="200"/>
      <c r="B936" s="200"/>
      <c r="C936" s="200"/>
      <c r="D936" s="200"/>
      <c r="E936" s="200"/>
      <c r="F936" s="204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  <c r="AA936" s="200"/>
    </row>
    <row r="937">
      <c r="A937" s="200"/>
      <c r="B937" s="200"/>
      <c r="C937" s="200"/>
      <c r="D937" s="200"/>
      <c r="E937" s="200"/>
      <c r="F937" s="204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  <c r="AA937" s="200"/>
    </row>
    <row r="938">
      <c r="A938" s="200"/>
      <c r="B938" s="200"/>
      <c r="C938" s="200"/>
      <c r="D938" s="200"/>
      <c r="E938" s="200"/>
      <c r="F938" s="204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  <c r="AA938" s="200"/>
    </row>
    <row r="939">
      <c r="A939" s="200"/>
      <c r="B939" s="200"/>
      <c r="C939" s="200"/>
      <c r="D939" s="200"/>
      <c r="E939" s="200"/>
      <c r="F939" s="204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  <c r="AA939" s="200"/>
    </row>
    <row r="940">
      <c r="A940" s="200"/>
      <c r="B940" s="200"/>
      <c r="C940" s="200"/>
      <c r="D940" s="200"/>
      <c r="E940" s="200"/>
      <c r="F940" s="204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  <c r="AA940" s="200"/>
    </row>
    <row r="941">
      <c r="A941" s="200"/>
      <c r="B941" s="200"/>
      <c r="C941" s="200"/>
      <c r="D941" s="200"/>
      <c r="E941" s="200"/>
      <c r="F941" s="204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  <c r="AA941" s="200"/>
    </row>
    <row r="942">
      <c r="A942" s="200"/>
      <c r="B942" s="200"/>
      <c r="C942" s="200"/>
      <c r="D942" s="200"/>
      <c r="E942" s="200"/>
      <c r="F942" s="204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  <c r="AA942" s="200"/>
    </row>
    <row r="943">
      <c r="A943" s="200"/>
      <c r="B943" s="200"/>
      <c r="C943" s="200"/>
      <c r="D943" s="200"/>
      <c r="E943" s="200"/>
      <c r="F943" s="204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  <c r="AA943" s="200"/>
    </row>
    <row r="944">
      <c r="A944" s="200"/>
      <c r="B944" s="200"/>
      <c r="C944" s="200"/>
      <c r="D944" s="200"/>
      <c r="E944" s="200"/>
      <c r="F944" s="204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  <c r="AA944" s="200"/>
    </row>
    <row r="945">
      <c r="A945" s="200"/>
      <c r="B945" s="200"/>
      <c r="C945" s="200"/>
      <c r="D945" s="200"/>
      <c r="E945" s="200"/>
      <c r="F945" s="204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  <c r="AA945" s="200"/>
    </row>
    <row r="946">
      <c r="A946" s="200"/>
      <c r="B946" s="200"/>
      <c r="C946" s="200"/>
      <c r="D946" s="200"/>
      <c r="E946" s="200"/>
      <c r="F946" s="204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  <c r="AA946" s="200"/>
    </row>
    <row r="947">
      <c r="A947" s="200"/>
      <c r="B947" s="200"/>
      <c r="C947" s="200"/>
      <c r="D947" s="200"/>
      <c r="E947" s="200"/>
      <c r="F947" s="204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  <c r="AA947" s="200"/>
    </row>
    <row r="948">
      <c r="A948" s="200"/>
      <c r="B948" s="200"/>
      <c r="C948" s="200"/>
      <c r="D948" s="200"/>
      <c r="E948" s="200"/>
      <c r="F948" s="204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  <c r="AA948" s="200"/>
    </row>
    <row r="949">
      <c r="A949" s="200"/>
      <c r="B949" s="200"/>
      <c r="C949" s="200"/>
      <c r="D949" s="200"/>
      <c r="E949" s="200"/>
      <c r="F949" s="204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  <c r="AA949" s="200"/>
    </row>
    <row r="950">
      <c r="A950" s="200"/>
      <c r="B950" s="200"/>
      <c r="C950" s="200"/>
      <c r="D950" s="200"/>
      <c r="E950" s="200"/>
      <c r="F950" s="204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  <c r="AA950" s="200"/>
    </row>
    <row r="951">
      <c r="A951" s="200"/>
      <c r="B951" s="200"/>
      <c r="C951" s="200"/>
      <c r="D951" s="200"/>
      <c r="E951" s="200"/>
      <c r="F951" s="204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  <c r="AA951" s="200"/>
    </row>
    <row r="952">
      <c r="A952" s="200"/>
      <c r="B952" s="200"/>
      <c r="C952" s="200"/>
      <c r="D952" s="200"/>
      <c r="E952" s="200"/>
      <c r="F952" s="204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  <c r="AA952" s="200"/>
    </row>
    <row r="953">
      <c r="A953" s="200"/>
      <c r="B953" s="200"/>
      <c r="C953" s="200"/>
      <c r="D953" s="200"/>
      <c r="E953" s="200"/>
      <c r="F953" s="204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  <c r="AA953" s="200"/>
    </row>
    <row r="954">
      <c r="A954" s="200"/>
      <c r="B954" s="200"/>
      <c r="C954" s="200"/>
      <c r="D954" s="200"/>
      <c r="E954" s="200"/>
      <c r="F954" s="204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  <c r="AA954" s="200"/>
    </row>
    <row r="955">
      <c r="A955" s="200"/>
      <c r="B955" s="200"/>
      <c r="C955" s="200"/>
      <c r="D955" s="200"/>
      <c r="E955" s="200"/>
      <c r="F955" s="204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  <c r="AA955" s="200"/>
    </row>
    <row r="956">
      <c r="A956" s="200"/>
      <c r="B956" s="200"/>
      <c r="C956" s="200"/>
      <c r="D956" s="200"/>
      <c r="E956" s="200"/>
      <c r="F956" s="204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  <c r="AA956" s="200"/>
    </row>
    <row r="957">
      <c r="A957" s="200"/>
      <c r="B957" s="200"/>
      <c r="C957" s="200"/>
      <c r="D957" s="200"/>
      <c r="E957" s="200"/>
      <c r="F957" s="204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  <c r="AA957" s="200"/>
    </row>
    <row r="958">
      <c r="A958" s="200"/>
      <c r="B958" s="200"/>
      <c r="C958" s="200"/>
      <c r="D958" s="200"/>
      <c r="E958" s="200"/>
      <c r="F958" s="204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  <c r="AA958" s="200"/>
    </row>
    <row r="959">
      <c r="A959" s="200"/>
      <c r="B959" s="200"/>
      <c r="C959" s="200"/>
      <c r="D959" s="200"/>
      <c r="E959" s="200"/>
      <c r="F959" s="204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  <c r="AA959" s="200"/>
    </row>
    <row r="960">
      <c r="A960" s="200"/>
      <c r="B960" s="200"/>
      <c r="C960" s="200"/>
      <c r="D960" s="200"/>
      <c r="E960" s="200"/>
      <c r="F960" s="204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  <c r="AA960" s="200"/>
    </row>
    <row r="961">
      <c r="A961" s="200"/>
      <c r="B961" s="200"/>
      <c r="C961" s="200"/>
      <c r="D961" s="200"/>
      <c r="E961" s="200"/>
      <c r="F961" s="204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  <c r="AA961" s="200"/>
    </row>
    <row r="962">
      <c r="A962" s="200"/>
      <c r="B962" s="200"/>
      <c r="C962" s="200"/>
      <c r="D962" s="200"/>
      <c r="E962" s="200"/>
      <c r="F962" s="204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  <c r="AA962" s="200"/>
    </row>
    <row r="963">
      <c r="A963" s="200"/>
      <c r="B963" s="200"/>
      <c r="C963" s="200"/>
      <c r="D963" s="200"/>
      <c r="E963" s="200"/>
      <c r="F963" s="204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  <c r="AA963" s="200"/>
    </row>
    <row r="964">
      <c r="A964" s="200"/>
      <c r="B964" s="200"/>
      <c r="C964" s="200"/>
      <c r="D964" s="200"/>
      <c r="E964" s="200"/>
      <c r="F964" s="204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  <c r="AA964" s="200"/>
    </row>
    <row r="965">
      <c r="A965" s="200"/>
      <c r="B965" s="200"/>
      <c r="C965" s="200"/>
      <c r="D965" s="200"/>
      <c r="E965" s="200"/>
      <c r="F965" s="204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  <c r="AA965" s="200"/>
    </row>
    <row r="966">
      <c r="A966" s="200"/>
      <c r="B966" s="200"/>
      <c r="C966" s="200"/>
      <c r="D966" s="200"/>
      <c r="E966" s="200"/>
      <c r="F966" s="204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  <c r="AA966" s="200"/>
    </row>
    <row r="967">
      <c r="A967" s="200"/>
      <c r="B967" s="200"/>
      <c r="C967" s="200"/>
      <c r="D967" s="200"/>
      <c r="E967" s="200"/>
      <c r="F967" s="204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  <c r="AA967" s="200"/>
    </row>
    <row r="968">
      <c r="A968" s="200"/>
      <c r="B968" s="200"/>
      <c r="C968" s="200"/>
      <c r="D968" s="200"/>
      <c r="E968" s="200"/>
      <c r="F968" s="204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  <c r="AA968" s="200"/>
    </row>
    <row r="969">
      <c r="A969" s="200"/>
      <c r="B969" s="200"/>
      <c r="C969" s="200"/>
      <c r="D969" s="200"/>
      <c r="E969" s="200"/>
      <c r="F969" s="204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  <c r="AA969" s="200"/>
    </row>
    <row r="970">
      <c r="A970" s="200"/>
      <c r="B970" s="200"/>
      <c r="C970" s="200"/>
      <c r="D970" s="200"/>
      <c r="E970" s="200"/>
      <c r="F970" s="204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  <c r="AA970" s="200"/>
    </row>
    <row r="971">
      <c r="A971" s="200"/>
      <c r="B971" s="200"/>
      <c r="C971" s="200"/>
      <c r="D971" s="200"/>
      <c r="E971" s="200"/>
      <c r="F971" s="204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  <c r="AA971" s="200"/>
    </row>
    <row r="972">
      <c r="A972" s="200"/>
      <c r="B972" s="200"/>
      <c r="C972" s="200"/>
      <c r="D972" s="200"/>
      <c r="E972" s="200"/>
      <c r="F972" s="204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  <c r="AA972" s="200"/>
    </row>
    <row r="973">
      <c r="A973" s="200"/>
      <c r="B973" s="200"/>
      <c r="C973" s="200"/>
      <c r="D973" s="200"/>
      <c r="E973" s="200"/>
      <c r="F973" s="204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  <c r="AA973" s="200"/>
    </row>
    <row r="974">
      <c r="A974" s="200"/>
      <c r="B974" s="200"/>
      <c r="C974" s="200"/>
      <c r="D974" s="200"/>
      <c r="E974" s="200"/>
      <c r="F974" s="204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  <c r="AA974" s="200"/>
    </row>
    <row r="975">
      <c r="A975" s="200"/>
      <c r="B975" s="200"/>
      <c r="C975" s="200"/>
      <c r="D975" s="200"/>
      <c r="E975" s="200"/>
      <c r="F975" s="204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  <c r="AA975" s="200"/>
    </row>
    <row r="976">
      <c r="A976" s="200"/>
      <c r="B976" s="200"/>
      <c r="C976" s="200"/>
      <c r="D976" s="200"/>
      <c r="E976" s="200"/>
      <c r="F976" s="204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  <c r="AA976" s="200"/>
    </row>
    <row r="977">
      <c r="A977" s="200"/>
      <c r="B977" s="200"/>
      <c r="C977" s="200"/>
      <c r="D977" s="200"/>
      <c r="E977" s="200"/>
      <c r="F977" s="204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  <c r="AA977" s="200"/>
    </row>
    <row r="978">
      <c r="A978" s="200"/>
      <c r="B978" s="200"/>
      <c r="C978" s="200"/>
      <c r="D978" s="200"/>
      <c r="E978" s="200"/>
      <c r="F978" s="204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  <c r="AA978" s="200"/>
    </row>
    <row r="979">
      <c r="A979" s="200"/>
      <c r="B979" s="200"/>
      <c r="C979" s="200"/>
      <c r="D979" s="200"/>
      <c r="E979" s="200"/>
      <c r="F979" s="204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  <c r="AA979" s="200"/>
    </row>
    <row r="980">
      <c r="A980" s="200"/>
      <c r="B980" s="200"/>
      <c r="C980" s="200"/>
      <c r="D980" s="200"/>
      <c r="E980" s="200"/>
      <c r="F980" s="204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  <c r="AA980" s="200"/>
    </row>
    <row r="981">
      <c r="A981" s="200"/>
      <c r="B981" s="200"/>
      <c r="C981" s="200"/>
      <c r="D981" s="200"/>
      <c r="E981" s="200"/>
      <c r="F981" s="204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  <c r="AA981" s="200"/>
    </row>
    <row r="982">
      <c r="A982" s="200"/>
      <c r="B982" s="200"/>
      <c r="C982" s="200"/>
      <c r="D982" s="200"/>
      <c r="E982" s="200"/>
      <c r="F982" s="204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  <c r="AA982" s="200"/>
    </row>
    <row r="983">
      <c r="A983" s="200"/>
      <c r="B983" s="200"/>
      <c r="C983" s="200"/>
      <c r="D983" s="200"/>
      <c r="E983" s="200"/>
      <c r="F983" s="204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  <c r="AA983" s="200"/>
    </row>
    <row r="984">
      <c r="A984" s="200"/>
      <c r="B984" s="200"/>
      <c r="C984" s="200"/>
      <c r="D984" s="200"/>
      <c r="E984" s="200"/>
      <c r="F984" s="204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  <c r="AA984" s="200"/>
    </row>
    <row r="985">
      <c r="A985" s="200"/>
      <c r="B985" s="200"/>
      <c r="C985" s="200"/>
      <c r="D985" s="200"/>
      <c r="E985" s="200"/>
      <c r="F985" s="204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  <c r="AA985" s="200"/>
    </row>
    <row r="986">
      <c r="A986" s="200"/>
      <c r="B986" s="200"/>
      <c r="C986" s="200"/>
      <c r="D986" s="200"/>
      <c r="E986" s="200"/>
      <c r="F986" s="204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  <c r="AA986" s="200"/>
    </row>
    <row r="987">
      <c r="A987" s="200"/>
      <c r="B987" s="200"/>
      <c r="C987" s="200"/>
      <c r="D987" s="200"/>
      <c r="E987" s="200"/>
      <c r="F987" s="204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  <c r="AA987" s="200"/>
    </row>
    <row r="988">
      <c r="A988" s="200"/>
      <c r="B988" s="200"/>
      <c r="C988" s="200"/>
      <c r="D988" s="200"/>
      <c r="E988" s="200"/>
      <c r="F988" s="204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  <c r="AA988" s="200"/>
    </row>
    <row r="989">
      <c r="A989" s="200"/>
      <c r="B989" s="200"/>
      <c r="C989" s="200"/>
      <c r="D989" s="200"/>
      <c r="E989" s="200"/>
      <c r="F989" s="204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  <c r="AA989" s="200"/>
    </row>
    <row r="990">
      <c r="A990" s="200"/>
      <c r="B990" s="200"/>
      <c r="C990" s="200"/>
      <c r="D990" s="200"/>
      <c r="E990" s="200"/>
      <c r="F990" s="204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  <c r="AA990" s="200"/>
    </row>
    <row r="991">
      <c r="A991" s="200"/>
      <c r="B991" s="200"/>
      <c r="C991" s="200"/>
      <c r="D991" s="200"/>
      <c r="E991" s="200"/>
      <c r="F991" s="204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  <c r="AA991" s="200"/>
    </row>
    <row r="992">
      <c r="A992" s="200"/>
      <c r="B992" s="200"/>
      <c r="C992" s="200"/>
      <c r="D992" s="200"/>
      <c r="E992" s="200"/>
      <c r="F992" s="204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  <c r="AA992" s="200"/>
    </row>
    <row r="993">
      <c r="A993" s="200"/>
      <c r="B993" s="200"/>
      <c r="C993" s="200"/>
      <c r="D993" s="200"/>
      <c r="E993" s="200"/>
      <c r="F993" s="204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  <c r="AA993" s="200"/>
    </row>
    <row r="994">
      <c r="A994" s="200"/>
      <c r="B994" s="200"/>
      <c r="C994" s="200"/>
      <c r="D994" s="200"/>
      <c r="E994" s="200"/>
      <c r="F994" s="204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  <c r="AA994" s="200"/>
    </row>
    <row r="995">
      <c r="A995" s="200"/>
      <c r="B995" s="200"/>
      <c r="C995" s="200"/>
      <c r="D995" s="200"/>
      <c r="E995" s="200"/>
      <c r="F995" s="204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  <c r="AA995" s="200"/>
    </row>
    <row r="996">
      <c r="A996" s="200"/>
      <c r="B996" s="200"/>
      <c r="C996" s="200"/>
      <c r="D996" s="200"/>
      <c r="E996" s="200"/>
      <c r="F996" s="204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  <c r="AA996" s="200"/>
    </row>
    <row r="997">
      <c r="A997" s="200"/>
      <c r="B997" s="200"/>
      <c r="C997" s="200"/>
      <c r="D997" s="200"/>
      <c r="E997" s="200"/>
      <c r="F997" s="204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  <c r="AA997" s="200"/>
    </row>
    <row r="998">
      <c r="A998" s="200"/>
      <c r="B998" s="200"/>
      <c r="C998" s="200"/>
      <c r="D998" s="200"/>
      <c r="E998" s="200"/>
      <c r="F998" s="204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  <c r="AA998" s="200"/>
    </row>
    <row r="999">
      <c r="A999" s="200"/>
      <c r="B999" s="200"/>
      <c r="C999" s="200"/>
      <c r="D999" s="200"/>
      <c r="E999" s="200"/>
      <c r="F999" s="204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  <c r="AA999" s="200"/>
    </row>
    <row r="1000">
      <c r="A1000" s="200"/>
      <c r="B1000" s="200"/>
      <c r="C1000" s="200"/>
      <c r="D1000" s="200"/>
      <c r="E1000" s="200"/>
      <c r="F1000" s="204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  <c r="AA1000" s="200"/>
    </row>
  </sheetData>
  <conditionalFormatting sqref="E2:E109">
    <cfRule type="notContainsBlanks" dxfId="5" priority="1">
      <formula>LEN(TRIM(E2))&gt;0</formula>
    </cfRule>
  </conditionalFormatting>
  <dataValidations>
    <dataValidation type="list" allowBlank="1" showErrorMessage="1" sqref="E2:E110">
      <formula1>LEGEND!$E$2:$E$100</formula1>
    </dataValidation>
    <dataValidation type="list" allowBlank="1" showErrorMessage="1" sqref="H2:H109">
      <formula1>LEGEND!$F$2:$F$13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5.5"/>
    <col customWidth="1" min="3" max="3" width="25.13"/>
    <col customWidth="1" min="4" max="4" width="22.0"/>
    <col customWidth="1" min="5" max="5" width="15.88"/>
    <col customWidth="1" min="6" max="6" width="28.0"/>
    <col customWidth="1" min="7" max="7" width="27.75"/>
  </cols>
  <sheetData>
    <row r="1">
      <c r="A1" s="208" t="s">
        <v>27</v>
      </c>
      <c r="B1" s="208" t="s">
        <v>42</v>
      </c>
      <c r="C1" s="208" t="s">
        <v>65</v>
      </c>
      <c r="D1" s="208" t="s">
        <v>79</v>
      </c>
      <c r="E1" s="208" t="s">
        <v>71</v>
      </c>
      <c r="F1" s="208" t="s">
        <v>80</v>
      </c>
      <c r="G1" s="208" t="s">
        <v>73</v>
      </c>
    </row>
    <row r="2">
      <c r="A2" s="215">
        <f>IFERROR(__xludf.DUMMYFUNCTION("FILTER(BUY_SEP!B2:C999,BUY_SEP!B2:B999&lt;&gt;"""")"),46266.0)</f>
        <v>46266</v>
      </c>
      <c r="B2" s="216">
        <f>IFERROR(__xludf.DUMMYFUNCTION("""COMPUTED_VALUE"""),1.0)</f>
        <v>1</v>
      </c>
      <c r="C2" s="216" t="str">
        <f t="shared" ref="C2:C464" si="1">IF(B2="","","INV-"&amp;TEXT(A2,"yyyymmdd")&amp;"-"&amp;B2)</f>
        <v>INV-20260901-1</v>
      </c>
      <c r="D2" s="217" t="s">
        <v>81</v>
      </c>
      <c r="E2" s="218">
        <f>IFERROR(__xludf.DUMMYFUNCTION("FILTER(BUY_SEP!D2:F999,BUY_SEP!D2:D999&lt;&gt;"""")"),29365.07)</f>
        <v>29365.07</v>
      </c>
      <c r="F2" s="219">
        <f>IFERROR(__xludf.DUMMYFUNCTION("""COMPUTED_VALUE"""),17640.0)</f>
        <v>17640</v>
      </c>
      <c r="G2" s="219">
        <f>IFERROR(__xludf.DUMMYFUNCTION("""COMPUTED_VALUE"""),5.179998348E8)</f>
        <v>517999834.8</v>
      </c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</row>
    <row r="3">
      <c r="A3" s="215">
        <f>IFERROR(__xludf.DUMMYFUNCTION("""COMPUTED_VALUE"""),46266.0)</f>
        <v>46266</v>
      </c>
      <c r="B3" s="216">
        <f>IFERROR(__xludf.DUMMYFUNCTION("""COMPUTED_VALUE"""),1.0)</f>
        <v>1</v>
      </c>
      <c r="C3" s="216" t="str">
        <f t="shared" si="1"/>
        <v>INV-20260901-1</v>
      </c>
      <c r="D3" s="217" t="s">
        <v>81</v>
      </c>
      <c r="E3" s="218">
        <f>IFERROR(__xludf.DUMMYFUNCTION("""COMPUTED_VALUE"""),113475.0)</f>
        <v>113475</v>
      </c>
      <c r="F3" s="219">
        <f>IFERROR(__xludf.DUMMYFUNCTION("""COMPUTED_VALUE"""),17625.0)</f>
        <v>17625</v>
      </c>
      <c r="G3" s="219">
        <f>IFERROR(__xludf.DUMMYFUNCTION("""COMPUTED_VALUE"""),1.999996875E9)</f>
        <v>1999996875</v>
      </c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</row>
    <row r="4">
      <c r="A4" s="215">
        <f>IFERROR(__xludf.DUMMYFUNCTION("""COMPUTED_VALUE"""),46266.0)</f>
        <v>46266</v>
      </c>
      <c r="B4" s="216">
        <f>IFERROR(__xludf.DUMMYFUNCTION("""COMPUTED_VALUE"""),1.0)</f>
        <v>1</v>
      </c>
      <c r="C4" s="216" t="str">
        <f t="shared" si="1"/>
        <v>INV-20260901-1</v>
      </c>
      <c r="D4" s="217" t="s">
        <v>81</v>
      </c>
      <c r="E4" s="218">
        <f>IFERROR(__xludf.DUMMYFUNCTION("""COMPUTED_VALUE"""),15990.92)</f>
        <v>15990.92</v>
      </c>
      <c r="F4" s="219">
        <f>IFERROR(__xludf.DUMMYFUNCTION("""COMPUTED_VALUE"""),17635.0)</f>
        <v>17635</v>
      </c>
      <c r="G4" s="219">
        <f>IFERROR(__xludf.DUMMYFUNCTION("""COMPUTED_VALUE"""),2.819998742E8)</f>
        <v>281999874.2</v>
      </c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</row>
    <row r="5">
      <c r="A5" s="215">
        <f>IFERROR(__xludf.DUMMYFUNCTION("""COMPUTED_VALUE"""),46266.0)</f>
        <v>46266</v>
      </c>
      <c r="B5" s="216">
        <f>IFERROR(__xludf.DUMMYFUNCTION("""COMPUTED_VALUE"""),1.0)</f>
        <v>1</v>
      </c>
      <c r="C5" s="216" t="str">
        <f t="shared" si="1"/>
        <v>INV-20260901-1</v>
      </c>
      <c r="D5" s="217" t="s">
        <v>81</v>
      </c>
      <c r="E5" s="218">
        <f>IFERROR(__xludf.DUMMYFUNCTION("""COMPUTED_VALUE"""),1944.28)</f>
        <v>1944.28</v>
      </c>
      <c r="F5" s="219">
        <f>IFERROR(__xludf.DUMMYFUNCTION("""COMPUTED_VALUE"""),17617.0)</f>
        <v>17617</v>
      </c>
      <c r="G5" s="219">
        <f>IFERROR(__xludf.DUMMYFUNCTION("""COMPUTED_VALUE"""),3.425238076E7)</f>
        <v>34252380.76</v>
      </c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</row>
    <row r="6">
      <c r="A6" s="215">
        <f>IFERROR(__xludf.DUMMYFUNCTION("""COMPUTED_VALUE"""),46266.0)</f>
        <v>46266</v>
      </c>
      <c r="B6" s="216">
        <f>IFERROR(__xludf.DUMMYFUNCTION("""COMPUTED_VALUE"""),1.0)</f>
        <v>1</v>
      </c>
      <c r="C6" s="216" t="str">
        <f t="shared" si="1"/>
        <v>INV-20260901-1</v>
      </c>
      <c r="D6" s="217" t="s">
        <v>81</v>
      </c>
      <c r="E6" s="218">
        <f>IFERROR(__xludf.DUMMYFUNCTION("""COMPUTED_VALUE"""),4135.08)</f>
        <v>4135.08</v>
      </c>
      <c r="F6" s="219">
        <f>IFERROR(__xludf.DUMMYFUNCTION("""COMPUTED_VALUE"""),17645.0)</f>
        <v>17645</v>
      </c>
      <c r="G6" s="219">
        <f>IFERROR(__xludf.DUMMYFUNCTION("""COMPUTED_VALUE"""),7.29634866E7)</f>
        <v>72963486.6</v>
      </c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</row>
    <row r="7">
      <c r="A7" s="215">
        <f>IFERROR(__xludf.DUMMYFUNCTION("""COMPUTED_VALUE"""),46266.0)</f>
        <v>46266</v>
      </c>
      <c r="B7" s="216">
        <f>IFERROR(__xludf.DUMMYFUNCTION("""COMPUTED_VALUE"""),1.0)</f>
        <v>1</v>
      </c>
      <c r="C7" s="216" t="str">
        <f t="shared" si="1"/>
        <v>INV-20260901-1</v>
      </c>
      <c r="D7" s="217" t="s">
        <v>81</v>
      </c>
      <c r="E7" s="218">
        <f>IFERROR(__xludf.DUMMYFUNCTION("""COMPUTED_VALUE"""),50430.83)</f>
        <v>50430.83</v>
      </c>
      <c r="F7" s="219">
        <f>IFERROR(__xludf.DUMMYFUNCTION("""COMPUTED_VALUE"""),17640.0)</f>
        <v>17640</v>
      </c>
      <c r="G7" s="219">
        <f>IFERROR(__xludf.DUMMYFUNCTION("""COMPUTED_VALUE"""),8.895998412E8)</f>
        <v>889599841.2</v>
      </c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</row>
    <row r="8">
      <c r="A8" s="215">
        <f>IFERROR(__xludf.DUMMYFUNCTION("""COMPUTED_VALUE"""),46266.0)</f>
        <v>46266</v>
      </c>
      <c r="B8" s="216">
        <f>IFERROR(__xludf.DUMMYFUNCTION("""COMPUTED_VALUE"""),2.0)</f>
        <v>2</v>
      </c>
      <c r="C8" s="216" t="str">
        <f t="shared" si="1"/>
        <v>INV-20260901-2</v>
      </c>
      <c r="D8" s="217" t="s">
        <v>81</v>
      </c>
      <c r="E8" s="218">
        <f>IFERROR(__xludf.DUMMYFUNCTION("""COMPUTED_VALUE"""),2053.98)</f>
        <v>2053.98</v>
      </c>
      <c r="F8" s="219">
        <f>IFERROR(__xludf.DUMMYFUNCTION("""COMPUTED_VALUE"""),17637.0)</f>
        <v>17637</v>
      </c>
      <c r="G8" s="219">
        <f>IFERROR(__xludf.DUMMYFUNCTION("""COMPUTED_VALUE"""),3.622604526E7)</f>
        <v>36226045.26</v>
      </c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</row>
    <row r="9">
      <c r="A9" s="215">
        <f>IFERROR(__xludf.DUMMYFUNCTION("""COMPUTED_VALUE"""),46266.0)</f>
        <v>46266</v>
      </c>
      <c r="B9" s="216">
        <f>IFERROR(__xludf.DUMMYFUNCTION("""COMPUTED_VALUE"""),2.0)</f>
        <v>2</v>
      </c>
      <c r="C9" s="216" t="str">
        <f t="shared" si="1"/>
        <v>INV-20260901-2</v>
      </c>
      <c r="D9" s="217" t="s">
        <v>81</v>
      </c>
      <c r="E9" s="218">
        <f>IFERROR(__xludf.DUMMYFUNCTION("""COMPUTED_VALUE"""),5997.0)</f>
        <v>5997</v>
      </c>
      <c r="F9" s="219">
        <f>IFERROR(__xludf.DUMMYFUNCTION("""COMPUTED_VALUE"""),17637.0)</f>
        <v>17637</v>
      </c>
      <c r="G9" s="219">
        <f>IFERROR(__xludf.DUMMYFUNCTION("""COMPUTED_VALUE"""),1.05769089E8)</f>
        <v>105769089</v>
      </c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</row>
    <row r="10">
      <c r="A10" s="215">
        <f>IFERROR(__xludf.DUMMYFUNCTION("""COMPUTED_VALUE"""),46266.0)</f>
        <v>46266</v>
      </c>
      <c r="B10" s="216">
        <f>IFERROR(__xludf.DUMMYFUNCTION("""COMPUTED_VALUE"""),2.0)</f>
        <v>2</v>
      </c>
      <c r="C10" s="216" t="str">
        <f t="shared" si="1"/>
        <v>INV-20260901-2</v>
      </c>
      <c r="D10" s="217" t="s">
        <v>81</v>
      </c>
      <c r="E10" s="218">
        <f>IFERROR(__xludf.DUMMYFUNCTION("""COMPUTED_VALUE"""),3998.0)</f>
        <v>3998</v>
      </c>
      <c r="F10" s="219">
        <f>IFERROR(__xludf.DUMMYFUNCTION("""COMPUTED_VALUE"""),17637.0)</f>
        <v>17637</v>
      </c>
      <c r="G10" s="219">
        <f>IFERROR(__xludf.DUMMYFUNCTION("""COMPUTED_VALUE"""),7.0512726E7)</f>
        <v>70512726</v>
      </c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</row>
    <row r="11">
      <c r="A11" s="215">
        <f>IFERROR(__xludf.DUMMYFUNCTION("""COMPUTED_VALUE"""),46266.0)</f>
        <v>46266</v>
      </c>
      <c r="B11" s="216">
        <f>IFERROR(__xludf.DUMMYFUNCTION("""COMPUTED_VALUE"""),2.0)</f>
        <v>2</v>
      </c>
      <c r="C11" s="216" t="str">
        <f t="shared" si="1"/>
        <v>INV-20260901-2</v>
      </c>
      <c r="D11" s="217" t="s">
        <v>81</v>
      </c>
      <c r="E11" s="218">
        <f>IFERROR(__xludf.DUMMYFUNCTION("""COMPUTED_VALUE"""),2998.5)</f>
        <v>2998.5</v>
      </c>
      <c r="F11" s="219">
        <f>IFERROR(__xludf.DUMMYFUNCTION("""COMPUTED_VALUE"""),17637.0)</f>
        <v>17637</v>
      </c>
      <c r="G11" s="219">
        <f>IFERROR(__xludf.DUMMYFUNCTION("""COMPUTED_VALUE"""),5.28845445E7)</f>
        <v>52884544.5</v>
      </c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</row>
    <row r="12">
      <c r="A12" s="215">
        <f>IFERROR(__xludf.DUMMYFUNCTION("""COMPUTED_VALUE"""),46266.0)</f>
        <v>46266</v>
      </c>
      <c r="B12" s="216">
        <f>IFERROR(__xludf.DUMMYFUNCTION("""COMPUTED_VALUE"""),2.0)</f>
        <v>2</v>
      </c>
      <c r="C12" s="216" t="str">
        <f t="shared" si="1"/>
        <v>INV-20260901-2</v>
      </c>
      <c r="D12" s="217" t="s">
        <v>81</v>
      </c>
      <c r="E12" s="218">
        <f>IFERROR(__xludf.DUMMYFUNCTION("""COMPUTED_VALUE"""),2998.5)</f>
        <v>2998.5</v>
      </c>
      <c r="F12" s="219">
        <f>IFERROR(__xludf.DUMMYFUNCTION("""COMPUTED_VALUE"""),17635.0)</f>
        <v>17635</v>
      </c>
      <c r="G12" s="219">
        <f>IFERROR(__xludf.DUMMYFUNCTION("""COMPUTED_VALUE"""),5.28785475E7)</f>
        <v>52878547.5</v>
      </c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</row>
    <row r="13">
      <c r="A13" s="215">
        <f>IFERROR(__xludf.DUMMYFUNCTION("""COMPUTED_VALUE"""),46266.0)</f>
        <v>46266</v>
      </c>
      <c r="B13" s="216">
        <f>IFERROR(__xludf.DUMMYFUNCTION("""COMPUTED_VALUE"""),2.0)</f>
        <v>2</v>
      </c>
      <c r="C13" s="216" t="str">
        <f t="shared" si="1"/>
        <v>INV-20260901-2</v>
      </c>
      <c r="D13" s="217" t="s">
        <v>81</v>
      </c>
      <c r="E13" s="218">
        <f>IFERROR(__xludf.DUMMYFUNCTION("""COMPUTED_VALUE"""),569.72)</f>
        <v>569.72</v>
      </c>
      <c r="F13" s="219">
        <f>IFERROR(__xludf.DUMMYFUNCTION("""COMPUTED_VALUE"""),17630.0)</f>
        <v>17630</v>
      </c>
      <c r="G13" s="219">
        <f>IFERROR(__xludf.DUMMYFUNCTION("""COMPUTED_VALUE"""),1.00441636E7)</f>
        <v>10044163.6</v>
      </c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</row>
    <row r="14">
      <c r="A14" s="215">
        <f>IFERROR(__xludf.DUMMYFUNCTION("""COMPUTED_VALUE"""),46266.0)</f>
        <v>46266</v>
      </c>
      <c r="B14" s="216">
        <f>IFERROR(__xludf.DUMMYFUNCTION("""COMPUTED_VALUE"""),2.0)</f>
        <v>2</v>
      </c>
      <c r="C14" s="216" t="str">
        <f t="shared" si="1"/>
        <v>INV-20260901-2</v>
      </c>
      <c r="D14" s="217" t="s">
        <v>81</v>
      </c>
      <c r="E14" s="218">
        <f>IFERROR(__xludf.DUMMYFUNCTION("""COMPUTED_VALUE"""),575.72)</f>
        <v>575.72</v>
      </c>
      <c r="F14" s="219">
        <f>IFERROR(__xludf.DUMMYFUNCTION("""COMPUTED_VALUE"""),17626.0)</f>
        <v>17626</v>
      </c>
      <c r="G14" s="219">
        <f>IFERROR(__xludf.DUMMYFUNCTION("""COMPUTED_VALUE"""),1.014764072E7)</f>
        <v>10147640.72</v>
      </c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  <c r="AB14" s="220"/>
    </row>
    <row r="15">
      <c r="A15" s="215">
        <f>IFERROR(__xludf.DUMMYFUNCTION("""COMPUTED_VALUE"""),46266.0)</f>
        <v>46266</v>
      </c>
      <c r="B15" s="216">
        <f>IFERROR(__xludf.DUMMYFUNCTION("""COMPUTED_VALUE"""),2.0)</f>
        <v>2</v>
      </c>
      <c r="C15" s="216" t="str">
        <f t="shared" si="1"/>
        <v>INV-20260901-2</v>
      </c>
      <c r="D15" s="217" t="s">
        <v>81</v>
      </c>
      <c r="E15" s="218">
        <f>IFERROR(__xludf.DUMMYFUNCTION("""COMPUTED_VALUE"""),9378.12)</f>
        <v>9378.12</v>
      </c>
      <c r="F15" s="219">
        <f>IFERROR(__xludf.DUMMYFUNCTION("""COMPUTED_VALUE"""),17626.0)</f>
        <v>17626</v>
      </c>
      <c r="G15" s="219">
        <f>IFERROR(__xludf.DUMMYFUNCTION("""COMPUTED_VALUE"""),1.6529874312E8)</f>
        <v>165298743.1</v>
      </c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</row>
    <row r="16">
      <c r="A16" s="215">
        <f>IFERROR(__xludf.DUMMYFUNCTION("""COMPUTED_VALUE"""),46266.0)</f>
        <v>46266</v>
      </c>
      <c r="B16" s="216">
        <f>IFERROR(__xludf.DUMMYFUNCTION("""COMPUTED_VALUE"""),2.0)</f>
        <v>2</v>
      </c>
      <c r="C16" s="216" t="str">
        <f t="shared" si="1"/>
        <v>INV-20260901-2</v>
      </c>
      <c r="D16" s="217" t="s">
        <v>81</v>
      </c>
      <c r="E16" s="218">
        <f>IFERROR(__xludf.DUMMYFUNCTION("""COMPUTED_VALUE"""),7874.47)</f>
        <v>7874.47</v>
      </c>
      <c r="F16" s="219">
        <f>IFERROR(__xludf.DUMMYFUNCTION("""COMPUTED_VALUE"""),17626.0)</f>
        <v>17626</v>
      </c>
      <c r="G16" s="219">
        <f>IFERROR(__xludf.DUMMYFUNCTION("""COMPUTED_VALUE"""),1.3879540822E8)</f>
        <v>138795408.2</v>
      </c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</row>
    <row r="17">
      <c r="A17" s="215">
        <f>IFERROR(__xludf.DUMMYFUNCTION("""COMPUTED_VALUE"""),46266.0)</f>
        <v>46266</v>
      </c>
      <c r="B17" s="216">
        <f>IFERROR(__xludf.DUMMYFUNCTION("""COMPUTED_VALUE"""),2.0)</f>
        <v>2</v>
      </c>
      <c r="C17" s="216" t="str">
        <f t="shared" si="1"/>
        <v>INV-20260901-2</v>
      </c>
      <c r="D17" s="217" t="s">
        <v>81</v>
      </c>
      <c r="E17" s="218">
        <f>IFERROR(__xludf.DUMMYFUNCTION("""COMPUTED_VALUE"""),7455.0)</f>
        <v>7455</v>
      </c>
      <c r="F17" s="219">
        <f>IFERROR(__xludf.DUMMYFUNCTION("""COMPUTED_VALUE"""),17626.0)</f>
        <v>17626</v>
      </c>
      <c r="G17" s="219">
        <f>IFERROR(__xludf.DUMMYFUNCTION("""COMPUTED_VALUE"""),1.3140183E8)</f>
        <v>131401830</v>
      </c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</row>
    <row r="18">
      <c r="A18" s="215">
        <f>IFERROR(__xludf.DUMMYFUNCTION("""COMPUTED_VALUE"""),46266.0)</f>
        <v>46266</v>
      </c>
      <c r="B18" s="216">
        <f>IFERROR(__xludf.DUMMYFUNCTION("""COMPUTED_VALUE"""),2.0)</f>
        <v>2</v>
      </c>
      <c r="C18" s="216" t="str">
        <f t="shared" si="1"/>
        <v>INV-20260901-2</v>
      </c>
      <c r="D18" s="217" t="s">
        <v>81</v>
      </c>
      <c r="E18" s="218">
        <f>IFERROR(__xludf.DUMMYFUNCTION("""COMPUTED_VALUE"""),3968.97)</f>
        <v>3968.97</v>
      </c>
      <c r="F18" s="219">
        <f>IFERROR(__xludf.DUMMYFUNCTION("""COMPUTED_VALUE"""),17628.0)</f>
        <v>17628</v>
      </c>
      <c r="G18" s="219">
        <f>IFERROR(__xludf.DUMMYFUNCTION("""COMPUTED_VALUE"""),6.996500316E7)</f>
        <v>69965003.16</v>
      </c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</row>
    <row r="19">
      <c r="A19" s="215">
        <f>IFERROR(__xludf.DUMMYFUNCTION("""COMPUTED_VALUE"""),46266.0)</f>
        <v>46266</v>
      </c>
      <c r="B19" s="216">
        <f>IFERROR(__xludf.DUMMYFUNCTION("""COMPUTED_VALUE"""),2.0)</f>
        <v>2</v>
      </c>
      <c r="C19" s="216" t="str">
        <f t="shared" si="1"/>
        <v>INV-20260901-2</v>
      </c>
      <c r="D19" s="217" t="s">
        <v>81</v>
      </c>
      <c r="E19" s="218">
        <f>IFERROR(__xludf.DUMMYFUNCTION("""COMPUTED_VALUE"""),7649.95)</f>
        <v>7649.95</v>
      </c>
      <c r="F19" s="219">
        <f>IFERROR(__xludf.DUMMYFUNCTION("""COMPUTED_VALUE"""),17628.0)</f>
        <v>17628</v>
      </c>
      <c r="G19" s="219">
        <f>IFERROR(__xludf.DUMMYFUNCTION("""COMPUTED_VALUE"""),1.348533186E8)</f>
        <v>134853318.6</v>
      </c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</row>
    <row r="20">
      <c r="A20" s="215">
        <f>IFERROR(__xludf.DUMMYFUNCTION("""COMPUTED_VALUE"""),46266.0)</f>
        <v>46266</v>
      </c>
      <c r="B20" s="216">
        <f>IFERROR(__xludf.DUMMYFUNCTION("""COMPUTED_VALUE"""),2.0)</f>
        <v>2</v>
      </c>
      <c r="C20" s="216" t="str">
        <f t="shared" si="1"/>
        <v>INV-20260901-2</v>
      </c>
      <c r="D20" s="217" t="s">
        <v>81</v>
      </c>
      <c r="E20" s="218">
        <f>IFERROR(__xludf.DUMMYFUNCTION("""COMPUTED_VALUE"""),2998.5)</f>
        <v>2998.5</v>
      </c>
      <c r="F20" s="219">
        <f>IFERROR(__xludf.DUMMYFUNCTION("""COMPUTED_VALUE"""),17628.0)</f>
        <v>17628</v>
      </c>
      <c r="G20" s="219">
        <f>IFERROR(__xludf.DUMMYFUNCTION("""COMPUTED_VALUE"""),5.2857558E7)</f>
        <v>52857558</v>
      </c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</row>
    <row r="21">
      <c r="A21" s="215">
        <f>IFERROR(__xludf.DUMMYFUNCTION("""COMPUTED_VALUE"""),46266.0)</f>
        <v>46266</v>
      </c>
      <c r="B21" s="216">
        <f>IFERROR(__xludf.DUMMYFUNCTION("""COMPUTED_VALUE"""),2.0)</f>
        <v>2</v>
      </c>
      <c r="C21" s="216" t="str">
        <f t="shared" si="1"/>
        <v>INV-20260901-2</v>
      </c>
      <c r="D21" s="217" t="s">
        <v>81</v>
      </c>
      <c r="E21" s="218">
        <f>IFERROR(__xludf.DUMMYFUNCTION("""COMPUTED_VALUE"""),2498.75)</f>
        <v>2498.75</v>
      </c>
      <c r="F21" s="219">
        <f>IFERROR(__xludf.DUMMYFUNCTION("""COMPUTED_VALUE"""),17650.0)</f>
        <v>17650</v>
      </c>
      <c r="G21" s="219">
        <f>IFERROR(__xludf.DUMMYFUNCTION("""COMPUTED_VALUE"""),4.41029375E7)</f>
        <v>44102937.5</v>
      </c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</row>
    <row r="22">
      <c r="A22" s="215">
        <f>IFERROR(__xludf.DUMMYFUNCTION("""COMPUTED_VALUE"""),46266.0)</f>
        <v>46266</v>
      </c>
      <c r="B22" s="216">
        <f>IFERROR(__xludf.DUMMYFUNCTION("""COMPUTED_VALUE"""),2.0)</f>
        <v>2</v>
      </c>
      <c r="C22" s="216" t="str">
        <f t="shared" si="1"/>
        <v>INV-20260901-2</v>
      </c>
      <c r="D22" s="217" t="s">
        <v>81</v>
      </c>
      <c r="E22" s="218">
        <f>IFERROR(__xludf.DUMMYFUNCTION("""COMPUTED_VALUE"""),3998.0)</f>
        <v>3998</v>
      </c>
      <c r="F22" s="219">
        <f>IFERROR(__xludf.DUMMYFUNCTION("""COMPUTED_VALUE"""),17650.0)</f>
        <v>17650</v>
      </c>
      <c r="G22" s="219">
        <f>IFERROR(__xludf.DUMMYFUNCTION("""COMPUTED_VALUE"""),7.05647E7)</f>
        <v>70564700</v>
      </c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</row>
    <row r="23">
      <c r="A23" s="215">
        <f>IFERROR(__xludf.DUMMYFUNCTION("""COMPUTED_VALUE"""),46266.0)</f>
        <v>46266</v>
      </c>
      <c r="B23" s="216">
        <f>IFERROR(__xludf.DUMMYFUNCTION("""COMPUTED_VALUE"""),2.0)</f>
        <v>2</v>
      </c>
      <c r="C23" s="216" t="str">
        <f t="shared" si="1"/>
        <v>INV-20260901-2</v>
      </c>
      <c r="D23" s="217" t="s">
        <v>81</v>
      </c>
      <c r="E23" s="218">
        <f>IFERROR(__xludf.DUMMYFUNCTION("""COMPUTED_VALUE"""),3998.0)</f>
        <v>3998</v>
      </c>
      <c r="F23" s="219">
        <f>IFERROR(__xludf.DUMMYFUNCTION("""COMPUTED_VALUE"""),17650.0)</f>
        <v>17650</v>
      </c>
      <c r="G23" s="219">
        <f>IFERROR(__xludf.DUMMYFUNCTION("""COMPUTED_VALUE"""),7.05647E7)</f>
        <v>70564700</v>
      </c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</row>
    <row r="24">
      <c r="A24" s="215">
        <f>IFERROR(__xludf.DUMMYFUNCTION("""COMPUTED_VALUE"""),46266.0)</f>
        <v>46266</v>
      </c>
      <c r="B24" s="216">
        <f>IFERROR(__xludf.DUMMYFUNCTION("""COMPUTED_VALUE"""),2.0)</f>
        <v>2</v>
      </c>
      <c r="C24" s="216" t="str">
        <f t="shared" si="1"/>
        <v>INV-20260901-2</v>
      </c>
      <c r="D24" s="217" t="s">
        <v>81</v>
      </c>
      <c r="E24" s="218">
        <f>IFERROR(__xludf.DUMMYFUNCTION("""COMPUTED_VALUE"""),3998.0)</f>
        <v>3998</v>
      </c>
      <c r="F24" s="219">
        <f>IFERROR(__xludf.DUMMYFUNCTION("""COMPUTED_VALUE"""),17650.0)</f>
        <v>17650</v>
      </c>
      <c r="G24" s="219">
        <f>IFERROR(__xludf.DUMMYFUNCTION("""COMPUTED_VALUE"""),7.05647E7)</f>
        <v>70564700</v>
      </c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</row>
    <row r="25">
      <c r="A25" s="215">
        <f>IFERROR(__xludf.DUMMYFUNCTION("""COMPUTED_VALUE"""),46266.0)</f>
        <v>46266</v>
      </c>
      <c r="B25" s="216">
        <f>IFERROR(__xludf.DUMMYFUNCTION("""COMPUTED_VALUE"""),2.0)</f>
        <v>2</v>
      </c>
      <c r="C25" s="216" t="str">
        <f t="shared" si="1"/>
        <v>INV-20260901-2</v>
      </c>
      <c r="D25" s="217" t="s">
        <v>81</v>
      </c>
      <c r="E25" s="218">
        <f>IFERROR(__xludf.DUMMYFUNCTION("""COMPUTED_VALUE"""),2298.85)</f>
        <v>2298.85</v>
      </c>
      <c r="F25" s="219">
        <f>IFERROR(__xludf.DUMMYFUNCTION("""COMPUTED_VALUE"""),17650.0)</f>
        <v>17650</v>
      </c>
      <c r="G25" s="219">
        <f>IFERROR(__xludf.DUMMYFUNCTION("""COMPUTED_VALUE"""),4.05747025E7)</f>
        <v>40574702.5</v>
      </c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</row>
    <row r="26">
      <c r="A26" s="215">
        <f>IFERROR(__xludf.DUMMYFUNCTION("""COMPUTED_VALUE"""),46267.0)</f>
        <v>46267</v>
      </c>
      <c r="B26" s="216">
        <f>IFERROR(__xludf.DUMMYFUNCTION("""COMPUTED_VALUE"""),1.0)</f>
        <v>1</v>
      </c>
      <c r="C26" s="216" t="str">
        <f t="shared" si="1"/>
        <v>INV-20260902-1</v>
      </c>
      <c r="D26" s="217" t="s">
        <v>81</v>
      </c>
      <c r="E26" s="218">
        <f>IFERROR(__xludf.DUMMYFUNCTION("""COMPUTED_VALUE"""),9995.0)</f>
        <v>9995</v>
      </c>
      <c r="F26" s="219">
        <f>IFERROR(__xludf.DUMMYFUNCTION("""COMPUTED_VALUE"""),17663.0)</f>
        <v>17663</v>
      </c>
      <c r="G26" s="219">
        <f>IFERROR(__xludf.DUMMYFUNCTION("""COMPUTED_VALUE"""),1.76541685E8)</f>
        <v>176541685</v>
      </c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</row>
    <row r="27">
      <c r="A27" s="215">
        <f>IFERROR(__xludf.DUMMYFUNCTION("""COMPUTED_VALUE"""),46267.0)</f>
        <v>46267</v>
      </c>
      <c r="B27" s="216">
        <f>IFERROR(__xludf.DUMMYFUNCTION("""COMPUTED_VALUE"""),1.0)</f>
        <v>1</v>
      </c>
      <c r="C27" s="216" t="str">
        <f t="shared" si="1"/>
        <v>INV-20260902-1</v>
      </c>
      <c r="D27" s="217" t="s">
        <v>81</v>
      </c>
      <c r="E27" s="218">
        <f>IFERROR(__xludf.DUMMYFUNCTION("""COMPUTED_VALUE"""),9995.0)</f>
        <v>9995</v>
      </c>
      <c r="F27" s="219">
        <f>IFERROR(__xludf.DUMMYFUNCTION("""COMPUTED_VALUE"""),17666.0)</f>
        <v>17666</v>
      </c>
      <c r="G27" s="219">
        <f>IFERROR(__xludf.DUMMYFUNCTION("""COMPUTED_VALUE"""),1.7657167E8)</f>
        <v>176571670</v>
      </c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</row>
    <row r="28">
      <c r="A28" s="215">
        <f>IFERROR(__xludf.DUMMYFUNCTION("""COMPUTED_VALUE"""),46267.0)</f>
        <v>46267</v>
      </c>
      <c r="B28" s="216">
        <f>IFERROR(__xludf.DUMMYFUNCTION("""COMPUTED_VALUE"""),1.0)</f>
        <v>1</v>
      </c>
      <c r="C28" s="216" t="str">
        <f t="shared" si="1"/>
        <v>INV-20260902-1</v>
      </c>
      <c r="D28" s="217" t="s">
        <v>81</v>
      </c>
      <c r="E28" s="218">
        <f>IFERROR(__xludf.DUMMYFUNCTION("""COMPUTED_VALUE"""),14146.0)</f>
        <v>14146</v>
      </c>
      <c r="F28" s="219">
        <f>IFERROR(__xludf.DUMMYFUNCTION("""COMPUTED_VALUE"""),17664.0)</f>
        <v>17664</v>
      </c>
      <c r="G28" s="219">
        <f>IFERROR(__xludf.DUMMYFUNCTION("""COMPUTED_VALUE"""),2.49874944E8)</f>
        <v>249874944</v>
      </c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</row>
    <row r="29">
      <c r="A29" s="215">
        <f>IFERROR(__xludf.DUMMYFUNCTION("""COMPUTED_VALUE"""),46267.0)</f>
        <v>46267</v>
      </c>
      <c r="B29" s="216">
        <f>IFERROR(__xludf.DUMMYFUNCTION("""COMPUTED_VALUE"""),1.0)</f>
        <v>1</v>
      </c>
      <c r="C29" s="216" t="str">
        <f t="shared" si="1"/>
        <v>INV-20260902-1</v>
      </c>
      <c r="D29" s="217" t="s">
        <v>81</v>
      </c>
      <c r="E29" s="218">
        <f>IFERROR(__xludf.DUMMYFUNCTION("""COMPUTED_VALUE"""),13843.98)</f>
        <v>13843.98</v>
      </c>
      <c r="F29" s="219">
        <f>IFERROR(__xludf.DUMMYFUNCTION("""COMPUTED_VALUE"""),17666.0)</f>
        <v>17666</v>
      </c>
      <c r="G29" s="219">
        <f>IFERROR(__xludf.DUMMYFUNCTION("""COMPUTED_VALUE"""),2.4456775068E8)</f>
        <v>244567750.7</v>
      </c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</row>
    <row r="30">
      <c r="A30" s="215">
        <f>IFERROR(__xludf.DUMMYFUNCTION("""COMPUTED_VALUE"""),46267.0)</f>
        <v>46267</v>
      </c>
      <c r="B30" s="216">
        <f>IFERROR(__xludf.DUMMYFUNCTION("""COMPUTED_VALUE"""),1.0)</f>
        <v>1</v>
      </c>
      <c r="C30" s="216" t="str">
        <f t="shared" si="1"/>
        <v>INV-20260902-1</v>
      </c>
      <c r="D30" s="217" t="s">
        <v>81</v>
      </c>
      <c r="E30" s="218">
        <f>IFERROR(__xludf.DUMMYFUNCTION("""COMPUTED_VALUE"""),32483.75)</f>
        <v>32483.75</v>
      </c>
      <c r="F30" s="219">
        <f>IFERROR(__xludf.DUMMYFUNCTION("""COMPUTED_VALUE"""),17675.0)</f>
        <v>17675</v>
      </c>
      <c r="G30" s="219">
        <f>IFERROR(__xludf.DUMMYFUNCTION("""COMPUTED_VALUE"""),5.7415028125E8)</f>
        <v>574150281.3</v>
      </c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</row>
    <row r="31">
      <c r="A31" s="215">
        <f>IFERROR(__xludf.DUMMYFUNCTION("""COMPUTED_VALUE"""),46267.0)</f>
        <v>46267</v>
      </c>
      <c r="B31" s="216">
        <f>IFERROR(__xludf.DUMMYFUNCTION("""COMPUTED_VALUE"""),1.0)</f>
        <v>1</v>
      </c>
      <c r="C31" s="216" t="str">
        <f t="shared" si="1"/>
        <v>INV-20260902-1</v>
      </c>
      <c r="D31" s="217" t="s">
        <v>81</v>
      </c>
      <c r="E31" s="218">
        <f>IFERROR(__xludf.DUMMYFUNCTION("""COMPUTED_VALUE"""),5647.18)</f>
        <v>5647.18</v>
      </c>
      <c r="F31" s="219">
        <f>IFERROR(__xludf.DUMMYFUNCTION("""COMPUTED_VALUE"""),17675.0)</f>
        <v>17675</v>
      </c>
      <c r="G31" s="219">
        <f>IFERROR(__xludf.DUMMYFUNCTION("""COMPUTED_VALUE"""),9.98139065E7)</f>
        <v>99813906.5</v>
      </c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</row>
    <row r="32">
      <c r="A32" s="215">
        <f>IFERROR(__xludf.DUMMYFUNCTION("""COMPUTED_VALUE"""),46267.0)</f>
        <v>46267</v>
      </c>
      <c r="B32" s="216">
        <f>IFERROR(__xludf.DUMMYFUNCTION("""COMPUTED_VALUE"""),1.0)</f>
        <v>1</v>
      </c>
      <c r="C32" s="216" t="str">
        <f t="shared" si="1"/>
        <v>INV-20260902-1</v>
      </c>
      <c r="D32" s="217" t="s">
        <v>81</v>
      </c>
      <c r="E32" s="218">
        <f>IFERROR(__xludf.DUMMYFUNCTION("""COMPUTED_VALUE"""),19990.0)</f>
        <v>19990</v>
      </c>
      <c r="F32" s="219">
        <f>IFERROR(__xludf.DUMMYFUNCTION("""COMPUTED_VALUE"""),17671.0)</f>
        <v>17671</v>
      </c>
      <c r="G32" s="219">
        <f>IFERROR(__xludf.DUMMYFUNCTION("""COMPUTED_VALUE"""),3.5324329E8)</f>
        <v>353243290</v>
      </c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</row>
    <row r="33">
      <c r="A33" s="215">
        <f>IFERROR(__xludf.DUMMYFUNCTION("""COMPUTED_VALUE"""),46267.0)</f>
        <v>46267</v>
      </c>
      <c r="B33" s="216">
        <f>IFERROR(__xludf.DUMMYFUNCTION("""COMPUTED_VALUE"""),1.0)</f>
        <v>1</v>
      </c>
      <c r="C33" s="216" t="str">
        <f t="shared" si="1"/>
        <v>INV-20260902-1</v>
      </c>
      <c r="D33" s="217" t="s">
        <v>81</v>
      </c>
      <c r="E33" s="218">
        <f>IFERROR(__xludf.DUMMYFUNCTION("""COMPUTED_VALUE"""),5637.18)</f>
        <v>5637.18</v>
      </c>
      <c r="F33" s="219">
        <f>IFERROR(__xludf.DUMMYFUNCTION("""COMPUTED_VALUE"""),17671.0)</f>
        <v>17671</v>
      </c>
      <c r="G33" s="219">
        <f>IFERROR(__xludf.DUMMYFUNCTION("""COMPUTED_VALUE"""),9.961460778E7)</f>
        <v>99614607.78</v>
      </c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</row>
    <row r="34">
      <c r="A34" s="215">
        <f>IFERROR(__xludf.DUMMYFUNCTION("""COMPUTED_VALUE"""),46267.0)</f>
        <v>46267</v>
      </c>
      <c r="B34" s="216">
        <f>IFERROR(__xludf.DUMMYFUNCTION("""COMPUTED_VALUE"""),1.0)</f>
        <v>1</v>
      </c>
      <c r="C34" s="216" t="str">
        <f t="shared" si="1"/>
        <v>INV-20260902-1</v>
      </c>
      <c r="D34" s="217" t="s">
        <v>81</v>
      </c>
      <c r="E34" s="218">
        <f>IFERROR(__xludf.DUMMYFUNCTION("""COMPUTED_VALUE"""),13993.0)</f>
        <v>13993</v>
      </c>
      <c r="F34" s="219">
        <f>IFERROR(__xludf.DUMMYFUNCTION("""COMPUTED_VALUE"""),17671.0)</f>
        <v>17671</v>
      </c>
      <c r="G34" s="219">
        <f>IFERROR(__xludf.DUMMYFUNCTION("""COMPUTED_VALUE"""),2.47270303E8)</f>
        <v>247270303</v>
      </c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</row>
    <row r="35">
      <c r="A35" s="215">
        <f>IFERROR(__xludf.DUMMYFUNCTION("""COMPUTED_VALUE"""),46267.0)</f>
        <v>46267</v>
      </c>
      <c r="B35" s="216">
        <f>IFERROR(__xludf.DUMMYFUNCTION("""COMPUTED_VALUE"""),1.0)</f>
        <v>1</v>
      </c>
      <c r="C35" s="216" t="str">
        <f t="shared" si="1"/>
        <v>INV-20260902-1</v>
      </c>
      <c r="D35" s="217" t="s">
        <v>81</v>
      </c>
      <c r="E35" s="218">
        <f>IFERROR(__xludf.DUMMYFUNCTION("""COMPUTED_VALUE"""),5472.27)</f>
        <v>5472.27</v>
      </c>
      <c r="F35" s="219">
        <f>IFERROR(__xludf.DUMMYFUNCTION("""COMPUTED_VALUE"""),17671.0)</f>
        <v>17671</v>
      </c>
      <c r="G35" s="219">
        <f>IFERROR(__xludf.DUMMYFUNCTION("""COMPUTED_VALUE"""),9.670048317E7)</f>
        <v>96700483.17</v>
      </c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</row>
    <row r="36">
      <c r="A36" s="215">
        <f>IFERROR(__xludf.DUMMYFUNCTION("""COMPUTED_VALUE"""),46267.0)</f>
        <v>46267</v>
      </c>
      <c r="B36" s="216">
        <f>IFERROR(__xludf.DUMMYFUNCTION("""COMPUTED_VALUE"""),1.0)</f>
        <v>1</v>
      </c>
      <c r="C36" s="216" t="str">
        <f t="shared" si="1"/>
        <v>INV-20260902-1</v>
      </c>
      <c r="D36" s="217" t="s">
        <v>81</v>
      </c>
      <c r="E36" s="218">
        <f>IFERROR(__xludf.DUMMYFUNCTION("""COMPUTED_VALUE"""),6431.79)</f>
        <v>6431.79</v>
      </c>
      <c r="F36" s="219">
        <f>IFERROR(__xludf.DUMMYFUNCTION("""COMPUTED_VALUE"""),17671.0)</f>
        <v>17671</v>
      </c>
      <c r="G36" s="219">
        <f>IFERROR(__xludf.DUMMYFUNCTION("""COMPUTED_VALUE"""),1.1365616109E8)</f>
        <v>113656161.1</v>
      </c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</row>
    <row r="37">
      <c r="A37" s="215">
        <f>IFERROR(__xludf.DUMMYFUNCTION("""COMPUTED_VALUE"""),46267.0)</f>
        <v>46267</v>
      </c>
      <c r="B37" s="216">
        <f>IFERROR(__xludf.DUMMYFUNCTION("""COMPUTED_VALUE"""),2.0)</f>
        <v>2</v>
      </c>
      <c r="C37" s="216" t="str">
        <f t="shared" si="1"/>
        <v>INV-20260902-2</v>
      </c>
      <c r="D37" s="217" t="s">
        <v>81</v>
      </c>
      <c r="E37" s="218">
        <f>IFERROR(__xludf.DUMMYFUNCTION("""COMPUTED_VALUE"""),4294.49)</f>
        <v>4294.49</v>
      </c>
      <c r="F37" s="219">
        <f>IFERROR(__xludf.DUMMYFUNCTION("""COMPUTED_VALUE"""),17665.0)</f>
        <v>17665</v>
      </c>
      <c r="G37" s="219">
        <f>IFERROR(__xludf.DUMMYFUNCTION("""COMPUTED_VALUE"""),7.586216585E7)</f>
        <v>75862165.85</v>
      </c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</row>
    <row r="38">
      <c r="A38" s="215">
        <f>IFERROR(__xludf.DUMMYFUNCTION("""COMPUTED_VALUE"""),46267.0)</f>
        <v>46267</v>
      </c>
      <c r="B38" s="216">
        <f>IFERROR(__xludf.DUMMYFUNCTION("""COMPUTED_VALUE"""),2.0)</f>
        <v>2</v>
      </c>
      <c r="C38" s="216" t="str">
        <f t="shared" si="1"/>
        <v>INV-20260902-2</v>
      </c>
      <c r="D38" s="217" t="s">
        <v>81</v>
      </c>
      <c r="E38" s="218">
        <f>IFERROR(__xludf.DUMMYFUNCTION("""COMPUTED_VALUE"""),4997.5)</f>
        <v>4997.5</v>
      </c>
      <c r="F38" s="219">
        <f>IFERROR(__xludf.DUMMYFUNCTION("""COMPUTED_VALUE"""),17665.0)</f>
        <v>17665</v>
      </c>
      <c r="G38" s="219">
        <f>IFERROR(__xludf.DUMMYFUNCTION("""COMPUTED_VALUE"""),8.82808375E7)</f>
        <v>88280837.5</v>
      </c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</row>
    <row r="39">
      <c r="A39" s="215">
        <f>IFERROR(__xludf.DUMMYFUNCTION("""COMPUTED_VALUE"""),46267.0)</f>
        <v>46267</v>
      </c>
      <c r="B39" s="216">
        <f>IFERROR(__xludf.DUMMYFUNCTION("""COMPUTED_VALUE"""),2.0)</f>
        <v>2</v>
      </c>
      <c r="C39" s="216" t="str">
        <f t="shared" si="1"/>
        <v>INV-20260902-2</v>
      </c>
      <c r="D39" s="217" t="s">
        <v>81</v>
      </c>
      <c r="E39" s="218">
        <f>IFERROR(__xludf.DUMMYFUNCTION("""COMPUTED_VALUE"""),8957.54)</f>
        <v>8957.54</v>
      </c>
      <c r="F39" s="219">
        <f>IFERROR(__xludf.DUMMYFUNCTION("""COMPUTED_VALUE"""),17665.0)</f>
        <v>17665</v>
      </c>
      <c r="G39" s="219">
        <f>IFERROR(__xludf.DUMMYFUNCTION("""COMPUTED_VALUE"""),1.5823494410000002E8)</f>
        <v>158234944.1</v>
      </c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</row>
    <row r="40">
      <c r="A40" s="215">
        <f>IFERROR(__xludf.DUMMYFUNCTION("""COMPUTED_VALUE"""),46267.0)</f>
        <v>46267</v>
      </c>
      <c r="B40" s="216">
        <f>IFERROR(__xludf.DUMMYFUNCTION("""COMPUTED_VALUE"""),2.0)</f>
        <v>2</v>
      </c>
      <c r="C40" s="216" t="str">
        <f t="shared" si="1"/>
        <v>INV-20260902-2</v>
      </c>
      <c r="D40" s="217" t="s">
        <v>81</v>
      </c>
      <c r="E40" s="218">
        <f>IFERROR(__xludf.DUMMYFUNCTION("""COMPUTED_VALUE"""),2703.98)</f>
        <v>2703.98</v>
      </c>
      <c r="F40" s="219">
        <f>IFERROR(__xludf.DUMMYFUNCTION("""COMPUTED_VALUE"""),17660.0)</f>
        <v>17660</v>
      </c>
      <c r="G40" s="219">
        <f>IFERROR(__xludf.DUMMYFUNCTION("""COMPUTED_VALUE"""),4.77522868E7)</f>
        <v>47752286.8</v>
      </c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</row>
    <row r="41">
      <c r="A41" s="215">
        <f>IFERROR(__xludf.DUMMYFUNCTION("""COMPUTED_VALUE"""),46267.0)</f>
        <v>46267</v>
      </c>
      <c r="B41" s="216">
        <f>IFERROR(__xludf.DUMMYFUNCTION("""COMPUTED_VALUE"""),2.0)</f>
        <v>2</v>
      </c>
      <c r="C41" s="216" t="str">
        <f t="shared" si="1"/>
        <v>INV-20260902-2</v>
      </c>
      <c r="D41" s="217" t="s">
        <v>81</v>
      </c>
      <c r="E41" s="218">
        <f>IFERROR(__xludf.DUMMYFUNCTION("""COMPUTED_VALUE"""),2998.5)</f>
        <v>2998.5</v>
      </c>
      <c r="F41" s="219">
        <f>IFERROR(__xludf.DUMMYFUNCTION("""COMPUTED_VALUE"""),17656.0)</f>
        <v>17656</v>
      </c>
      <c r="G41" s="219">
        <f>IFERROR(__xludf.DUMMYFUNCTION("""COMPUTED_VALUE"""),5.2941516E7)</f>
        <v>52941516</v>
      </c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</row>
    <row r="42">
      <c r="A42" s="215">
        <f>IFERROR(__xludf.DUMMYFUNCTION("""COMPUTED_VALUE"""),46267.0)</f>
        <v>46267</v>
      </c>
      <c r="B42" s="216">
        <f>IFERROR(__xludf.DUMMYFUNCTION("""COMPUTED_VALUE"""),2.0)</f>
        <v>2</v>
      </c>
      <c r="C42" s="216" t="str">
        <f t="shared" si="1"/>
        <v>INV-20260902-2</v>
      </c>
      <c r="D42" s="217" t="s">
        <v>81</v>
      </c>
      <c r="E42" s="218">
        <f>IFERROR(__xludf.DUMMYFUNCTION("""COMPUTED_VALUE"""),1541.73)</f>
        <v>1541.73</v>
      </c>
      <c r="F42" s="219">
        <f>IFERROR(__xludf.DUMMYFUNCTION("""COMPUTED_VALUE"""),17660.0)</f>
        <v>17660</v>
      </c>
      <c r="G42" s="219">
        <f>IFERROR(__xludf.DUMMYFUNCTION("""COMPUTED_VALUE"""),2.72269518E7)</f>
        <v>27226951.8</v>
      </c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</row>
    <row r="43">
      <c r="A43" s="215">
        <f>IFERROR(__xludf.DUMMYFUNCTION("""COMPUTED_VALUE"""),46267.0)</f>
        <v>46267</v>
      </c>
      <c r="B43" s="216">
        <f>IFERROR(__xludf.DUMMYFUNCTION("""COMPUTED_VALUE"""),2.0)</f>
        <v>2</v>
      </c>
      <c r="C43" s="216" t="str">
        <f t="shared" si="1"/>
        <v>INV-20260902-2</v>
      </c>
      <c r="D43" s="217" t="s">
        <v>81</v>
      </c>
      <c r="E43" s="218">
        <f>IFERROR(__xludf.DUMMYFUNCTION("""COMPUTED_VALUE"""),1975.79)</f>
        <v>1975.79</v>
      </c>
      <c r="F43" s="219">
        <f>IFERROR(__xludf.DUMMYFUNCTION("""COMPUTED_VALUE"""),17660.0)</f>
        <v>17660</v>
      </c>
      <c r="G43" s="219">
        <f>IFERROR(__xludf.DUMMYFUNCTION("""COMPUTED_VALUE"""),3.48924514E7)</f>
        <v>34892451.4</v>
      </c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</row>
    <row r="44">
      <c r="A44" s="215">
        <f>IFERROR(__xludf.DUMMYFUNCTION("""COMPUTED_VALUE"""),46267.0)</f>
        <v>46267</v>
      </c>
      <c r="B44" s="216">
        <f>IFERROR(__xludf.DUMMYFUNCTION("""COMPUTED_VALUE"""),2.0)</f>
        <v>2</v>
      </c>
      <c r="C44" s="216" t="str">
        <f t="shared" si="1"/>
        <v>INV-20260902-2</v>
      </c>
      <c r="D44" s="217" t="s">
        <v>81</v>
      </c>
      <c r="E44" s="218">
        <f>IFERROR(__xludf.DUMMYFUNCTION("""COMPUTED_VALUE"""),29502.0)</f>
        <v>29502</v>
      </c>
      <c r="F44" s="219">
        <f>IFERROR(__xludf.DUMMYFUNCTION("""COMPUTED_VALUE"""),17660.0)</f>
        <v>17660</v>
      </c>
      <c r="G44" s="219">
        <f>IFERROR(__xludf.DUMMYFUNCTION("""COMPUTED_VALUE"""),5.2100532E8)</f>
        <v>521005320</v>
      </c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</row>
    <row r="45">
      <c r="A45" s="215">
        <f>IFERROR(__xludf.DUMMYFUNCTION("""COMPUTED_VALUE"""),46267.0)</f>
        <v>46267</v>
      </c>
      <c r="B45" s="216">
        <f>IFERROR(__xludf.DUMMYFUNCTION("""COMPUTED_VALUE"""),3.0)</f>
        <v>3</v>
      </c>
      <c r="C45" s="216" t="str">
        <f t="shared" si="1"/>
        <v>INV-20260902-3</v>
      </c>
      <c r="D45" s="217" t="s">
        <v>81</v>
      </c>
      <c r="E45" s="218">
        <f>IFERROR(__xludf.DUMMYFUNCTION("""COMPUTED_VALUE"""),1699.15)</f>
        <v>1699.15</v>
      </c>
      <c r="F45" s="219">
        <f>IFERROR(__xludf.DUMMYFUNCTION("""COMPUTED_VALUE"""),17647.0)</f>
        <v>17647</v>
      </c>
      <c r="G45" s="219">
        <f>IFERROR(__xludf.DUMMYFUNCTION("""COMPUTED_VALUE"""),2.998490005E7)</f>
        <v>29984900.05</v>
      </c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</row>
    <row r="46">
      <c r="A46" s="215">
        <f>IFERROR(__xludf.DUMMYFUNCTION("""COMPUTED_VALUE"""),46267.0)</f>
        <v>46267</v>
      </c>
      <c r="B46" s="216">
        <f>IFERROR(__xludf.DUMMYFUNCTION("""COMPUTED_VALUE"""),3.0)</f>
        <v>3</v>
      </c>
      <c r="C46" s="216" t="str">
        <f t="shared" si="1"/>
        <v>INV-20260902-3</v>
      </c>
      <c r="D46" s="217" t="s">
        <v>81</v>
      </c>
      <c r="E46" s="218">
        <f>IFERROR(__xludf.DUMMYFUNCTION("""COMPUTED_VALUE"""),24987.5)</f>
        <v>24987.5</v>
      </c>
      <c r="F46" s="219">
        <f>IFERROR(__xludf.DUMMYFUNCTION("""COMPUTED_VALUE"""),17647.0)</f>
        <v>17647</v>
      </c>
      <c r="G46" s="219">
        <f>IFERROR(__xludf.DUMMYFUNCTION("""COMPUTED_VALUE"""),4.409544125E8)</f>
        <v>440954412.5</v>
      </c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</row>
    <row r="47">
      <c r="A47" s="215">
        <f>IFERROR(__xludf.DUMMYFUNCTION("""COMPUTED_VALUE"""),46267.0)</f>
        <v>46267</v>
      </c>
      <c r="B47" s="216">
        <f>IFERROR(__xludf.DUMMYFUNCTION("""COMPUTED_VALUE"""),3.0)</f>
        <v>3</v>
      </c>
      <c r="C47" s="216" t="str">
        <f t="shared" si="1"/>
        <v>INV-20260902-3</v>
      </c>
      <c r="D47" s="217" t="s">
        <v>81</v>
      </c>
      <c r="E47" s="218">
        <f>IFERROR(__xludf.DUMMYFUNCTION("""COMPUTED_VALUE"""),3998.0)</f>
        <v>3998</v>
      </c>
      <c r="F47" s="219">
        <f>IFERROR(__xludf.DUMMYFUNCTION("""COMPUTED_VALUE"""),17645.0)</f>
        <v>17645</v>
      </c>
      <c r="G47" s="219">
        <f>IFERROR(__xludf.DUMMYFUNCTION("""COMPUTED_VALUE"""),7.054471E7)</f>
        <v>70544710</v>
      </c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</row>
    <row r="48">
      <c r="A48" s="215">
        <f>IFERROR(__xludf.DUMMYFUNCTION("""COMPUTED_VALUE"""),46267.0)</f>
        <v>46267</v>
      </c>
      <c r="B48" s="216">
        <f>IFERROR(__xludf.DUMMYFUNCTION("""COMPUTED_VALUE"""),3.0)</f>
        <v>3</v>
      </c>
      <c r="C48" s="216" t="str">
        <f t="shared" si="1"/>
        <v>INV-20260902-3</v>
      </c>
      <c r="D48" s="217" t="s">
        <v>81</v>
      </c>
      <c r="E48" s="218">
        <f>IFERROR(__xludf.DUMMYFUNCTION("""COMPUTED_VALUE"""),4997.5)</f>
        <v>4997.5</v>
      </c>
      <c r="F48" s="219">
        <f>IFERROR(__xludf.DUMMYFUNCTION("""COMPUTED_VALUE"""),17645.0)</f>
        <v>17645</v>
      </c>
      <c r="G48" s="219">
        <f>IFERROR(__xludf.DUMMYFUNCTION("""COMPUTED_VALUE"""),8.81808875E7)</f>
        <v>88180887.5</v>
      </c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</row>
    <row r="49">
      <c r="A49" s="215">
        <f>IFERROR(__xludf.DUMMYFUNCTION("""COMPUTED_VALUE"""),46267.0)</f>
        <v>46267</v>
      </c>
      <c r="B49" s="216">
        <f>IFERROR(__xludf.DUMMYFUNCTION("""COMPUTED_VALUE"""),3.0)</f>
        <v>3</v>
      </c>
      <c r="C49" s="216" t="str">
        <f t="shared" si="1"/>
        <v>INV-20260902-3</v>
      </c>
      <c r="D49" s="217" t="s">
        <v>81</v>
      </c>
      <c r="E49" s="218">
        <f>IFERROR(__xludf.DUMMYFUNCTION("""COMPUTED_VALUE"""),5665.14)</f>
        <v>5665.14</v>
      </c>
      <c r="F49" s="219">
        <f>IFERROR(__xludf.DUMMYFUNCTION("""COMPUTED_VALUE"""),17643.0)</f>
        <v>17643</v>
      </c>
      <c r="G49" s="219">
        <f>IFERROR(__xludf.DUMMYFUNCTION("""COMPUTED_VALUE"""),9.995006502000001E7)</f>
        <v>99950065.02</v>
      </c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</row>
    <row r="50">
      <c r="A50" s="215">
        <f>IFERROR(__xludf.DUMMYFUNCTION("""COMPUTED_VALUE"""),46267.0)</f>
        <v>46267</v>
      </c>
      <c r="B50" s="216">
        <f>IFERROR(__xludf.DUMMYFUNCTION("""COMPUTED_VALUE"""),3.0)</f>
        <v>3</v>
      </c>
      <c r="C50" s="216" t="str">
        <f t="shared" si="1"/>
        <v>INV-20260902-3</v>
      </c>
      <c r="D50" s="217" t="s">
        <v>81</v>
      </c>
      <c r="E50" s="218">
        <f>IFERROR(__xludf.DUMMYFUNCTION("""COMPUTED_VALUE"""),15294.38)</f>
        <v>15294.38</v>
      </c>
      <c r="F50" s="219">
        <f>IFERROR(__xludf.DUMMYFUNCTION("""COMPUTED_VALUE"""),17643.0)</f>
        <v>17643</v>
      </c>
      <c r="G50" s="219">
        <f>IFERROR(__xludf.DUMMYFUNCTION("""COMPUTED_VALUE"""),2.6983874634E8)</f>
        <v>269838746.3</v>
      </c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</row>
    <row r="51">
      <c r="A51" s="215">
        <f>IFERROR(__xludf.DUMMYFUNCTION("""COMPUTED_VALUE"""),46267.0)</f>
        <v>46267</v>
      </c>
      <c r="B51" s="216">
        <f>IFERROR(__xludf.DUMMYFUNCTION("""COMPUTED_VALUE"""),3.0)</f>
        <v>3</v>
      </c>
      <c r="C51" s="216" t="str">
        <f t="shared" si="1"/>
        <v>INV-20260902-3</v>
      </c>
      <c r="D51" s="217" t="s">
        <v>81</v>
      </c>
      <c r="E51" s="218">
        <f>IFERROR(__xludf.DUMMYFUNCTION("""COMPUTED_VALUE"""),5667.06)</f>
        <v>5667.06</v>
      </c>
      <c r="F51" s="219">
        <f>IFERROR(__xludf.DUMMYFUNCTION("""COMPUTED_VALUE"""),17637.0)</f>
        <v>17637</v>
      </c>
      <c r="G51" s="219">
        <f>IFERROR(__xludf.DUMMYFUNCTION("""COMPUTED_VALUE"""),9.994993722000001E7)</f>
        <v>99949937.22</v>
      </c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</row>
    <row r="52">
      <c r="A52" s="215">
        <f>IFERROR(__xludf.DUMMYFUNCTION("""COMPUTED_VALUE"""),46267.0)</f>
        <v>46267</v>
      </c>
      <c r="B52" s="216">
        <f>IFERROR(__xludf.DUMMYFUNCTION("""COMPUTED_VALUE"""),3.0)</f>
        <v>3</v>
      </c>
      <c r="C52" s="216" t="str">
        <f t="shared" si="1"/>
        <v>INV-20260902-3</v>
      </c>
      <c r="D52" s="217" t="s">
        <v>81</v>
      </c>
      <c r="E52" s="218">
        <f>IFERROR(__xludf.DUMMYFUNCTION("""COMPUTED_VALUE"""),24987.5)</f>
        <v>24987.5</v>
      </c>
      <c r="F52" s="219">
        <f>IFERROR(__xludf.DUMMYFUNCTION("""COMPUTED_VALUE"""),17637.0)</f>
        <v>17637</v>
      </c>
      <c r="G52" s="219">
        <f>IFERROR(__xludf.DUMMYFUNCTION("""COMPUTED_VALUE"""),4.407045375E8)</f>
        <v>440704537.5</v>
      </c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</row>
    <row r="53">
      <c r="A53" s="215">
        <f>IFERROR(__xludf.DUMMYFUNCTION("""COMPUTED_VALUE"""),46267.0)</f>
        <v>46267</v>
      </c>
      <c r="B53" s="216">
        <f>IFERROR(__xludf.DUMMYFUNCTION("""COMPUTED_VALUE"""),3.0)</f>
        <v>3</v>
      </c>
      <c r="C53" s="216" t="str">
        <f t="shared" si="1"/>
        <v>INV-20260902-3</v>
      </c>
      <c r="D53" s="217" t="s">
        <v>81</v>
      </c>
      <c r="E53" s="218">
        <f>IFERROR(__xludf.DUMMYFUNCTION("""COMPUTED_VALUE"""),26017.1)</f>
        <v>26017.1</v>
      </c>
      <c r="F53" s="219">
        <f>IFERROR(__xludf.DUMMYFUNCTION("""COMPUTED_VALUE"""),17640.0)</f>
        <v>17640</v>
      </c>
      <c r="G53" s="219">
        <f>IFERROR(__xludf.DUMMYFUNCTION("""COMPUTED_VALUE"""),4.58941644E8)</f>
        <v>458941644</v>
      </c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</row>
    <row r="54">
      <c r="A54" s="215">
        <f>IFERROR(__xludf.DUMMYFUNCTION("""COMPUTED_VALUE"""),46267.0)</f>
        <v>46267</v>
      </c>
      <c r="B54" s="216">
        <f>IFERROR(__xludf.DUMMYFUNCTION("""COMPUTED_VALUE"""),4.0)</f>
        <v>4</v>
      </c>
      <c r="C54" s="216" t="str">
        <f t="shared" si="1"/>
        <v>INV-20260902-4</v>
      </c>
      <c r="D54" s="217" t="s">
        <v>81</v>
      </c>
      <c r="E54" s="218">
        <f>IFERROR(__xludf.DUMMYFUNCTION("""COMPUTED_VALUE"""),28325.83)</f>
        <v>28325.83</v>
      </c>
      <c r="F54" s="219">
        <f>IFERROR(__xludf.DUMMYFUNCTION("""COMPUTED_VALUE"""),17644.0)</f>
        <v>17644</v>
      </c>
      <c r="G54" s="219">
        <f>IFERROR(__xludf.DUMMYFUNCTION("""COMPUTED_VALUE"""),4.9978094452000004E8)</f>
        <v>499780944.5</v>
      </c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</row>
    <row r="55">
      <c r="A55" s="215">
        <f>IFERROR(__xludf.DUMMYFUNCTION("""COMPUTED_VALUE"""),46267.0)</f>
        <v>46267</v>
      </c>
      <c r="B55" s="216">
        <f>IFERROR(__xludf.DUMMYFUNCTION("""COMPUTED_VALUE"""),5.0)</f>
        <v>5</v>
      </c>
      <c r="C55" s="216" t="str">
        <f t="shared" si="1"/>
        <v>INV-20260902-5</v>
      </c>
      <c r="D55" s="217" t="s">
        <v>81</v>
      </c>
      <c r="E55" s="218">
        <f>IFERROR(__xludf.DUMMYFUNCTION("""COMPUTED_VALUE"""),28315.84)</f>
        <v>28315.84</v>
      </c>
      <c r="F55" s="219">
        <f>IFERROR(__xludf.DUMMYFUNCTION("""COMPUTED_VALUE"""),17650.0)</f>
        <v>17650</v>
      </c>
      <c r="G55" s="219">
        <f>IFERROR(__xludf.DUMMYFUNCTION("""COMPUTED_VALUE"""),4.99774576E8)</f>
        <v>499774576</v>
      </c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</row>
    <row r="56">
      <c r="A56" s="215">
        <f>IFERROR(__xludf.DUMMYFUNCTION("""COMPUTED_VALUE"""),46267.0)</f>
        <v>46267</v>
      </c>
      <c r="B56" s="216">
        <f>IFERROR(__xludf.DUMMYFUNCTION("""COMPUTED_VALUE"""),5.0)</f>
        <v>5</v>
      </c>
      <c r="C56" s="216" t="str">
        <f t="shared" si="1"/>
        <v>INV-20260902-5</v>
      </c>
      <c r="D56" s="217" t="s">
        <v>81</v>
      </c>
      <c r="E56" s="218">
        <f>IFERROR(__xludf.DUMMYFUNCTION("""COMPUTED_VALUE"""),28315.84)</f>
        <v>28315.84</v>
      </c>
      <c r="F56" s="219">
        <f>IFERROR(__xludf.DUMMYFUNCTION("""COMPUTED_VALUE"""),17650.0)</f>
        <v>17650</v>
      </c>
      <c r="G56" s="219">
        <f>IFERROR(__xludf.DUMMYFUNCTION("""COMPUTED_VALUE"""),4.99774576E8)</f>
        <v>499774576</v>
      </c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</row>
    <row r="57">
      <c r="A57" s="215">
        <f>IFERROR(__xludf.DUMMYFUNCTION("""COMPUTED_VALUE"""),46268.0)</f>
        <v>46268</v>
      </c>
      <c r="B57" s="216">
        <f>IFERROR(__xludf.DUMMYFUNCTION("""COMPUTED_VALUE"""),1.0)</f>
        <v>1</v>
      </c>
      <c r="C57" s="216" t="str">
        <f t="shared" si="1"/>
        <v>INV-20260903-1</v>
      </c>
      <c r="D57" s="217" t="s">
        <v>81</v>
      </c>
      <c r="E57" s="218">
        <f>IFERROR(__xludf.DUMMYFUNCTION("""COMPUTED_VALUE"""),28360.74)</f>
        <v>28360.74</v>
      </c>
      <c r="F57" s="219">
        <f>IFERROR(__xludf.DUMMYFUNCTION("""COMPUTED_VALUE"""),17630.0)</f>
        <v>17630</v>
      </c>
      <c r="G57" s="219">
        <f>IFERROR(__xludf.DUMMYFUNCTION("""COMPUTED_VALUE"""),4.9999984620000005E8)</f>
        <v>499999846.2</v>
      </c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</row>
    <row r="58">
      <c r="A58" s="215">
        <f>IFERROR(__xludf.DUMMYFUNCTION("""COMPUTED_VALUE"""),46268.0)</f>
        <v>46268</v>
      </c>
      <c r="B58" s="216">
        <f>IFERROR(__xludf.DUMMYFUNCTION("""COMPUTED_VALUE"""),1.0)</f>
        <v>1</v>
      </c>
      <c r="C58" s="216" t="str">
        <f t="shared" si="1"/>
        <v>INV-20260903-1</v>
      </c>
      <c r="D58" s="217" t="s">
        <v>81</v>
      </c>
      <c r="E58" s="218">
        <f>IFERROR(__xludf.DUMMYFUNCTION("""COMPUTED_VALUE"""),113410.83)</f>
        <v>113410.83</v>
      </c>
      <c r="F58" s="219">
        <f>IFERROR(__xludf.DUMMYFUNCTION("""COMPUTED_VALUE"""),17635.0)</f>
        <v>17635</v>
      </c>
      <c r="G58" s="219">
        <f>IFERROR(__xludf.DUMMYFUNCTION("""COMPUTED_VALUE"""),1.99999998705E9)</f>
        <v>1999999987</v>
      </c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</row>
    <row r="59">
      <c r="A59" s="215">
        <f>IFERROR(__xludf.DUMMYFUNCTION("""COMPUTED_VALUE"""),46268.0)</f>
        <v>46268</v>
      </c>
      <c r="B59" s="216">
        <f>IFERROR(__xludf.DUMMYFUNCTION("""COMPUTED_VALUE"""),1.0)</f>
        <v>1</v>
      </c>
      <c r="C59" s="216" t="str">
        <f t="shared" si="1"/>
        <v>INV-20260903-1</v>
      </c>
      <c r="D59" s="217" t="s">
        <v>81</v>
      </c>
      <c r="E59" s="218">
        <f>IFERROR(__xludf.DUMMYFUNCTION("""COMPUTED_VALUE"""),33238.79)</f>
        <v>33238.79</v>
      </c>
      <c r="F59" s="219">
        <f>IFERROR(__xludf.DUMMYFUNCTION("""COMPUTED_VALUE"""),17630.0)</f>
        <v>17630</v>
      </c>
      <c r="G59" s="219">
        <f>IFERROR(__xludf.DUMMYFUNCTION("""COMPUTED_VALUE"""),5.859998677E8)</f>
        <v>585999867.7</v>
      </c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</row>
    <row r="60">
      <c r="A60" s="215">
        <f>IFERROR(__xludf.DUMMYFUNCTION("""COMPUTED_VALUE"""),46268.0)</f>
        <v>46268</v>
      </c>
      <c r="B60" s="216">
        <f>IFERROR(__xludf.DUMMYFUNCTION("""COMPUTED_VALUE"""),1.0)</f>
        <v>1</v>
      </c>
      <c r="C60" s="216" t="str">
        <f t="shared" si="1"/>
        <v>INV-20260903-1</v>
      </c>
      <c r="D60" s="217" t="s">
        <v>81</v>
      </c>
      <c r="E60" s="218">
        <f>IFERROR(__xludf.DUMMYFUNCTION("""COMPUTED_VALUE"""),135847.98)</f>
        <v>135847.98</v>
      </c>
      <c r="F60" s="219">
        <f>IFERROR(__xludf.DUMMYFUNCTION("""COMPUTED_VALUE"""),17630.0)</f>
        <v>17630</v>
      </c>
      <c r="G60" s="219">
        <f>IFERROR(__xludf.DUMMYFUNCTION("""COMPUTED_VALUE"""),2.3949998874E9)</f>
        <v>2394999887</v>
      </c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</row>
    <row r="61">
      <c r="A61" s="215">
        <f>IFERROR(__xludf.DUMMYFUNCTION("""COMPUTED_VALUE"""),46268.0)</f>
        <v>46268</v>
      </c>
      <c r="B61" s="216">
        <f>IFERROR(__xludf.DUMMYFUNCTION("""COMPUTED_VALUE"""),1.0)</f>
        <v>1</v>
      </c>
      <c r="C61" s="216" t="str">
        <f t="shared" si="1"/>
        <v>INV-20260903-1</v>
      </c>
      <c r="D61" s="217" t="s">
        <v>81</v>
      </c>
      <c r="E61" s="218">
        <f>IFERROR(__xludf.DUMMYFUNCTION("""COMPUTED_VALUE"""),135925.08)</f>
        <v>135925.08</v>
      </c>
      <c r="F61" s="219">
        <f>IFERROR(__xludf.DUMMYFUNCTION("""COMPUTED_VALUE"""),17620.0)</f>
        <v>17620</v>
      </c>
      <c r="G61" s="219">
        <f>IFERROR(__xludf.DUMMYFUNCTION("""COMPUTED_VALUE"""),2.3949999096E9)</f>
        <v>2394999910</v>
      </c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</row>
    <row r="62">
      <c r="A62" s="215">
        <f>IFERROR(__xludf.DUMMYFUNCTION("""COMPUTED_VALUE"""),46268.0)</f>
        <v>46268</v>
      </c>
      <c r="B62" s="216">
        <f>IFERROR(__xludf.DUMMYFUNCTION("""COMPUTED_VALUE"""),2.0)</f>
        <v>2</v>
      </c>
      <c r="C62" s="216" t="str">
        <f t="shared" si="1"/>
        <v>INV-20260903-2</v>
      </c>
      <c r="D62" s="217" t="s">
        <v>81</v>
      </c>
      <c r="E62" s="218">
        <f>IFERROR(__xludf.DUMMYFUNCTION("""COMPUTED_VALUE"""),6996.5)</f>
        <v>6996.5</v>
      </c>
      <c r="F62" s="219">
        <f>IFERROR(__xludf.DUMMYFUNCTION("""COMPUTED_VALUE"""),17595.0)</f>
        <v>17595</v>
      </c>
      <c r="G62" s="219">
        <f>IFERROR(__xludf.DUMMYFUNCTION("""COMPUTED_VALUE"""),1.231034175E8)</f>
        <v>123103417.5</v>
      </c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</row>
    <row r="63">
      <c r="A63" s="215">
        <f>IFERROR(__xludf.DUMMYFUNCTION("""COMPUTED_VALUE"""),46268.0)</f>
        <v>46268</v>
      </c>
      <c r="B63" s="216">
        <f>IFERROR(__xludf.DUMMYFUNCTION("""COMPUTED_VALUE"""),2.0)</f>
        <v>2</v>
      </c>
      <c r="C63" s="216" t="str">
        <f t="shared" si="1"/>
        <v>INV-20260903-2</v>
      </c>
      <c r="D63" s="217" t="s">
        <v>81</v>
      </c>
      <c r="E63" s="218">
        <f>IFERROR(__xludf.DUMMYFUNCTION("""COMPUTED_VALUE"""),2839.08)</f>
        <v>2839.08</v>
      </c>
      <c r="F63" s="219">
        <f>IFERROR(__xludf.DUMMYFUNCTION("""COMPUTED_VALUE"""),17595.0)</f>
        <v>17595</v>
      </c>
      <c r="G63" s="219">
        <f>IFERROR(__xludf.DUMMYFUNCTION("""COMPUTED_VALUE"""),4.99536126E7)</f>
        <v>49953612.6</v>
      </c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</row>
    <row r="64">
      <c r="A64" s="215">
        <f>IFERROR(__xludf.DUMMYFUNCTION("""COMPUTED_VALUE"""),46268.0)</f>
        <v>46268</v>
      </c>
      <c r="B64" s="216">
        <f>IFERROR(__xludf.DUMMYFUNCTION("""COMPUTED_VALUE"""),2.0)</f>
        <v>2</v>
      </c>
      <c r="C64" s="216" t="str">
        <f t="shared" si="1"/>
        <v>INV-20260903-2</v>
      </c>
      <c r="D64" s="217" t="s">
        <v>81</v>
      </c>
      <c r="E64" s="218">
        <f>IFERROR(__xludf.DUMMYFUNCTION("""COMPUTED_VALUE"""),1420.14)</f>
        <v>1420.14</v>
      </c>
      <c r="F64" s="219">
        <f>IFERROR(__xludf.DUMMYFUNCTION("""COMPUTED_VALUE"""),17595.0)</f>
        <v>17595</v>
      </c>
      <c r="G64" s="219">
        <f>IFERROR(__xludf.DUMMYFUNCTION("""COMPUTED_VALUE"""),2.49873633E7)</f>
        <v>24987363.3</v>
      </c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</row>
    <row r="65">
      <c r="A65" s="215">
        <f>IFERROR(__xludf.DUMMYFUNCTION("""COMPUTED_VALUE"""),46268.0)</f>
        <v>46268</v>
      </c>
      <c r="B65" s="216">
        <f>IFERROR(__xludf.DUMMYFUNCTION("""COMPUTED_VALUE"""),2.0)</f>
        <v>2</v>
      </c>
      <c r="C65" s="216" t="str">
        <f t="shared" si="1"/>
        <v>INV-20260903-2</v>
      </c>
      <c r="D65" s="217" t="s">
        <v>81</v>
      </c>
      <c r="E65" s="218">
        <f>IFERROR(__xludf.DUMMYFUNCTION("""COMPUTED_VALUE"""),16770.62)</f>
        <v>16770.62</v>
      </c>
      <c r="F65" s="219">
        <f>IFERROR(__xludf.DUMMYFUNCTION("""COMPUTED_VALUE"""),17595.0)</f>
        <v>17595</v>
      </c>
      <c r="G65" s="219">
        <f>IFERROR(__xludf.DUMMYFUNCTION("""COMPUTED_VALUE"""),2.950790589E8)</f>
        <v>295079058.9</v>
      </c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</row>
    <row r="66">
      <c r="A66" s="215">
        <f>IFERROR(__xludf.DUMMYFUNCTION("""COMPUTED_VALUE"""),46268.0)</f>
        <v>46268</v>
      </c>
      <c r="B66" s="216">
        <f>IFERROR(__xludf.DUMMYFUNCTION("""COMPUTED_VALUE"""),2.0)</f>
        <v>2</v>
      </c>
      <c r="C66" s="216" t="str">
        <f t="shared" si="1"/>
        <v>INV-20260903-2</v>
      </c>
      <c r="D66" s="217" t="s">
        <v>81</v>
      </c>
      <c r="E66" s="218">
        <f>IFERROR(__xludf.DUMMYFUNCTION("""COMPUTED_VALUE"""),2840.29)</f>
        <v>2840.29</v>
      </c>
      <c r="F66" s="219">
        <f>IFERROR(__xludf.DUMMYFUNCTION("""COMPUTED_VALUE"""),17595.0)</f>
        <v>17595</v>
      </c>
      <c r="G66" s="219">
        <f>IFERROR(__xludf.DUMMYFUNCTION("""COMPUTED_VALUE"""),4.997490255E7)</f>
        <v>49974902.55</v>
      </c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</row>
    <row r="67">
      <c r="A67" s="215">
        <f>IFERROR(__xludf.DUMMYFUNCTION("""COMPUTED_VALUE"""),46268.0)</f>
        <v>46268</v>
      </c>
      <c r="B67" s="216">
        <f>IFERROR(__xludf.DUMMYFUNCTION("""COMPUTED_VALUE"""),2.0)</f>
        <v>2</v>
      </c>
      <c r="C67" s="216" t="str">
        <f t="shared" si="1"/>
        <v>INV-20260903-2</v>
      </c>
      <c r="D67" s="217" t="s">
        <v>81</v>
      </c>
      <c r="E67" s="218">
        <f>IFERROR(__xludf.DUMMYFUNCTION("""COMPUTED_VALUE"""),10051.46)</f>
        <v>10051.46</v>
      </c>
      <c r="F67" s="219">
        <f>IFERROR(__xludf.DUMMYFUNCTION("""COMPUTED_VALUE"""),17595.0)</f>
        <v>17595</v>
      </c>
      <c r="G67" s="219">
        <f>IFERROR(__xludf.DUMMYFUNCTION("""COMPUTED_VALUE"""),1.768554387E8)</f>
        <v>176855438.7</v>
      </c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</row>
    <row r="68">
      <c r="A68" s="215">
        <f>IFERROR(__xludf.DUMMYFUNCTION("""COMPUTED_VALUE"""),46268.0)</f>
        <v>46268</v>
      </c>
      <c r="B68" s="216">
        <f>IFERROR(__xludf.DUMMYFUNCTION("""COMPUTED_VALUE"""),2.0)</f>
        <v>2</v>
      </c>
      <c r="C68" s="216" t="str">
        <f t="shared" si="1"/>
        <v>INV-20260903-2</v>
      </c>
      <c r="D68" s="217" t="s">
        <v>81</v>
      </c>
      <c r="E68" s="218">
        <f>IFERROR(__xludf.DUMMYFUNCTION("""COMPUTED_VALUE"""),11182.56)</f>
        <v>11182.56</v>
      </c>
      <c r="F68" s="219">
        <f>IFERROR(__xludf.DUMMYFUNCTION("""COMPUTED_VALUE"""),17595.0)</f>
        <v>17595</v>
      </c>
      <c r="G68" s="219">
        <f>IFERROR(__xludf.DUMMYFUNCTION("""COMPUTED_VALUE"""),1.967571432E8)</f>
        <v>196757143.2</v>
      </c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</row>
    <row r="69">
      <c r="A69" s="215">
        <f>IFERROR(__xludf.DUMMYFUNCTION("""COMPUTED_VALUE"""),46268.0)</f>
        <v>46268</v>
      </c>
      <c r="B69" s="216">
        <f>IFERROR(__xludf.DUMMYFUNCTION("""COMPUTED_VALUE"""),2.0)</f>
        <v>2</v>
      </c>
      <c r="C69" s="216" t="str">
        <f t="shared" si="1"/>
        <v>INV-20260903-2</v>
      </c>
      <c r="D69" s="217" t="s">
        <v>81</v>
      </c>
      <c r="E69" s="218">
        <f>IFERROR(__xludf.DUMMYFUNCTION("""COMPUTED_VALUE"""),9995.0)</f>
        <v>9995</v>
      </c>
      <c r="F69" s="219">
        <f>IFERROR(__xludf.DUMMYFUNCTION("""COMPUTED_VALUE"""),17595.0)</f>
        <v>17595</v>
      </c>
      <c r="G69" s="219">
        <f>IFERROR(__xludf.DUMMYFUNCTION("""COMPUTED_VALUE"""),1.75862025E8)</f>
        <v>175862025</v>
      </c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</row>
    <row r="70">
      <c r="A70" s="215">
        <f>IFERROR(__xludf.DUMMYFUNCTION("""COMPUTED_VALUE"""),46268.0)</f>
        <v>46268</v>
      </c>
      <c r="B70" s="216">
        <f>IFERROR(__xludf.DUMMYFUNCTION("""COMPUTED_VALUE"""),2.0)</f>
        <v>2</v>
      </c>
      <c r="C70" s="216" t="str">
        <f t="shared" si="1"/>
        <v>INV-20260903-2</v>
      </c>
      <c r="D70" s="217" t="s">
        <v>81</v>
      </c>
      <c r="E70" s="218">
        <f>IFERROR(__xludf.DUMMYFUNCTION("""COMPUTED_VALUE"""),6826.59)</f>
        <v>6826.59</v>
      </c>
      <c r="F70" s="219">
        <f>IFERROR(__xludf.DUMMYFUNCTION("""COMPUTED_VALUE"""),17595.0)</f>
        <v>17595</v>
      </c>
      <c r="G70" s="219">
        <f>IFERROR(__xludf.DUMMYFUNCTION("""COMPUTED_VALUE"""),1.2011385105E8)</f>
        <v>120113851.1</v>
      </c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</row>
    <row r="71">
      <c r="A71" s="215">
        <f>IFERROR(__xludf.DUMMYFUNCTION("""COMPUTED_VALUE"""),46268.0)</f>
        <v>46268</v>
      </c>
      <c r="B71" s="216">
        <f>IFERROR(__xludf.DUMMYFUNCTION("""COMPUTED_VALUE"""),2.0)</f>
        <v>2</v>
      </c>
      <c r="C71" s="216" t="str">
        <f t="shared" si="1"/>
        <v>INV-20260903-2</v>
      </c>
      <c r="D71" s="217" t="s">
        <v>81</v>
      </c>
      <c r="E71" s="218">
        <f>IFERROR(__xludf.DUMMYFUNCTION("""COMPUTED_VALUE"""),10367.08)</f>
        <v>10367.08</v>
      </c>
      <c r="F71" s="219">
        <f>IFERROR(__xludf.DUMMYFUNCTION("""COMPUTED_VALUE"""),17595.0)</f>
        <v>17595</v>
      </c>
      <c r="G71" s="219">
        <f>IFERROR(__xludf.DUMMYFUNCTION("""COMPUTED_VALUE"""),1.824087726E8)</f>
        <v>182408772.6</v>
      </c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</row>
    <row r="72">
      <c r="A72" s="215">
        <f>IFERROR(__xludf.DUMMYFUNCTION("""COMPUTED_VALUE"""),46268.0)</f>
        <v>46268</v>
      </c>
      <c r="B72" s="216">
        <f>IFERROR(__xludf.DUMMYFUNCTION("""COMPUTED_VALUE"""),2.0)</f>
        <v>2</v>
      </c>
      <c r="C72" s="216" t="str">
        <f t="shared" si="1"/>
        <v>INV-20260903-2</v>
      </c>
      <c r="D72" s="217" t="s">
        <v>81</v>
      </c>
      <c r="E72" s="218">
        <f>IFERROR(__xludf.DUMMYFUNCTION("""COMPUTED_VALUE"""),18440.37)</f>
        <v>18440.37</v>
      </c>
      <c r="F72" s="219">
        <f>IFERROR(__xludf.DUMMYFUNCTION("""COMPUTED_VALUE"""),17590.0)</f>
        <v>17590</v>
      </c>
      <c r="G72" s="219">
        <f>IFERROR(__xludf.DUMMYFUNCTION("""COMPUTED_VALUE"""),3.2436610829999995E8)</f>
        <v>324366108.3</v>
      </c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</row>
    <row r="73">
      <c r="A73" s="215">
        <f>IFERROR(__xludf.DUMMYFUNCTION("""COMPUTED_VALUE"""),46268.0)</f>
        <v>46268</v>
      </c>
      <c r="B73" s="216">
        <f>IFERROR(__xludf.DUMMYFUNCTION("""COMPUTED_VALUE"""),2.0)</f>
        <v>2</v>
      </c>
      <c r="C73" s="216" t="str">
        <f t="shared" si="1"/>
        <v>INV-20260903-2</v>
      </c>
      <c r="D73" s="217" t="s">
        <v>81</v>
      </c>
      <c r="E73" s="218">
        <f>IFERROR(__xludf.DUMMYFUNCTION("""COMPUTED_VALUE"""),4272.11)</f>
        <v>4272.11</v>
      </c>
      <c r="F73" s="219">
        <f>IFERROR(__xludf.DUMMYFUNCTION("""COMPUTED_VALUE"""),17584.0)</f>
        <v>17584</v>
      </c>
      <c r="G73" s="219">
        <f>IFERROR(__xludf.DUMMYFUNCTION("""COMPUTED_VALUE"""),7.512078224E7)</f>
        <v>75120782.24</v>
      </c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</row>
    <row r="74">
      <c r="A74" s="215">
        <f>IFERROR(__xludf.DUMMYFUNCTION("""COMPUTED_VALUE"""),46268.0)</f>
        <v>46268</v>
      </c>
      <c r="B74" s="216">
        <f>IFERROR(__xludf.DUMMYFUNCTION("""COMPUTED_VALUE"""),2.0)</f>
        <v>2</v>
      </c>
      <c r="C74" s="216" t="str">
        <f t="shared" si="1"/>
        <v>INV-20260903-2</v>
      </c>
      <c r="D74" s="217" t="s">
        <v>81</v>
      </c>
      <c r="E74" s="218">
        <f>IFERROR(__xludf.DUMMYFUNCTION("""COMPUTED_VALUE"""),2548.73)</f>
        <v>2548.73</v>
      </c>
      <c r="F74" s="219">
        <f>IFERROR(__xludf.DUMMYFUNCTION("""COMPUTED_VALUE"""),17580.0)</f>
        <v>17580</v>
      </c>
      <c r="G74" s="219">
        <f>IFERROR(__xludf.DUMMYFUNCTION("""COMPUTED_VALUE"""),4.48066734E7)</f>
        <v>44806673.4</v>
      </c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</row>
    <row r="75">
      <c r="A75" s="215">
        <f>IFERROR(__xludf.DUMMYFUNCTION("""COMPUTED_VALUE"""),46268.0)</f>
        <v>46268</v>
      </c>
      <c r="B75" s="216">
        <f>IFERROR(__xludf.DUMMYFUNCTION("""COMPUTED_VALUE"""),2.0)</f>
        <v>2</v>
      </c>
      <c r="C75" s="216" t="str">
        <f t="shared" si="1"/>
        <v>INV-20260903-2</v>
      </c>
      <c r="D75" s="217" t="s">
        <v>81</v>
      </c>
      <c r="E75" s="218">
        <f>IFERROR(__xludf.DUMMYFUNCTION("""COMPUTED_VALUE"""),2498.75)</f>
        <v>2498.75</v>
      </c>
      <c r="F75" s="219">
        <f>IFERROR(__xludf.DUMMYFUNCTION("""COMPUTED_VALUE"""),17580.0)</f>
        <v>17580</v>
      </c>
      <c r="G75" s="219">
        <f>IFERROR(__xludf.DUMMYFUNCTION("""COMPUTED_VALUE"""),4.3928025E7)</f>
        <v>43928025</v>
      </c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</row>
    <row r="76">
      <c r="A76" s="215">
        <f>IFERROR(__xludf.DUMMYFUNCTION("""COMPUTED_VALUE"""),46268.0)</f>
        <v>46268</v>
      </c>
      <c r="B76" s="216">
        <f>IFERROR(__xludf.DUMMYFUNCTION("""COMPUTED_VALUE"""),2.0)</f>
        <v>2</v>
      </c>
      <c r="C76" s="216" t="str">
        <f t="shared" si="1"/>
        <v>INV-20260903-2</v>
      </c>
      <c r="D76" s="217" t="s">
        <v>81</v>
      </c>
      <c r="E76" s="218">
        <f>IFERROR(__xludf.DUMMYFUNCTION("""COMPUTED_VALUE"""),3141.92)</f>
        <v>3141.92</v>
      </c>
      <c r="F76" s="219">
        <f>IFERROR(__xludf.DUMMYFUNCTION("""COMPUTED_VALUE"""),17580.0)</f>
        <v>17580</v>
      </c>
      <c r="G76" s="219">
        <f>IFERROR(__xludf.DUMMYFUNCTION("""COMPUTED_VALUE"""),5.52349536E7)</f>
        <v>55234953.6</v>
      </c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</row>
    <row r="77">
      <c r="A77" s="215">
        <f>IFERROR(__xludf.DUMMYFUNCTION("""COMPUTED_VALUE"""),46268.0)</f>
        <v>46268</v>
      </c>
      <c r="B77" s="216">
        <f>IFERROR(__xludf.DUMMYFUNCTION("""COMPUTED_VALUE"""),2.0)</f>
        <v>2</v>
      </c>
      <c r="C77" s="216" t="str">
        <f t="shared" si="1"/>
        <v>INV-20260903-2</v>
      </c>
      <c r="D77" s="217" t="s">
        <v>81</v>
      </c>
      <c r="E77" s="218">
        <f>IFERROR(__xludf.DUMMYFUNCTION("""COMPUTED_VALUE"""),8596.39)</f>
        <v>8596.39</v>
      </c>
      <c r="F77" s="219">
        <f>IFERROR(__xludf.DUMMYFUNCTION("""COMPUTED_VALUE"""),17580.0)</f>
        <v>17580</v>
      </c>
      <c r="G77" s="219">
        <f>IFERROR(__xludf.DUMMYFUNCTION("""COMPUTED_VALUE"""),1.511245362E8)</f>
        <v>151124536.2</v>
      </c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</row>
    <row r="78">
      <c r="A78" s="215">
        <f>IFERROR(__xludf.DUMMYFUNCTION("""COMPUTED_VALUE"""),46268.0)</f>
        <v>46268</v>
      </c>
      <c r="B78" s="216">
        <f>IFERROR(__xludf.DUMMYFUNCTION("""COMPUTED_VALUE"""),2.0)</f>
        <v>2</v>
      </c>
      <c r="C78" s="216" t="str">
        <f t="shared" si="1"/>
        <v>INV-20260903-2</v>
      </c>
      <c r="D78" s="217" t="s">
        <v>81</v>
      </c>
      <c r="E78" s="218">
        <f>IFERROR(__xludf.DUMMYFUNCTION("""COMPUTED_VALUE"""),2298.85)</f>
        <v>2298.85</v>
      </c>
      <c r="F78" s="219">
        <f>IFERROR(__xludf.DUMMYFUNCTION("""COMPUTED_VALUE"""),17580.0)</f>
        <v>17580</v>
      </c>
      <c r="G78" s="219">
        <f>IFERROR(__xludf.DUMMYFUNCTION("""COMPUTED_VALUE"""),4.0413783E7)</f>
        <v>40413783</v>
      </c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</row>
    <row r="79">
      <c r="A79" s="215">
        <f>IFERROR(__xludf.DUMMYFUNCTION("""COMPUTED_VALUE"""),46268.0)</f>
        <v>46268</v>
      </c>
      <c r="B79" s="216">
        <f>IFERROR(__xludf.DUMMYFUNCTION("""COMPUTED_VALUE"""),2.0)</f>
        <v>2</v>
      </c>
      <c r="C79" s="216" t="str">
        <f t="shared" si="1"/>
        <v>INV-20260903-2</v>
      </c>
      <c r="D79" s="217" t="s">
        <v>81</v>
      </c>
      <c r="E79" s="218">
        <f>IFERROR(__xludf.DUMMYFUNCTION("""COMPUTED_VALUE"""),2998.5)</f>
        <v>2998.5</v>
      </c>
      <c r="F79" s="219">
        <f>IFERROR(__xludf.DUMMYFUNCTION("""COMPUTED_VALUE"""),17580.0)</f>
        <v>17580</v>
      </c>
      <c r="G79" s="219">
        <f>IFERROR(__xludf.DUMMYFUNCTION("""COMPUTED_VALUE"""),5.271363E7)</f>
        <v>52713630</v>
      </c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</row>
    <row r="80">
      <c r="A80" s="215">
        <f>IFERROR(__xludf.DUMMYFUNCTION("""COMPUTED_VALUE"""),46268.0)</f>
        <v>46268</v>
      </c>
      <c r="B80" s="216">
        <f>IFERROR(__xludf.DUMMYFUNCTION("""COMPUTED_VALUE"""),2.0)</f>
        <v>2</v>
      </c>
      <c r="C80" s="216" t="str">
        <f t="shared" si="1"/>
        <v>INV-20260903-2</v>
      </c>
      <c r="D80" s="217" t="s">
        <v>81</v>
      </c>
      <c r="E80" s="218">
        <f>IFERROR(__xludf.DUMMYFUNCTION("""COMPUTED_VALUE"""),3998.0)</f>
        <v>3998</v>
      </c>
      <c r="F80" s="219">
        <f>IFERROR(__xludf.DUMMYFUNCTION("""COMPUTED_VALUE"""),17572.0)</f>
        <v>17572</v>
      </c>
      <c r="G80" s="219">
        <f>IFERROR(__xludf.DUMMYFUNCTION("""COMPUTED_VALUE"""),7.0252856E7)</f>
        <v>70252856</v>
      </c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</row>
    <row r="81">
      <c r="A81" s="215">
        <f>IFERROR(__xludf.DUMMYFUNCTION("""COMPUTED_VALUE"""),46268.0)</f>
        <v>46268</v>
      </c>
      <c r="B81" s="216">
        <f>IFERROR(__xludf.DUMMYFUNCTION("""COMPUTED_VALUE"""),2.0)</f>
        <v>2</v>
      </c>
      <c r="C81" s="216" t="str">
        <f t="shared" si="1"/>
        <v>INV-20260903-2</v>
      </c>
      <c r="D81" s="217" t="s">
        <v>81</v>
      </c>
      <c r="E81" s="218">
        <f>IFERROR(__xludf.DUMMYFUNCTION("""COMPUTED_VALUE"""),2720.9)</f>
        <v>2720.9</v>
      </c>
      <c r="F81" s="219">
        <f>IFERROR(__xludf.DUMMYFUNCTION("""COMPUTED_VALUE"""),17572.0)</f>
        <v>17572</v>
      </c>
      <c r="G81" s="219">
        <f>IFERROR(__xludf.DUMMYFUNCTION("""COMPUTED_VALUE"""),4.7811654800000004E7)</f>
        <v>47811654.8</v>
      </c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</row>
    <row r="82">
      <c r="A82" s="215">
        <f>IFERROR(__xludf.DUMMYFUNCTION("""COMPUTED_VALUE"""),46268.0)</f>
        <v>46268</v>
      </c>
      <c r="B82" s="216">
        <f>IFERROR(__xludf.DUMMYFUNCTION("""COMPUTED_VALUE"""),2.0)</f>
        <v>2</v>
      </c>
      <c r="C82" s="216" t="str">
        <f t="shared" si="1"/>
        <v>INV-20260903-2</v>
      </c>
      <c r="D82" s="217" t="s">
        <v>81</v>
      </c>
      <c r="E82" s="218">
        <f>IFERROR(__xludf.DUMMYFUNCTION("""COMPUTED_VALUE"""),8874.87)</f>
        <v>8874.87</v>
      </c>
      <c r="F82" s="219">
        <f>IFERROR(__xludf.DUMMYFUNCTION("""COMPUTED_VALUE"""),17572.0)</f>
        <v>17572</v>
      </c>
      <c r="G82" s="219">
        <f>IFERROR(__xludf.DUMMYFUNCTION("""COMPUTED_VALUE"""),1.5594921564000002E8)</f>
        <v>155949215.6</v>
      </c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</row>
    <row r="83">
      <c r="A83" s="215">
        <f>IFERROR(__xludf.DUMMYFUNCTION("""COMPUTED_VALUE"""),46268.0)</f>
        <v>46268</v>
      </c>
      <c r="B83" s="216">
        <f>IFERROR(__xludf.DUMMYFUNCTION("""COMPUTED_VALUE"""),2.0)</f>
        <v>2</v>
      </c>
      <c r="C83" s="216" t="str">
        <f t="shared" si="1"/>
        <v>INV-20260903-2</v>
      </c>
      <c r="D83" s="217" t="s">
        <v>81</v>
      </c>
      <c r="E83" s="218">
        <f>IFERROR(__xludf.DUMMYFUNCTION("""COMPUTED_VALUE"""),4997.5)</f>
        <v>4997.5</v>
      </c>
      <c r="F83" s="219">
        <f>IFERROR(__xludf.DUMMYFUNCTION("""COMPUTED_VALUE"""),17572.0)</f>
        <v>17572</v>
      </c>
      <c r="G83" s="219">
        <f>IFERROR(__xludf.DUMMYFUNCTION("""COMPUTED_VALUE"""),8.781607E7)</f>
        <v>87816070</v>
      </c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</row>
    <row r="84">
      <c r="A84" s="215">
        <f>IFERROR(__xludf.DUMMYFUNCTION("""COMPUTED_VALUE"""),46268.0)</f>
        <v>46268</v>
      </c>
      <c r="B84" s="216">
        <f>IFERROR(__xludf.DUMMYFUNCTION("""COMPUTED_VALUE"""),2.0)</f>
        <v>2</v>
      </c>
      <c r="C84" s="216" t="str">
        <f t="shared" si="1"/>
        <v>INV-20260903-2</v>
      </c>
      <c r="D84" s="217" t="s">
        <v>81</v>
      </c>
      <c r="E84" s="218">
        <f>IFERROR(__xludf.DUMMYFUNCTION("""COMPUTED_VALUE"""),4997.5)</f>
        <v>4997.5</v>
      </c>
      <c r="F84" s="219">
        <f>IFERROR(__xludf.DUMMYFUNCTION("""COMPUTED_VALUE"""),17572.0)</f>
        <v>17572</v>
      </c>
      <c r="G84" s="219">
        <f>IFERROR(__xludf.DUMMYFUNCTION("""COMPUTED_VALUE"""),8.781607E7)</f>
        <v>87816070</v>
      </c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</row>
    <row r="85">
      <c r="A85" s="215">
        <f>IFERROR(__xludf.DUMMYFUNCTION("""COMPUTED_VALUE"""),46268.0)</f>
        <v>46268</v>
      </c>
      <c r="B85" s="216">
        <f>IFERROR(__xludf.DUMMYFUNCTION("""COMPUTED_VALUE"""),2.0)</f>
        <v>2</v>
      </c>
      <c r="C85" s="216" t="str">
        <f t="shared" si="1"/>
        <v>INV-20260903-2</v>
      </c>
      <c r="D85" s="217" t="s">
        <v>81</v>
      </c>
      <c r="E85" s="218">
        <f>IFERROR(__xludf.DUMMYFUNCTION("""COMPUTED_VALUE"""),3998.0)</f>
        <v>3998</v>
      </c>
      <c r="F85" s="219">
        <f>IFERROR(__xludf.DUMMYFUNCTION("""COMPUTED_VALUE"""),17575.0)</f>
        <v>17575</v>
      </c>
      <c r="G85" s="219">
        <f>IFERROR(__xludf.DUMMYFUNCTION("""COMPUTED_VALUE"""),7.026485E7)</f>
        <v>70264850</v>
      </c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</row>
    <row r="86">
      <c r="A86" s="215">
        <f>IFERROR(__xludf.DUMMYFUNCTION("""COMPUTED_VALUE"""),46268.0)</f>
        <v>46268</v>
      </c>
      <c r="B86" s="216">
        <f>IFERROR(__xludf.DUMMYFUNCTION("""COMPUTED_VALUE"""),2.0)</f>
        <v>2</v>
      </c>
      <c r="C86" s="216" t="str">
        <f t="shared" si="1"/>
        <v>INV-20260903-2</v>
      </c>
      <c r="D86" s="217" t="s">
        <v>81</v>
      </c>
      <c r="E86" s="218">
        <f>IFERROR(__xludf.DUMMYFUNCTION("""COMPUTED_VALUE"""),1694.47)</f>
        <v>1694.47</v>
      </c>
      <c r="F86" s="219">
        <f>IFERROR(__xludf.DUMMYFUNCTION("""COMPUTED_VALUE"""),17575.0)</f>
        <v>17575</v>
      </c>
      <c r="G86" s="219">
        <f>IFERROR(__xludf.DUMMYFUNCTION("""COMPUTED_VALUE"""),2.978031025E7)</f>
        <v>29780310.25</v>
      </c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</row>
    <row r="87">
      <c r="A87" s="215">
        <f>IFERROR(__xludf.DUMMYFUNCTION("""COMPUTED_VALUE"""),46268.0)</f>
        <v>46268</v>
      </c>
      <c r="B87" s="216">
        <f>IFERROR(__xludf.DUMMYFUNCTION("""COMPUTED_VALUE"""),2.0)</f>
        <v>2</v>
      </c>
      <c r="C87" s="216" t="str">
        <f t="shared" si="1"/>
        <v>INV-20260903-2</v>
      </c>
      <c r="D87" s="217" t="s">
        <v>81</v>
      </c>
      <c r="E87" s="218">
        <f>IFERROR(__xludf.DUMMYFUNCTION("""COMPUTED_VALUE"""),1999.0)</f>
        <v>1999</v>
      </c>
      <c r="F87" s="219">
        <f>IFERROR(__xludf.DUMMYFUNCTION("""COMPUTED_VALUE"""),17575.0)</f>
        <v>17575</v>
      </c>
      <c r="G87" s="219">
        <f>IFERROR(__xludf.DUMMYFUNCTION("""COMPUTED_VALUE"""),3.5132425E7)</f>
        <v>35132425</v>
      </c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</row>
    <row r="88">
      <c r="A88" s="215">
        <f>IFERROR(__xludf.DUMMYFUNCTION("""COMPUTED_VALUE"""),46269.0)</f>
        <v>46269</v>
      </c>
      <c r="B88" s="216">
        <f>IFERROR(__xludf.DUMMYFUNCTION("""COMPUTED_VALUE"""),1.0)</f>
        <v>1</v>
      </c>
      <c r="C88" s="216" t="str">
        <f t="shared" si="1"/>
        <v>INV-20260904-1</v>
      </c>
      <c r="D88" s="217" t="s">
        <v>81</v>
      </c>
      <c r="E88" s="218">
        <f>IFERROR(__xludf.DUMMYFUNCTION("""COMPUTED_VALUE"""),263858.85)</f>
        <v>263858.85</v>
      </c>
      <c r="F88" s="219">
        <f>IFERROR(__xludf.DUMMYFUNCTION("""COMPUTED_VALUE"""),17570.0)</f>
        <v>17570</v>
      </c>
      <c r="G88" s="219">
        <f>IFERROR(__xludf.DUMMYFUNCTION("""COMPUTED_VALUE"""),4.6359999945E9)</f>
        <v>4635999995</v>
      </c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</row>
    <row r="89">
      <c r="A89" s="215">
        <f>IFERROR(__xludf.DUMMYFUNCTION("""COMPUTED_VALUE"""),46269.0)</f>
        <v>46269</v>
      </c>
      <c r="B89" s="216">
        <f>IFERROR(__xludf.DUMMYFUNCTION("""COMPUTED_VALUE"""),2.0)</f>
        <v>2</v>
      </c>
      <c r="C89" s="216" t="str">
        <f t="shared" si="1"/>
        <v>INV-20260904-2</v>
      </c>
      <c r="D89" s="217" t="s">
        <v>81</v>
      </c>
      <c r="E89" s="218">
        <f>IFERROR(__xludf.DUMMYFUNCTION("""COMPUTED_VALUE"""),130904.95)</f>
        <v>130904.95</v>
      </c>
      <c r="F89" s="219">
        <f>IFERROR(__xludf.DUMMYFUNCTION("""COMPUTED_VALUE"""),17570.0)</f>
        <v>17570</v>
      </c>
      <c r="G89" s="219">
        <f>IFERROR(__xludf.DUMMYFUNCTION("""COMPUTED_VALUE"""),2.2999999715E9)</f>
        <v>2299999972</v>
      </c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</row>
    <row r="90">
      <c r="A90" s="215">
        <f>IFERROR(__xludf.DUMMYFUNCTION("""COMPUTED_VALUE"""),46269.0)</f>
        <v>46269</v>
      </c>
      <c r="B90" s="216">
        <f>IFERROR(__xludf.DUMMYFUNCTION("""COMPUTED_VALUE"""),3.0)</f>
        <v>3</v>
      </c>
      <c r="C90" s="216" t="str">
        <f t="shared" si="1"/>
        <v>INV-20260904-3</v>
      </c>
      <c r="D90" s="217" t="s">
        <v>81</v>
      </c>
      <c r="E90" s="218">
        <f>IFERROR(__xludf.DUMMYFUNCTION("""COMPUTED_VALUE"""),92655.84)</f>
        <v>92655.84</v>
      </c>
      <c r="F90" s="219">
        <f>IFERROR(__xludf.DUMMYFUNCTION("""COMPUTED_VALUE"""),17565.0)</f>
        <v>17565</v>
      </c>
      <c r="G90" s="219">
        <f>IFERROR(__xludf.DUMMYFUNCTION("""COMPUTED_VALUE"""),1.6274998296E9)</f>
        <v>1627499830</v>
      </c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</row>
    <row r="91">
      <c r="A91" s="215">
        <f>IFERROR(__xludf.DUMMYFUNCTION("""COMPUTED_VALUE"""),46269.0)</f>
        <v>46269</v>
      </c>
      <c r="B91" s="216">
        <f>IFERROR(__xludf.DUMMYFUNCTION("""COMPUTED_VALUE"""),4.0)</f>
        <v>4</v>
      </c>
      <c r="C91" s="216" t="str">
        <f t="shared" si="1"/>
        <v>INV-20260904-4</v>
      </c>
      <c r="D91" s="217" t="s">
        <v>81</v>
      </c>
      <c r="E91" s="218">
        <f>IFERROR(__xludf.DUMMYFUNCTION("""COMPUTED_VALUE"""),63570.83)</f>
        <v>63570.83</v>
      </c>
      <c r="F91" s="219">
        <f>IFERROR(__xludf.DUMMYFUNCTION("""COMPUTED_VALUE"""),17545.0)</f>
        <v>17545</v>
      </c>
      <c r="G91" s="219">
        <f>IFERROR(__xludf.DUMMYFUNCTION("""COMPUTED_VALUE"""),1.1153502123500001E9)</f>
        <v>1115350212</v>
      </c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</row>
    <row r="92">
      <c r="A92" s="215">
        <f>IFERROR(__xludf.DUMMYFUNCTION("""COMPUTED_VALUE"""),46269.0)</f>
        <v>46269</v>
      </c>
      <c r="B92" s="216">
        <f>IFERROR(__xludf.DUMMYFUNCTION("""COMPUTED_VALUE"""),4.0)</f>
        <v>4</v>
      </c>
      <c r="C92" s="216" t="str">
        <f t="shared" si="1"/>
        <v>INV-20260904-4</v>
      </c>
      <c r="D92" s="217" t="s">
        <v>81</v>
      </c>
      <c r="E92" s="218">
        <f>IFERROR(__xludf.DUMMYFUNCTION("""COMPUTED_VALUE"""),28498.14)</f>
        <v>28498.14</v>
      </c>
      <c r="F92" s="219">
        <f>IFERROR(__xludf.DUMMYFUNCTION("""COMPUTED_VALUE"""),17545.0)</f>
        <v>17545</v>
      </c>
      <c r="G92" s="219">
        <f>IFERROR(__xludf.DUMMYFUNCTION("""COMPUTED_VALUE"""),4.999998663E8)</f>
        <v>499999866.3</v>
      </c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</row>
    <row r="93">
      <c r="A93" s="215">
        <f>IFERROR(__xludf.DUMMYFUNCTION("""COMPUTED_VALUE"""),46269.0)</f>
        <v>46269</v>
      </c>
      <c r="B93" s="216">
        <f>IFERROR(__xludf.DUMMYFUNCTION("""COMPUTED_VALUE"""),4.0)</f>
        <v>4</v>
      </c>
      <c r="C93" s="216" t="str">
        <f t="shared" si="1"/>
        <v>INV-20260904-4</v>
      </c>
      <c r="D93" s="217" t="s">
        <v>81</v>
      </c>
      <c r="E93" s="218">
        <f>IFERROR(__xludf.DUMMYFUNCTION("""COMPUTED_VALUE"""),74095.18)</f>
        <v>74095.18</v>
      </c>
      <c r="F93" s="219">
        <f>IFERROR(__xludf.DUMMYFUNCTION("""COMPUTED_VALUE"""),17545.0)</f>
        <v>17545</v>
      </c>
      <c r="G93" s="219">
        <f>IFERROR(__xludf.DUMMYFUNCTION("""COMPUTED_VALUE"""),1.2999999331E9)</f>
        <v>1299999933</v>
      </c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</row>
    <row r="94">
      <c r="A94" s="215">
        <f>IFERROR(__xludf.DUMMYFUNCTION("""COMPUTED_VALUE"""),46269.0)</f>
        <v>46269</v>
      </c>
      <c r="B94" s="216">
        <f>IFERROR(__xludf.DUMMYFUNCTION("""COMPUTED_VALUE"""),5.0)</f>
        <v>5</v>
      </c>
      <c r="C94" s="216" t="str">
        <f t="shared" si="1"/>
        <v>INV-20260904-5</v>
      </c>
      <c r="D94" s="217" t="s">
        <v>81</v>
      </c>
      <c r="E94" s="218">
        <f>IFERROR(__xludf.DUMMYFUNCTION("""COMPUTED_VALUE"""),29985.0)</f>
        <v>29985</v>
      </c>
      <c r="F94" s="219">
        <f>IFERROR(__xludf.DUMMYFUNCTION("""COMPUTED_VALUE"""),17545.0)</f>
        <v>17545</v>
      </c>
      <c r="G94" s="219">
        <f>IFERROR(__xludf.DUMMYFUNCTION("""COMPUTED_VALUE"""),5.26086825E8)</f>
        <v>526086825</v>
      </c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</row>
    <row r="95">
      <c r="A95" s="215">
        <f>IFERROR(__xludf.DUMMYFUNCTION("""COMPUTED_VALUE"""),46269.0)</f>
        <v>46269</v>
      </c>
      <c r="B95" s="216">
        <f>IFERROR(__xludf.DUMMYFUNCTION("""COMPUTED_VALUE"""),5.0)</f>
        <v>5</v>
      </c>
      <c r="C95" s="216" t="str">
        <f t="shared" si="1"/>
        <v>INV-20260904-5</v>
      </c>
      <c r="D95" s="217" t="s">
        <v>81</v>
      </c>
      <c r="E95" s="218">
        <f>IFERROR(__xludf.DUMMYFUNCTION("""COMPUTED_VALUE"""),1499.25)</f>
        <v>1499.25</v>
      </c>
      <c r="F95" s="219">
        <f>IFERROR(__xludf.DUMMYFUNCTION("""COMPUTED_VALUE"""),17545.0)</f>
        <v>17545</v>
      </c>
      <c r="G95" s="219">
        <f>IFERROR(__xludf.DUMMYFUNCTION("""COMPUTED_VALUE"""),2.630434125E7)</f>
        <v>26304341.25</v>
      </c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</row>
    <row r="96">
      <c r="A96" s="215">
        <f>IFERROR(__xludf.DUMMYFUNCTION("""COMPUTED_VALUE"""),46269.0)</f>
        <v>46269</v>
      </c>
      <c r="B96" s="216">
        <f>IFERROR(__xludf.DUMMYFUNCTION("""COMPUTED_VALUE"""),5.0)</f>
        <v>5</v>
      </c>
      <c r="C96" s="216" t="str">
        <f t="shared" si="1"/>
        <v>INV-20260904-5</v>
      </c>
      <c r="D96" s="217" t="s">
        <v>81</v>
      </c>
      <c r="E96" s="218">
        <f>IFERROR(__xludf.DUMMYFUNCTION("""COMPUTED_VALUE"""),341.8)</f>
        <v>341.8</v>
      </c>
      <c r="F96" s="219">
        <f>IFERROR(__xludf.DUMMYFUNCTION("""COMPUTED_VALUE"""),17545.0)</f>
        <v>17545</v>
      </c>
      <c r="G96" s="219">
        <f>IFERROR(__xludf.DUMMYFUNCTION("""COMPUTED_VALUE"""),5996881.0)</f>
        <v>5996881</v>
      </c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</row>
    <row r="97">
      <c r="A97" s="215">
        <f>IFERROR(__xludf.DUMMYFUNCTION("""COMPUTED_VALUE"""),46269.0)</f>
        <v>46269</v>
      </c>
      <c r="B97" s="216">
        <f>IFERROR(__xludf.DUMMYFUNCTION("""COMPUTED_VALUE"""),5.0)</f>
        <v>5</v>
      </c>
      <c r="C97" s="216" t="str">
        <f t="shared" si="1"/>
        <v>INV-20260904-5</v>
      </c>
      <c r="D97" s="217" t="s">
        <v>81</v>
      </c>
      <c r="E97" s="218">
        <f>IFERROR(__xludf.DUMMYFUNCTION("""COMPUTED_VALUE"""),3998.0)</f>
        <v>3998</v>
      </c>
      <c r="F97" s="219">
        <f>IFERROR(__xludf.DUMMYFUNCTION("""COMPUTED_VALUE"""),17540.0)</f>
        <v>17540</v>
      </c>
      <c r="G97" s="219">
        <f>IFERROR(__xludf.DUMMYFUNCTION("""COMPUTED_VALUE"""),7.012492E7)</f>
        <v>70124920</v>
      </c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</row>
    <row r="98">
      <c r="A98" s="215">
        <f>IFERROR(__xludf.DUMMYFUNCTION("""COMPUTED_VALUE"""),46269.0)</f>
        <v>46269</v>
      </c>
      <c r="B98" s="216">
        <f>IFERROR(__xludf.DUMMYFUNCTION("""COMPUTED_VALUE"""),5.0)</f>
        <v>5</v>
      </c>
      <c r="C98" s="216" t="str">
        <f t="shared" si="1"/>
        <v>INV-20260904-5</v>
      </c>
      <c r="D98" s="217" t="s">
        <v>81</v>
      </c>
      <c r="E98" s="218">
        <f>IFERROR(__xludf.DUMMYFUNCTION("""COMPUTED_VALUE"""),5696.13)</f>
        <v>5696.13</v>
      </c>
      <c r="F98" s="219">
        <f>IFERROR(__xludf.DUMMYFUNCTION("""COMPUTED_VALUE"""),17547.0)</f>
        <v>17547</v>
      </c>
      <c r="G98" s="219">
        <f>IFERROR(__xludf.DUMMYFUNCTION("""COMPUTED_VALUE"""),9.994999311E7)</f>
        <v>99949993.11</v>
      </c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</row>
    <row r="99">
      <c r="A99" s="215">
        <f>IFERROR(__xludf.DUMMYFUNCTION("""COMPUTED_VALUE"""),46269.0)</f>
        <v>46269</v>
      </c>
      <c r="B99" s="216">
        <f>IFERROR(__xludf.DUMMYFUNCTION("""COMPUTED_VALUE"""),5.0)</f>
        <v>5</v>
      </c>
      <c r="C99" s="216" t="str">
        <f t="shared" si="1"/>
        <v>INV-20260904-5</v>
      </c>
      <c r="D99" s="217" t="s">
        <v>81</v>
      </c>
      <c r="E99" s="218">
        <f>IFERROR(__xludf.DUMMYFUNCTION("""COMPUTED_VALUE"""),8295.85)</f>
        <v>8295.85</v>
      </c>
      <c r="F99" s="219">
        <f>IFERROR(__xludf.DUMMYFUNCTION("""COMPUTED_VALUE"""),17545.0)</f>
        <v>17545</v>
      </c>
      <c r="G99" s="219">
        <f>IFERROR(__xludf.DUMMYFUNCTION("""COMPUTED_VALUE"""),1.4555068825E8)</f>
        <v>145550688.3</v>
      </c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  <c r="AA99" s="220"/>
      <c r="AB99" s="220"/>
    </row>
    <row r="100">
      <c r="A100" s="215">
        <f>IFERROR(__xludf.DUMMYFUNCTION("""COMPUTED_VALUE"""),46269.0)</f>
        <v>46269</v>
      </c>
      <c r="B100" s="216">
        <f>IFERROR(__xludf.DUMMYFUNCTION("""COMPUTED_VALUE"""),5.0)</f>
        <v>5</v>
      </c>
      <c r="C100" s="216" t="str">
        <f t="shared" si="1"/>
        <v>INV-20260904-5</v>
      </c>
      <c r="D100" s="217" t="s">
        <v>81</v>
      </c>
      <c r="E100" s="218">
        <f>IFERROR(__xludf.DUMMYFUNCTION("""COMPUTED_VALUE"""),12993.5)</f>
        <v>12993.5</v>
      </c>
      <c r="F100" s="219">
        <f>IFERROR(__xludf.DUMMYFUNCTION("""COMPUTED_VALUE"""),17550.0)</f>
        <v>17550</v>
      </c>
      <c r="G100" s="219">
        <f>IFERROR(__xludf.DUMMYFUNCTION("""COMPUTED_VALUE"""),2.28035925E8)</f>
        <v>228035925</v>
      </c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</row>
    <row r="101">
      <c r="A101" s="215">
        <f>IFERROR(__xludf.DUMMYFUNCTION("""COMPUTED_VALUE"""),46269.0)</f>
        <v>46269</v>
      </c>
      <c r="B101" s="216">
        <f>IFERROR(__xludf.DUMMYFUNCTION("""COMPUTED_VALUE"""),5.0)</f>
        <v>5</v>
      </c>
      <c r="C101" s="216" t="str">
        <f t="shared" si="1"/>
        <v>INV-20260904-5</v>
      </c>
      <c r="D101" s="217" t="s">
        <v>81</v>
      </c>
      <c r="E101" s="218">
        <f>IFERROR(__xludf.DUMMYFUNCTION("""COMPUTED_VALUE"""),2998.5)</f>
        <v>2998.5</v>
      </c>
      <c r="F101" s="219">
        <f>IFERROR(__xludf.DUMMYFUNCTION("""COMPUTED_VALUE"""),17550.0)</f>
        <v>17550</v>
      </c>
      <c r="G101" s="219">
        <f>IFERROR(__xludf.DUMMYFUNCTION("""COMPUTED_VALUE"""),5.2623675E7)</f>
        <v>52623675</v>
      </c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</row>
    <row r="102">
      <c r="A102" s="215">
        <f>IFERROR(__xludf.DUMMYFUNCTION("""COMPUTED_VALUE"""),46270.0)</f>
        <v>46270</v>
      </c>
      <c r="B102" s="216">
        <f>IFERROR(__xludf.DUMMYFUNCTION("""COMPUTED_VALUE"""),1.0)</f>
        <v>1</v>
      </c>
      <c r="C102" s="216" t="str">
        <f t="shared" si="1"/>
        <v>INV-20260905-1</v>
      </c>
      <c r="D102" s="217" t="s">
        <v>81</v>
      </c>
      <c r="E102" s="218">
        <f>IFERROR(__xludf.DUMMYFUNCTION("""COMPUTED_VALUE"""),85470.08)</f>
        <v>85470.08</v>
      </c>
      <c r="F102" s="219">
        <f>IFERROR(__xludf.DUMMYFUNCTION("""COMPUTED_VALUE"""),17550.0)</f>
        <v>17550</v>
      </c>
      <c r="G102" s="219">
        <f>IFERROR(__xludf.DUMMYFUNCTION("""COMPUTED_VALUE"""),1.499999904E9)</f>
        <v>1499999904</v>
      </c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</row>
    <row r="103">
      <c r="A103" s="215">
        <f>IFERROR(__xludf.DUMMYFUNCTION("""COMPUTED_VALUE"""),46272.0)</f>
        <v>46272</v>
      </c>
      <c r="B103" s="216">
        <f>IFERROR(__xludf.DUMMYFUNCTION("""COMPUTED_VALUE"""),1.0)</f>
        <v>1</v>
      </c>
      <c r="C103" s="216" t="str">
        <f t="shared" si="1"/>
        <v>INV-20260907-1</v>
      </c>
      <c r="D103" s="217" t="s">
        <v>81</v>
      </c>
      <c r="E103" s="218">
        <f>IFERROR(__xludf.DUMMYFUNCTION("""COMPUTED_VALUE"""),3347.66)</f>
        <v>3347.66</v>
      </c>
      <c r="F103" s="219">
        <f>IFERROR(__xludf.DUMMYFUNCTION("""COMPUTED_VALUE"""),17570.0)</f>
        <v>17570</v>
      </c>
      <c r="G103" s="219">
        <f>IFERROR(__xludf.DUMMYFUNCTION("""COMPUTED_VALUE"""),5.8818386199999996E7)</f>
        <v>58818386.2</v>
      </c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</row>
    <row r="104">
      <c r="A104" s="215">
        <f>IFERROR(__xludf.DUMMYFUNCTION("""COMPUTED_VALUE"""),46272.0)</f>
        <v>46272</v>
      </c>
      <c r="B104" s="216">
        <f>IFERROR(__xludf.DUMMYFUNCTION("""COMPUTED_VALUE"""),1.0)</f>
        <v>1</v>
      </c>
      <c r="C104" s="216" t="str">
        <f t="shared" si="1"/>
        <v>INV-20260907-1</v>
      </c>
      <c r="D104" s="217" t="s">
        <v>81</v>
      </c>
      <c r="E104" s="218">
        <f>IFERROR(__xludf.DUMMYFUNCTION("""COMPUTED_VALUE"""),1751.29)</f>
        <v>1751.29</v>
      </c>
      <c r="F104" s="219">
        <f>IFERROR(__xludf.DUMMYFUNCTION("""COMPUTED_VALUE"""),17570.0)</f>
        <v>17570</v>
      </c>
      <c r="G104" s="219">
        <f>IFERROR(__xludf.DUMMYFUNCTION("""COMPUTED_VALUE"""),3.07701653E7)</f>
        <v>30770165.3</v>
      </c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</row>
    <row r="105">
      <c r="A105" s="215">
        <f>IFERROR(__xludf.DUMMYFUNCTION("""COMPUTED_VALUE"""),46272.0)</f>
        <v>46272</v>
      </c>
      <c r="B105" s="216">
        <f>IFERROR(__xludf.DUMMYFUNCTION("""COMPUTED_VALUE"""),1.0)</f>
        <v>1</v>
      </c>
      <c r="C105" s="216" t="str">
        <f t="shared" si="1"/>
        <v>INV-20260907-1</v>
      </c>
      <c r="D105" s="217" t="s">
        <v>81</v>
      </c>
      <c r="E105" s="218">
        <f>IFERROR(__xludf.DUMMYFUNCTION("""COMPUTED_VALUE"""),1984.61)</f>
        <v>1984.61</v>
      </c>
      <c r="F105" s="219">
        <f>IFERROR(__xludf.DUMMYFUNCTION("""COMPUTED_VALUE"""),17570.0)</f>
        <v>17570</v>
      </c>
      <c r="G105" s="219">
        <f>IFERROR(__xludf.DUMMYFUNCTION("""COMPUTED_VALUE"""),3.4869597699999996E7)</f>
        <v>34869597.7</v>
      </c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</row>
    <row r="106">
      <c r="A106" s="215">
        <f>IFERROR(__xludf.DUMMYFUNCTION("""COMPUTED_VALUE"""),46272.0)</f>
        <v>46272</v>
      </c>
      <c r="B106" s="216">
        <f>IFERROR(__xludf.DUMMYFUNCTION("""COMPUTED_VALUE"""),1.0)</f>
        <v>1</v>
      </c>
      <c r="C106" s="216" t="str">
        <f t="shared" si="1"/>
        <v>INV-20260907-1</v>
      </c>
      <c r="D106" s="217" t="s">
        <v>81</v>
      </c>
      <c r="E106" s="218">
        <f>IFERROR(__xludf.DUMMYFUNCTION("""COMPUTED_VALUE"""),13954.88)</f>
        <v>13954.88</v>
      </c>
      <c r="F106" s="219">
        <f>IFERROR(__xludf.DUMMYFUNCTION("""COMPUTED_VALUE"""),17557.0)</f>
        <v>17557</v>
      </c>
      <c r="G106" s="219">
        <f>IFERROR(__xludf.DUMMYFUNCTION("""COMPUTED_VALUE"""),2.4500582816E8)</f>
        <v>245005828.2</v>
      </c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</row>
    <row r="107">
      <c r="A107" s="215">
        <f>IFERROR(__xludf.DUMMYFUNCTION("""COMPUTED_VALUE"""),46272.0)</f>
        <v>46272</v>
      </c>
      <c r="B107" s="216">
        <f>IFERROR(__xludf.DUMMYFUNCTION("""COMPUTED_VALUE"""),1.0)</f>
        <v>1</v>
      </c>
      <c r="C107" s="216" t="str">
        <f t="shared" si="1"/>
        <v>INV-20260907-1</v>
      </c>
      <c r="D107" s="217" t="s">
        <v>81</v>
      </c>
      <c r="E107" s="218">
        <f>IFERROR(__xludf.DUMMYFUNCTION("""COMPUTED_VALUE"""),5587.21)</f>
        <v>5587.21</v>
      </c>
      <c r="F107" s="219">
        <f>IFERROR(__xludf.DUMMYFUNCTION("""COMPUTED_VALUE"""),17565.0)</f>
        <v>17565</v>
      </c>
      <c r="G107" s="219">
        <f>IFERROR(__xludf.DUMMYFUNCTION("""COMPUTED_VALUE"""),9.813934365E7)</f>
        <v>98139343.65</v>
      </c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  <c r="AA107" s="220"/>
      <c r="AB107" s="220"/>
    </row>
    <row r="108">
      <c r="A108" s="215">
        <f>IFERROR(__xludf.DUMMYFUNCTION("""COMPUTED_VALUE"""),46272.0)</f>
        <v>46272</v>
      </c>
      <c r="B108" s="216">
        <f>IFERROR(__xludf.DUMMYFUNCTION("""COMPUTED_VALUE"""),1.0)</f>
        <v>1</v>
      </c>
      <c r="C108" s="216" t="str">
        <f t="shared" si="1"/>
        <v>INV-20260907-1</v>
      </c>
      <c r="D108" s="217" t="s">
        <v>81</v>
      </c>
      <c r="E108" s="218">
        <f>IFERROR(__xludf.DUMMYFUNCTION("""COMPUTED_VALUE"""),2798.6)</f>
        <v>2798.6</v>
      </c>
      <c r="F108" s="219">
        <f>IFERROR(__xludf.DUMMYFUNCTION("""COMPUTED_VALUE"""),17565.0)</f>
        <v>17565</v>
      </c>
      <c r="G108" s="219">
        <f>IFERROR(__xludf.DUMMYFUNCTION("""COMPUTED_VALUE"""),4.9157409E7)</f>
        <v>49157409</v>
      </c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</row>
    <row r="109">
      <c r="A109" s="215">
        <f>IFERROR(__xludf.DUMMYFUNCTION("""COMPUTED_VALUE"""),46272.0)</f>
        <v>46272</v>
      </c>
      <c r="B109" s="216">
        <f>IFERROR(__xludf.DUMMYFUNCTION("""COMPUTED_VALUE"""),1.0)</f>
        <v>1</v>
      </c>
      <c r="C109" s="216" t="str">
        <f t="shared" si="1"/>
        <v>INV-20260907-1</v>
      </c>
      <c r="D109" s="217" t="s">
        <v>81</v>
      </c>
      <c r="E109" s="218">
        <f>IFERROR(__xludf.DUMMYFUNCTION("""COMPUTED_VALUE"""),1479.2)</f>
        <v>1479.2</v>
      </c>
      <c r="F109" s="219">
        <f>IFERROR(__xludf.DUMMYFUNCTION("""COMPUTED_VALUE"""),17565.0)</f>
        <v>17565</v>
      </c>
      <c r="G109" s="219">
        <f>IFERROR(__xludf.DUMMYFUNCTION("""COMPUTED_VALUE"""),2.5982148E7)</f>
        <v>25982148</v>
      </c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</row>
    <row r="110">
      <c r="A110" s="215">
        <f>IFERROR(__xludf.DUMMYFUNCTION("""COMPUTED_VALUE"""),46272.0)</f>
        <v>46272</v>
      </c>
      <c r="B110" s="216">
        <f>IFERROR(__xludf.DUMMYFUNCTION("""COMPUTED_VALUE"""),1.0)</f>
        <v>1</v>
      </c>
      <c r="C110" s="216" t="str">
        <f t="shared" si="1"/>
        <v>INV-20260907-1</v>
      </c>
      <c r="D110" s="217" t="s">
        <v>81</v>
      </c>
      <c r="E110" s="218">
        <f>IFERROR(__xludf.DUMMYFUNCTION("""COMPUTED_VALUE"""),49975.0)</f>
        <v>49975</v>
      </c>
      <c r="F110" s="219">
        <f>IFERROR(__xludf.DUMMYFUNCTION("""COMPUTED_VALUE"""),17560.0)</f>
        <v>17560</v>
      </c>
      <c r="G110" s="219">
        <f>IFERROR(__xludf.DUMMYFUNCTION("""COMPUTED_VALUE"""),8.77561E8)</f>
        <v>877561000</v>
      </c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</row>
    <row r="111">
      <c r="A111" s="215">
        <f>IFERROR(__xludf.DUMMYFUNCTION("""COMPUTED_VALUE"""),46272.0)</f>
        <v>46272</v>
      </c>
      <c r="B111" s="216">
        <f>IFERROR(__xludf.DUMMYFUNCTION("""COMPUTED_VALUE"""),1.0)</f>
        <v>1</v>
      </c>
      <c r="C111" s="216" t="str">
        <f t="shared" si="1"/>
        <v>INV-20260907-1</v>
      </c>
      <c r="D111" s="217" t="s">
        <v>81</v>
      </c>
      <c r="E111" s="218">
        <f>IFERROR(__xludf.DUMMYFUNCTION("""COMPUTED_VALUE"""),6139.53)</f>
        <v>6139.53</v>
      </c>
      <c r="F111" s="219">
        <f>IFERROR(__xludf.DUMMYFUNCTION("""COMPUTED_VALUE"""),17560.0)</f>
        <v>17560</v>
      </c>
      <c r="G111" s="219">
        <f>IFERROR(__xludf.DUMMYFUNCTION("""COMPUTED_VALUE"""),1.078101468E8)</f>
        <v>107810146.8</v>
      </c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</row>
    <row r="112">
      <c r="A112" s="215">
        <f>IFERROR(__xludf.DUMMYFUNCTION("""COMPUTED_VALUE"""),46272.0)</f>
        <v>46272</v>
      </c>
      <c r="B112" s="216">
        <f>IFERROR(__xludf.DUMMYFUNCTION("""COMPUTED_VALUE"""),1.0)</f>
        <v>1</v>
      </c>
      <c r="C112" s="216" t="str">
        <f t="shared" si="1"/>
        <v>INV-20260907-1</v>
      </c>
      <c r="D112" s="217" t="s">
        <v>81</v>
      </c>
      <c r="E112" s="218">
        <f>IFERROR(__xludf.DUMMYFUNCTION("""COMPUTED_VALUE"""),26208.89)</f>
        <v>26208.89</v>
      </c>
      <c r="F112" s="219">
        <f>IFERROR(__xludf.DUMMYFUNCTION("""COMPUTED_VALUE"""),17555.0)</f>
        <v>17555</v>
      </c>
      <c r="G112" s="219">
        <f>IFERROR(__xludf.DUMMYFUNCTION("""COMPUTED_VALUE"""),4.6009706395E8)</f>
        <v>460097064</v>
      </c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</row>
    <row r="113">
      <c r="A113" s="215">
        <f>IFERROR(__xludf.DUMMYFUNCTION("""COMPUTED_VALUE"""),46273.0)</f>
        <v>46273</v>
      </c>
      <c r="B113" s="216">
        <f>IFERROR(__xludf.DUMMYFUNCTION("""COMPUTED_VALUE"""),1.0)</f>
        <v>1</v>
      </c>
      <c r="C113" s="216" t="str">
        <f t="shared" si="1"/>
        <v>INV-20260908-1</v>
      </c>
      <c r="D113" s="217" t="s">
        <v>81</v>
      </c>
      <c r="E113" s="218">
        <f>IFERROR(__xludf.DUMMYFUNCTION("""COMPUTED_VALUE"""),65988.83)</f>
        <v>65988.83</v>
      </c>
      <c r="F113" s="219">
        <f>IFERROR(__xludf.DUMMYFUNCTION("""COMPUTED_VALUE"""),17556.0)</f>
        <v>17556</v>
      </c>
      <c r="G113" s="219">
        <f>IFERROR(__xludf.DUMMYFUNCTION("""COMPUTED_VALUE"""),1.15849989948E9)</f>
        <v>1158499899</v>
      </c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</row>
    <row r="114">
      <c r="A114" s="215">
        <f>IFERROR(__xludf.DUMMYFUNCTION("""COMPUTED_VALUE"""),46273.0)</f>
        <v>46273</v>
      </c>
      <c r="B114" s="216">
        <f>IFERROR(__xludf.DUMMYFUNCTION("""COMPUTED_VALUE"""),2.0)</f>
        <v>2</v>
      </c>
      <c r="C114" s="216" t="str">
        <f t="shared" si="1"/>
        <v>INV-20260908-2</v>
      </c>
      <c r="D114" s="217" t="s">
        <v>81</v>
      </c>
      <c r="E114" s="218">
        <f>IFERROR(__xludf.DUMMYFUNCTION("""COMPUTED_VALUE"""),113921.16)</f>
        <v>113921.16</v>
      </c>
      <c r="F114" s="219">
        <f>IFERROR(__xludf.DUMMYFUNCTION("""COMPUTED_VALUE"""),17556.0)</f>
        <v>17556</v>
      </c>
      <c r="G114" s="219">
        <f>IFERROR(__xludf.DUMMYFUNCTION("""COMPUTED_VALUE"""),1.99999988496E9)</f>
        <v>1999999885</v>
      </c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</row>
    <row r="115">
      <c r="A115" s="215">
        <f>IFERROR(__xludf.DUMMYFUNCTION("""COMPUTED_VALUE"""),46273.0)</f>
        <v>46273</v>
      </c>
      <c r="B115" s="216">
        <f>IFERROR(__xludf.DUMMYFUNCTION("""COMPUTED_VALUE"""),3.0)</f>
        <v>3</v>
      </c>
      <c r="C115" s="216" t="str">
        <f t="shared" si="1"/>
        <v>INV-20260908-3</v>
      </c>
      <c r="D115" s="217" t="s">
        <v>81</v>
      </c>
      <c r="E115" s="218">
        <f>IFERROR(__xludf.DUMMYFUNCTION("""COMPUTED_VALUE"""),28480.29)</f>
        <v>28480.29</v>
      </c>
      <c r="F115" s="219">
        <f>IFERROR(__xludf.DUMMYFUNCTION("""COMPUTED_VALUE"""),17556.0)</f>
        <v>17556</v>
      </c>
      <c r="G115" s="219">
        <f>IFERROR(__xludf.DUMMYFUNCTION("""COMPUTED_VALUE"""),4.9999997124E8)</f>
        <v>499999971.2</v>
      </c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  <c r="AA115" s="220"/>
      <c r="AB115" s="220"/>
    </row>
    <row r="116">
      <c r="A116" s="215">
        <f>IFERROR(__xludf.DUMMYFUNCTION("""COMPUTED_VALUE"""),46273.0)</f>
        <v>46273</v>
      </c>
      <c r="B116" s="216">
        <f>IFERROR(__xludf.DUMMYFUNCTION("""COMPUTED_VALUE"""),4.0)</f>
        <v>4</v>
      </c>
      <c r="C116" s="216" t="str">
        <f t="shared" si="1"/>
        <v>INV-20260908-4</v>
      </c>
      <c r="D116" s="217" t="s">
        <v>81</v>
      </c>
      <c r="E116" s="218">
        <f>IFERROR(__xludf.DUMMYFUNCTION("""COMPUTED_VALUE"""),131345.32)</f>
        <v>131345.32</v>
      </c>
      <c r="F116" s="219">
        <f>IFERROR(__xludf.DUMMYFUNCTION("""COMPUTED_VALUE"""),17557.0)</f>
        <v>17557</v>
      </c>
      <c r="G116" s="219">
        <f>IFERROR(__xludf.DUMMYFUNCTION("""COMPUTED_VALUE"""),2.3060297832400002E9)</f>
        <v>2306029783</v>
      </c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</row>
    <row r="117">
      <c r="A117" s="215">
        <f>IFERROR(__xludf.DUMMYFUNCTION("""COMPUTED_VALUE"""),46273.0)</f>
        <v>46273</v>
      </c>
      <c r="B117" s="216">
        <f>IFERROR(__xludf.DUMMYFUNCTION("""COMPUTED_VALUE"""),5.0)</f>
        <v>5</v>
      </c>
      <c r="C117" s="216" t="str">
        <f t="shared" si="1"/>
        <v>INV-20260908-5</v>
      </c>
      <c r="D117" s="217" t="s">
        <v>81</v>
      </c>
      <c r="E117" s="218">
        <f>IFERROR(__xludf.DUMMYFUNCTION("""COMPUTED_VALUE"""),4960.48)</f>
        <v>4960.48</v>
      </c>
      <c r="F117" s="219">
        <f>IFERROR(__xludf.DUMMYFUNCTION("""COMPUTED_VALUE"""),17530.0)</f>
        <v>17530</v>
      </c>
      <c r="G117" s="219">
        <f>IFERROR(__xludf.DUMMYFUNCTION("""COMPUTED_VALUE"""),8.695721439999999E7)</f>
        <v>86957214.4</v>
      </c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</row>
    <row r="118">
      <c r="A118" s="215">
        <f>IFERROR(__xludf.DUMMYFUNCTION("""COMPUTED_VALUE"""),46273.0)</f>
        <v>46273</v>
      </c>
      <c r="B118" s="216">
        <f>IFERROR(__xludf.DUMMYFUNCTION("""COMPUTED_VALUE"""),5.0)</f>
        <v>5</v>
      </c>
      <c r="C118" s="216" t="str">
        <f t="shared" si="1"/>
        <v>INV-20260908-5</v>
      </c>
      <c r="D118" s="217" t="s">
        <v>81</v>
      </c>
      <c r="E118" s="218">
        <f>IFERROR(__xludf.DUMMYFUNCTION("""COMPUTED_VALUE"""),2998.5)</f>
        <v>2998.5</v>
      </c>
      <c r="F118" s="219">
        <f>IFERROR(__xludf.DUMMYFUNCTION("""COMPUTED_VALUE"""),17532.0)</f>
        <v>17532</v>
      </c>
      <c r="G118" s="219">
        <f>IFERROR(__xludf.DUMMYFUNCTION("""COMPUTED_VALUE"""),5.2569702E7)</f>
        <v>52569702</v>
      </c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</row>
    <row r="119">
      <c r="A119" s="215">
        <f>IFERROR(__xludf.DUMMYFUNCTION("""COMPUTED_VALUE"""),46273.0)</f>
        <v>46273</v>
      </c>
      <c r="B119" s="216">
        <f>IFERROR(__xludf.DUMMYFUNCTION("""COMPUTED_VALUE"""),5.0)</f>
        <v>5</v>
      </c>
      <c r="C119" s="216" t="str">
        <f t="shared" si="1"/>
        <v>INV-20260908-5</v>
      </c>
      <c r="D119" s="217" t="s">
        <v>81</v>
      </c>
      <c r="E119" s="218">
        <f>IFERROR(__xludf.DUMMYFUNCTION("""COMPUTED_VALUE"""),1710.33)</f>
        <v>1710.33</v>
      </c>
      <c r="F119" s="219">
        <f>IFERROR(__xludf.DUMMYFUNCTION("""COMPUTED_VALUE"""),17532.0)</f>
        <v>17532</v>
      </c>
      <c r="G119" s="219">
        <f>IFERROR(__xludf.DUMMYFUNCTION("""COMPUTED_VALUE"""),2.998550556E7)</f>
        <v>29985505.56</v>
      </c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</row>
    <row r="120">
      <c r="A120" s="215">
        <f>IFERROR(__xludf.DUMMYFUNCTION("""COMPUTED_VALUE"""),46273.0)</f>
        <v>46273</v>
      </c>
      <c r="B120" s="216">
        <f>IFERROR(__xludf.DUMMYFUNCTION("""COMPUTED_VALUE"""),5.0)</f>
        <v>5</v>
      </c>
      <c r="C120" s="216" t="str">
        <f t="shared" si="1"/>
        <v>INV-20260908-5</v>
      </c>
      <c r="D120" s="217" t="s">
        <v>81</v>
      </c>
      <c r="E120" s="218">
        <f>IFERROR(__xludf.DUMMYFUNCTION("""COMPUTED_VALUE"""),2798.6)</f>
        <v>2798.6</v>
      </c>
      <c r="F120" s="219">
        <f>IFERROR(__xludf.DUMMYFUNCTION("""COMPUTED_VALUE"""),17540.0)</f>
        <v>17540</v>
      </c>
      <c r="G120" s="219">
        <f>IFERROR(__xludf.DUMMYFUNCTION("""COMPUTED_VALUE"""),4.9087444E7)</f>
        <v>49087444</v>
      </c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</row>
    <row r="121">
      <c r="A121" s="215">
        <f>IFERROR(__xludf.DUMMYFUNCTION("""COMPUTED_VALUE"""),46273.0)</f>
        <v>46273</v>
      </c>
      <c r="B121" s="216">
        <f>IFERROR(__xludf.DUMMYFUNCTION("""COMPUTED_VALUE"""),5.0)</f>
        <v>5</v>
      </c>
      <c r="C121" s="216" t="str">
        <f t="shared" si="1"/>
        <v>INV-20260908-5</v>
      </c>
      <c r="D121" s="217" t="s">
        <v>81</v>
      </c>
      <c r="E121" s="218">
        <f>IFERROR(__xludf.DUMMYFUNCTION("""COMPUTED_VALUE"""),2280.01)</f>
        <v>2280.01</v>
      </c>
      <c r="F121" s="219">
        <f>IFERROR(__xludf.DUMMYFUNCTION("""COMPUTED_VALUE"""),17535.0)</f>
        <v>17535</v>
      </c>
      <c r="G121" s="219">
        <f>IFERROR(__xludf.DUMMYFUNCTION("""COMPUTED_VALUE"""),3.997997535E7)</f>
        <v>39979975.35</v>
      </c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</row>
    <row r="122">
      <c r="A122" s="215">
        <f>IFERROR(__xludf.DUMMYFUNCTION("""COMPUTED_VALUE"""),46273.0)</f>
        <v>46273</v>
      </c>
      <c r="B122" s="216">
        <f>IFERROR(__xludf.DUMMYFUNCTION("""COMPUTED_VALUE"""),5.0)</f>
        <v>5</v>
      </c>
      <c r="C122" s="216" t="str">
        <f t="shared" si="1"/>
        <v>INV-20260908-5</v>
      </c>
      <c r="D122" s="217" t="s">
        <v>81</v>
      </c>
      <c r="E122" s="218">
        <f>IFERROR(__xludf.DUMMYFUNCTION("""COMPUTED_VALUE"""),1618.64)</f>
        <v>1618.64</v>
      </c>
      <c r="F122" s="219">
        <f>IFERROR(__xludf.DUMMYFUNCTION("""COMPUTED_VALUE"""),17530.0)</f>
        <v>17530</v>
      </c>
      <c r="G122" s="219">
        <f>IFERROR(__xludf.DUMMYFUNCTION("""COMPUTED_VALUE"""),2.8374759200000003E7)</f>
        <v>28374759.2</v>
      </c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  <c r="AA122" s="220"/>
      <c r="AB122" s="220"/>
    </row>
    <row r="123">
      <c r="A123" s="215">
        <f>IFERROR(__xludf.DUMMYFUNCTION("""COMPUTED_VALUE"""),46273.0)</f>
        <v>46273</v>
      </c>
      <c r="B123" s="216">
        <f>IFERROR(__xludf.DUMMYFUNCTION("""COMPUTED_VALUE"""),5.0)</f>
        <v>5</v>
      </c>
      <c r="C123" s="216" t="str">
        <f t="shared" si="1"/>
        <v>INV-20260908-5</v>
      </c>
      <c r="D123" s="217" t="s">
        <v>81</v>
      </c>
      <c r="E123" s="218">
        <f>IFERROR(__xludf.DUMMYFUNCTION("""COMPUTED_VALUE"""),2850.83)</f>
        <v>2850.83</v>
      </c>
      <c r="F123" s="219">
        <f>IFERROR(__xludf.DUMMYFUNCTION("""COMPUTED_VALUE"""),17530.0)</f>
        <v>17530</v>
      </c>
      <c r="G123" s="219">
        <f>IFERROR(__xludf.DUMMYFUNCTION("""COMPUTED_VALUE"""),4.99750499E7)</f>
        <v>49975049.9</v>
      </c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</row>
    <row r="124">
      <c r="A124" s="215">
        <f>IFERROR(__xludf.DUMMYFUNCTION("""COMPUTED_VALUE"""),46273.0)</f>
        <v>46273</v>
      </c>
      <c r="B124" s="216">
        <f>IFERROR(__xludf.DUMMYFUNCTION("""COMPUTED_VALUE"""),5.0)</f>
        <v>5</v>
      </c>
      <c r="C124" s="216" t="str">
        <f t="shared" si="1"/>
        <v>INV-20260908-5</v>
      </c>
      <c r="D124" s="217" t="s">
        <v>81</v>
      </c>
      <c r="E124" s="218">
        <f>IFERROR(__xludf.DUMMYFUNCTION("""COMPUTED_VALUE"""),2850.83)</f>
        <v>2850.83</v>
      </c>
      <c r="F124" s="219">
        <f>IFERROR(__xludf.DUMMYFUNCTION("""COMPUTED_VALUE"""),17530.0)</f>
        <v>17530</v>
      </c>
      <c r="G124" s="219">
        <f>IFERROR(__xludf.DUMMYFUNCTION("""COMPUTED_VALUE"""),4.99750499E7)</f>
        <v>49975049.9</v>
      </c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</row>
    <row r="125">
      <c r="A125" s="215">
        <f>IFERROR(__xludf.DUMMYFUNCTION("""COMPUTED_VALUE"""),46273.0)</f>
        <v>46273</v>
      </c>
      <c r="B125" s="216">
        <f>IFERROR(__xludf.DUMMYFUNCTION("""COMPUTED_VALUE"""),5.0)</f>
        <v>5</v>
      </c>
      <c r="C125" s="216" t="str">
        <f t="shared" si="1"/>
        <v>INV-20260908-5</v>
      </c>
      <c r="D125" s="217" t="s">
        <v>81</v>
      </c>
      <c r="E125" s="218">
        <f>IFERROR(__xludf.DUMMYFUNCTION("""COMPUTED_VALUE"""),4792.61)</f>
        <v>4792.61</v>
      </c>
      <c r="F125" s="219">
        <f>IFERROR(__xludf.DUMMYFUNCTION("""COMPUTED_VALUE"""),17545.0)</f>
        <v>17545</v>
      </c>
      <c r="G125" s="219">
        <f>IFERROR(__xludf.DUMMYFUNCTION("""COMPUTED_VALUE"""),8.408634244999999E7)</f>
        <v>84086342.45</v>
      </c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</row>
    <row r="126">
      <c r="A126" s="215">
        <f>IFERROR(__xludf.DUMMYFUNCTION("""COMPUTED_VALUE"""),46273.0)</f>
        <v>46273</v>
      </c>
      <c r="B126" s="216">
        <f>IFERROR(__xludf.DUMMYFUNCTION("""COMPUTED_VALUE"""),5.0)</f>
        <v>5</v>
      </c>
      <c r="C126" s="216" t="str">
        <f t="shared" si="1"/>
        <v>INV-20260908-5</v>
      </c>
      <c r="D126" s="217" t="s">
        <v>81</v>
      </c>
      <c r="E126" s="218">
        <f>IFERROR(__xludf.DUMMYFUNCTION("""COMPUTED_VALUE"""),9989.3)</f>
        <v>9989.3</v>
      </c>
      <c r="F126" s="219">
        <f>IFERROR(__xludf.DUMMYFUNCTION("""COMPUTED_VALUE"""),17540.0)</f>
        <v>17540</v>
      </c>
      <c r="G126" s="219">
        <f>IFERROR(__xludf.DUMMYFUNCTION("""COMPUTED_VALUE"""),1.75212322E8)</f>
        <v>175212322</v>
      </c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</row>
    <row r="127">
      <c r="A127" s="215">
        <f>IFERROR(__xludf.DUMMYFUNCTION("""COMPUTED_VALUE"""),46273.0)</f>
        <v>46273</v>
      </c>
      <c r="B127" s="216">
        <f>IFERROR(__xludf.DUMMYFUNCTION("""COMPUTED_VALUE"""),5.0)</f>
        <v>5</v>
      </c>
      <c r="C127" s="216" t="str">
        <f t="shared" si="1"/>
        <v>INV-20260908-5</v>
      </c>
      <c r="D127" s="217" t="s">
        <v>81</v>
      </c>
      <c r="E127" s="218">
        <f>IFERROR(__xludf.DUMMYFUNCTION("""COMPUTED_VALUE"""),20105.57)</f>
        <v>20105.57</v>
      </c>
      <c r="F127" s="219">
        <f>IFERROR(__xludf.DUMMYFUNCTION("""COMPUTED_VALUE"""),17540.0)</f>
        <v>17540</v>
      </c>
      <c r="G127" s="219">
        <f>IFERROR(__xludf.DUMMYFUNCTION("""COMPUTED_VALUE"""),3.526516978E8)</f>
        <v>352651697.8</v>
      </c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</row>
    <row r="128">
      <c r="A128" s="215">
        <f>IFERROR(__xludf.DUMMYFUNCTION("""COMPUTED_VALUE"""),46274.0)</f>
        <v>46274</v>
      </c>
      <c r="B128" s="216">
        <f>IFERROR(__xludf.DUMMYFUNCTION("""COMPUTED_VALUE"""),1.0)</f>
        <v>1</v>
      </c>
      <c r="C128" s="216" t="str">
        <f t="shared" si="1"/>
        <v>INV-20260909-1</v>
      </c>
      <c r="D128" s="217" t="s">
        <v>81</v>
      </c>
      <c r="E128" s="218">
        <f>IFERROR(__xludf.DUMMYFUNCTION("""COMPUTED_VALUE"""),1444.84)</f>
        <v>1444.84</v>
      </c>
      <c r="F128" s="219">
        <f>IFERROR(__xludf.DUMMYFUNCTION("""COMPUTED_VALUE"""),17434.0)</f>
        <v>17434</v>
      </c>
      <c r="G128" s="219">
        <f>IFERROR(__xludf.DUMMYFUNCTION("""COMPUTED_VALUE"""),2.518934056E7)</f>
        <v>25189340.56</v>
      </c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</row>
    <row r="129">
      <c r="A129" s="215">
        <f>IFERROR(__xludf.DUMMYFUNCTION("""COMPUTED_VALUE"""),46274.0)</f>
        <v>46274</v>
      </c>
      <c r="B129" s="216">
        <f>IFERROR(__xludf.DUMMYFUNCTION("""COMPUTED_VALUE"""),1.0)</f>
        <v>1</v>
      </c>
      <c r="C129" s="216" t="str">
        <f t="shared" si="1"/>
        <v>INV-20260909-1</v>
      </c>
      <c r="D129" s="217" t="s">
        <v>81</v>
      </c>
      <c r="E129" s="218">
        <f>IFERROR(__xludf.DUMMYFUNCTION("""COMPUTED_VALUE"""),4992.51)</f>
        <v>4992.51</v>
      </c>
      <c r="F129" s="219">
        <f>IFERROR(__xludf.DUMMYFUNCTION("""COMPUTED_VALUE"""),17448.0)</f>
        <v>17448</v>
      </c>
      <c r="G129" s="219">
        <f>IFERROR(__xludf.DUMMYFUNCTION("""COMPUTED_VALUE"""),8.710931448E7)</f>
        <v>87109314.48</v>
      </c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</row>
    <row r="130">
      <c r="A130" s="215">
        <f>IFERROR(__xludf.DUMMYFUNCTION("""COMPUTED_VALUE"""),46274.0)</f>
        <v>46274</v>
      </c>
      <c r="B130" s="216">
        <f>IFERROR(__xludf.DUMMYFUNCTION("""COMPUTED_VALUE"""),1.0)</f>
        <v>1</v>
      </c>
      <c r="C130" s="216" t="str">
        <f t="shared" si="1"/>
        <v>INV-20260909-1</v>
      </c>
      <c r="D130" s="217" t="s">
        <v>81</v>
      </c>
      <c r="E130" s="218">
        <f>IFERROR(__xludf.DUMMYFUNCTION("""COMPUTED_VALUE"""),4992.51)</f>
        <v>4992.51</v>
      </c>
      <c r="F130" s="219">
        <f>IFERROR(__xludf.DUMMYFUNCTION("""COMPUTED_VALUE"""),17450.0)</f>
        <v>17450</v>
      </c>
      <c r="G130" s="219">
        <f>IFERROR(__xludf.DUMMYFUNCTION("""COMPUTED_VALUE"""),8.71192995E7)</f>
        <v>87119299.5</v>
      </c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</row>
    <row r="131">
      <c r="A131" s="215">
        <f>IFERROR(__xludf.DUMMYFUNCTION("""COMPUTED_VALUE"""),46274.0)</f>
        <v>46274</v>
      </c>
      <c r="B131" s="216">
        <f>IFERROR(__xludf.DUMMYFUNCTION("""COMPUTED_VALUE"""),1.0)</f>
        <v>1</v>
      </c>
      <c r="C131" s="216" t="str">
        <f t="shared" si="1"/>
        <v>INV-20260909-1</v>
      </c>
      <c r="D131" s="217" t="s">
        <v>81</v>
      </c>
      <c r="E131" s="218">
        <f>IFERROR(__xludf.DUMMYFUNCTION("""COMPUTED_VALUE"""),37085.99)</f>
        <v>37085.99</v>
      </c>
      <c r="F131" s="219">
        <f>IFERROR(__xludf.DUMMYFUNCTION("""COMPUTED_VALUE"""),17450.0)</f>
        <v>17450</v>
      </c>
      <c r="G131" s="219">
        <f>IFERROR(__xludf.DUMMYFUNCTION("""COMPUTED_VALUE"""),6.471505255E8)</f>
        <v>647150525.5</v>
      </c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</row>
    <row r="132">
      <c r="A132" s="215">
        <f>IFERROR(__xludf.DUMMYFUNCTION("""COMPUTED_VALUE"""),46274.0)</f>
        <v>46274</v>
      </c>
      <c r="B132" s="216">
        <f>IFERROR(__xludf.DUMMYFUNCTION("""COMPUTED_VALUE"""),1.0)</f>
        <v>1</v>
      </c>
      <c r="C132" s="216" t="str">
        <f t="shared" si="1"/>
        <v>INV-20260909-1</v>
      </c>
      <c r="D132" s="217" t="s">
        <v>81</v>
      </c>
      <c r="E132" s="218">
        <f>IFERROR(__xludf.DUMMYFUNCTION("""COMPUTED_VALUE"""),5433.62)</f>
        <v>5433.62</v>
      </c>
      <c r="F132" s="219">
        <f>IFERROR(__xludf.DUMMYFUNCTION("""COMPUTED_VALUE"""),17475.0)</f>
        <v>17475</v>
      </c>
      <c r="G132" s="219">
        <f>IFERROR(__xludf.DUMMYFUNCTION("""COMPUTED_VALUE"""),9.49525095E7)</f>
        <v>94952509.5</v>
      </c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</row>
    <row r="133">
      <c r="A133" s="215">
        <f>IFERROR(__xludf.DUMMYFUNCTION("""COMPUTED_VALUE"""),46274.0)</f>
        <v>46274</v>
      </c>
      <c r="B133" s="216">
        <f>IFERROR(__xludf.DUMMYFUNCTION("""COMPUTED_VALUE"""),1.0)</f>
        <v>1</v>
      </c>
      <c r="C133" s="216" t="str">
        <f t="shared" si="1"/>
        <v>INV-20260909-1</v>
      </c>
      <c r="D133" s="217" t="s">
        <v>81</v>
      </c>
      <c r="E133" s="218">
        <f>IFERROR(__xludf.DUMMYFUNCTION("""COMPUTED_VALUE"""),1429.9)</f>
        <v>1429.9</v>
      </c>
      <c r="F133" s="219">
        <f>IFERROR(__xludf.DUMMYFUNCTION("""COMPUTED_VALUE"""),17475.0)</f>
        <v>17475</v>
      </c>
      <c r="G133" s="219">
        <f>IFERROR(__xludf.DUMMYFUNCTION("""COMPUTED_VALUE"""),2.49875025E7)</f>
        <v>24987502.5</v>
      </c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</row>
    <row r="134">
      <c r="A134" s="215">
        <f>IFERROR(__xludf.DUMMYFUNCTION("""COMPUTED_VALUE"""),46275.0)</f>
        <v>46275</v>
      </c>
      <c r="B134" s="216">
        <f>IFERROR(__xludf.DUMMYFUNCTION("""COMPUTED_VALUE"""),1.0)</f>
        <v>1</v>
      </c>
      <c r="C134" s="216" t="str">
        <f t="shared" si="1"/>
        <v>INV-20260910-1</v>
      </c>
      <c r="D134" s="217" t="s">
        <v>81</v>
      </c>
      <c r="E134" s="218">
        <f>IFERROR(__xludf.DUMMYFUNCTION("""COMPUTED_VALUE"""),57208.23)</f>
        <v>57208.23</v>
      </c>
      <c r="F134" s="219">
        <f>IFERROR(__xludf.DUMMYFUNCTION("""COMPUTED_VALUE"""),17480.0)</f>
        <v>17480</v>
      </c>
      <c r="G134" s="219">
        <f>IFERROR(__xludf.DUMMYFUNCTION("""COMPUTED_VALUE"""),9.999998604000001E8)</f>
        <v>999999860.4</v>
      </c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</row>
    <row r="135">
      <c r="A135" s="215">
        <f>IFERROR(__xludf.DUMMYFUNCTION("""COMPUTED_VALUE"""),46275.0)</f>
        <v>46275</v>
      </c>
      <c r="B135" s="216">
        <f>IFERROR(__xludf.DUMMYFUNCTION("""COMPUTED_VALUE"""),2.0)</f>
        <v>2</v>
      </c>
      <c r="C135" s="216" t="str">
        <f t="shared" si="1"/>
        <v>INV-20260910-2</v>
      </c>
      <c r="D135" s="217" t="s">
        <v>81</v>
      </c>
      <c r="E135" s="218">
        <f>IFERROR(__xludf.DUMMYFUNCTION("""COMPUTED_VALUE"""),68630.25)</f>
        <v>68630.25</v>
      </c>
      <c r="F135" s="219">
        <f>IFERROR(__xludf.DUMMYFUNCTION("""COMPUTED_VALUE"""),17485.0)</f>
        <v>17485</v>
      </c>
      <c r="G135" s="219">
        <f>IFERROR(__xludf.DUMMYFUNCTION("""COMPUTED_VALUE"""),1.19999992125E9)</f>
        <v>1199999921</v>
      </c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</row>
    <row r="136">
      <c r="A136" s="215">
        <f>IFERROR(__xludf.DUMMYFUNCTION("""COMPUTED_VALUE"""),46275.0)</f>
        <v>46275</v>
      </c>
      <c r="B136" s="216">
        <f>IFERROR(__xludf.DUMMYFUNCTION("""COMPUTED_VALUE"""),3.0)</f>
        <v>3</v>
      </c>
      <c r="C136" s="216" t="str">
        <f t="shared" si="1"/>
        <v>INV-20260910-3</v>
      </c>
      <c r="D136" s="217" t="s">
        <v>81</v>
      </c>
      <c r="E136" s="218">
        <f>IFERROR(__xludf.DUMMYFUNCTION("""COMPUTED_VALUE"""),18969.11)</f>
        <v>18969.11</v>
      </c>
      <c r="F136" s="219">
        <f>IFERROR(__xludf.DUMMYFUNCTION("""COMPUTED_VALUE"""),17485.0)</f>
        <v>17485</v>
      </c>
      <c r="G136" s="219">
        <f>IFERROR(__xludf.DUMMYFUNCTION("""COMPUTED_VALUE"""),3.3167488835E8)</f>
        <v>331674888.4</v>
      </c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</row>
    <row r="137">
      <c r="A137" s="215">
        <f>IFERROR(__xludf.DUMMYFUNCTION("""COMPUTED_VALUE"""),46276.0)</f>
        <v>46276</v>
      </c>
      <c r="B137" s="216">
        <f>IFERROR(__xludf.DUMMYFUNCTION("""COMPUTED_VALUE"""),1.0)</f>
        <v>1</v>
      </c>
      <c r="C137" s="216" t="str">
        <f t="shared" si="1"/>
        <v>INV-20260911-1</v>
      </c>
      <c r="D137" s="217" t="s">
        <v>81</v>
      </c>
      <c r="E137" s="218">
        <f>IFERROR(__xludf.DUMMYFUNCTION("""COMPUTED_VALUE"""),3517.47)</f>
        <v>3517.47</v>
      </c>
      <c r="F137" s="219">
        <f>IFERROR(__xludf.DUMMYFUNCTION("""COMPUTED_VALUE"""),17525.0)</f>
        <v>17525</v>
      </c>
      <c r="G137" s="219">
        <f>IFERROR(__xludf.DUMMYFUNCTION("""COMPUTED_VALUE"""),6.164366175E7)</f>
        <v>61643661.75</v>
      </c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</row>
    <row r="138">
      <c r="A138" s="215">
        <f>IFERROR(__xludf.DUMMYFUNCTION("""COMPUTED_VALUE"""),46276.0)</f>
        <v>46276</v>
      </c>
      <c r="B138" s="216">
        <f>IFERROR(__xludf.DUMMYFUNCTION("""COMPUTED_VALUE"""),1.0)</f>
        <v>1</v>
      </c>
      <c r="C138" s="216" t="str">
        <f t="shared" si="1"/>
        <v>INV-20260911-1</v>
      </c>
      <c r="D138" s="217" t="s">
        <v>81</v>
      </c>
      <c r="E138" s="218">
        <f>IFERROR(__xludf.DUMMYFUNCTION("""COMPUTED_VALUE"""),12779.93)</f>
        <v>12779.93</v>
      </c>
      <c r="F138" s="219">
        <f>IFERROR(__xludf.DUMMYFUNCTION("""COMPUTED_VALUE"""),17515.0)</f>
        <v>17515</v>
      </c>
      <c r="G138" s="219">
        <f>IFERROR(__xludf.DUMMYFUNCTION("""COMPUTED_VALUE"""),2.2384047395000002E8)</f>
        <v>223840474</v>
      </c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</row>
    <row r="139">
      <c r="A139" s="215">
        <f>IFERROR(__xludf.DUMMYFUNCTION("""COMPUTED_VALUE"""),46276.0)</f>
        <v>46276</v>
      </c>
      <c r="B139" s="216">
        <f>IFERROR(__xludf.DUMMYFUNCTION("""COMPUTED_VALUE"""),1.0)</f>
        <v>1</v>
      </c>
      <c r="C139" s="216" t="str">
        <f t="shared" si="1"/>
        <v>INV-20260911-1</v>
      </c>
      <c r="D139" s="217" t="s">
        <v>81</v>
      </c>
      <c r="E139" s="218">
        <f>IFERROR(__xludf.DUMMYFUNCTION("""COMPUTED_VALUE"""),1999.0)</f>
        <v>1999</v>
      </c>
      <c r="F139" s="219">
        <f>IFERROR(__xludf.DUMMYFUNCTION("""COMPUTED_VALUE"""),17515.0)</f>
        <v>17515</v>
      </c>
      <c r="G139" s="219">
        <f>IFERROR(__xludf.DUMMYFUNCTION("""COMPUTED_VALUE"""),3.5012485E7)</f>
        <v>35012485</v>
      </c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</row>
    <row r="140">
      <c r="A140" s="215">
        <f>IFERROR(__xludf.DUMMYFUNCTION("""COMPUTED_VALUE"""),46276.0)</f>
        <v>46276</v>
      </c>
      <c r="B140" s="216">
        <f>IFERROR(__xludf.DUMMYFUNCTION("""COMPUTED_VALUE"""),1.0)</f>
        <v>1</v>
      </c>
      <c r="C140" s="216" t="str">
        <f t="shared" si="1"/>
        <v>INV-20260911-1</v>
      </c>
      <c r="D140" s="217" t="s">
        <v>81</v>
      </c>
      <c r="E140" s="218">
        <f>IFERROR(__xludf.DUMMYFUNCTION("""COMPUTED_VALUE"""),3919.12)</f>
        <v>3919.12</v>
      </c>
      <c r="F140" s="219">
        <f>IFERROR(__xludf.DUMMYFUNCTION("""COMPUTED_VALUE"""),17515.0)</f>
        <v>17515</v>
      </c>
      <c r="G140" s="219">
        <f>IFERROR(__xludf.DUMMYFUNCTION("""COMPUTED_VALUE"""),6.86433868E7)</f>
        <v>68643386.8</v>
      </c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</row>
    <row r="141">
      <c r="A141" s="215">
        <f>IFERROR(__xludf.DUMMYFUNCTION("""COMPUTED_VALUE"""),46276.0)</f>
        <v>46276</v>
      </c>
      <c r="B141" s="216">
        <f>IFERROR(__xludf.DUMMYFUNCTION("""COMPUTED_VALUE"""),1.0)</f>
        <v>1</v>
      </c>
      <c r="C141" s="216" t="str">
        <f t="shared" si="1"/>
        <v>INV-20260911-1</v>
      </c>
      <c r="D141" s="217" t="s">
        <v>81</v>
      </c>
      <c r="E141" s="218">
        <f>IFERROR(__xludf.DUMMYFUNCTION("""COMPUTED_VALUE"""),4797.6)</f>
        <v>4797.6</v>
      </c>
      <c r="F141" s="219">
        <f>IFERROR(__xludf.DUMMYFUNCTION("""COMPUTED_VALUE"""),17515.0)</f>
        <v>17515</v>
      </c>
      <c r="G141" s="219">
        <f>IFERROR(__xludf.DUMMYFUNCTION("""COMPUTED_VALUE"""),8.4029964E7)</f>
        <v>84029964</v>
      </c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</row>
    <row r="142">
      <c r="A142" s="215">
        <f>IFERROR(__xludf.DUMMYFUNCTION("""COMPUTED_VALUE"""),46276.0)</f>
        <v>46276</v>
      </c>
      <c r="B142" s="216">
        <f>IFERROR(__xludf.DUMMYFUNCTION("""COMPUTED_VALUE"""),2.0)</f>
        <v>2</v>
      </c>
      <c r="C142" s="216" t="str">
        <f t="shared" si="1"/>
        <v>INV-20260911-2</v>
      </c>
      <c r="D142" s="217" t="s">
        <v>81</v>
      </c>
      <c r="E142" s="218">
        <f>IFERROR(__xludf.DUMMYFUNCTION("""COMPUTED_VALUE"""),130974.69)</f>
        <v>130974.69</v>
      </c>
      <c r="F142" s="219">
        <f>IFERROR(__xludf.DUMMYFUNCTION("""COMPUTED_VALUE"""),17510.0)</f>
        <v>17510</v>
      </c>
      <c r="G142" s="219">
        <f>IFERROR(__xludf.DUMMYFUNCTION("""COMPUTED_VALUE"""),2.2933668219E9)</f>
        <v>2293366822</v>
      </c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</row>
    <row r="143">
      <c r="A143" s="215">
        <f>IFERROR(__xludf.DUMMYFUNCTION("""COMPUTED_VALUE"""),46277.0)</f>
        <v>46277</v>
      </c>
      <c r="B143" s="216">
        <f>IFERROR(__xludf.DUMMYFUNCTION("""COMPUTED_VALUE"""),1.0)</f>
        <v>1</v>
      </c>
      <c r="C143" s="216" t="str">
        <f t="shared" si="1"/>
        <v>INV-20260912-1</v>
      </c>
      <c r="D143" s="217" t="s">
        <v>81</v>
      </c>
      <c r="E143" s="218">
        <f>IFERROR(__xludf.DUMMYFUNCTION("""COMPUTED_VALUE"""),183366.67)</f>
        <v>183366.67</v>
      </c>
      <c r="F143" s="219">
        <f>IFERROR(__xludf.DUMMYFUNCTION("""COMPUTED_VALUE"""),17495.0)</f>
        <v>17495</v>
      </c>
      <c r="G143" s="219">
        <f>IFERROR(__xludf.DUMMYFUNCTION("""COMPUTED_VALUE"""),3.20799989165E9)</f>
        <v>3207999892</v>
      </c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</row>
    <row r="144">
      <c r="A144" s="215">
        <f>IFERROR(__xludf.DUMMYFUNCTION("""COMPUTED_VALUE"""),46278.0)</f>
        <v>46278</v>
      </c>
      <c r="B144" s="216">
        <f>IFERROR(__xludf.DUMMYFUNCTION("""COMPUTED_VALUE"""),1.0)</f>
        <v>1</v>
      </c>
      <c r="C144" s="216" t="str">
        <f t="shared" si="1"/>
        <v>INV-20260913-1</v>
      </c>
      <c r="D144" s="217" t="s">
        <v>81</v>
      </c>
      <c r="E144" s="218">
        <f>IFERROR(__xludf.DUMMYFUNCTION("""COMPUTED_VALUE"""),57175.52)</f>
        <v>57175.52</v>
      </c>
      <c r="F144" s="219">
        <f>IFERROR(__xludf.DUMMYFUNCTION("""COMPUTED_VALUE"""),17490.0)</f>
        <v>17490</v>
      </c>
      <c r="G144" s="219">
        <f>IFERROR(__xludf.DUMMYFUNCTION("""COMPUTED_VALUE"""),9.999998448E8)</f>
        <v>999999844.8</v>
      </c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</row>
    <row r="145">
      <c r="A145" s="215">
        <f>IFERROR(__xludf.DUMMYFUNCTION("""COMPUTED_VALUE"""),46278.0)</f>
        <v>46278</v>
      </c>
      <c r="B145" s="216">
        <f>IFERROR(__xludf.DUMMYFUNCTION("""COMPUTED_VALUE"""),2.0)</f>
        <v>2</v>
      </c>
      <c r="C145" s="216" t="str">
        <f t="shared" si="1"/>
        <v>INV-20260913-2</v>
      </c>
      <c r="D145" s="217" t="s">
        <v>81</v>
      </c>
      <c r="E145" s="218">
        <f>IFERROR(__xludf.DUMMYFUNCTION("""COMPUTED_VALUE"""),125786.16)</f>
        <v>125786.16</v>
      </c>
      <c r="F145" s="219">
        <f>IFERROR(__xludf.DUMMYFUNCTION("""COMPUTED_VALUE"""),17490.0)</f>
        <v>17490</v>
      </c>
      <c r="G145" s="219">
        <f>IFERROR(__xludf.DUMMYFUNCTION("""COMPUTED_VALUE"""),2.1999999384E9)</f>
        <v>2199999938</v>
      </c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</row>
    <row r="146">
      <c r="A146" s="215">
        <f>IFERROR(__xludf.DUMMYFUNCTION("""COMPUTED_VALUE"""),46278.0)</f>
        <v>46278</v>
      </c>
      <c r="B146" s="216">
        <f>IFERROR(__xludf.DUMMYFUNCTION("""COMPUTED_VALUE"""),3.0)</f>
        <v>3</v>
      </c>
      <c r="C146" s="216" t="str">
        <f t="shared" si="1"/>
        <v>INV-20260913-3</v>
      </c>
      <c r="D146" s="217" t="s">
        <v>81</v>
      </c>
      <c r="E146" s="218">
        <f>IFERROR(__xludf.DUMMYFUNCTION("""COMPUTED_VALUE"""),158430.13)</f>
        <v>158430.13</v>
      </c>
      <c r="F146" s="219">
        <f>IFERROR(__xludf.DUMMYFUNCTION("""COMPUTED_VALUE"""),17490.0)</f>
        <v>17490</v>
      </c>
      <c r="G146" s="219">
        <f>IFERROR(__xludf.DUMMYFUNCTION("""COMPUTED_VALUE"""),2.7709429737000003E9)</f>
        <v>2770942974</v>
      </c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</row>
    <row r="147">
      <c r="A147" s="215">
        <f>IFERROR(__xludf.DUMMYFUNCTION("""COMPUTED_VALUE"""),46279.0)</f>
        <v>46279</v>
      </c>
      <c r="B147" s="216">
        <f>IFERROR(__xludf.DUMMYFUNCTION("""COMPUTED_VALUE"""),1.0)</f>
        <v>1</v>
      </c>
      <c r="C147" s="216" t="str">
        <f t="shared" si="1"/>
        <v>INV-20260914-1</v>
      </c>
      <c r="D147" s="217" t="s">
        <v>81</v>
      </c>
      <c r="E147" s="218">
        <f>IFERROR(__xludf.DUMMYFUNCTION("""COMPUTED_VALUE"""),142409.0)</f>
        <v>142409</v>
      </c>
      <c r="F147" s="219">
        <f>IFERROR(__xludf.DUMMYFUNCTION("""COMPUTED_VALUE"""),17555.0)</f>
        <v>17555</v>
      </c>
      <c r="G147" s="219">
        <f>IFERROR(__xludf.DUMMYFUNCTION("""COMPUTED_VALUE"""),2.499989995E9)</f>
        <v>2499989995</v>
      </c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</row>
    <row r="148">
      <c r="A148" s="215">
        <f>IFERROR(__xludf.DUMMYFUNCTION("""COMPUTED_VALUE"""),46279.0)</f>
        <v>46279</v>
      </c>
      <c r="B148" s="216">
        <f>IFERROR(__xludf.DUMMYFUNCTION("""COMPUTED_VALUE"""),2.0)</f>
        <v>2</v>
      </c>
      <c r="C148" s="216" t="str">
        <f t="shared" si="1"/>
        <v>INV-20260914-2</v>
      </c>
      <c r="D148" s="217" t="s">
        <v>81</v>
      </c>
      <c r="E148" s="218">
        <f>IFERROR(__xludf.DUMMYFUNCTION("""COMPUTED_VALUE"""),113927.65)</f>
        <v>113927.65</v>
      </c>
      <c r="F148" s="219">
        <f>IFERROR(__xludf.DUMMYFUNCTION("""COMPUTED_VALUE"""),17555.0)</f>
        <v>17555</v>
      </c>
      <c r="G148" s="219">
        <f>IFERROR(__xludf.DUMMYFUNCTION("""COMPUTED_VALUE"""),1.99999989575E9)</f>
        <v>1999999896</v>
      </c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</row>
    <row r="149">
      <c r="A149" s="215">
        <f>IFERROR(__xludf.DUMMYFUNCTION("""COMPUTED_VALUE"""),46279.0)</f>
        <v>46279</v>
      </c>
      <c r="B149" s="216">
        <f>IFERROR(__xludf.DUMMYFUNCTION("""COMPUTED_VALUE"""),3.0)</f>
        <v>3</v>
      </c>
      <c r="C149" s="216" t="str">
        <f t="shared" si="1"/>
        <v>INV-20260914-3</v>
      </c>
      <c r="D149" s="217" t="s">
        <v>81</v>
      </c>
      <c r="E149" s="218">
        <f>IFERROR(__xludf.DUMMYFUNCTION("""COMPUTED_VALUE"""),147668.85)</f>
        <v>147668.85</v>
      </c>
      <c r="F149" s="219">
        <f>IFERROR(__xludf.DUMMYFUNCTION("""COMPUTED_VALUE"""),17555.0)</f>
        <v>17555</v>
      </c>
      <c r="G149" s="219">
        <f>IFERROR(__xludf.DUMMYFUNCTION("""COMPUTED_VALUE"""),2.59232666175E9)</f>
        <v>2592326662</v>
      </c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</row>
    <row r="150">
      <c r="A150" s="215">
        <f>IFERROR(__xludf.DUMMYFUNCTION("""COMPUTED_VALUE"""),46279.0)</f>
        <v>46279</v>
      </c>
      <c r="B150" s="216">
        <f>IFERROR(__xludf.DUMMYFUNCTION("""COMPUTED_VALUE"""),4.0)</f>
        <v>4</v>
      </c>
      <c r="C150" s="216" t="str">
        <f t="shared" si="1"/>
        <v>INV-20260914-4</v>
      </c>
      <c r="D150" s="217" t="s">
        <v>81</v>
      </c>
      <c r="E150" s="218">
        <f>IFERROR(__xludf.DUMMYFUNCTION("""COMPUTED_VALUE"""),113895.21)</f>
        <v>113895.21</v>
      </c>
      <c r="F150" s="219">
        <f>IFERROR(__xludf.DUMMYFUNCTION("""COMPUTED_VALUE"""),17560.0)</f>
        <v>17560</v>
      </c>
      <c r="G150" s="219">
        <f>IFERROR(__xludf.DUMMYFUNCTION("""COMPUTED_VALUE"""),1.9999998876000001E9)</f>
        <v>1999999888</v>
      </c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  <c r="AA150" s="220"/>
      <c r="AB150" s="220"/>
    </row>
    <row r="151">
      <c r="A151" s="215">
        <f>IFERROR(__xludf.DUMMYFUNCTION("""COMPUTED_VALUE"""),46279.0)</f>
        <v>46279</v>
      </c>
      <c r="B151" s="216">
        <f>IFERROR(__xludf.DUMMYFUNCTION("""COMPUTED_VALUE"""),5.0)</f>
        <v>5</v>
      </c>
      <c r="C151" s="216" t="str">
        <f t="shared" si="1"/>
        <v>INV-20260914-5</v>
      </c>
      <c r="D151" s="217" t="s">
        <v>81</v>
      </c>
      <c r="E151" s="218">
        <f>IFERROR(__xludf.DUMMYFUNCTION("""COMPUTED_VALUE"""),108320.04)</f>
        <v>108320.04</v>
      </c>
      <c r="F151" s="219">
        <f>IFERROR(__xludf.DUMMYFUNCTION("""COMPUTED_VALUE"""),17560.0)</f>
        <v>17560</v>
      </c>
      <c r="G151" s="219">
        <f>IFERROR(__xludf.DUMMYFUNCTION("""COMPUTED_VALUE"""),1.9020999023999999E9)</f>
        <v>1902099902</v>
      </c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</row>
    <row r="152">
      <c r="A152" s="215">
        <f>IFERROR(__xludf.DUMMYFUNCTION("""COMPUTED_VALUE"""),46279.0)</f>
        <v>46279</v>
      </c>
      <c r="B152" s="216">
        <f>IFERROR(__xludf.DUMMYFUNCTION("""COMPUTED_VALUE"""),6.0)</f>
        <v>6</v>
      </c>
      <c r="C152" s="216" t="str">
        <f t="shared" si="1"/>
        <v>INV-20260914-6</v>
      </c>
      <c r="D152" s="217" t="s">
        <v>81</v>
      </c>
      <c r="E152" s="218">
        <f>IFERROR(__xludf.DUMMYFUNCTION("""COMPUTED_VALUE"""),131016.8)</f>
        <v>131016.8</v>
      </c>
      <c r="F152" s="219">
        <f>IFERROR(__xludf.DUMMYFUNCTION("""COMPUTED_VALUE"""),17555.0)</f>
        <v>17555</v>
      </c>
      <c r="G152" s="219">
        <f>IFERROR(__xludf.DUMMYFUNCTION("""COMPUTED_VALUE"""),2.299999924E9)</f>
        <v>2299999924</v>
      </c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  <c r="AB152" s="220"/>
    </row>
    <row r="153">
      <c r="A153" s="215">
        <f>IFERROR(__xludf.DUMMYFUNCTION("""COMPUTED_VALUE"""),46280.0)</f>
        <v>46280</v>
      </c>
      <c r="B153" s="216">
        <f>IFERROR(__xludf.DUMMYFUNCTION("""COMPUTED_VALUE"""),1.0)</f>
        <v>1</v>
      </c>
      <c r="C153" s="216" t="str">
        <f t="shared" si="1"/>
        <v>INV-20260915-1</v>
      </c>
      <c r="D153" s="217" t="s">
        <v>81</v>
      </c>
      <c r="E153" s="218">
        <f>IFERROR(__xludf.DUMMYFUNCTION("""COMPUTED_VALUE"""),130570.53)</f>
        <v>130570.53</v>
      </c>
      <c r="F153" s="219">
        <f>IFERROR(__xludf.DUMMYFUNCTION("""COMPUTED_VALUE"""),17615.0)</f>
        <v>17615</v>
      </c>
      <c r="G153" s="219">
        <f>IFERROR(__xludf.DUMMYFUNCTION("""COMPUTED_VALUE"""),2.29999988595E9)</f>
        <v>2299999886</v>
      </c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  <c r="AB153" s="220"/>
    </row>
    <row r="154">
      <c r="A154" s="215">
        <f>IFERROR(__xludf.DUMMYFUNCTION("""COMPUTED_VALUE"""),46281.0)</f>
        <v>46281</v>
      </c>
      <c r="B154" s="216">
        <f>IFERROR(__xludf.DUMMYFUNCTION("""COMPUTED_VALUE"""),1.0)</f>
        <v>1</v>
      </c>
      <c r="C154" s="216" t="str">
        <f t="shared" si="1"/>
        <v>INV-20260916-1</v>
      </c>
      <c r="D154" s="217" t="s">
        <v>81</v>
      </c>
      <c r="E154" s="218">
        <f>IFERROR(__xludf.DUMMYFUNCTION("""COMPUTED_VALUE"""),16791.6)</f>
        <v>16791.6</v>
      </c>
      <c r="F154" s="219">
        <f>IFERROR(__xludf.DUMMYFUNCTION("""COMPUTED_VALUE"""),17580.0)</f>
        <v>17580</v>
      </c>
      <c r="G154" s="219">
        <f>IFERROR(__xludf.DUMMYFUNCTION("""COMPUTED_VALUE"""),2.95196328E8)</f>
        <v>295196328</v>
      </c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  <c r="AA154" s="220"/>
      <c r="AB154" s="220"/>
    </row>
    <row r="155">
      <c r="A155" s="215">
        <f>IFERROR(__xludf.DUMMYFUNCTION("""COMPUTED_VALUE"""),46281.0)</f>
        <v>46281</v>
      </c>
      <c r="B155" s="216">
        <f>IFERROR(__xludf.DUMMYFUNCTION("""COMPUTED_VALUE"""),1.0)</f>
        <v>1</v>
      </c>
      <c r="C155" s="216" t="str">
        <f t="shared" si="1"/>
        <v>INV-20260916-1</v>
      </c>
      <c r="D155" s="217" t="s">
        <v>81</v>
      </c>
      <c r="E155" s="218">
        <f>IFERROR(__xludf.DUMMYFUNCTION("""COMPUTED_VALUE"""),3998.0)</f>
        <v>3998</v>
      </c>
      <c r="F155" s="219">
        <f>IFERROR(__xludf.DUMMYFUNCTION("""COMPUTED_VALUE"""),17585.0)</f>
        <v>17585</v>
      </c>
      <c r="G155" s="219">
        <f>IFERROR(__xludf.DUMMYFUNCTION("""COMPUTED_VALUE"""),7.030483E7)</f>
        <v>70304830</v>
      </c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  <c r="AA155" s="220"/>
      <c r="AB155" s="220"/>
    </row>
    <row r="156">
      <c r="A156" s="215">
        <f>IFERROR(__xludf.DUMMYFUNCTION("""COMPUTED_VALUE"""),46281.0)</f>
        <v>46281</v>
      </c>
      <c r="B156" s="216">
        <f>IFERROR(__xludf.DUMMYFUNCTION("""COMPUTED_VALUE"""),1.0)</f>
        <v>1</v>
      </c>
      <c r="C156" s="216" t="str">
        <f t="shared" si="1"/>
        <v>INV-20260916-1</v>
      </c>
      <c r="D156" s="217" t="s">
        <v>81</v>
      </c>
      <c r="E156" s="218">
        <f>IFERROR(__xludf.DUMMYFUNCTION("""COMPUTED_VALUE"""),7631.19)</f>
        <v>7631.19</v>
      </c>
      <c r="F156" s="219">
        <f>IFERROR(__xludf.DUMMYFUNCTION("""COMPUTED_VALUE"""),17585.0)</f>
        <v>17585</v>
      </c>
      <c r="G156" s="219">
        <f>IFERROR(__xludf.DUMMYFUNCTION("""COMPUTED_VALUE"""),1.3419447614999999E8)</f>
        <v>134194476.2</v>
      </c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  <c r="AA156" s="220"/>
      <c r="AB156" s="220"/>
    </row>
    <row r="157">
      <c r="A157" s="215">
        <f>IFERROR(__xludf.DUMMYFUNCTION("""COMPUTED_VALUE"""),46281.0)</f>
        <v>46281</v>
      </c>
      <c r="B157" s="216">
        <f>IFERROR(__xludf.DUMMYFUNCTION("""COMPUTED_VALUE"""),2.0)</f>
        <v>2</v>
      </c>
      <c r="C157" s="216" t="str">
        <f t="shared" si="1"/>
        <v>INV-20260916-2</v>
      </c>
      <c r="D157" s="217" t="s">
        <v>81</v>
      </c>
      <c r="E157" s="218">
        <f>IFERROR(__xludf.DUMMYFUNCTION("""COMPUTED_VALUE"""),17227.98)</f>
        <v>17227.98</v>
      </c>
      <c r="F157" s="219">
        <f>IFERROR(__xludf.DUMMYFUNCTION("""COMPUTED_VALUE"""),17583.0)</f>
        <v>17583</v>
      </c>
      <c r="G157" s="219">
        <f>IFERROR(__xludf.DUMMYFUNCTION("""COMPUTED_VALUE"""),3.0291957234E8)</f>
        <v>302919572.3</v>
      </c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  <c r="AA157" s="220"/>
      <c r="AB157" s="220"/>
    </row>
    <row r="158">
      <c r="A158" s="215">
        <f>IFERROR(__xludf.DUMMYFUNCTION("""COMPUTED_VALUE"""),46281.0)</f>
        <v>46281</v>
      </c>
      <c r="B158" s="216">
        <f>IFERROR(__xludf.DUMMYFUNCTION("""COMPUTED_VALUE"""),2.0)</f>
        <v>2</v>
      </c>
      <c r="C158" s="216" t="str">
        <f t="shared" si="1"/>
        <v>INV-20260916-2</v>
      </c>
      <c r="D158" s="217" t="s">
        <v>81</v>
      </c>
      <c r="E158" s="218">
        <f>IFERROR(__xludf.DUMMYFUNCTION("""COMPUTED_VALUE"""),11194.4)</f>
        <v>11194.4</v>
      </c>
      <c r="F158" s="219">
        <f>IFERROR(__xludf.DUMMYFUNCTION("""COMPUTED_VALUE"""),17586.0)</f>
        <v>17586</v>
      </c>
      <c r="G158" s="219">
        <f>IFERROR(__xludf.DUMMYFUNCTION("""COMPUTED_VALUE"""),1.968647184E8)</f>
        <v>196864718.4</v>
      </c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  <c r="AA158" s="220"/>
      <c r="AB158" s="220"/>
    </row>
    <row r="159">
      <c r="A159" s="215">
        <f>IFERROR(__xludf.DUMMYFUNCTION("""COMPUTED_VALUE"""),46281.0)</f>
        <v>46281</v>
      </c>
      <c r="B159" s="216">
        <f>IFERROR(__xludf.DUMMYFUNCTION("""COMPUTED_VALUE"""),3.0)</f>
        <v>3</v>
      </c>
      <c r="C159" s="216" t="str">
        <f t="shared" si="1"/>
        <v>INV-20260916-3</v>
      </c>
      <c r="D159" s="217" t="s">
        <v>81</v>
      </c>
      <c r="E159" s="218">
        <f>IFERROR(__xludf.DUMMYFUNCTION("""COMPUTED_VALUE"""),26077.0)</f>
        <v>26077</v>
      </c>
      <c r="F159" s="219">
        <f>IFERROR(__xludf.DUMMYFUNCTION("""COMPUTED_VALUE"""),17640.0)</f>
        <v>17640</v>
      </c>
      <c r="G159" s="219">
        <f>IFERROR(__xludf.DUMMYFUNCTION("""COMPUTED_VALUE"""),4.5999828E8)</f>
        <v>459998280</v>
      </c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  <c r="AA159" s="220"/>
      <c r="AB159" s="220"/>
    </row>
    <row r="160">
      <c r="A160" s="215">
        <f>IFERROR(__xludf.DUMMYFUNCTION("""COMPUTED_VALUE"""),46281.0)</f>
        <v>46281</v>
      </c>
      <c r="B160" s="216">
        <f>IFERROR(__xludf.DUMMYFUNCTION("""COMPUTED_VALUE"""),4.0)</f>
        <v>4</v>
      </c>
      <c r="C160" s="216" t="str">
        <f t="shared" si="1"/>
        <v>INV-20260916-4</v>
      </c>
      <c r="D160" s="217" t="s">
        <v>81</v>
      </c>
      <c r="E160" s="218">
        <f>IFERROR(__xludf.DUMMYFUNCTION("""COMPUTED_VALUE"""),85397.1)</f>
        <v>85397.1</v>
      </c>
      <c r="F160" s="219">
        <f>IFERROR(__xludf.DUMMYFUNCTION("""COMPUTED_VALUE"""),17565.0)</f>
        <v>17565</v>
      </c>
      <c r="G160" s="219">
        <f>IFERROR(__xludf.DUMMYFUNCTION("""COMPUTED_VALUE"""),1.5000000615E9)</f>
        <v>1500000062</v>
      </c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  <c r="AA160" s="220"/>
      <c r="AB160" s="220"/>
    </row>
    <row r="161">
      <c r="A161" s="215">
        <f>IFERROR(__xludf.DUMMYFUNCTION("""COMPUTED_VALUE"""),46281.0)</f>
        <v>46281</v>
      </c>
      <c r="B161" s="216">
        <f>IFERROR(__xludf.DUMMYFUNCTION("""COMPUTED_VALUE"""),5.0)</f>
        <v>5</v>
      </c>
      <c r="C161" s="216" t="str">
        <f t="shared" si="1"/>
        <v>INV-20260916-5</v>
      </c>
      <c r="D161" s="217" t="s">
        <v>81</v>
      </c>
      <c r="E161" s="218">
        <f>IFERROR(__xludf.DUMMYFUNCTION("""COMPUTED_VALUE"""),125284.73)</f>
        <v>125284.73</v>
      </c>
      <c r="F161" s="219">
        <f>IFERROR(__xludf.DUMMYFUNCTION("""COMPUTED_VALUE"""),17560.0)</f>
        <v>17560</v>
      </c>
      <c r="G161" s="219">
        <f>IFERROR(__xludf.DUMMYFUNCTION("""COMPUTED_VALUE"""),2.1999998587999997E9)</f>
        <v>2199999859</v>
      </c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  <c r="AA161" s="220"/>
      <c r="AB161" s="220"/>
    </row>
    <row r="162">
      <c r="A162" s="215">
        <f>IFERROR(__xludf.DUMMYFUNCTION("""COMPUTED_VALUE"""),46281.0)</f>
        <v>46281</v>
      </c>
      <c r="B162" s="216">
        <f>IFERROR(__xludf.DUMMYFUNCTION("""COMPUTED_VALUE"""),6.0)</f>
        <v>6</v>
      </c>
      <c r="C162" s="216" t="str">
        <f t="shared" si="1"/>
        <v>INV-20260916-6</v>
      </c>
      <c r="D162" s="217" t="s">
        <v>81</v>
      </c>
      <c r="E162" s="218">
        <f>IFERROR(__xludf.DUMMYFUNCTION("""COMPUTED_VALUE"""),159544.15)</f>
        <v>159544.15</v>
      </c>
      <c r="F162" s="219">
        <f>IFERROR(__xludf.DUMMYFUNCTION("""COMPUTED_VALUE"""),17550.0)</f>
        <v>17550</v>
      </c>
      <c r="G162" s="219">
        <f>IFERROR(__xludf.DUMMYFUNCTION("""COMPUTED_VALUE"""),2.7999998325E9)</f>
        <v>2799999833</v>
      </c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  <c r="AA162" s="220"/>
      <c r="AB162" s="220"/>
    </row>
    <row r="163">
      <c r="A163" s="215">
        <f>IFERROR(__xludf.DUMMYFUNCTION("""COMPUTED_VALUE"""),46282.0)</f>
        <v>46282</v>
      </c>
      <c r="B163" s="216">
        <f>IFERROR(__xludf.DUMMYFUNCTION("""COMPUTED_VALUE"""),1.0)</f>
        <v>1</v>
      </c>
      <c r="C163" s="216" t="str">
        <f t="shared" si="1"/>
        <v>INV-20260917-1</v>
      </c>
      <c r="D163" s="217" t="s">
        <v>81</v>
      </c>
      <c r="E163" s="218">
        <f>IFERROR(__xludf.DUMMYFUNCTION("""COMPUTED_VALUE"""),14739.22)</f>
        <v>14739.22</v>
      </c>
      <c r="F163" s="219">
        <f>IFERROR(__xludf.DUMMYFUNCTION("""COMPUTED_VALUE"""),17640.0)</f>
        <v>17640</v>
      </c>
      <c r="G163" s="219">
        <f>IFERROR(__xludf.DUMMYFUNCTION("""COMPUTED_VALUE"""),2.5999984079999998E8)</f>
        <v>259999840.8</v>
      </c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  <c r="AA163" s="220"/>
      <c r="AB163" s="220"/>
    </row>
    <row r="164">
      <c r="A164" s="215">
        <f>IFERROR(__xludf.DUMMYFUNCTION("""COMPUTED_VALUE"""),46282.0)</f>
        <v>46282</v>
      </c>
      <c r="B164" s="216">
        <f>IFERROR(__xludf.DUMMYFUNCTION("""COMPUTED_VALUE"""),2.0)</f>
        <v>2</v>
      </c>
      <c r="C164" s="216" t="str">
        <f t="shared" si="1"/>
        <v>INV-20260917-2</v>
      </c>
      <c r="D164" s="217" t="s">
        <v>81</v>
      </c>
      <c r="E164" s="218">
        <f>IFERROR(__xludf.DUMMYFUNCTION("""COMPUTED_VALUE"""),85009.91)</f>
        <v>85009.91</v>
      </c>
      <c r="F164" s="219">
        <f>IFERROR(__xludf.DUMMYFUNCTION("""COMPUTED_VALUE"""),17645.0)</f>
        <v>17645</v>
      </c>
      <c r="G164" s="219">
        <f>IFERROR(__xludf.DUMMYFUNCTION("""COMPUTED_VALUE"""),1.49999986195E9)</f>
        <v>1499999862</v>
      </c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  <c r="AA164" s="220"/>
      <c r="AB164" s="220"/>
    </row>
    <row r="165">
      <c r="A165" s="215">
        <f>IFERROR(__xludf.DUMMYFUNCTION("""COMPUTED_VALUE"""),46282.0)</f>
        <v>46282</v>
      </c>
      <c r="B165" s="216">
        <f>IFERROR(__xludf.DUMMYFUNCTION("""COMPUTED_VALUE"""),3.0)</f>
        <v>3</v>
      </c>
      <c r="C165" s="216" t="str">
        <f t="shared" si="1"/>
        <v>INV-20260917-3</v>
      </c>
      <c r="D165" s="217" t="s">
        <v>81</v>
      </c>
      <c r="E165" s="218">
        <f>IFERROR(__xludf.DUMMYFUNCTION("""COMPUTED_VALUE"""),28368.81)</f>
        <v>28368.81</v>
      </c>
      <c r="F165" s="219">
        <f>IFERROR(__xludf.DUMMYFUNCTION("""COMPUTED_VALUE"""),17617.0)</f>
        <v>17617</v>
      </c>
      <c r="G165" s="219">
        <f>IFERROR(__xludf.DUMMYFUNCTION("""COMPUTED_VALUE"""),4.9977332577000004E8)</f>
        <v>499773325.8</v>
      </c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  <c r="AA165" s="220"/>
      <c r="AB165" s="220"/>
    </row>
    <row r="166">
      <c r="A166" s="215">
        <f>IFERROR(__xludf.DUMMYFUNCTION("""COMPUTED_VALUE"""),46282.0)</f>
        <v>46282</v>
      </c>
      <c r="B166" s="216">
        <f>IFERROR(__xludf.DUMMYFUNCTION("""COMPUTED_VALUE"""),4.0)</f>
        <v>4</v>
      </c>
      <c r="C166" s="216" t="str">
        <f t="shared" si="1"/>
        <v>INV-20260917-4</v>
      </c>
      <c r="D166" s="217" t="s">
        <v>81</v>
      </c>
      <c r="E166" s="218">
        <f>IFERROR(__xludf.DUMMYFUNCTION("""COMPUTED_VALUE"""),49975.0)</f>
        <v>49975</v>
      </c>
      <c r="F166" s="219">
        <f>IFERROR(__xludf.DUMMYFUNCTION("""COMPUTED_VALUE"""),17615.0)</f>
        <v>17615</v>
      </c>
      <c r="G166" s="219">
        <f>IFERROR(__xludf.DUMMYFUNCTION("""COMPUTED_VALUE"""),8.80309625E8)</f>
        <v>880309625</v>
      </c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  <c r="AA166" s="220"/>
      <c r="AB166" s="220"/>
    </row>
    <row r="167">
      <c r="A167" s="215">
        <f>IFERROR(__xludf.DUMMYFUNCTION("""COMPUTED_VALUE"""),46282.0)</f>
        <v>46282</v>
      </c>
      <c r="B167" s="216">
        <f>IFERROR(__xludf.DUMMYFUNCTION("""COMPUTED_VALUE"""),5.0)</f>
        <v>5</v>
      </c>
      <c r="C167" s="216" t="str">
        <f t="shared" si="1"/>
        <v>INV-20260917-5</v>
      </c>
      <c r="D167" s="217" t="s">
        <v>81</v>
      </c>
      <c r="E167" s="218">
        <f>IFERROR(__xludf.DUMMYFUNCTION("""COMPUTED_VALUE"""),26986.5)</f>
        <v>26986.5</v>
      </c>
      <c r="F167" s="219">
        <f>IFERROR(__xludf.DUMMYFUNCTION("""COMPUTED_VALUE"""),17610.0)</f>
        <v>17610</v>
      </c>
      <c r="G167" s="219">
        <f>IFERROR(__xludf.DUMMYFUNCTION("""COMPUTED_VALUE"""),4.75232265E8)</f>
        <v>475232265</v>
      </c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  <c r="AA167" s="220"/>
      <c r="AB167" s="220"/>
    </row>
    <row r="168">
      <c r="A168" s="215">
        <f>IFERROR(__xludf.DUMMYFUNCTION("""COMPUTED_VALUE"""),46282.0)</f>
        <v>46282</v>
      </c>
      <c r="B168" s="216">
        <f>IFERROR(__xludf.DUMMYFUNCTION("""COMPUTED_VALUE"""),5.0)</f>
        <v>5</v>
      </c>
      <c r="C168" s="216" t="str">
        <f t="shared" si="1"/>
        <v>INV-20260917-5</v>
      </c>
      <c r="D168" s="217" t="s">
        <v>81</v>
      </c>
      <c r="E168" s="218">
        <f>IFERROR(__xludf.DUMMYFUNCTION("""COMPUTED_VALUE"""),4497.75)</f>
        <v>4497.75</v>
      </c>
      <c r="F168" s="219">
        <f>IFERROR(__xludf.DUMMYFUNCTION("""COMPUTED_VALUE"""),17610.0)</f>
        <v>17610</v>
      </c>
      <c r="G168" s="219">
        <f>IFERROR(__xludf.DUMMYFUNCTION("""COMPUTED_VALUE"""),7.92053775E7)</f>
        <v>79205377.5</v>
      </c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  <c r="AA168" s="220"/>
      <c r="AB168" s="220"/>
    </row>
    <row r="169">
      <c r="A169" s="215">
        <f>IFERROR(__xludf.DUMMYFUNCTION("""COMPUTED_VALUE"""),46282.0)</f>
        <v>46282</v>
      </c>
      <c r="B169" s="216">
        <f>IFERROR(__xludf.DUMMYFUNCTION("""COMPUTED_VALUE"""),5.0)</f>
        <v>5</v>
      </c>
      <c r="C169" s="216" t="str">
        <f t="shared" si="1"/>
        <v>INV-20260917-5</v>
      </c>
      <c r="D169" s="217" t="s">
        <v>81</v>
      </c>
      <c r="E169" s="218">
        <f>IFERROR(__xludf.DUMMYFUNCTION("""COMPUTED_VALUE"""),6796.6)</f>
        <v>6796.6</v>
      </c>
      <c r="F169" s="219">
        <f>IFERROR(__xludf.DUMMYFUNCTION("""COMPUTED_VALUE"""),17610.0)</f>
        <v>17610</v>
      </c>
      <c r="G169" s="219">
        <f>IFERROR(__xludf.DUMMYFUNCTION("""COMPUTED_VALUE"""),1.19688126E8)</f>
        <v>119688126</v>
      </c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  <c r="AA169" s="220"/>
      <c r="AB169" s="220"/>
    </row>
    <row r="170">
      <c r="A170" s="215">
        <f>IFERROR(__xludf.DUMMYFUNCTION("""COMPUTED_VALUE"""),46282.0)</f>
        <v>46282</v>
      </c>
      <c r="B170" s="216">
        <f>IFERROR(__xludf.DUMMYFUNCTION("""COMPUTED_VALUE"""),5.0)</f>
        <v>5</v>
      </c>
      <c r="C170" s="216" t="str">
        <f t="shared" si="1"/>
        <v>INV-20260917-5</v>
      </c>
      <c r="D170" s="217" t="s">
        <v>81</v>
      </c>
      <c r="E170" s="218">
        <f>IFERROR(__xludf.DUMMYFUNCTION("""COMPUTED_VALUE"""),4643.72)</f>
        <v>4643.72</v>
      </c>
      <c r="F170" s="219">
        <f>IFERROR(__xludf.DUMMYFUNCTION("""COMPUTED_VALUE"""),17615.0)</f>
        <v>17615</v>
      </c>
      <c r="G170" s="219">
        <f>IFERROR(__xludf.DUMMYFUNCTION("""COMPUTED_VALUE"""),8.179912780000001E7)</f>
        <v>81799127.8</v>
      </c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</row>
    <row r="171">
      <c r="A171" s="215">
        <f>IFERROR(__xludf.DUMMYFUNCTION("""COMPUTED_VALUE"""),46283.0)</f>
        <v>46283</v>
      </c>
      <c r="B171" s="216">
        <f>IFERROR(__xludf.DUMMYFUNCTION("""COMPUTED_VALUE"""),1.0)</f>
        <v>1</v>
      </c>
      <c r="C171" s="216" t="str">
        <f t="shared" si="1"/>
        <v>INV-20260918-1</v>
      </c>
      <c r="D171" s="217" t="s">
        <v>81</v>
      </c>
      <c r="E171" s="218">
        <f>IFERROR(__xludf.DUMMYFUNCTION("""COMPUTED_VALUE"""),6996.5)</f>
        <v>6996.5</v>
      </c>
      <c r="F171" s="219">
        <f>IFERROR(__xludf.DUMMYFUNCTION("""COMPUTED_VALUE"""),17617.0)</f>
        <v>17617</v>
      </c>
      <c r="G171" s="219">
        <f>IFERROR(__xludf.DUMMYFUNCTION("""COMPUTED_VALUE"""),1.232573405E8)</f>
        <v>123257340.5</v>
      </c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</row>
    <row r="172">
      <c r="A172" s="215">
        <f>IFERROR(__xludf.DUMMYFUNCTION("""COMPUTED_VALUE"""),46283.0)</f>
        <v>46283</v>
      </c>
      <c r="B172" s="216">
        <f>IFERROR(__xludf.DUMMYFUNCTION("""COMPUTED_VALUE"""),1.0)</f>
        <v>1</v>
      </c>
      <c r="C172" s="216" t="str">
        <f t="shared" si="1"/>
        <v>INV-20260918-1</v>
      </c>
      <c r="D172" s="217" t="s">
        <v>81</v>
      </c>
      <c r="E172" s="218">
        <f>IFERROR(__xludf.DUMMYFUNCTION("""COMPUTED_VALUE"""),3749.13)</f>
        <v>3749.13</v>
      </c>
      <c r="F172" s="219">
        <f>IFERROR(__xludf.DUMMYFUNCTION("""COMPUTED_VALUE"""),17617.0)</f>
        <v>17617</v>
      </c>
      <c r="G172" s="219">
        <f>IFERROR(__xludf.DUMMYFUNCTION("""COMPUTED_VALUE"""),6.604842321E7)</f>
        <v>66048423.21</v>
      </c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  <c r="AA172" s="220"/>
      <c r="AB172" s="220"/>
    </row>
    <row r="173">
      <c r="A173" s="215">
        <f>IFERROR(__xludf.DUMMYFUNCTION("""COMPUTED_VALUE"""),46283.0)</f>
        <v>46283</v>
      </c>
      <c r="B173" s="216">
        <f>IFERROR(__xludf.DUMMYFUNCTION("""COMPUTED_VALUE"""),1.0)</f>
        <v>1</v>
      </c>
      <c r="C173" s="216" t="str">
        <f t="shared" si="1"/>
        <v>INV-20260918-1</v>
      </c>
      <c r="D173" s="217" t="s">
        <v>81</v>
      </c>
      <c r="E173" s="218">
        <f>IFERROR(__xludf.DUMMYFUNCTION("""COMPUTED_VALUE"""),56734.97)</f>
        <v>56734.97</v>
      </c>
      <c r="F173" s="219">
        <f>IFERROR(__xludf.DUMMYFUNCTION("""COMPUTED_VALUE"""),17617.0)</f>
        <v>17617</v>
      </c>
      <c r="G173" s="219">
        <f>IFERROR(__xludf.DUMMYFUNCTION("""COMPUTED_VALUE"""),9.9949996649E8)</f>
        <v>999499966.5</v>
      </c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  <c r="AA173" s="220"/>
      <c r="AB173" s="220"/>
    </row>
    <row r="174">
      <c r="A174" s="215">
        <f>IFERROR(__xludf.DUMMYFUNCTION("""COMPUTED_VALUE"""),46283.0)</f>
        <v>46283</v>
      </c>
      <c r="B174" s="216">
        <f>IFERROR(__xludf.DUMMYFUNCTION("""COMPUTED_VALUE"""),1.0)</f>
        <v>1</v>
      </c>
      <c r="C174" s="216" t="str">
        <f t="shared" si="1"/>
        <v>INV-20260918-1</v>
      </c>
      <c r="D174" s="217" t="s">
        <v>81</v>
      </c>
      <c r="E174" s="218">
        <f>IFERROR(__xludf.DUMMYFUNCTION("""COMPUTED_VALUE"""),3998.0)</f>
        <v>3998</v>
      </c>
      <c r="F174" s="219">
        <f>IFERROR(__xludf.DUMMYFUNCTION("""COMPUTED_VALUE"""),17617.0)</f>
        <v>17617</v>
      </c>
      <c r="G174" s="219">
        <f>IFERROR(__xludf.DUMMYFUNCTION("""COMPUTED_VALUE"""),7.0432766E7)</f>
        <v>70432766</v>
      </c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  <c r="AB174" s="220"/>
    </row>
    <row r="175">
      <c r="A175" s="215">
        <f>IFERROR(__xludf.DUMMYFUNCTION("""COMPUTED_VALUE"""),46283.0)</f>
        <v>46283</v>
      </c>
      <c r="B175" s="216">
        <f>IFERROR(__xludf.DUMMYFUNCTION("""COMPUTED_VALUE"""),1.0)</f>
        <v>1</v>
      </c>
      <c r="C175" s="216" t="str">
        <f t="shared" si="1"/>
        <v>INV-20260918-1</v>
      </c>
      <c r="D175" s="217" t="s">
        <v>81</v>
      </c>
      <c r="E175" s="218">
        <f>IFERROR(__xludf.DUMMYFUNCTION("""COMPUTED_VALUE"""),7996.0)</f>
        <v>7996</v>
      </c>
      <c r="F175" s="219">
        <f>IFERROR(__xludf.DUMMYFUNCTION("""COMPUTED_VALUE"""),17615.0)</f>
        <v>17615</v>
      </c>
      <c r="G175" s="219">
        <f>IFERROR(__xludf.DUMMYFUNCTION("""COMPUTED_VALUE"""),1.4084954E8)</f>
        <v>140849540</v>
      </c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  <c r="AA175" s="220"/>
      <c r="AB175" s="220"/>
    </row>
    <row r="176">
      <c r="A176" s="215">
        <f>IFERROR(__xludf.DUMMYFUNCTION("""COMPUTED_VALUE"""),46283.0)</f>
        <v>46283</v>
      </c>
      <c r="B176" s="216">
        <f>IFERROR(__xludf.DUMMYFUNCTION("""COMPUTED_VALUE"""),1.0)</f>
        <v>1</v>
      </c>
      <c r="C176" s="216" t="str">
        <f t="shared" si="1"/>
        <v>INV-20260918-1</v>
      </c>
      <c r="D176" s="217" t="s">
        <v>81</v>
      </c>
      <c r="E176" s="218">
        <f>IFERROR(__xludf.DUMMYFUNCTION("""COMPUTED_VALUE"""),5139.19)</f>
        <v>5139.19</v>
      </c>
      <c r="F176" s="219">
        <f>IFERROR(__xludf.DUMMYFUNCTION("""COMPUTED_VALUE"""),17615.0)</f>
        <v>17615</v>
      </c>
      <c r="G176" s="219">
        <f>IFERROR(__xludf.DUMMYFUNCTION("""COMPUTED_VALUE"""),9.052683185E7)</f>
        <v>90526831.85</v>
      </c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  <c r="AA176" s="220"/>
      <c r="AB176" s="220"/>
    </row>
    <row r="177">
      <c r="A177" s="215">
        <f>IFERROR(__xludf.DUMMYFUNCTION("""COMPUTED_VALUE"""),46283.0)</f>
        <v>46283</v>
      </c>
      <c r="B177" s="216">
        <f>IFERROR(__xludf.DUMMYFUNCTION("""COMPUTED_VALUE"""),1.0)</f>
        <v>1</v>
      </c>
      <c r="C177" s="216" t="str">
        <f t="shared" si="1"/>
        <v>INV-20260918-1</v>
      </c>
      <c r="D177" s="217" t="s">
        <v>81</v>
      </c>
      <c r="E177" s="218">
        <f>IFERROR(__xludf.DUMMYFUNCTION("""COMPUTED_VALUE"""),7496.25)</f>
        <v>7496.25</v>
      </c>
      <c r="F177" s="219">
        <f>IFERROR(__xludf.DUMMYFUNCTION("""COMPUTED_VALUE"""),17615.0)</f>
        <v>17615</v>
      </c>
      <c r="G177" s="219">
        <f>IFERROR(__xludf.DUMMYFUNCTION("""COMPUTED_VALUE"""),1.3204644375E8)</f>
        <v>132046443.8</v>
      </c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  <c r="AA177" s="220"/>
      <c r="AB177" s="220"/>
    </row>
    <row r="178">
      <c r="A178" s="215">
        <f>IFERROR(__xludf.DUMMYFUNCTION("""COMPUTED_VALUE"""),46283.0)</f>
        <v>46283</v>
      </c>
      <c r="B178" s="216">
        <f>IFERROR(__xludf.DUMMYFUNCTION("""COMPUTED_VALUE"""),1.0)</f>
        <v>1</v>
      </c>
      <c r="C178" s="216" t="str">
        <f t="shared" si="1"/>
        <v>INV-20260918-1</v>
      </c>
      <c r="D178" s="217" t="s">
        <v>81</v>
      </c>
      <c r="E178" s="218">
        <f>IFERROR(__xludf.DUMMYFUNCTION("""COMPUTED_VALUE"""),3694.45)</f>
        <v>3694.45</v>
      </c>
      <c r="F178" s="219">
        <f>IFERROR(__xludf.DUMMYFUNCTION("""COMPUTED_VALUE"""),17610.0)</f>
        <v>17610</v>
      </c>
      <c r="G178" s="219">
        <f>IFERROR(__xludf.DUMMYFUNCTION("""COMPUTED_VALUE"""),6.50592645E7)</f>
        <v>65059264.5</v>
      </c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  <c r="AA178" s="220"/>
      <c r="AB178" s="220"/>
    </row>
    <row r="179">
      <c r="A179" s="215">
        <f>IFERROR(__xludf.DUMMYFUNCTION("""COMPUTED_VALUE"""),46283.0)</f>
        <v>46283</v>
      </c>
      <c r="B179" s="216">
        <f>IFERROR(__xludf.DUMMYFUNCTION("""COMPUTED_VALUE"""),1.0)</f>
        <v>1</v>
      </c>
      <c r="C179" s="216" t="str">
        <f t="shared" si="1"/>
        <v>INV-20260918-1</v>
      </c>
      <c r="D179" s="217" t="s">
        <v>81</v>
      </c>
      <c r="E179" s="218">
        <f>IFERROR(__xludf.DUMMYFUNCTION("""COMPUTED_VALUE"""),11244.38)</f>
        <v>11244.38</v>
      </c>
      <c r="F179" s="219">
        <f>IFERROR(__xludf.DUMMYFUNCTION("""COMPUTED_VALUE"""),17610.0)</f>
        <v>17610</v>
      </c>
      <c r="G179" s="219">
        <f>IFERROR(__xludf.DUMMYFUNCTION("""COMPUTED_VALUE"""),1.9801353179999998E8)</f>
        <v>198013531.8</v>
      </c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  <c r="AA179" s="220"/>
      <c r="AB179" s="220"/>
    </row>
    <row r="180">
      <c r="A180" s="215">
        <f>IFERROR(__xludf.DUMMYFUNCTION("""COMPUTED_VALUE"""),46283.0)</f>
        <v>46283</v>
      </c>
      <c r="B180" s="216">
        <f>IFERROR(__xludf.DUMMYFUNCTION("""COMPUTED_VALUE"""),1.0)</f>
        <v>1</v>
      </c>
      <c r="C180" s="216" t="str">
        <f t="shared" si="1"/>
        <v>INV-20260918-1</v>
      </c>
      <c r="D180" s="217" t="s">
        <v>81</v>
      </c>
      <c r="E180" s="218">
        <f>IFERROR(__xludf.DUMMYFUNCTION("""COMPUTED_VALUE"""),21701.1)</f>
        <v>21701.1</v>
      </c>
      <c r="F180" s="219">
        <f>IFERROR(__xludf.DUMMYFUNCTION("""COMPUTED_VALUE"""),17610.0)</f>
        <v>17610</v>
      </c>
      <c r="G180" s="219">
        <f>IFERROR(__xludf.DUMMYFUNCTION("""COMPUTED_VALUE"""),3.82156371E8)</f>
        <v>382156371</v>
      </c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  <c r="AA180" s="220"/>
      <c r="AB180" s="220"/>
    </row>
    <row r="181">
      <c r="A181" s="215">
        <f>IFERROR(__xludf.DUMMYFUNCTION("""COMPUTED_VALUE"""),46283.0)</f>
        <v>46283</v>
      </c>
      <c r="B181" s="216">
        <f>IFERROR(__xludf.DUMMYFUNCTION("""COMPUTED_VALUE"""),2.0)</f>
        <v>2</v>
      </c>
      <c r="C181" s="216" t="str">
        <f t="shared" si="1"/>
        <v>INV-20260918-2</v>
      </c>
      <c r="D181" s="217" t="s">
        <v>81</v>
      </c>
      <c r="E181" s="218">
        <f>IFERROR(__xludf.DUMMYFUNCTION("""COMPUTED_VALUE"""),35842.5)</f>
        <v>35842.5</v>
      </c>
      <c r="F181" s="219">
        <f>IFERROR(__xludf.DUMMYFUNCTION("""COMPUTED_VALUE"""),17615.0)</f>
        <v>17615</v>
      </c>
      <c r="G181" s="219">
        <f>IFERROR(__xludf.DUMMYFUNCTION("""COMPUTED_VALUE"""),6.313656375E8)</f>
        <v>631365637.5</v>
      </c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  <c r="AA181" s="220"/>
      <c r="AB181" s="220"/>
    </row>
    <row r="182">
      <c r="A182" s="215">
        <f>IFERROR(__xludf.DUMMYFUNCTION("""COMPUTED_VALUE"""),46283.0)</f>
        <v>46283</v>
      </c>
      <c r="B182" s="216">
        <f>IFERROR(__xludf.DUMMYFUNCTION("""COMPUTED_VALUE"""),3.0)</f>
        <v>3</v>
      </c>
      <c r="C182" s="216" t="str">
        <f t="shared" si="1"/>
        <v>INV-20260918-3</v>
      </c>
      <c r="D182" s="217" t="s">
        <v>81</v>
      </c>
      <c r="E182" s="218">
        <f>IFERROR(__xludf.DUMMYFUNCTION("""COMPUTED_VALUE"""),12895.55)</f>
        <v>12895.55</v>
      </c>
      <c r="F182" s="219">
        <f>IFERROR(__xludf.DUMMYFUNCTION("""COMPUTED_VALUE"""),17620.0)</f>
        <v>17620</v>
      </c>
      <c r="G182" s="219">
        <f>IFERROR(__xludf.DUMMYFUNCTION("""COMPUTED_VALUE"""),2.27219591E8)</f>
        <v>227219591</v>
      </c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  <c r="AA182" s="220"/>
      <c r="AB182" s="220"/>
    </row>
    <row r="183">
      <c r="A183" s="215">
        <f>IFERROR(__xludf.DUMMYFUNCTION("""COMPUTED_VALUE"""),46283.0)</f>
        <v>46283</v>
      </c>
      <c r="B183" s="216">
        <f>IFERROR(__xludf.DUMMYFUNCTION("""COMPUTED_VALUE"""),3.0)</f>
        <v>3</v>
      </c>
      <c r="C183" s="216" t="str">
        <f t="shared" si="1"/>
        <v>INV-20260918-3</v>
      </c>
      <c r="D183" s="217" t="s">
        <v>81</v>
      </c>
      <c r="E183" s="218">
        <f>IFERROR(__xludf.DUMMYFUNCTION("""COMPUTED_VALUE"""),85087.97)</f>
        <v>85087.97</v>
      </c>
      <c r="F183" s="219">
        <f>IFERROR(__xludf.DUMMYFUNCTION("""COMPUTED_VALUE"""),17620.0)</f>
        <v>17620</v>
      </c>
      <c r="G183" s="219">
        <f>IFERROR(__xludf.DUMMYFUNCTION("""COMPUTED_VALUE"""),1.4992500314E9)</f>
        <v>1499250031</v>
      </c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  <c r="AA183" s="220"/>
      <c r="AB183" s="220"/>
    </row>
    <row r="184">
      <c r="A184" s="215">
        <f>IFERROR(__xludf.DUMMYFUNCTION("""COMPUTED_VALUE"""),46283.0)</f>
        <v>46283</v>
      </c>
      <c r="B184" s="216">
        <f>IFERROR(__xludf.DUMMYFUNCTION("""COMPUTED_VALUE"""),3.0)</f>
        <v>3</v>
      </c>
      <c r="C184" s="216" t="str">
        <f t="shared" si="1"/>
        <v>INV-20260918-3</v>
      </c>
      <c r="D184" s="217" t="s">
        <v>81</v>
      </c>
      <c r="E184" s="218">
        <f>IFERROR(__xludf.DUMMYFUNCTION("""COMPUTED_VALUE"""),85087.97)</f>
        <v>85087.97</v>
      </c>
      <c r="F184" s="219">
        <f>IFERROR(__xludf.DUMMYFUNCTION("""COMPUTED_VALUE"""),17620.0)</f>
        <v>17620</v>
      </c>
      <c r="G184" s="219">
        <f>IFERROR(__xludf.DUMMYFUNCTION("""COMPUTED_VALUE"""),1.4992500314E9)</f>
        <v>1499250031</v>
      </c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  <c r="AA184" s="220"/>
      <c r="AB184" s="220"/>
    </row>
    <row r="185">
      <c r="A185" s="215">
        <f>IFERROR(__xludf.DUMMYFUNCTION("""COMPUTED_VALUE"""),46283.0)</f>
        <v>46283</v>
      </c>
      <c r="B185" s="216">
        <f>IFERROR(__xludf.DUMMYFUNCTION("""COMPUTED_VALUE"""),3.0)</f>
        <v>3</v>
      </c>
      <c r="C185" s="216" t="str">
        <f t="shared" si="1"/>
        <v>INV-20260918-3</v>
      </c>
      <c r="D185" s="217" t="s">
        <v>81</v>
      </c>
      <c r="E185" s="218">
        <f>IFERROR(__xludf.DUMMYFUNCTION("""COMPUTED_VALUE"""),2292.86)</f>
        <v>2292.86</v>
      </c>
      <c r="F185" s="219">
        <f>IFERROR(__xludf.DUMMYFUNCTION("""COMPUTED_VALUE"""),17615.0)</f>
        <v>17615</v>
      </c>
      <c r="G185" s="219">
        <f>IFERROR(__xludf.DUMMYFUNCTION("""COMPUTED_VALUE"""),4.0388728900000006E7)</f>
        <v>40388728.9</v>
      </c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  <c r="AA185" s="220"/>
      <c r="AB185" s="220"/>
    </row>
    <row r="186">
      <c r="A186" s="215">
        <f>IFERROR(__xludf.DUMMYFUNCTION("""COMPUTED_VALUE"""),46283.0)</f>
        <v>46283</v>
      </c>
      <c r="B186" s="216">
        <f>IFERROR(__xludf.DUMMYFUNCTION("""COMPUTED_VALUE"""),4.0)</f>
        <v>4</v>
      </c>
      <c r="C186" s="216" t="str">
        <f t="shared" si="1"/>
        <v>INV-20260918-4</v>
      </c>
      <c r="D186" s="217" t="s">
        <v>81</v>
      </c>
      <c r="E186" s="218">
        <f>IFERROR(__xludf.DUMMYFUNCTION("""COMPUTED_VALUE"""),105053.94)</f>
        <v>105053.94</v>
      </c>
      <c r="F186" s="219">
        <f>IFERROR(__xludf.DUMMYFUNCTION("""COMPUTED_VALUE"""),17610.0)</f>
        <v>17610</v>
      </c>
      <c r="G186" s="219">
        <f>IFERROR(__xludf.DUMMYFUNCTION("""COMPUTED_VALUE"""),1.8499998834E9)</f>
        <v>1849999883</v>
      </c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  <c r="AA186" s="220"/>
      <c r="AB186" s="220"/>
    </row>
    <row r="187">
      <c r="A187" s="215">
        <f>IFERROR(__xludf.DUMMYFUNCTION("""COMPUTED_VALUE"""),46283.0)</f>
        <v>46283</v>
      </c>
      <c r="B187" s="216">
        <f>IFERROR(__xludf.DUMMYFUNCTION("""COMPUTED_VALUE"""),5.0)</f>
        <v>5</v>
      </c>
      <c r="C187" s="216" t="str">
        <f t="shared" si="1"/>
        <v>INV-20260918-5</v>
      </c>
      <c r="D187" s="217" t="s">
        <v>81</v>
      </c>
      <c r="E187" s="218">
        <f>IFERROR(__xludf.DUMMYFUNCTION("""COMPUTED_VALUE"""),83872.79)</f>
        <v>83872.79</v>
      </c>
      <c r="F187" s="219">
        <f>IFERROR(__xludf.DUMMYFUNCTION("""COMPUTED_VALUE"""),17610.0)</f>
        <v>17610</v>
      </c>
      <c r="G187" s="219">
        <f>IFERROR(__xludf.DUMMYFUNCTION("""COMPUTED_VALUE"""),1.4769998318999999E9)</f>
        <v>1476999832</v>
      </c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  <c r="AA187" s="220"/>
      <c r="AB187" s="220"/>
    </row>
    <row r="188">
      <c r="A188" s="215">
        <f>IFERROR(__xludf.DUMMYFUNCTION("""COMPUTED_VALUE"""),46283.0)</f>
        <v>46283</v>
      </c>
      <c r="B188" s="216">
        <f>IFERROR(__xludf.DUMMYFUNCTION("""COMPUTED_VALUE"""),6.0)</f>
        <v>6</v>
      </c>
      <c r="C188" s="216" t="str">
        <f t="shared" si="1"/>
        <v>INV-20260918-6</v>
      </c>
      <c r="D188" s="217" t="s">
        <v>81</v>
      </c>
      <c r="E188" s="218">
        <f>IFERROR(__xludf.DUMMYFUNCTION("""COMPUTED_VALUE"""),3152.43)</f>
        <v>3152.43</v>
      </c>
      <c r="F188" s="219">
        <f>IFERROR(__xludf.DUMMYFUNCTION("""COMPUTED_VALUE"""),17619.0)</f>
        <v>17619</v>
      </c>
      <c r="G188" s="219">
        <f>IFERROR(__xludf.DUMMYFUNCTION("""COMPUTED_VALUE"""),5.5542664169999994E7)</f>
        <v>55542664.17</v>
      </c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  <c r="AA188" s="220"/>
      <c r="AB188" s="220"/>
    </row>
    <row r="189">
      <c r="A189" s="215">
        <f>IFERROR(__xludf.DUMMYFUNCTION("""COMPUTED_VALUE"""),46283.0)</f>
        <v>46283</v>
      </c>
      <c r="B189" s="216">
        <f>IFERROR(__xludf.DUMMYFUNCTION("""COMPUTED_VALUE"""),6.0)</f>
        <v>6</v>
      </c>
      <c r="C189" s="216" t="str">
        <f t="shared" si="1"/>
        <v>INV-20260918-6</v>
      </c>
      <c r="D189" s="217" t="s">
        <v>81</v>
      </c>
      <c r="E189" s="218">
        <f>IFERROR(__xludf.DUMMYFUNCTION("""COMPUTED_VALUE"""),1999.0)</f>
        <v>1999</v>
      </c>
      <c r="F189" s="219">
        <f>IFERROR(__xludf.DUMMYFUNCTION("""COMPUTED_VALUE"""),17619.0)</f>
        <v>17619</v>
      </c>
      <c r="G189" s="219">
        <f>IFERROR(__xludf.DUMMYFUNCTION("""COMPUTED_VALUE"""),3.5220381E7)</f>
        <v>35220381</v>
      </c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  <c r="AA189" s="220"/>
      <c r="AB189" s="220"/>
    </row>
    <row r="190">
      <c r="A190" s="215">
        <f>IFERROR(__xludf.DUMMYFUNCTION("""COMPUTED_VALUE"""),46283.0)</f>
        <v>46283</v>
      </c>
      <c r="B190" s="216">
        <f>IFERROR(__xludf.DUMMYFUNCTION("""COMPUTED_VALUE"""),6.0)</f>
        <v>6</v>
      </c>
      <c r="C190" s="216" t="str">
        <f t="shared" si="1"/>
        <v>INV-20260918-6</v>
      </c>
      <c r="D190" s="217" t="s">
        <v>81</v>
      </c>
      <c r="E190" s="218">
        <f>IFERROR(__xludf.DUMMYFUNCTION("""COMPUTED_VALUE"""),3998.0)</f>
        <v>3998</v>
      </c>
      <c r="F190" s="219">
        <f>IFERROR(__xludf.DUMMYFUNCTION("""COMPUTED_VALUE"""),17619.0)</f>
        <v>17619</v>
      </c>
      <c r="G190" s="219">
        <f>IFERROR(__xludf.DUMMYFUNCTION("""COMPUTED_VALUE"""),7.0440762E7)</f>
        <v>70440762</v>
      </c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  <c r="AA190" s="220"/>
      <c r="AB190" s="220"/>
    </row>
    <row r="191">
      <c r="A191" s="215">
        <f>IFERROR(__xludf.DUMMYFUNCTION("""COMPUTED_VALUE"""),46283.0)</f>
        <v>46283</v>
      </c>
      <c r="B191" s="216">
        <f>IFERROR(__xludf.DUMMYFUNCTION("""COMPUTED_VALUE"""),6.0)</f>
        <v>6</v>
      </c>
      <c r="C191" s="216" t="str">
        <f t="shared" si="1"/>
        <v>INV-20260918-6</v>
      </c>
      <c r="D191" s="217" t="s">
        <v>81</v>
      </c>
      <c r="E191" s="218">
        <f>IFERROR(__xludf.DUMMYFUNCTION("""COMPUTED_VALUE"""),4997.5)</f>
        <v>4997.5</v>
      </c>
      <c r="F191" s="219">
        <f>IFERROR(__xludf.DUMMYFUNCTION("""COMPUTED_VALUE"""),17619.0)</f>
        <v>17619</v>
      </c>
      <c r="G191" s="219">
        <f>IFERROR(__xludf.DUMMYFUNCTION("""COMPUTED_VALUE"""),8.80509525E7)</f>
        <v>88050952.5</v>
      </c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  <c r="AA191" s="220"/>
      <c r="AB191" s="220"/>
    </row>
    <row r="192">
      <c r="A192" s="215">
        <f>IFERROR(__xludf.DUMMYFUNCTION("""COMPUTED_VALUE"""),46283.0)</f>
        <v>46283</v>
      </c>
      <c r="B192" s="216">
        <f>IFERROR(__xludf.DUMMYFUNCTION("""COMPUTED_VALUE"""),6.0)</f>
        <v>6</v>
      </c>
      <c r="C192" s="216" t="str">
        <f t="shared" si="1"/>
        <v>INV-20260918-6</v>
      </c>
      <c r="D192" s="217" t="s">
        <v>81</v>
      </c>
      <c r="E192" s="218">
        <f>IFERROR(__xludf.DUMMYFUNCTION("""COMPUTED_VALUE"""),3973.02)</f>
        <v>3973.02</v>
      </c>
      <c r="F192" s="219">
        <f>IFERROR(__xludf.DUMMYFUNCTION("""COMPUTED_VALUE"""),17619.0)</f>
        <v>17619</v>
      </c>
      <c r="G192" s="219">
        <f>IFERROR(__xludf.DUMMYFUNCTION("""COMPUTED_VALUE"""),7.000063938E7)</f>
        <v>70000639.38</v>
      </c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  <c r="AA192" s="220"/>
      <c r="AB192" s="220"/>
    </row>
    <row r="193">
      <c r="A193" s="215">
        <f>IFERROR(__xludf.DUMMYFUNCTION("""COMPUTED_VALUE"""),46283.0)</f>
        <v>46283</v>
      </c>
      <c r="B193" s="216">
        <f>IFERROR(__xludf.DUMMYFUNCTION("""COMPUTED_VALUE"""),6.0)</f>
        <v>6</v>
      </c>
      <c r="C193" s="216" t="str">
        <f t="shared" si="1"/>
        <v>INV-20260918-6</v>
      </c>
      <c r="D193" s="217" t="s">
        <v>81</v>
      </c>
      <c r="E193" s="218">
        <f>IFERROR(__xludf.DUMMYFUNCTION("""COMPUTED_VALUE"""),5891.73)</f>
        <v>5891.73</v>
      </c>
      <c r="F193" s="219">
        <f>IFERROR(__xludf.DUMMYFUNCTION("""COMPUTED_VALUE"""),17619.0)</f>
        <v>17619</v>
      </c>
      <c r="G193" s="219">
        <f>IFERROR(__xludf.DUMMYFUNCTION("""COMPUTED_VALUE"""),1.0380639086999999E8)</f>
        <v>103806390.9</v>
      </c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  <c r="AA193" s="220"/>
      <c r="AB193" s="220"/>
    </row>
    <row r="194">
      <c r="A194" s="215">
        <f>IFERROR(__xludf.DUMMYFUNCTION("""COMPUTED_VALUE"""),46283.0)</f>
        <v>46283</v>
      </c>
      <c r="B194" s="216">
        <f>IFERROR(__xludf.DUMMYFUNCTION("""COMPUTED_VALUE"""),6.0)</f>
        <v>6</v>
      </c>
      <c r="C194" s="216" t="str">
        <f t="shared" si="1"/>
        <v>INV-20260918-6</v>
      </c>
      <c r="D194" s="217" t="s">
        <v>81</v>
      </c>
      <c r="E194" s="218">
        <f>IFERROR(__xludf.DUMMYFUNCTION("""COMPUTED_VALUE"""),5668.67)</f>
        <v>5668.67</v>
      </c>
      <c r="F194" s="219">
        <f>IFERROR(__xludf.DUMMYFUNCTION("""COMPUTED_VALUE"""),17619.0)</f>
        <v>17619</v>
      </c>
      <c r="G194" s="219">
        <f>IFERROR(__xludf.DUMMYFUNCTION("""COMPUTED_VALUE"""),9.987629673E7)</f>
        <v>99876296.73</v>
      </c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  <c r="AA194" s="220"/>
      <c r="AB194" s="220"/>
    </row>
    <row r="195">
      <c r="A195" s="215">
        <f>IFERROR(__xludf.DUMMYFUNCTION("""COMPUTED_VALUE"""),46283.0)</f>
        <v>46283</v>
      </c>
      <c r="B195" s="216">
        <f>IFERROR(__xludf.DUMMYFUNCTION("""COMPUTED_VALUE"""),6.0)</f>
        <v>6</v>
      </c>
      <c r="C195" s="216" t="str">
        <f t="shared" si="1"/>
        <v>INV-20260918-6</v>
      </c>
      <c r="D195" s="217" t="s">
        <v>81</v>
      </c>
      <c r="E195" s="218">
        <f>IFERROR(__xludf.DUMMYFUNCTION("""COMPUTED_VALUE"""),4012.0)</f>
        <v>4012</v>
      </c>
      <c r="F195" s="219">
        <f>IFERROR(__xludf.DUMMYFUNCTION("""COMPUTED_VALUE"""),17619.0)</f>
        <v>17619</v>
      </c>
      <c r="G195" s="219">
        <f>IFERROR(__xludf.DUMMYFUNCTION("""COMPUTED_VALUE"""),7.0687428E7)</f>
        <v>70687428</v>
      </c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  <c r="AA195" s="220"/>
      <c r="AB195" s="220"/>
    </row>
    <row r="196">
      <c r="A196" s="215">
        <f>IFERROR(__xludf.DUMMYFUNCTION("""COMPUTED_VALUE"""),46283.0)</f>
        <v>46283</v>
      </c>
      <c r="B196" s="216">
        <f>IFERROR(__xludf.DUMMYFUNCTION("""COMPUTED_VALUE"""),6.0)</f>
        <v>6</v>
      </c>
      <c r="C196" s="216" t="str">
        <f t="shared" si="1"/>
        <v>INV-20260918-6</v>
      </c>
      <c r="D196" s="217" t="s">
        <v>81</v>
      </c>
      <c r="E196" s="218">
        <f>IFERROR(__xludf.DUMMYFUNCTION("""COMPUTED_VALUE"""),7552.23)</f>
        <v>7552.23</v>
      </c>
      <c r="F196" s="219">
        <f>IFERROR(__xludf.DUMMYFUNCTION("""COMPUTED_VALUE"""),17619.0)</f>
        <v>17619</v>
      </c>
      <c r="G196" s="219">
        <f>IFERROR(__xludf.DUMMYFUNCTION("""COMPUTED_VALUE"""),1.3306274036999999E8)</f>
        <v>133062740.4</v>
      </c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  <c r="AA196" s="220"/>
      <c r="AB196" s="220"/>
    </row>
    <row r="197">
      <c r="A197" s="215">
        <f>IFERROR(__xludf.DUMMYFUNCTION("""COMPUTED_VALUE"""),46283.0)</f>
        <v>46283</v>
      </c>
      <c r="B197" s="216">
        <f>IFERROR(__xludf.DUMMYFUNCTION("""COMPUTED_VALUE"""),6.0)</f>
        <v>6</v>
      </c>
      <c r="C197" s="216" t="str">
        <f t="shared" si="1"/>
        <v>INV-20260918-6</v>
      </c>
      <c r="D197" s="217" t="s">
        <v>81</v>
      </c>
      <c r="E197" s="218">
        <f>IFERROR(__xludf.DUMMYFUNCTION("""COMPUTED_VALUE"""),3998.0)</f>
        <v>3998</v>
      </c>
      <c r="F197" s="219">
        <f>IFERROR(__xludf.DUMMYFUNCTION("""COMPUTED_VALUE"""),17619.0)</f>
        <v>17619</v>
      </c>
      <c r="G197" s="219">
        <f>IFERROR(__xludf.DUMMYFUNCTION("""COMPUTED_VALUE"""),7.0440762E7)</f>
        <v>70440762</v>
      </c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  <c r="AA197" s="220"/>
      <c r="AB197" s="220"/>
    </row>
    <row r="198">
      <c r="A198" s="215">
        <f>IFERROR(__xludf.DUMMYFUNCTION("""COMPUTED_VALUE"""),46283.0)</f>
        <v>46283</v>
      </c>
      <c r="B198" s="216">
        <f>IFERROR(__xludf.DUMMYFUNCTION("""COMPUTED_VALUE"""),6.0)</f>
        <v>6</v>
      </c>
      <c r="C198" s="216" t="str">
        <f t="shared" si="1"/>
        <v>INV-20260918-6</v>
      </c>
      <c r="D198" s="217" t="s">
        <v>81</v>
      </c>
      <c r="E198" s="218">
        <f>IFERROR(__xludf.DUMMYFUNCTION("""COMPUTED_VALUE"""),6296.85)</f>
        <v>6296.85</v>
      </c>
      <c r="F198" s="219">
        <f>IFERROR(__xludf.DUMMYFUNCTION("""COMPUTED_VALUE"""),17619.0)</f>
        <v>17619</v>
      </c>
      <c r="G198" s="219">
        <f>IFERROR(__xludf.DUMMYFUNCTION("""COMPUTED_VALUE"""),1.1094420015E8)</f>
        <v>110944200.2</v>
      </c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  <c r="AA198" s="220"/>
      <c r="AB198" s="220"/>
    </row>
    <row r="199">
      <c r="A199" s="215">
        <f>IFERROR(__xludf.DUMMYFUNCTION("""COMPUTED_VALUE"""),46283.0)</f>
        <v>46283</v>
      </c>
      <c r="B199" s="216">
        <f>IFERROR(__xludf.DUMMYFUNCTION("""COMPUTED_VALUE"""),6.0)</f>
        <v>6</v>
      </c>
      <c r="C199" s="216" t="str">
        <f t="shared" si="1"/>
        <v>INV-20260918-6</v>
      </c>
      <c r="D199" s="217" t="s">
        <v>81</v>
      </c>
      <c r="E199" s="218">
        <f>IFERROR(__xludf.DUMMYFUNCTION("""COMPUTED_VALUE"""),9995.0)</f>
        <v>9995</v>
      </c>
      <c r="F199" s="219">
        <f>IFERROR(__xludf.DUMMYFUNCTION("""COMPUTED_VALUE"""),17618.0)</f>
        <v>17618</v>
      </c>
      <c r="G199" s="219">
        <f>IFERROR(__xludf.DUMMYFUNCTION("""COMPUTED_VALUE"""),1.7609191E8)</f>
        <v>176091910</v>
      </c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  <c r="AA199" s="220"/>
      <c r="AB199" s="220"/>
    </row>
    <row r="200">
      <c r="A200" s="215">
        <f>IFERROR(__xludf.DUMMYFUNCTION("""COMPUTED_VALUE"""),46283.0)</f>
        <v>46283</v>
      </c>
      <c r="B200" s="216">
        <f>IFERROR(__xludf.DUMMYFUNCTION("""COMPUTED_VALUE"""),6.0)</f>
        <v>6</v>
      </c>
      <c r="C200" s="216" t="str">
        <f t="shared" si="1"/>
        <v>INV-20260918-6</v>
      </c>
      <c r="D200" s="217" t="s">
        <v>81</v>
      </c>
      <c r="E200" s="218">
        <f>IFERROR(__xludf.DUMMYFUNCTION("""COMPUTED_VALUE"""),9106.45)</f>
        <v>9106.45</v>
      </c>
      <c r="F200" s="219">
        <f>IFERROR(__xludf.DUMMYFUNCTION("""COMPUTED_VALUE"""),17617.0)</f>
        <v>17617</v>
      </c>
      <c r="G200" s="219">
        <f>IFERROR(__xludf.DUMMYFUNCTION("""COMPUTED_VALUE"""),1.6042832965E8)</f>
        <v>160428329.7</v>
      </c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  <c r="AA200" s="220"/>
      <c r="AB200" s="220"/>
    </row>
    <row r="201">
      <c r="A201" s="215">
        <f>IFERROR(__xludf.DUMMYFUNCTION("""COMPUTED_VALUE"""),46283.0)</f>
        <v>46283</v>
      </c>
      <c r="B201" s="216">
        <f>IFERROR(__xludf.DUMMYFUNCTION("""COMPUTED_VALUE"""),6.0)</f>
        <v>6</v>
      </c>
      <c r="C201" s="216" t="str">
        <f t="shared" si="1"/>
        <v>INV-20260918-6</v>
      </c>
      <c r="D201" s="217" t="s">
        <v>81</v>
      </c>
      <c r="E201" s="218">
        <f>IFERROR(__xludf.DUMMYFUNCTION("""COMPUTED_VALUE"""),9478.06)</f>
        <v>9478.06</v>
      </c>
      <c r="F201" s="219">
        <f>IFERROR(__xludf.DUMMYFUNCTION("""COMPUTED_VALUE"""),17618.0)</f>
        <v>17618</v>
      </c>
      <c r="G201" s="219">
        <f>IFERROR(__xludf.DUMMYFUNCTION("""COMPUTED_VALUE"""),1.6698446107999998E8)</f>
        <v>166984461.1</v>
      </c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  <c r="AA201" s="220"/>
      <c r="AB201" s="220"/>
    </row>
    <row r="202">
      <c r="A202" s="215">
        <f>IFERROR(__xludf.DUMMYFUNCTION("""COMPUTED_VALUE"""),46283.0)</f>
        <v>46283</v>
      </c>
      <c r="B202" s="216">
        <f>IFERROR(__xludf.DUMMYFUNCTION("""COMPUTED_VALUE"""),6.0)</f>
        <v>6</v>
      </c>
      <c r="C202" s="216" t="str">
        <f t="shared" si="1"/>
        <v>INV-20260918-6</v>
      </c>
      <c r="D202" s="217" t="s">
        <v>81</v>
      </c>
      <c r="E202" s="218">
        <f>IFERROR(__xludf.DUMMYFUNCTION("""COMPUTED_VALUE"""),6196.9)</f>
        <v>6196.9</v>
      </c>
      <c r="F202" s="219">
        <f>IFERROR(__xludf.DUMMYFUNCTION("""COMPUTED_VALUE"""),17618.0)</f>
        <v>17618</v>
      </c>
      <c r="G202" s="219">
        <f>IFERROR(__xludf.DUMMYFUNCTION("""COMPUTED_VALUE"""),1.0917698419999999E8)</f>
        <v>109176984.2</v>
      </c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  <c r="AA202" s="220"/>
      <c r="AB202" s="220"/>
    </row>
    <row r="203">
      <c r="A203" s="215">
        <f>IFERROR(__xludf.DUMMYFUNCTION("""COMPUTED_VALUE"""),46283.0)</f>
        <v>46283</v>
      </c>
      <c r="B203" s="216">
        <f>IFERROR(__xludf.DUMMYFUNCTION("""COMPUTED_VALUE"""),6.0)</f>
        <v>6</v>
      </c>
      <c r="C203" s="216" t="str">
        <f t="shared" si="1"/>
        <v>INV-20260918-6</v>
      </c>
      <c r="D203" s="217" t="s">
        <v>81</v>
      </c>
      <c r="E203" s="218">
        <f>IFERROR(__xludf.DUMMYFUNCTION("""COMPUTED_VALUE"""),3971.22)</f>
        <v>3971.22</v>
      </c>
      <c r="F203" s="219">
        <f>IFERROR(__xludf.DUMMYFUNCTION("""COMPUTED_VALUE"""),17618.0)</f>
        <v>17618</v>
      </c>
      <c r="G203" s="219">
        <f>IFERROR(__xludf.DUMMYFUNCTION("""COMPUTED_VALUE"""),6.996495396E7)</f>
        <v>69964953.96</v>
      </c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  <c r="AA203" s="220"/>
      <c r="AB203" s="220"/>
    </row>
    <row r="204">
      <c r="A204" s="215">
        <f>IFERROR(__xludf.DUMMYFUNCTION("""COMPUTED_VALUE"""),46283.0)</f>
        <v>46283</v>
      </c>
      <c r="B204" s="216">
        <f>IFERROR(__xludf.DUMMYFUNCTION("""COMPUTED_VALUE"""),6.0)</f>
        <v>6</v>
      </c>
      <c r="C204" s="216" t="str">
        <f t="shared" si="1"/>
        <v>INV-20260918-6</v>
      </c>
      <c r="D204" s="217" t="s">
        <v>81</v>
      </c>
      <c r="E204" s="218">
        <f>IFERROR(__xludf.DUMMYFUNCTION("""COMPUTED_VALUE"""),4628.06)</f>
        <v>4628.06</v>
      </c>
      <c r="F204" s="219">
        <f>IFERROR(__xludf.DUMMYFUNCTION("""COMPUTED_VALUE"""),17618.0)</f>
        <v>17618</v>
      </c>
      <c r="G204" s="219">
        <f>IFERROR(__xludf.DUMMYFUNCTION("""COMPUTED_VALUE"""),8.153716108000001E7)</f>
        <v>81537161.08</v>
      </c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  <c r="AA204" s="220"/>
      <c r="AB204" s="220"/>
    </row>
    <row r="205">
      <c r="A205" s="215">
        <f>IFERROR(__xludf.DUMMYFUNCTION("""COMPUTED_VALUE"""),46283.0)</f>
        <v>46283</v>
      </c>
      <c r="B205" s="216">
        <f>IFERROR(__xludf.DUMMYFUNCTION("""COMPUTED_VALUE"""),6.0)</f>
        <v>6</v>
      </c>
      <c r="C205" s="216" t="str">
        <f t="shared" si="1"/>
        <v>INV-20260918-6</v>
      </c>
      <c r="D205" s="217" t="s">
        <v>81</v>
      </c>
      <c r="E205" s="218">
        <f>IFERROR(__xludf.DUMMYFUNCTION("""COMPUTED_VALUE"""),15838.64)</f>
        <v>15838.64</v>
      </c>
      <c r="F205" s="219">
        <f>IFERROR(__xludf.DUMMYFUNCTION("""COMPUTED_VALUE"""),17618.0)</f>
        <v>17618</v>
      </c>
      <c r="G205" s="219">
        <f>IFERROR(__xludf.DUMMYFUNCTION("""COMPUTED_VALUE"""),2.7904515952E8)</f>
        <v>279045159.5</v>
      </c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  <c r="AA205" s="220"/>
      <c r="AB205" s="220"/>
    </row>
    <row r="206">
      <c r="A206" s="215">
        <f>IFERROR(__xludf.DUMMYFUNCTION("""COMPUTED_VALUE"""),46283.0)</f>
        <v>46283</v>
      </c>
      <c r="B206" s="216">
        <f>IFERROR(__xludf.DUMMYFUNCTION("""COMPUTED_VALUE"""),6.0)</f>
        <v>6</v>
      </c>
      <c r="C206" s="216" t="str">
        <f t="shared" si="1"/>
        <v>INV-20260918-6</v>
      </c>
      <c r="D206" s="217" t="s">
        <v>81</v>
      </c>
      <c r="E206" s="218">
        <f>IFERROR(__xludf.DUMMYFUNCTION("""COMPUTED_VALUE"""),4997.5)</f>
        <v>4997.5</v>
      </c>
      <c r="F206" s="219">
        <f>IFERROR(__xludf.DUMMYFUNCTION("""COMPUTED_VALUE"""),17618.0)</f>
        <v>17618</v>
      </c>
      <c r="G206" s="219">
        <f>IFERROR(__xludf.DUMMYFUNCTION("""COMPUTED_VALUE"""),8.8045955E7)</f>
        <v>88045955</v>
      </c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  <c r="AA206" s="220"/>
      <c r="AB206" s="220"/>
    </row>
    <row r="207">
      <c r="A207" s="215">
        <f>IFERROR(__xludf.DUMMYFUNCTION("""COMPUTED_VALUE"""),46283.0)</f>
        <v>46283</v>
      </c>
      <c r="B207" s="216">
        <f>IFERROR(__xludf.DUMMYFUNCTION("""COMPUTED_VALUE"""),6.0)</f>
        <v>6</v>
      </c>
      <c r="C207" s="216" t="str">
        <f t="shared" si="1"/>
        <v>INV-20260918-6</v>
      </c>
      <c r="D207" s="217" t="s">
        <v>81</v>
      </c>
      <c r="E207" s="218">
        <f>IFERROR(__xludf.DUMMYFUNCTION("""COMPUTED_VALUE"""),6996.5)</f>
        <v>6996.5</v>
      </c>
      <c r="F207" s="219">
        <f>IFERROR(__xludf.DUMMYFUNCTION("""COMPUTED_VALUE"""),17620.0)</f>
        <v>17620</v>
      </c>
      <c r="G207" s="219">
        <f>IFERROR(__xludf.DUMMYFUNCTION("""COMPUTED_VALUE"""),1.2327833E8)</f>
        <v>123278330</v>
      </c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  <c r="AA207" s="220"/>
      <c r="AB207" s="220"/>
    </row>
    <row r="208">
      <c r="A208" s="215">
        <f>IFERROR(__xludf.DUMMYFUNCTION("""COMPUTED_VALUE"""),46283.0)</f>
        <v>46283</v>
      </c>
      <c r="B208" s="216">
        <f>IFERROR(__xludf.DUMMYFUNCTION("""COMPUTED_VALUE"""),6.0)</f>
        <v>6</v>
      </c>
      <c r="C208" s="216" t="str">
        <f t="shared" si="1"/>
        <v>INV-20260918-6</v>
      </c>
      <c r="D208" s="217" t="s">
        <v>81</v>
      </c>
      <c r="E208" s="218">
        <f>IFERROR(__xludf.DUMMYFUNCTION("""COMPUTED_VALUE"""),2498.75)</f>
        <v>2498.75</v>
      </c>
      <c r="F208" s="219">
        <f>IFERROR(__xludf.DUMMYFUNCTION("""COMPUTED_VALUE"""),17620.0)</f>
        <v>17620</v>
      </c>
      <c r="G208" s="219">
        <f>IFERROR(__xludf.DUMMYFUNCTION("""COMPUTED_VALUE"""),4.4027975E7)</f>
        <v>44027975</v>
      </c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  <c r="AA208" s="220"/>
      <c r="AB208" s="220"/>
    </row>
    <row r="209">
      <c r="A209" s="215">
        <f>IFERROR(__xludf.DUMMYFUNCTION("""COMPUTED_VALUE"""),46283.0)</f>
        <v>46283</v>
      </c>
      <c r="B209" s="216">
        <f>IFERROR(__xludf.DUMMYFUNCTION("""COMPUTED_VALUE"""),6.0)</f>
        <v>6</v>
      </c>
      <c r="C209" s="216" t="str">
        <f t="shared" si="1"/>
        <v>INV-20260918-6</v>
      </c>
      <c r="D209" s="217" t="s">
        <v>81</v>
      </c>
      <c r="E209" s="218">
        <f>IFERROR(__xludf.DUMMYFUNCTION("""COMPUTED_VALUE"""),4997.5)</f>
        <v>4997.5</v>
      </c>
      <c r="F209" s="219">
        <f>IFERROR(__xludf.DUMMYFUNCTION("""COMPUTED_VALUE"""),17620.0)</f>
        <v>17620</v>
      </c>
      <c r="G209" s="219">
        <f>IFERROR(__xludf.DUMMYFUNCTION("""COMPUTED_VALUE"""),8.805595E7)</f>
        <v>88055950</v>
      </c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  <c r="AA209" s="220"/>
      <c r="AB209" s="220"/>
    </row>
    <row r="210">
      <c r="A210" s="215">
        <f>IFERROR(__xludf.DUMMYFUNCTION("""COMPUTED_VALUE"""),46283.0)</f>
        <v>46283</v>
      </c>
      <c r="B210" s="216">
        <f>IFERROR(__xludf.DUMMYFUNCTION("""COMPUTED_VALUE"""),6.0)</f>
        <v>6</v>
      </c>
      <c r="C210" s="216" t="str">
        <f t="shared" si="1"/>
        <v>INV-20260918-6</v>
      </c>
      <c r="D210" s="217" t="s">
        <v>81</v>
      </c>
      <c r="E210" s="218">
        <f>IFERROR(__xludf.DUMMYFUNCTION("""COMPUTED_VALUE"""),9995.0)</f>
        <v>9995</v>
      </c>
      <c r="F210" s="219">
        <f>IFERROR(__xludf.DUMMYFUNCTION("""COMPUTED_VALUE"""),17626.0)</f>
        <v>17626</v>
      </c>
      <c r="G210" s="219">
        <f>IFERROR(__xludf.DUMMYFUNCTION("""COMPUTED_VALUE"""),1.7617187E8)</f>
        <v>176171870</v>
      </c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  <c r="AA210" s="220"/>
      <c r="AB210" s="220"/>
    </row>
    <row r="211">
      <c r="A211" s="215">
        <f>IFERROR(__xludf.DUMMYFUNCTION("""COMPUTED_VALUE"""),46283.0)</f>
        <v>46283</v>
      </c>
      <c r="B211" s="216">
        <f>IFERROR(__xludf.DUMMYFUNCTION("""COMPUTED_VALUE"""),6.0)</f>
        <v>6</v>
      </c>
      <c r="C211" s="216" t="str">
        <f t="shared" si="1"/>
        <v>INV-20260918-6</v>
      </c>
      <c r="D211" s="217" t="s">
        <v>81</v>
      </c>
      <c r="E211" s="218">
        <f>IFERROR(__xludf.DUMMYFUNCTION("""COMPUTED_VALUE"""),2498.75)</f>
        <v>2498.75</v>
      </c>
      <c r="F211" s="219">
        <f>IFERROR(__xludf.DUMMYFUNCTION("""COMPUTED_VALUE"""),17626.0)</f>
        <v>17626</v>
      </c>
      <c r="G211" s="219">
        <f>IFERROR(__xludf.DUMMYFUNCTION("""COMPUTED_VALUE"""),4.40429675E7)</f>
        <v>44042967.5</v>
      </c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  <c r="AA211" s="220"/>
      <c r="AB211" s="220"/>
    </row>
    <row r="212">
      <c r="A212" s="215">
        <f>IFERROR(__xludf.DUMMYFUNCTION("""COMPUTED_VALUE"""),46283.0)</f>
        <v>46283</v>
      </c>
      <c r="B212" s="216">
        <f>IFERROR(__xludf.DUMMYFUNCTION("""COMPUTED_VALUE"""),6.0)</f>
        <v>6</v>
      </c>
      <c r="C212" s="216" t="str">
        <f t="shared" si="1"/>
        <v>INV-20260918-6</v>
      </c>
      <c r="D212" s="217" t="s">
        <v>81</v>
      </c>
      <c r="E212" s="218">
        <f>IFERROR(__xludf.DUMMYFUNCTION("""COMPUTED_VALUE"""),2998.5)</f>
        <v>2998.5</v>
      </c>
      <c r="F212" s="219">
        <f>IFERROR(__xludf.DUMMYFUNCTION("""COMPUTED_VALUE"""),17626.0)</f>
        <v>17626</v>
      </c>
      <c r="G212" s="219">
        <f>IFERROR(__xludf.DUMMYFUNCTION("""COMPUTED_VALUE"""),5.2851561E7)</f>
        <v>52851561</v>
      </c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  <c r="AA212" s="220"/>
      <c r="AB212" s="220"/>
    </row>
    <row r="213">
      <c r="A213" s="215">
        <f>IFERROR(__xludf.DUMMYFUNCTION("""COMPUTED_VALUE"""),46283.0)</f>
        <v>46283</v>
      </c>
      <c r="B213" s="216">
        <f>IFERROR(__xludf.DUMMYFUNCTION("""COMPUTED_VALUE"""),6.0)</f>
        <v>6</v>
      </c>
      <c r="C213" s="216" t="str">
        <f t="shared" si="1"/>
        <v>INV-20260918-6</v>
      </c>
      <c r="D213" s="217" t="s">
        <v>81</v>
      </c>
      <c r="E213" s="218">
        <f>IFERROR(__xludf.DUMMYFUNCTION("""COMPUTED_VALUE"""),2268.24)</f>
        <v>2268.24</v>
      </c>
      <c r="F213" s="219">
        <f>IFERROR(__xludf.DUMMYFUNCTION("""COMPUTED_VALUE"""),17626.0)</f>
        <v>17626</v>
      </c>
      <c r="G213" s="219">
        <f>IFERROR(__xludf.DUMMYFUNCTION("""COMPUTED_VALUE"""),3.9979998239999995E7)</f>
        <v>39979998.24</v>
      </c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  <c r="AA213" s="220"/>
      <c r="AB213" s="220"/>
    </row>
    <row r="214">
      <c r="A214" s="215">
        <f>IFERROR(__xludf.DUMMYFUNCTION("""COMPUTED_VALUE"""),46283.0)</f>
        <v>46283</v>
      </c>
      <c r="B214" s="216">
        <f>IFERROR(__xludf.DUMMYFUNCTION("""COMPUTED_VALUE"""),6.0)</f>
        <v>6</v>
      </c>
      <c r="C214" s="216" t="str">
        <f t="shared" si="1"/>
        <v>INV-20260918-6</v>
      </c>
      <c r="D214" s="217" t="s">
        <v>81</v>
      </c>
      <c r="E214" s="218">
        <f>IFERROR(__xludf.DUMMYFUNCTION("""COMPUTED_VALUE"""),14497.75)</f>
        <v>14497.75</v>
      </c>
      <c r="F214" s="219">
        <f>IFERROR(__xludf.DUMMYFUNCTION("""COMPUTED_VALUE"""),17626.0)</f>
        <v>17626</v>
      </c>
      <c r="G214" s="219">
        <f>IFERROR(__xludf.DUMMYFUNCTION("""COMPUTED_VALUE"""),2.555373415E8)</f>
        <v>255537341.5</v>
      </c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  <c r="AA214" s="220"/>
      <c r="AB214" s="220"/>
    </row>
    <row r="215">
      <c r="A215" s="215">
        <f>IFERROR(__xludf.DUMMYFUNCTION("""COMPUTED_VALUE"""),46283.0)</f>
        <v>46283</v>
      </c>
      <c r="B215" s="216">
        <f>IFERROR(__xludf.DUMMYFUNCTION("""COMPUTED_VALUE"""),6.0)</f>
        <v>6</v>
      </c>
      <c r="C215" s="216" t="str">
        <f t="shared" si="1"/>
        <v>INV-20260918-6</v>
      </c>
      <c r="D215" s="217" t="s">
        <v>81</v>
      </c>
      <c r="E215" s="218">
        <f>IFERROR(__xludf.DUMMYFUNCTION("""COMPUTED_VALUE"""),7996.0)</f>
        <v>7996</v>
      </c>
      <c r="F215" s="219">
        <f>IFERROR(__xludf.DUMMYFUNCTION("""COMPUTED_VALUE"""),17626.0)</f>
        <v>17626</v>
      </c>
      <c r="G215" s="219">
        <f>IFERROR(__xludf.DUMMYFUNCTION("""COMPUTED_VALUE"""),1.40937496E8)</f>
        <v>140937496</v>
      </c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  <c r="AA215" s="220"/>
      <c r="AB215" s="220"/>
    </row>
    <row r="216">
      <c r="A216" s="215">
        <f>IFERROR(__xludf.DUMMYFUNCTION("""COMPUTED_VALUE"""),46283.0)</f>
        <v>46283</v>
      </c>
      <c r="B216" s="216">
        <f>IFERROR(__xludf.DUMMYFUNCTION("""COMPUTED_VALUE"""),6.0)</f>
        <v>6</v>
      </c>
      <c r="C216" s="216" t="str">
        <f t="shared" si="1"/>
        <v>INV-20260918-6</v>
      </c>
      <c r="D216" s="217" t="s">
        <v>81</v>
      </c>
      <c r="E216" s="218">
        <f>IFERROR(__xludf.DUMMYFUNCTION("""COMPUTED_VALUE"""),4035.99)</f>
        <v>4035.99</v>
      </c>
      <c r="F216" s="219">
        <f>IFERROR(__xludf.DUMMYFUNCTION("""COMPUTED_VALUE"""),17626.0)</f>
        <v>17626</v>
      </c>
      <c r="G216" s="219">
        <f>IFERROR(__xludf.DUMMYFUNCTION("""COMPUTED_VALUE"""),7.113835974E7)</f>
        <v>71138359.74</v>
      </c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  <c r="AA216" s="220"/>
      <c r="AB216" s="220"/>
    </row>
    <row r="217">
      <c r="A217" s="215">
        <f>IFERROR(__xludf.DUMMYFUNCTION("""COMPUTED_VALUE"""),46283.0)</f>
        <v>46283</v>
      </c>
      <c r="B217" s="216">
        <f>IFERROR(__xludf.DUMMYFUNCTION("""COMPUTED_VALUE"""),6.0)</f>
        <v>6</v>
      </c>
      <c r="C217" s="216" t="str">
        <f t="shared" si="1"/>
        <v>INV-20260918-6</v>
      </c>
      <c r="D217" s="217" t="s">
        <v>81</v>
      </c>
      <c r="E217" s="218">
        <f>IFERROR(__xludf.DUMMYFUNCTION("""COMPUTED_VALUE"""),2998.5)</f>
        <v>2998.5</v>
      </c>
      <c r="F217" s="219">
        <f>IFERROR(__xludf.DUMMYFUNCTION("""COMPUTED_VALUE"""),17626.0)</f>
        <v>17626</v>
      </c>
      <c r="G217" s="219">
        <f>IFERROR(__xludf.DUMMYFUNCTION("""COMPUTED_VALUE"""),5.2851561E7)</f>
        <v>52851561</v>
      </c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  <c r="AA217" s="220"/>
      <c r="AB217" s="220"/>
    </row>
    <row r="218">
      <c r="A218" s="215">
        <f>IFERROR(__xludf.DUMMYFUNCTION("""COMPUTED_VALUE"""),46283.0)</f>
        <v>46283</v>
      </c>
      <c r="B218" s="216">
        <f>IFERROR(__xludf.DUMMYFUNCTION("""COMPUTED_VALUE"""),6.0)</f>
        <v>6</v>
      </c>
      <c r="C218" s="216" t="str">
        <f t="shared" si="1"/>
        <v>INV-20260918-6</v>
      </c>
      <c r="D218" s="217" t="s">
        <v>81</v>
      </c>
      <c r="E218" s="218">
        <f>IFERROR(__xludf.DUMMYFUNCTION("""COMPUTED_VALUE"""),29885.05)</f>
        <v>29885.05</v>
      </c>
      <c r="F218" s="219">
        <f>IFERROR(__xludf.DUMMYFUNCTION("""COMPUTED_VALUE"""),17624.0)</f>
        <v>17624</v>
      </c>
      <c r="G218" s="219">
        <f>IFERROR(__xludf.DUMMYFUNCTION("""COMPUTED_VALUE"""),5.266941212E8)</f>
        <v>526694121.2</v>
      </c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  <c r="AA218" s="220"/>
      <c r="AB218" s="220"/>
    </row>
    <row r="219">
      <c r="A219" s="215">
        <f>IFERROR(__xludf.DUMMYFUNCTION("""COMPUTED_VALUE"""),46283.0)</f>
        <v>46283</v>
      </c>
      <c r="B219" s="216">
        <f>IFERROR(__xludf.DUMMYFUNCTION("""COMPUTED_VALUE"""),6.0)</f>
        <v>6</v>
      </c>
      <c r="C219" s="216" t="str">
        <f t="shared" si="1"/>
        <v>INV-20260918-6</v>
      </c>
      <c r="D219" s="217" t="s">
        <v>81</v>
      </c>
      <c r="E219" s="218">
        <f>IFERROR(__xludf.DUMMYFUNCTION("""COMPUTED_VALUE"""),20051.97)</f>
        <v>20051.97</v>
      </c>
      <c r="F219" s="219">
        <f>IFERROR(__xludf.DUMMYFUNCTION("""COMPUTED_VALUE"""),17624.0)</f>
        <v>17624</v>
      </c>
      <c r="G219" s="219">
        <f>IFERROR(__xludf.DUMMYFUNCTION("""COMPUTED_VALUE"""),3.5339591928000003E8)</f>
        <v>353395919.3</v>
      </c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  <c r="AA219" s="220"/>
      <c r="AB219" s="220"/>
    </row>
    <row r="220">
      <c r="A220" s="215">
        <f>IFERROR(__xludf.DUMMYFUNCTION("""COMPUTED_VALUE"""),46284.0)</f>
        <v>46284</v>
      </c>
      <c r="B220" s="216">
        <f>IFERROR(__xludf.DUMMYFUNCTION("""COMPUTED_VALUE"""),1.0)</f>
        <v>1</v>
      </c>
      <c r="C220" s="216" t="str">
        <f t="shared" si="1"/>
        <v>INV-20260919-1</v>
      </c>
      <c r="D220" s="217" t="s">
        <v>81</v>
      </c>
      <c r="E220" s="218">
        <f>IFERROR(__xludf.DUMMYFUNCTION("""COMPUTED_VALUE"""),59897.49)</f>
        <v>59897.49</v>
      </c>
      <c r="F220" s="219">
        <f>IFERROR(__xludf.DUMMYFUNCTION("""COMPUTED_VALUE"""),17560.0)</f>
        <v>17560</v>
      </c>
      <c r="G220" s="219">
        <f>IFERROR(__xludf.DUMMYFUNCTION("""COMPUTED_VALUE"""),1.0517999244E9)</f>
        <v>1051799924</v>
      </c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  <c r="AA220" s="220"/>
      <c r="AB220" s="220"/>
    </row>
    <row r="221">
      <c r="A221" s="215">
        <f>IFERROR(__xludf.DUMMYFUNCTION("""COMPUTED_VALUE"""),46284.0)</f>
        <v>46284</v>
      </c>
      <c r="B221" s="216">
        <f>IFERROR(__xludf.DUMMYFUNCTION("""COMPUTED_VALUE"""),2.0)</f>
        <v>2</v>
      </c>
      <c r="C221" s="216" t="str">
        <f t="shared" si="1"/>
        <v>INV-20260919-2</v>
      </c>
      <c r="D221" s="217" t="s">
        <v>81</v>
      </c>
      <c r="E221" s="218">
        <f>IFERROR(__xludf.DUMMYFUNCTION("""COMPUTED_VALUE"""),28449.5)</f>
        <v>28449.5</v>
      </c>
      <c r="F221" s="219">
        <f>IFERROR(__xludf.DUMMYFUNCTION("""COMPUTED_VALUE"""),17575.0)</f>
        <v>17575</v>
      </c>
      <c r="G221" s="219">
        <f>IFERROR(__xludf.DUMMYFUNCTION("""COMPUTED_VALUE"""),4.999999625E8)</f>
        <v>499999962.5</v>
      </c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  <c r="AA221" s="220"/>
      <c r="AB221" s="220"/>
    </row>
    <row r="222">
      <c r="A222" s="215">
        <f>IFERROR(__xludf.DUMMYFUNCTION("""COMPUTED_VALUE"""),46284.0)</f>
        <v>46284</v>
      </c>
      <c r="B222" s="216">
        <f>IFERROR(__xludf.DUMMYFUNCTION("""COMPUTED_VALUE"""),3.0)</f>
        <v>3</v>
      </c>
      <c r="C222" s="216" t="str">
        <f t="shared" si="1"/>
        <v>INV-20260919-3</v>
      </c>
      <c r="D222" s="217" t="s">
        <v>81</v>
      </c>
      <c r="E222" s="218">
        <f>IFERROR(__xludf.DUMMYFUNCTION("""COMPUTED_VALUE"""),14618.77)</f>
        <v>14618.77</v>
      </c>
      <c r="F222" s="219">
        <f>IFERROR(__xludf.DUMMYFUNCTION("""COMPUTED_VALUE"""),17560.0)</f>
        <v>17560</v>
      </c>
      <c r="G222" s="219">
        <f>IFERROR(__xludf.DUMMYFUNCTION("""COMPUTED_VALUE"""),2.5670560120000002E8)</f>
        <v>256705601.2</v>
      </c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  <c r="AA222" s="220"/>
      <c r="AB222" s="220"/>
    </row>
    <row r="223">
      <c r="A223" s="215">
        <f>IFERROR(__xludf.DUMMYFUNCTION("""COMPUTED_VALUE"""),46284.0)</f>
        <v>46284</v>
      </c>
      <c r="B223" s="216">
        <f>IFERROR(__xludf.DUMMYFUNCTION("""COMPUTED_VALUE"""),3.0)</f>
        <v>3</v>
      </c>
      <c r="C223" s="216" t="str">
        <f t="shared" si="1"/>
        <v>INV-20260919-3</v>
      </c>
      <c r="D223" s="217" t="s">
        <v>81</v>
      </c>
      <c r="E223" s="218">
        <f>IFERROR(__xludf.DUMMYFUNCTION("""COMPUTED_VALUE"""),2298.85)</f>
        <v>2298.85</v>
      </c>
      <c r="F223" s="219">
        <f>IFERROR(__xludf.DUMMYFUNCTION("""COMPUTED_VALUE"""),17560.0)</f>
        <v>17560</v>
      </c>
      <c r="G223" s="219">
        <f>IFERROR(__xludf.DUMMYFUNCTION("""COMPUTED_VALUE"""),4.0367806E7)</f>
        <v>40367806</v>
      </c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  <c r="AA223" s="220"/>
      <c r="AB223" s="220"/>
    </row>
    <row r="224">
      <c r="A224" s="215">
        <f>IFERROR(__xludf.DUMMYFUNCTION("""COMPUTED_VALUE"""),46284.0)</f>
        <v>46284</v>
      </c>
      <c r="B224" s="216">
        <f>IFERROR(__xludf.DUMMYFUNCTION("""COMPUTED_VALUE"""),3.0)</f>
        <v>3</v>
      </c>
      <c r="C224" s="216" t="str">
        <f t="shared" si="1"/>
        <v>INV-20260919-3</v>
      </c>
      <c r="D224" s="217" t="s">
        <v>81</v>
      </c>
      <c r="E224" s="218">
        <f>IFERROR(__xludf.DUMMYFUNCTION("""COMPUTED_VALUE"""),11543.15)</f>
        <v>11543.15</v>
      </c>
      <c r="F224" s="219">
        <f>IFERROR(__xludf.DUMMYFUNCTION("""COMPUTED_VALUE"""),17560.0)</f>
        <v>17560</v>
      </c>
      <c r="G224" s="219">
        <f>IFERROR(__xludf.DUMMYFUNCTION("""COMPUTED_VALUE"""),2.02697714E8)</f>
        <v>202697714</v>
      </c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  <c r="AA224" s="220"/>
      <c r="AB224" s="220"/>
    </row>
    <row r="225">
      <c r="A225" s="215">
        <f>IFERROR(__xludf.DUMMYFUNCTION("""COMPUTED_VALUE"""),46284.0)</f>
        <v>46284</v>
      </c>
      <c r="B225" s="216">
        <f>IFERROR(__xludf.DUMMYFUNCTION("""COMPUTED_VALUE"""),3.0)</f>
        <v>3</v>
      </c>
      <c r="C225" s="216" t="str">
        <f t="shared" si="1"/>
        <v>INV-20260919-3</v>
      </c>
      <c r="D225" s="217" t="s">
        <v>81</v>
      </c>
      <c r="E225" s="218">
        <f>IFERROR(__xludf.DUMMYFUNCTION("""COMPUTED_VALUE"""),27986.0)</f>
        <v>27986</v>
      </c>
      <c r="F225" s="219">
        <f>IFERROR(__xludf.DUMMYFUNCTION("""COMPUTED_VALUE"""),17558.0)</f>
        <v>17558</v>
      </c>
      <c r="G225" s="219">
        <f>IFERROR(__xludf.DUMMYFUNCTION("""COMPUTED_VALUE"""),4.91378188E8)</f>
        <v>491378188</v>
      </c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  <c r="AA225" s="220"/>
      <c r="AB225" s="220"/>
    </row>
    <row r="226">
      <c r="A226" s="215">
        <f>IFERROR(__xludf.DUMMYFUNCTION("""COMPUTED_VALUE"""),46284.0)</f>
        <v>46284</v>
      </c>
      <c r="B226" s="216">
        <f>IFERROR(__xludf.DUMMYFUNCTION("""COMPUTED_VALUE"""),4.0)</f>
        <v>4</v>
      </c>
      <c r="C226" s="216" t="str">
        <f t="shared" si="1"/>
        <v>INV-20260919-4</v>
      </c>
      <c r="D226" s="217" t="s">
        <v>81</v>
      </c>
      <c r="E226" s="218">
        <f>IFERROR(__xludf.DUMMYFUNCTION("""COMPUTED_VALUE"""),5497.25)</f>
        <v>5497.25</v>
      </c>
      <c r="F226" s="219">
        <f>IFERROR(__xludf.DUMMYFUNCTION("""COMPUTED_VALUE"""),17550.0)</f>
        <v>17550</v>
      </c>
      <c r="G226" s="219">
        <f>IFERROR(__xludf.DUMMYFUNCTION("""COMPUTED_VALUE"""),9.64767375E7)</f>
        <v>96476737.5</v>
      </c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  <c r="AA226" s="220"/>
      <c r="AB226" s="220"/>
    </row>
    <row r="227">
      <c r="A227" s="215">
        <f>IFERROR(__xludf.DUMMYFUNCTION("""COMPUTED_VALUE"""),46284.0)</f>
        <v>46284</v>
      </c>
      <c r="B227" s="216">
        <f>IFERROR(__xludf.DUMMYFUNCTION("""COMPUTED_VALUE"""),4.0)</f>
        <v>4</v>
      </c>
      <c r="C227" s="216" t="str">
        <f t="shared" si="1"/>
        <v>INV-20260919-4</v>
      </c>
      <c r="D227" s="217" t="s">
        <v>81</v>
      </c>
      <c r="E227" s="218">
        <f>IFERROR(__xludf.DUMMYFUNCTION("""COMPUTED_VALUE"""),51874.05)</f>
        <v>51874.05</v>
      </c>
      <c r="F227" s="219">
        <f>IFERROR(__xludf.DUMMYFUNCTION("""COMPUTED_VALUE"""),17550.0)</f>
        <v>17550</v>
      </c>
      <c r="G227" s="219">
        <f>IFERROR(__xludf.DUMMYFUNCTION("""COMPUTED_VALUE"""),9.103895775E8)</f>
        <v>910389577.5</v>
      </c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  <c r="AA227" s="220"/>
      <c r="AB227" s="220"/>
    </row>
    <row r="228">
      <c r="A228" s="215">
        <f>IFERROR(__xludf.DUMMYFUNCTION("""COMPUTED_VALUE"""),46284.0)</f>
        <v>46284</v>
      </c>
      <c r="B228" s="216">
        <f>IFERROR(__xludf.DUMMYFUNCTION("""COMPUTED_VALUE"""),5.0)</f>
        <v>5</v>
      </c>
      <c r="C228" s="216" t="str">
        <f t="shared" si="1"/>
        <v>INV-20260919-5</v>
      </c>
      <c r="D228" s="217" t="s">
        <v>81</v>
      </c>
      <c r="E228" s="218">
        <f>IFERROR(__xludf.DUMMYFUNCTION("""COMPUTED_VALUE"""),102207.89)</f>
        <v>102207.89</v>
      </c>
      <c r="F228" s="219">
        <f>IFERROR(__xludf.DUMMYFUNCTION("""COMPUTED_VALUE"""),17540.0)</f>
        <v>17540</v>
      </c>
      <c r="G228" s="219">
        <f>IFERROR(__xludf.DUMMYFUNCTION("""COMPUTED_VALUE"""),1.7927263906E9)</f>
        <v>1792726391</v>
      </c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  <c r="AA228" s="220"/>
      <c r="AB228" s="220"/>
    </row>
    <row r="229">
      <c r="A229" s="215">
        <f>IFERROR(__xludf.DUMMYFUNCTION("""COMPUTED_VALUE"""),46284.0)</f>
        <v>46284</v>
      </c>
      <c r="B229" s="216">
        <f>IFERROR(__xludf.DUMMYFUNCTION("""COMPUTED_VALUE"""),6.0)</f>
        <v>6</v>
      </c>
      <c r="C229" s="216" t="str">
        <f t="shared" si="1"/>
        <v>INV-20260919-6</v>
      </c>
      <c r="D229" s="217" t="s">
        <v>81</v>
      </c>
      <c r="E229" s="218">
        <f>IFERROR(__xludf.DUMMYFUNCTION("""COMPUTED_VALUE"""),2396.69)</f>
        <v>2396.69</v>
      </c>
      <c r="F229" s="219">
        <f>IFERROR(__xludf.DUMMYFUNCTION("""COMPUTED_VALUE"""),17545.0)</f>
        <v>17545</v>
      </c>
      <c r="G229" s="219">
        <f>IFERROR(__xludf.DUMMYFUNCTION("""COMPUTED_VALUE"""),4.2049926050000004E7)</f>
        <v>42049926.05</v>
      </c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  <c r="AA229" s="220"/>
      <c r="AB229" s="220"/>
    </row>
    <row r="230">
      <c r="A230" s="215">
        <f>IFERROR(__xludf.DUMMYFUNCTION("""COMPUTED_VALUE"""),46284.0)</f>
        <v>46284</v>
      </c>
      <c r="B230" s="216">
        <f>IFERROR(__xludf.DUMMYFUNCTION("""COMPUTED_VALUE"""),6.0)</f>
        <v>6</v>
      </c>
      <c r="C230" s="216" t="str">
        <f t="shared" si="1"/>
        <v>INV-20260919-6</v>
      </c>
      <c r="D230" s="217" t="s">
        <v>81</v>
      </c>
      <c r="E230" s="218">
        <f>IFERROR(__xludf.DUMMYFUNCTION("""COMPUTED_VALUE"""),3998.0)</f>
        <v>3998</v>
      </c>
      <c r="F230" s="219">
        <f>IFERROR(__xludf.DUMMYFUNCTION("""COMPUTED_VALUE"""),17545.0)</f>
        <v>17545</v>
      </c>
      <c r="G230" s="219">
        <f>IFERROR(__xludf.DUMMYFUNCTION("""COMPUTED_VALUE"""),7.014491E7)</f>
        <v>70144910</v>
      </c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  <c r="AA230" s="220"/>
      <c r="AB230" s="220"/>
    </row>
    <row r="231">
      <c r="A231" s="215">
        <f>IFERROR(__xludf.DUMMYFUNCTION("""COMPUTED_VALUE"""),46284.0)</f>
        <v>46284</v>
      </c>
      <c r="B231" s="216">
        <f>IFERROR(__xludf.DUMMYFUNCTION("""COMPUTED_VALUE"""),6.0)</f>
        <v>6</v>
      </c>
      <c r="C231" s="216" t="str">
        <f t="shared" si="1"/>
        <v>INV-20260919-6</v>
      </c>
      <c r="D231" s="217" t="s">
        <v>81</v>
      </c>
      <c r="E231" s="218">
        <f>IFERROR(__xludf.DUMMYFUNCTION("""COMPUTED_VALUE"""),3173.42)</f>
        <v>3173.42</v>
      </c>
      <c r="F231" s="219">
        <f>IFERROR(__xludf.DUMMYFUNCTION("""COMPUTED_VALUE"""),17540.0)</f>
        <v>17540</v>
      </c>
      <c r="G231" s="219">
        <f>IFERROR(__xludf.DUMMYFUNCTION("""COMPUTED_VALUE"""),5.5661786800000004E7)</f>
        <v>55661786.8</v>
      </c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  <c r="AA231" s="220"/>
      <c r="AB231" s="220"/>
    </row>
    <row r="232">
      <c r="A232" s="215">
        <f>IFERROR(__xludf.DUMMYFUNCTION("""COMPUTED_VALUE"""),46284.0)</f>
        <v>46284</v>
      </c>
      <c r="B232" s="216">
        <f>IFERROR(__xludf.DUMMYFUNCTION("""COMPUTED_VALUE"""),6.0)</f>
        <v>6</v>
      </c>
      <c r="C232" s="216" t="str">
        <f t="shared" si="1"/>
        <v>INV-20260919-6</v>
      </c>
      <c r="D232" s="217" t="s">
        <v>81</v>
      </c>
      <c r="E232" s="218">
        <f>IFERROR(__xludf.DUMMYFUNCTION("""COMPUTED_VALUE"""),28465.69)</f>
        <v>28465.69</v>
      </c>
      <c r="F232" s="219">
        <f>IFERROR(__xludf.DUMMYFUNCTION("""COMPUTED_VALUE"""),17565.0)</f>
        <v>17565</v>
      </c>
      <c r="G232" s="219">
        <f>IFERROR(__xludf.DUMMYFUNCTION("""COMPUTED_VALUE"""),4.9999984484999996E8)</f>
        <v>499999844.9</v>
      </c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  <c r="AA232" s="220"/>
      <c r="AB232" s="220"/>
    </row>
    <row r="233">
      <c r="A233" s="215">
        <f>IFERROR(__xludf.DUMMYFUNCTION("""COMPUTED_VALUE"""),46284.0)</f>
        <v>46284</v>
      </c>
      <c r="B233" s="216">
        <f>IFERROR(__xludf.DUMMYFUNCTION("""COMPUTED_VALUE"""),6.0)</f>
        <v>6</v>
      </c>
      <c r="C233" s="216" t="str">
        <f t="shared" si="1"/>
        <v>INV-20260919-6</v>
      </c>
      <c r="D233" s="217" t="s">
        <v>81</v>
      </c>
      <c r="E233" s="218">
        <f>IFERROR(__xludf.DUMMYFUNCTION("""COMPUTED_VALUE"""),5097.45)</f>
        <v>5097.45</v>
      </c>
      <c r="F233" s="219">
        <f>IFERROR(__xludf.DUMMYFUNCTION("""COMPUTED_VALUE"""),17543.0)</f>
        <v>17543</v>
      </c>
      <c r="G233" s="219">
        <f>IFERROR(__xludf.DUMMYFUNCTION("""COMPUTED_VALUE"""),8.942456535E7)</f>
        <v>89424565.35</v>
      </c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  <c r="AA233" s="220"/>
      <c r="AB233" s="220"/>
    </row>
    <row r="234">
      <c r="A234" s="215">
        <f>IFERROR(__xludf.DUMMYFUNCTION("""COMPUTED_VALUE"""),46284.0)</f>
        <v>46284</v>
      </c>
      <c r="B234" s="216">
        <f>IFERROR(__xludf.DUMMYFUNCTION("""COMPUTED_VALUE"""),6.0)</f>
        <v>6</v>
      </c>
      <c r="C234" s="216" t="str">
        <f t="shared" si="1"/>
        <v>INV-20260919-6</v>
      </c>
      <c r="D234" s="217" t="s">
        <v>81</v>
      </c>
      <c r="E234" s="218">
        <f>IFERROR(__xludf.DUMMYFUNCTION("""COMPUTED_VALUE"""),28467.31)</f>
        <v>28467.31</v>
      </c>
      <c r="F234" s="219">
        <f>IFERROR(__xludf.DUMMYFUNCTION("""COMPUTED_VALUE"""),17564.0)</f>
        <v>17564</v>
      </c>
      <c r="G234" s="219">
        <f>IFERROR(__xludf.DUMMYFUNCTION("""COMPUTED_VALUE"""),4.9999983284000003E8)</f>
        <v>499999832.8</v>
      </c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  <c r="AA234" s="220"/>
      <c r="AB234" s="220"/>
    </row>
    <row r="235">
      <c r="A235" s="215">
        <f>IFERROR(__xludf.DUMMYFUNCTION("""COMPUTED_VALUE"""),46284.0)</f>
        <v>46284</v>
      </c>
      <c r="B235" s="216">
        <f>IFERROR(__xludf.DUMMYFUNCTION("""COMPUTED_VALUE"""),6.0)</f>
        <v>6</v>
      </c>
      <c r="C235" s="216" t="str">
        <f t="shared" si="1"/>
        <v>INV-20260919-6</v>
      </c>
      <c r="D235" s="217" t="s">
        <v>81</v>
      </c>
      <c r="E235" s="218">
        <f>IFERROR(__xludf.DUMMYFUNCTION("""COMPUTED_VALUE"""),54972.5)</f>
        <v>54972.5</v>
      </c>
      <c r="F235" s="219">
        <f>IFERROR(__xludf.DUMMYFUNCTION("""COMPUTED_VALUE"""),17542.0)</f>
        <v>17542</v>
      </c>
      <c r="G235" s="219">
        <f>IFERROR(__xludf.DUMMYFUNCTION("""COMPUTED_VALUE"""),9.64327595E8)</f>
        <v>964327595</v>
      </c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  <c r="AA235" s="220"/>
      <c r="AB235" s="220"/>
    </row>
    <row r="236">
      <c r="A236" s="215">
        <f>IFERROR(__xludf.DUMMYFUNCTION("""COMPUTED_VALUE"""),46284.0)</f>
        <v>46284</v>
      </c>
      <c r="B236" s="216">
        <f>IFERROR(__xludf.DUMMYFUNCTION("""COMPUTED_VALUE"""),7.0)</f>
        <v>7</v>
      </c>
      <c r="C236" s="216" t="str">
        <f t="shared" si="1"/>
        <v>INV-20260919-7</v>
      </c>
      <c r="D236" s="217" t="s">
        <v>81</v>
      </c>
      <c r="E236" s="218">
        <f>IFERROR(__xludf.DUMMYFUNCTION("""COMPUTED_VALUE"""),2998.5)</f>
        <v>2998.5</v>
      </c>
      <c r="F236" s="219">
        <f>IFERROR(__xludf.DUMMYFUNCTION("""COMPUTED_VALUE"""),17528.0)</f>
        <v>17528</v>
      </c>
      <c r="G236" s="219">
        <f>IFERROR(__xludf.DUMMYFUNCTION("""COMPUTED_VALUE"""),5.2557708E7)</f>
        <v>52557708</v>
      </c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  <c r="AA236" s="220"/>
      <c r="AB236" s="220"/>
    </row>
    <row r="237">
      <c r="A237" s="215">
        <f>IFERROR(__xludf.DUMMYFUNCTION("""COMPUTED_VALUE"""),46284.0)</f>
        <v>46284</v>
      </c>
      <c r="B237" s="216">
        <f>IFERROR(__xludf.DUMMYFUNCTION("""COMPUTED_VALUE"""),7.0)</f>
        <v>7</v>
      </c>
      <c r="C237" s="216" t="str">
        <f t="shared" si="1"/>
        <v>INV-20260919-7</v>
      </c>
      <c r="D237" s="217" t="s">
        <v>81</v>
      </c>
      <c r="E237" s="218">
        <f>IFERROR(__xludf.DUMMYFUNCTION("""COMPUTED_VALUE"""),7996.0)</f>
        <v>7996</v>
      </c>
      <c r="F237" s="219">
        <f>IFERROR(__xludf.DUMMYFUNCTION("""COMPUTED_VALUE"""),17528.0)</f>
        <v>17528</v>
      </c>
      <c r="G237" s="219">
        <f>IFERROR(__xludf.DUMMYFUNCTION("""COMPUTED_VALUE"""),1.40153888E8)</f>
        <v>140153888</v>
      </c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  <c r="AA237" s="220"/>
      <c r="AB237" s="220"/>
    </row>
    <row r="238">
      <c r="A238" s="215">
        <f>IFERROR(__xludf.DUMMYFUNCTION("""COMPUTED_VALUE"""),46284.0)</f>
        <v>46284</v>
      </c>
      <c r="B238" s="216">
        <f>IFERROR(__xludf.DUMMYFUNCTION("""COMPUTED_VALUE"""),7.0)</f>
        <v>7</v>
      </c>
      <c r="C238" s="216" t="str">
        <f t="shared" si="1"/>
        <v>INV-20260919-7</v>
      </c>
      <c r="D238" s="217" t="s">
        <v>81</v>
      </c>
      <c r="E238" s="218">
        <f>IFERROR(__xludf.DUMMYFUNCTION("""COMPUTED_VALUE"""),12373.81)</f>
        <v>12373.81</v>
      </c>
      <c r="F238" s="219">
        <f>IFERROR(__xludf.DUMMYFUNCTION("""COMPUTED_VALUE"""),17522.0)</f>
        <v>17522</v>
      </c>
      <c r="G238" s="219">
        <f>IFERROR(__xludf.DUMMYFUNCTION("""COMPUTED_VALUE"""),2.1681389882E8)</f>
        <v>216813898.8</v>
      </c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  <c r="AA238" s="220"/>
      <c r="AB238" s="220"/>
    </row>
    <row r="239">
      <c r="A239" s="215">
        <f>IFERROR(__xludf.DUMMYFUNCTION("""COMPUTED_VALUE"""),46285.0)</f>
        <v>46285</v>
      </c>
      <c r="B239" s="216">
        <f>IFERROR(__xludf.DUMMYFUNCTION("""COMPUTED_VALUE"""),1.0)</f>
        <v>1</v>
      </c>
      <c r="C239" s="216" t="str">
        <f t="shared" si="1"/>
        <v>INV-20260920-1</v>
      </c>
      <c r="D239" s="217" t="s">
        <v>81</v>
      </c>
      <c r="E239" s="218">
        <f>IFERROR(__xludf.DUMMYFUNCTION("""COMPUTED_VALUE"""),85476.06)</f>
        <v>85476.06</v>
      </c>
      <c r="F239" s="219">
        <f>IFERROR(__xludf.DUMMYFUNCTION("""COMPUTED_VALUE"""),17540.0)</f>
        <v>17540</v>
      </c>
      <c r="G239" s="219">
        <f>IFERROR(__xludf.DUMMYFUNCTION("""COMPUTED_VALUE"""),1.4992500923999999E9)</f>
        <v>1499250092</v>
      </c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  <c r="AA239" s="220"/>
      <c r="AB239" s="220"/>
    </row>
    <row r="240">
      <c r="A240" s="215">
        <f>IFERROR(__xludf.DUMMYFUNCTION("""COMPUTED_VALUE"""),46285.0)</f>
        <v>46285</v>
      </c>
      <c r="B240" s="216">
        <f>IFERROR(__xludf.DUMMYFUNCTION("""COMPUTED_VALUE"""),1.0)</f>
        <v>1</v>
      </c>
      <c r="C240" s="216" t="str">
        <f t="shared" si="1"/>
        <v>INV-20260920-1</v>
      </c>
      <c r="D240" s="217" t="s">
        <v>81</v>
      </c>
      <c r="E240" s="218">
        <f>IFERROR(__xludf.DUMMYFUNCTION("""COMPUTED_VALUE"""),9995.0)</f>
        <v>9995</v>
      </c>
      <c r="F240" s="219">
        <f>IFERROR(__xludf.DUMMYFUNCTION("""COMPUTED_VALUE"""),17540.0)</f>
        <v>17540</v>
      </c>
      <c r="G240" s="219">
        <f>IFERROR(__xludf.DUMMYFUNCTION("""COMPUTED_VALUE"""),1.753123E8)</f>
        <v>175312300</v>
      </c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  <c r="AA240" s="220"/>
      <c r="AB240" s="220"/>
    </row>
    <row r="241">
      <c r="A241" s="215">
        <f>IFERROR(__xludf.DUMMYFUNCTION("""COMPUTED_VALUE"""),46285.0)</f>
        <v>46285</v>
      </c>
      <c r="B241" s="216">
        <f>IFERROR(__xludf.DUMMYFUNCTION("""COMPUTED_VALUE"""),1.0)</f>
        <v>1</v>
      </c>
      <c r="C241" s="216" t="str">
        <f t="shared" si="1"/>
        <v>INV-20260920-1</v>
      </c>
      <c r="D241" s="217" t="s">
        <v>81</v>
      </c>
      <c r="E241" s="218">
        <f>IFERROR(__xludf.DUMMYFUNCTION("""COMPUTED_VALUE"""),5697.11)</f>
        <v>5697.11</v>
      </c>
      <c r="F241" s="219">
        <f>IFERROR(__xludf.DUMMYFUNCTION("""COMPUTED_VALUE"""),17544.0)</f>
        <v>17544</v>
      </c>
      <c r="G241" s="219">
        <f>IFERROR(__xludf.DUMMYFUNCTION("""COMPUTED_VALUE"""),9.995009783999999E7)</f>
        <v>99950097.84</v>
      </c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  <c r="AA241" s="220"/>
      <c r="AB241" s="220"/>
    </row>
    <row r="242">
      <c r="A242" s="215">
        <f>IFERROR(__xludf.DUMMYFUNCTION("""COMPUTED_VALUE"""),46285.0)</f>
        <v>46285</v>
      </c>
      <c r="B242" s="216">
        <f>IFERROR(__xludf.DUMMYFUNCTION("""COMPUTED_VALUE"""),1.0)</f>
        <v>1</v>
      </c>
      <c r="C242" s="216" t="str">
        <f t="shared" si="1"/>
        <v>INV-20260920-1</v>
      </c>
      <c r="D242" s="217" t="s">
        <v>81</v>
      </c>
      <c r="E242" s="218">
        <f>IFERROR(__xludf.DUMMYFUNCTION("""COMPUTED_VALUE"""),9995.0)</f>
        <v>9995</v>
      </c>
      <c r="F242" s="219">
        <f>IFERROR(__xludf.DUMMYFUNCTION("""COMPUTED_VALUE"""),17544.0)</f>
        <v>17544</v>
      </c>
      <c r="G242" s="219">
        <f>IFERROR(__xludf.DUMMYFUNCTION("""COMPUTED_VALUE"""),1.7535228E8)</f>
        <v>175352280</v>
      </c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  <c r="AA242" s="220"/>
      <c r="AB242" s="220"/>
    </row>
    <row r="243">
      <c r="A243" s="215">
        <f>IFERROR(__xludf.DUMMYFUNCTION("""COMPUTED_VALUE"""),46285.0)</f>
        <v>46285</v>
      </c>
      <c r="B243" s="216">
        <f>IFERROR(__xludf.DUMMYFUNCTION("""COMPUTED_VALUE"""),1.0)</f>
        <v>1</v>
      </c>
      <c r="C243" s="216" t="str">
        <f t="shared" si="1"/>
        <v>INV-20260920-1</v>
      </c>
      <c r="D243" s="217" t="s">
        <v>81</v>
      </c>
      <c r="E243" s="218">
        <f>IFERROR(__xludf.DUMMYFUNCTION("""COMPUTED_VALUE"""),12760.62)</f>
        <v>12760.62</v>
      </c>
      <c r="F243" s="219">
        <f>IFERROR(__xludf.DUMMYFUNCTION("""COMPUTED_VALUE"""),17544.0)</f>
        <v>17544</v>
      </c>
      <c r="G243" s="219">
        <f>IFERROR(__xludf.DUMMYFUNCTION("""COMPUTED_VALUE"""),2.2387231728E8)</f>
        <v>223872317.3</v>
      </c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  <c r="AA243" s="220"/>
      <c r="AB243" s="220"/>
    </row>
    <row r="244">
      <c r="A244" s="215">
        <f>IFERROR(__xludf.DUMMYFUNCTION("""COMPUTED_VALUE"""),46285.0)</f>
        <v>46285</v>
      </c>
      <c r="B244" s="216">
        <f>IFERROR(__xludf.DUMMYFUNCTION("""COMPUTED_VALUE"""),1.0)</f>
        <v>1</v>
      </c>
      <c r="C244" s="216" t="str">
        <f t="shared" si="1"/>
        <v>INV-20260920-1</v>
      </c>
      <c r="D244" s="217" t="s">
        <v>81</v>
      </c>
      <c r="E244" s="218">
        <f>IFERROR(__xludf.DUMMYFUNCTION("""COMPUTED_VALUE"""),21689.15)</f>
        <v>21689.15</v>
      </c>
      <c r="F244" s="219">
        <f>IFERROR(__xludf.DUMMYFUNCTION("""COMPUTED_VALUE"""),17544.0)</f>
        <v>17544</v>
      </c>
      <c r="G244" s="219">
        <f>IFERROR(__xludf.DUMMYFUNCTION("""COMPUTED_VALUE"""),3.805144476E8)</f>
        <v>380514447.6</v>
      </c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  <c r="AA244" s="220"/>
      <c r="AB244" s="220"/>
    </row>
    <row r="245">
      <c r="A245" s="215">
        <f>IFERROR(__xludf.DUMMYFUNCTION("""COMPUTED_VALUE"""),46285.0)</f>
        <v>46285</v>
      </c>
      <c r="B245" s="216">
        <f>IFERROR(__xludf.DUMMYFUNCTION("""COMPUTED_VALUE"""),1.0)</f>
        <v>1</v>
      </c>
      <c r="C245" s="216" t="str">
        <f t="shared" si="1"/>
        <v>INV-20260920-1</v>
      </c>
      <c r="D245" s="217" t="s">
        <v>81</v>
      </c>
      <c r="E245" s="218">
        <f>IFERROR(__xludf.DUMMYFUNCTION("""COMPUTED_VALUE"""),22793.61)</f>
        <v>22793.61</v>
      </c>
      <c r="F245" s="219">
        <f>IFERROR(__xludf.DUMMYFUNCTION("""COMPUTED_VALUE"""),17540.0)</f>
        <v>17540</v>
      </c>
      <c r="G245" s="219">
        <f>IFERROR(__xludf.DUMMYFUNCTION("""COMPUTED_VALUE"""),3.9979991940000004E8)</f>
        <v>399799919.4</v>
      </c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  <c r="AA245" s="220"/>
      <c r="AB245" s="220"/>
    </row>
    <row r="246">
      <c r="A246" s="215">
        <f>IFERROR(__xludf.DUMMYFUNCTION("""COMPUTED_VALUE"""),46285.0)</f>
        <v>46285</v>
      </c>
      <c r="B246" s="216">
        <f>IFERROR(__xludf.DUMMYFUNCTION("""COMPUTED_VALUE"""),1.0)</f>
        <v>1</v>
      </c>
      <c r="C246" s="216" t="str">
        <f t="shared" si="1"/>
        <v>INV-20260920-1</v>
      </c>
      <c r="D246" s="217" t="s">
        <v>81</v>
      </c>
      <c r="E246" s="218">
        <f>IFERROR(__xludf.DUMMYFUNCTION("""COMPUTED_VALUE"""),5804.85)</f>
        <v>5804.85</v>
      </c>
      <c r="F246" s="219">
        <f>IFERROR(__xludf.DUMMYFUNCTION("""COMPUTED_VALUE"""),17538.0)</f>
        <v>17538</v>
      </c>
      <c r="G246" s="219">
        <f>IFERROR(__xludf.DUMMYFUNCTION("""COMPUTED_VALUE"""),1.0180545930000001E8)</f>
        <v>101805459.3</v>
      </c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  <c r="AA246" s="220"/>
      <c r="AB246" s="220"/>
    </row>
    <row r="247">
      <c r="A247" s="215">
        <f>IFERROR(__xludf.DUMMYFUNCTION("""COMPUTED_VALUE"""),46285.0)</f>
        <v>46285</v>
      </c>
      <c r="B247" s="216">
        <f>IFERROR(__xludf.DUMMYFUNCTION("""COMPUTED_VALUE"""),1.0)</f>
        <v>1</v>
      </c>
      <c r="C247" s="216" t="str">
        <f t="shared" si="1"/>
        <v>INV-20260920-1</v>
      </c>
      <c r="D247" s="217" t="s">
        <v>81</v>
      </c>
      <c r="E247" s="218">
        <f>IFERROR(__xludf.DUMMYFUNCTION("""COMPUTED_VALUE"""),9690.05)</f>
        <v>9690.05</v>
      </c>
      <c r="F247" s="219">
        <f>IFERROR(__xludf.DUMMYFUNCTION("""COMPUTED_VALUE"""),17535.0)</f>
        <v>17535</v>
      </c>
      <c r="G247" s="219">
        <f>IFERROR(__xludf.DUMMYFUNCTION("""COMPUTED_VALUE"""),1.6991502675E8)</f>
        <v>169915026.8</v>
      </c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  <c r="AA247" s="220"/>
      <c r="AB247" s="220"/>
    </row>
    <row r="248">
      <c r="A248" s="215">
        <f>IFERROR(__xludf.DUMMYFUNCTION("""COMPUTED_VALUE"""),46285.0)</f>
        <v>46285</v>
      </c>
      <c r="B248" s="216">
        <f>IFERROR(__xludf.DUMMYFUNCTION("""COMPUTED_VALUE"""),1.0)</f>
        <v>1</v>
      </c>
      <c r="C248" s="216" t="str">
        <f t="shared" si="1"/>
        <v>INV-20260920-1</v>
      </c>
      <c r="D248" s="217" t="s">
        <v>81</v>
      </c>
      <c r="E248" s="218">
        <f>IFERROR(__xludf.DUMMYFUNCTION("""COMPUTED_VALUE"""),28481.91)</f>
        <v>28481.91</v>
      </c>
      <c r="F248" s="219">
        <f>IFERROR(__xludf.DUMMYFUNCTION("""COMPUTED_VALUE"""),17555.0)</f>
        <v>17555</v>
      </c>
      <c r="G248" s="219">
        <f>IFERROR(__xludf.DUMMYFUNCTION("""COMPUTED_VALUE"""),4.9999993005E8)</f>
        <v>499999930.1</v>
      </c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  <c r="AA248" s="220"/>
      <c r="AB248" s="220"/>
    </row>
    <row r="249">
      <c r="A249" s="215">
        <f>IFERROR(__xludf.DUMMYFUNCTION("""COMPUTED_VALUE"""),46285.0)</f>
        <v>46285</v>
      </c>
      <c r="B249" s="216">
        <f>IFERROR(__xludf.DUMMYFUNCTION("""COMPUTED_VALUE"""),1.0)</f>
        <v>1</v>
      </c>
      <c r="C249" s="216" t="str">
        <f t="shared" si="1"/>
        <v>INV-20260920-1</v>
      </c>
      <c r="D249" s="217" t="s">
        <v>81</v>
      </c>
      <c r="E249" s="218">
        <f>IFERROR(__xludf.DUMMYFUNCTION("""COMPUTED_VALUE"""),4997.5)</f>
        <v>4997.5</v>
      </c>
      <c r="F249" s="219">
        <f>IFERROR(__xludf.DUMMYFUNCTION("""COMPUTED_VALUE"""),17540.0)</f>
        <v>17540</v>
      </c>
      <c r="G249" s="219">
        <f>IFERROR(__xludf.DUMMYFUNCTION("""COMPUTED_VALUE"""),8.765615E7)</f>
        <v>87656150</v>
      </c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  <c r="AA249" s="220"/>
      <c r="AB249" s="220"/>
    </row>
    <row r="250">
      <c r="A250" s="215">
        <f>IFERROR(__xludf.DUMMYFUNCTION("""COMPUTED_VALUE"""),46285.0)</f>
        <v>46285</v>
      </c>
      <c r="B250" s="216">
        <f>IFERROR(__xludf.DUMMYFUNCTION("""COMPUTED_VALUE"""),1.0)</f>
        <v>1</v>
      </c>
      <c r="C250" s="216" t="str">
        <f t="shared" si="1"/>
        <v>INV-20260920-1</v>
      </c>
      <c r="D250" s="217" t="s">
        <v>81</v>
      </c>
      <c r="E250" s="218">
        <f>IFERROR(__xludf.DUMMYFUNCTION("""COMPUTED_VALUE"""),7720.39)</f>
        <v>7720.39</v>
      </c>
      <c r="F250" s="219">
        <f>IFERROR(__xludf.DUMMYFUNCTION("""COMPUTED_VALUE"""),17540.0)</f>
        <v>17540</v>
      </c>
      <c r="G250" s="219">
        <f>IFERROR(__xludf.DUMMYFUNCTION("""COMPUTED_VALUE"""),1.354156406E8)</f>
        <v>135415640.6</v>
      </c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  <c r="AA250" s="220"/>
      <c r="AB250" s="220"/>
    </row>
    <row r="251">
      <c r="A251" s="215">
        <f>IFERROR(__xludf.DUMMYFUNCTION("""COMPUTED_VALUE"""),46285.0)</f>
        <v>46285</v>
      </c>
      <c r="B251" s="216">
        <f>IFERROR(__xludf.DUMMYFUNCTION("""COMPUTED_VALUE"""),1.0)</f>
        <v>1</v>
      </c>
      <c r="C251" s="216" t="str">
        <f t="shared" si="1"/>
        <v>INV-20260920-1</v>
      </c>
      <c r="D251" s="217" t="s">
        <v>81</v>
      </c>
      <c r="E251" s="218">
        <f>IFERROR(__xludf.DUMMYFUNCTION("""COMPUTED_VALUE"""),2849.2)</f>
        <v>2849.2</v>
      </c>
      <c r="F251" s="219">
        <f>IFERROR(__xludf.DUMMYFUNCTION("""COMPUTED_VALUE"""),17540.0)</f>
        <v>17540</v>
      </c>
      <c r="G251" s="219">
        <f>IFERROR(__xludf.DUMMYFUNCTION("""COMPUTED_VALUE"""),4.9974968E7)</f>
        <v>49974968</v>
      </c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  <c r="AB251" s="220"/>
    </row>
    <row r="252">
      <c r="A252" s="215">
        <f>IFERROR(__xludf.DUMMYFUNCTION("""COMPUTED_VALUE"""),46285.0)</f>
        <v>46285</v>
      </c>
      <c r="B252" s="216">
        <f>IFERROR(__xludf.DUMMYFUNCTION("""COMPUTED_VALUE"""),1.0)</f>
        <v>1</v>
      </c>
      <c r="C252" s="216" t="str">
        <f t="shared" si="1"/>
        <v>INV-20260920-1</v>
      </c>
      <c r="D252" s="217" t="s">
        <v>81</v>
      </c>
      <c r="E252" s="218">
        <f>IFERROR(__xludf.DUMMYFUNCTION("""COMPUTED_VALUE"""),5275.94)</f>
        <v>5275.94</v>
      </c>
      <c r="F252" s="219">
        <f>IFERROR(__xludf.DUMMYFUNCTION("""COMPUTED_VALUE"""),17540.0)</f>
        <v>17540</v>
      </c>
      <c r="G252" s="219">
        <f>IFERROR(__xludf.DUMMYFUNCTION("""COMPUTED_VALUE"""),9.25399876E7)</f>
        <v>92539987.6</v>
      </c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  <c r="AA252" s="220"/>
      <c r="AB252" s="220"/>
    </row>
    <row r="253">
      <c r="A253" s="215">
        <f>IFERROR(__xludf.DUMMYFUNCTION("""COMPUTED_VALUE"""),46285.0)</f>
        <v>46285</v>
      </c>
      <c r="B253" s="216">
        <f>IFERROR(__xludf.DUMMYFUNCTION("""COMPUTED_VALUE"""),1.0)</f>
        <v>1</v>
      </c>
      <c r="C253" s="216" t="str">
        <f t="shared" si="1"/>
        <v>INV-20260920-1</v>
      </c>
      <c r="D253" s="217" t="s">
        <v>81</v>
      </c>
      <c r="E253" s="218">
        <f>IFERROR(__xludf.DUMMYFUNCTION("""COMPUTED_VALUE"""),30456.6)</f>
        <v>30456.6</v>
      </c>
      <c r="F253" s="219">
        <f>IFERROR(__xludf.DUMMYFUNCTION("""COMPUTED_VALUE"""),17540.0)</f>
        <v>17540</v>
      </c>
      <c r="G253" s="219">
        <f>IFERROR(__xludf.DUMMYFUNCTION("""COMPUTED_VALUE"""),5.34208764E8)</f>
        <v>534208764</v>
      </c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  <c r="AA253" s="220"/>
      <c r="AB253" s="220"/>
    </row>
    <row r="254">
      <c r="A254" s="215">
        <f>IFERROR(__xludf.DUMMYFUNCTION("""COMPUTED_VALUE"""),46285.0)</f>
        <v>46285</v>
      </c>
      <c r="B254" s="216">
        <f>IFERROR(__xludf.DUMMYFUNCTION("""COMPUTED_VALUE"""),1.0)</f>
        <v>1</v>
      </c>
      <c r="C254" s="216" t="str">
        <f t="shared" si="1"/>
        <v>INV-20260920-1</v>
      </c>
      <c r="D254" s="217" t="s">
        <v>81</v>
      </c>
      <c r="E254" s="218">
        <f>IFERROR(__xludf.DUMMYFUNCTION("""COMPUTED_VALUE"""),76578.19)</f>
        <v>76578.19</v>
      </c>
      <c r="F254" s="219">
        <f>IFERROR(__xludf.DUMMYFUNCTION("""COMPUTED_VALUE"""),17520.0)</f>
        <v>17520</v>
      </c>
      <c r="G254" s="219">
        <f>IFERROR(__xludf.DUMMYFUNCTION("""COMPUTED_VALUE"""),1.3416498888E9)</f>
        <v>1341649889</v>
      </c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  <c r="AB254" s="220"/>
    </row>
    <row r="255">
      <c r="A255" s="215">
        <f>IFERROR(__xludf.DUMMYFUNCTION("""COMPUTED_VALUE"""),46285.0)</f>
        <v>46285</v>
      </c>
      <c r="B255" s="216">
        <f>IFERROR(__xludf.DUMMYFUNCTION("""COMPUTED_VALUE"""),2.0)</f>
        <v>2</v>
      </c>
      <c r="C255" s="216" t="str">
        <f t="shared" si="1"/>
        <v>INV-20260920-2</v>
      </c>
      <c r="D255" s="217" t="s">
        <v>81</v>
      </c>
      <c r="E255" s="218">
        <f>IFERROR(__xludf.DUMMYFUNCTION("""COMPUTED_VALUE"""),57077.62)</f>
        <v>57077.62</v>
      </c>
      <c r="F255" s="219">
        <f>IFERROR(__xludf.DUMMYFUNCTION("""COMPUTED_VALUE"""),17520.0)</f>
        <v>17520</v>
      </c>
      <c r="G255" s="219">
        <f>IFERROR(__xludf.DUMMYFUNCTION("""COMPUTED_VALUE"""),9.999999024000001E8)</f>
        <v>999999902.4</v>
      </c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  <c r="AA255" s="220"/>
      <c r="AB255" s="220"/>
    </row>
    <row r="256">
      <c r="A256" s="215">
        <f>IFERROR(__xludf.DUMMYFUNCTION("""COMPUTED_VALUE"""),46286.0)</f>
        <v>46286</v>
      </c>
      <c r="B256" s="216">
        <f>IFERROR(__xludf.DUMMYFUNCTION("""COMPUTED_VALUE"""),1.0)</f>
        <v>1</v>
      </c>
      <c r="C256" s="216" t="str">
        <f t="shared" si="1"/>
        <v>INV-20260921-1</v>
      </c>
      <c r="D256" s="217" t="s">
        <v>81</v>
      </c>
      <c r="E256" s="218">
        <f>IFERROR(__xludf.DUMMYFUNCTION("""COMPUTED_VALUE"""),15214.47)</f>
        <v>15214.47</v>
      </c>
      <c r="F256" s="219">
        <f>IFERROR(__xludf.DUMMYFUNCTION("""COMPUTED_VALUE"""),17665.0)</f>
        <v>17665</v>
      </c>
      <c r="G256" s="219">
        <f>IFERROR(__xludf.DUMMYFUNCTION("""COMPUTED_VALUE"""),2.6876361255E8)</f>
        <v>268763612.6</v>
      </c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  <c r="AA256" s="220"/>
      <c r="AB256" s="220"/>
    </row>
    <row r="257">
      <c r="A257" s="215">
        <f>IFERROR(__xludf.DUMMYFUNCTION("""COMPUTED_VALUE"""),46286.0)</f>
        <v>46286</v>
      </c>
      <c r="B257" s="216">
        <f>IFERROR(__xludf.DUMMYFUNCTION("""COMPUTED_VALUE"""),1.0)</f>
        <v>1</v>
      </c>
      <c r="C257" s="216" t="str">
        <f t="shared" si="1"/>
        <v>INV-20260921-1</v>
      </c>
      <c r="D257" s="217" t="s">
        <v>81</v>
      </c>
      <c r="E257" s="218">
        <f>IFERROR(__xludf.DUMMYFUNCTION("""COMPUTED_VALUE"""),6669.94)</f>
        <v>6669.94</v>
      </c>
      <c r="F257" s="219">
        <f>IFERROR(__xludf.DUMMYFUNCTION("""COMPUTED_VALUE"""),17660.0)</f>
        <v>17660</v>
      </c>
      <c r="G257" s="219">
        <f>IFERROR(__xludf.DUMMYFUNCTION("""COMPUTED_VALUE"""),1.1779114039999999E8)</f>
        <v>117791140.4</v>
      </c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  <c r="AA257" s="220"/>
      <c r="AB257" s="220"/>
    </row>
    <row r="258">
      <c r="A258" s="215">
        <f>IFERROR(__xludf.DUMMYFUNCTION("""COMPUTED_VALUE"""),46286.0)</f>
        <v>46286</v>
      </c>
      <c r="B258" s="216">
        <f>IFERROR(__xludf.DUMMYFUNCTION("""COMPUTED_VALUE"""),1.0)</f>
        <v>1</v>
      </c>
      <c r="C258" s="216" t="str">
        <f t="shared" si="1"/>
        <v>INV-20260921-1</v>
      </c>
      <c r="D258" s="217" t="s">
        <v>81</v>
      </c>
      <c r="E258" s="218">
        <f>IFERROR(__xludf.DUMMYFUNCTION("""COMPUTED_VALUE"""),99950.0)</f>
        <v>99950</v>
      </c>
      <c r="F258" s="219">
        <f>IFERROR(__xludf.DUMMYFUNCTION("""COMPUTED_VALUE"""),17660.0)</f>
        <v>17660</v>
      </c>
      <c r="G258" s="219">
        <f>IFERROR(__xludf.DUMMYFUNCTION("""COMPUTED_VALUE"""),1.765117E9)</f>
        <v>1765117000</v>
      </c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  <c r="AA258" s="220"/>
      <c r="AB258" s="220"/>
    </row>
    <row r="259">
      <c r="A259" s="215">
        <f>IFERROR(__xludf.DUMMYFUNCTION("""COMPUTED_VALUE"""),46286.0)</f>
        <v>46286</v>
      </c>
      <c r="B259" s="216">
        <f>IFERROR(__xludf.DUMMYFUNCTION("""COMPUTED_VALUE"""),1.0)</f>
        <v>1</v>
      </c>
      <c r="C259" s="216" t="str">
        <f t="shared" si="1"/>
        <v>INV-20260921-1</v>
      </c>
      <c r="D259" s="217" t="s">
        <v>81</v>
      </c>
      <c r="E259" s="218">
        <f>IFERROR(__xludf.DUMMYFUNCTION("""COMPUTED_VALUE"""),54972.5)</f>
        <v>54972.5</v>
      </c>
      <c r="F259" s="219">
        <f>IFERROR(__xludf.DUMMYFUNCTION("""COMPUTED_VALUE"""),17660.0)</f>
        <v>17660</v>
      </c>
      <c r="G259" s="219">
        <f>IFERROR(__xludf.DUMMYFUNCTION("""COMPUTED_VALUE"""),9.7081435E8)</f>
        <v>970814350</v>
      </c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  <c r="AA259" s="220"/>
      <c r="AB259" s="220"/>
    </row>
    <row r="260">
      <c r="A260" s="215">
        <f>IFERROR(__xludf.DUMMYFUNCTION("""COMPUTED_VALUE"""),46286.0)</f>
        <v>46286</v>
      </c>
      <c r="B260" s="216">
        <f>IFERROR(__xludf.DUMMYFUNCTION("""COMPUTED_VALUE"""),2.0)</f>
        <v>2</v>
      </c>
      <c r="C260" s="216" t="str">
        <f t="shared" si="1"/>
        <v>INV-20260921-2</v>
      </c>
      <c r="D260" s="217" t="s">
        <v>81</v>
      </c>
      <c r="E260" s="218">
        <f>IFERROR(__xludf.DUMMYFUNCTION("""COMPUTED_VALUE"""),3491.19)</f>
        <v>3491.19</v>
      </c>
      <c r="F260" s="219">
        <f>IFERROR(__xludf.DUMMYFUNCTION("""COMPUTED_VALUE"""),17690.0)</f>
        <v>17690</v>
      </c>
      <c r="G260" s="219">
        <f>IFERROR(__xludf.DUMMYFUNCTION("""COMPUTED_VALUE"""),6.17591511E7)</f>
        <v>61759151.1</v>
      </c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  <c r="AB260" s="220"/>
    </row>
    <row r="261">
      <c r="A261" s="215">
        <f>IFERROR(__xludf.DUMMYFUNCTION("""COMPUTED_VALUE"""),46286.0)</f>
        <v>46286</v>
      </c>
      <c r="B261" s="216">
        <f>IFERROR(__xludf.DUMMYFUNCTION("""COMPUTED_VALUE"""),2.0)</f>
        <v>2</v>
      </c>
      <c r="C261" s="216" t="str">
        <f t="shared" si="1"/>
        <v>INV-20260921-2</v>
      </c>
      <c r="D261" s="217" t="s">
        <v>81</v>
      </c>
      <c r="E261" s="218">
        <f>IFERROR(__xludf.DUMMYFUNCTION("""COMPUTED_VALUE"""),112999.48)</f>
        <v>112999.48</v>
      </c>
      <c r="F261" s="219">
        <f>IFERROR(__xludf.DUMMYFUNCTION("""COMPUTED_VALUE"""),17690.0)</f>
        <v>17690</v>
      </c>
      <c r="G261" s="219">
        <f>IFERROR(__xludf.DUMMYFUNCTION("""COMPUTED_VALUE"""),1.9989608011999998E9)</f>
        <v>1998960801</v>
      </c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  <c r="AA261" s="220"/>
      <c r="AB261" s="220"/>
    </row>
    <row r="262">
      <c r="A262" s="215">
        <f>IFERROR(__xludf.DUMMYFUNCTION("""COMPUTED_VALUE"""),46286.0)</f>
        <v>46286</v>
      </c>
      <c r="B262" s="216">
        <f>IFERROR(__xludf.DUMMYFUNCTION("""COMPUTED_VALUE"""),2.0)</f>
        <v>2</v>
      </c>
      <c r="C262" s="216" t="str">
        <f t="shared" si="1"/>
        <v>INV-20260921-2</v>
      </c>
      <c r="D262" s="217" t="s">
        <v>81</v>
      </c>
      <c r="E262" s="218">
        <f>IFERROR(__xludf.DUMMYFUNCTION("""COMPUTED_VALUE"""),2895.59)</f>
        <v>2895.59</v>
      </c>
      <c r="F262" s="219">
        <f>IFERROR(__xludf.DUMMYFUNCTION("""COMPUTED_VALUE"""),17685.0)</f>
        <v>17685</v>
      </c>
      <c r="G262" s="219">
        <f>IFERROR(__xludf.DUMMYFUNCTION("""COMPUTED_VALUE"""),5.1208509150000006E7)</f>
        <v>51208509.15</v>
      </c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  <c r="AA262" s="220"/>
      <c r="AB262" s="220"/>
    </row>
    <row r="263">
      <c r="A263" s="215">
        <f>IFERROR(__xludf.DUMMYFUNCTION("""COMPUTED_VALUE"""),46286.0)</f>
        <v>46286</v>
      </c>
      <c r="B263" s="216">
        <f>IFERROR(__xludf.DUMMYFUNCTION("""COMPUTED_VALUE"""),2.0)</f>
        <v>2</v>
      </c>
      <c r="C263" s="216" t="str">
        <f t="shared" si="1"/>
        <v>INV-20260921-2</v>
      </c>
      <c r="D263" s="217" t="s">
        <v>81</v>
      </c>
      <c r="E263" s="218">
        <f>IFERROR(__xludf.DUMMYFUNCTION("""COMPUTED_VALUE"""),49975.0)</f>
        <v>49975</v>
      </c>
      <c r="F263" s="219">
        <f>IFERROR(__xludf.DUMMYFUNCTION("""COMPUTED_VALUE"""),17685.0)</f>
        <v>17685</v>
      </c>
      <c r="G263" s="219">
        <f>IFERROR(__xludf.DUMMYFUNCTION("""COMPUTED_VALUE"""),8.83807875E8)</f>
        <v>883807875</v>
      </c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  <c r="AB263" s="220"/>
    </row>
    <row r="264">
      <c r="A264" s="215">
        <f>IFERROR(__xludf.DUMMYFUNCTION("""COMPUTED_VALUE"""),46286.0)</f>
        <v>46286</v>
      </c>
      <c r="B264" s="216">
        <f>IFERROR(__xludf.DUMMYFUNCTION("""COMPUTED_VALUE"""),2.0)</f>
        <v>2</v>
      </c>
      <c r="C264" s="216" t="str">
        <f t="shared" si="1"/>
        <v>INV-20260921-2</v>
      </c>
      <c r="D264" s="217" t="s">
        <v>81</v>
      </c>
      <c r="E264" s="218">
        <f>IFERROR(__xludf.DUMMYFUNCTION("""COMPUTED_VALUE"""),2826.16)</f>
        <v>2826.16</v>
      </c>
      <c r="F264" s="219">
        <f>IFERROR(__xludf.DUMMYFUNCTION("""COMPUTED_VALUE"""),17683.0)</f>
        <v>17683</v>
      </c>
      <c r="G264" s="219">
        <f>IFERROR(__xludf.DUMMYFUNCTION("""COMPUTED_VALUE"""),4.9974987279999994E7)</f>
        <v>49974987.28</v>
      </c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  <c r="AB264" s="220"/>
    </row>
    <row r="265">
      <c r="A265" s="215">
        <f>IFERROR(__xludf.DUMMYFUNCTION("""COMPUTED_VALUE"""),46286.0)</f>
        <v>46286</v>
      </c>
      <c r="B265" s="216">
        <f>IFERROR(__xludf.DUMMYFUNCTION("""COMPUTED_VALUE"""),3.0)</f>
        <v>3</v>
      </c>
      <c r="C265" s="216" t="str">
        <f t="shared" si="1"/>
        <v>INV-20260921-3</v>
      </c>
      <c r="D265" s="217" t="s">
        <v>81</v>
      </c>
      <c r="E265" s="218">
        <f>IFERROR(__xludf.DUMMYFUNCTION("""COMPUTED_VALUE"""),4997.5)</f>
        <v>4997.5</v>
      </c>
      <c r="F265" s="219">
        <f>IFERROR(__xludf.DUMMYFUNCTION("""COMPUTED_VALUE"""),17700.0)</f>
        <v>17700</v>
      </c>
      <c r="G265" s="219">
        <f>IFERROR(__xludf.DUMMYFUNCTION("""COMPUTED_VALUE"""),8.845575E7)</f>
        <v>88455750</v>
      </c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  <c r="AB265" s="220"/>
    </row>
    <row r="266">
      <c r="A266" s="215">
        <f>IFERROR(__xludf.DUMMYFUNCTION("""COMPUTED_VALUE"""),46286.0)</f>
        <v>46286</v>
      </c>
      <c r="B266" s="216">
        <f>IFERROR(__xludf.DUMMYFUNCTION("""COMPUTED_VALUE"""),3.0)</f>
        <v>3</v>
      </c>
      <c r="C266" s="216" t="str">
        <f t="shared" si="1"/>
        <v>INV-20260921-3</v>
      </c>
      <c r="D266" s="217" t="s">
        <v>81</v>
      </c>
      <c r="E266" s="218">
        <f>IFERROR(__xludf.DUMMYFUNCTION("""COMPUTED_VALUE"""),12787.61)</f>
        <v>12787.61</v>
      </c>
      <c r="F266" s="219">
        <f>IFERROR(__xludf.DUMMYFUNCTION("""COMPUTED_VALUE"""),17697.0)</f>
        <v>17697</v>
      </c>
      <c r="G266" s="219">
        <f>IFERROR(__xludf.DUMMYFUNCTION("""COMPUTED_VALUE"""),2.2630233417000002E8)</f>
        <v>226302334.2</v>
      </c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  <c r="AB266" s="220"/>
    </row>
    <row r="267">
      <c r="A267" s="215">
        <f>IFERROR(__xludf.DUMMYFUNCTION("""COMPUTED_VALUE"""),46286.0)</f>
        <v>46286</v>
      </c>
      <c r="B267" s="216">
        <f>IFERROR(__xludf.DUMMYFUNCTION("""COMPUTED_VALUE"""),3.0)</f>
        <v>3</v>
      </c>
      <c r="C267" s="216" t="str">
        <f t="shared" si="1"/>
        <v>INV-20260921-3</v>
      </c>
      <c r="D267" s="217" t="s">
        <v>81</v>
      </c>
      <c r="E267" s="218">
        <f>IFERROR(__xludf.DUMMYFUNCTION("""COMPUTED_VALUE"""),2998.5)</f>
        <v>2998.5</v>
      </c>
      <c r="F267" s="219">
        <f>IFERROR(__xludf.DUMMYFUNCTION("""COMPUTED_VALUE"""),17697.0)</f>
        <v>17697</v>
      </c>
      <c r="G267" s="219">
        <f>IFERROR(__xludf.DUMMYFUNCTION("""COMPUTED_VALUE"""),5.30644545E7)</f>
        <v>53064454.5</v>
      </c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</row>
    <row r="268">
      <c r="A268" s="215">
        <f>IFERROR(__xludf.DUMMYFUNCTION("""COMPUTED_VALUE"""),46286.0)</f>
        <v>46286</v>
      </c>
      <c r="B268" s="216">
        <f>IFERROR(__xludf.DUMMYFUNCTION("""COMPUTED_VALUE"""),3.0)</f>
        <v>3</v>
      </c>
      <c r="C268" s="216" t="str">
        <f t="shared" si="1"/>
        <v>INV-20260921-3</v>
      </c>
      <c r="D268" s="217" t="s">
        <v>81</v>
      </c>
      <c r="E268" s="218">
        <f>IFERROR(__xludf.DUMMYFUNCTION("""COMPUTED_VALUE"""),2998.5)</f>
        <v>2998.5</v>
      </c>
      <c r="F268" s="219">
        <f>IFERROR(__xludf.DUMMYFUNCTION("""COMPUTED_VALUE"""),17697.0)</f>
        <v>17697</v>
      </c>
      <c r="G268" s="219">
        <f>IFERROR(__xludf.DUMMYFUNCTION("""COMPUTED_VALUE"""),5.30644545E7)</f>
        <v>53064454.5</v>
      </c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  <c r="AB268" s="220"/>
    </row>
    <row r="269">
      <c r="A269" s="215">
        <f>IFERROR(__xludf.DUMMYFUNCTION("""COMPUTED_VALUE"""),46286.0)</f>
        <v>46286</v>
      </c>
      <c r="B269" s="216">
        <f>IFERROR(__xludf.DUMMYFUNCTION("""COMPUTED_VALUE"""),3.0)</f>
        <v>3</v>
      </c>
      <c r="C269" s="216" t="str">
        <f t="shared" si="1"/>
        <v>INV-20260921-3</v>
      </c>
      <c r="D269" s="217" t="s">
        <v>81</v>
      </c>
      <c r="E269" s="218">
        <f>IFERROR(__xludf.DUMMYFUNCTION("""COMPUTED_VALUE"""),5118.44)</f>
        <v>5118.44</v>
      </c>
      <c r="F269" s="219">
        <f>IFERROR(__xludf.DUMMYFUNCTION("""COMPUTED_VALUE"""),17697.0)</f>
        <v>17697</v>
      </c>
      <c r="G269" s="219">
        <f>IFERROR(__xludf.DUMMYFUNCTION("""COMPUTED_VALUE"""),9.058103267999999E7)</f>
        <v>90581032.68</v>
      </c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  <c r="AB269" s="220"/>
    </row>
    <row r="270">
      <c r="A270" s="215">
        <f>IFERROR(__xludf.DUMMYFUNCTION("""COMPUTED_VALUE"""),46286.0)</f>
        <v>46286</v>
      </c>
      <c r="B270" s="216">
        <f>IFERROR(__xludf.DUMMYFUNCTION("""COMPUTED_VALUE"""),3.0)</f>
        <v>3</v>
      </c>
      <c r="C270" s="216" t="str">
        <f t="shared" si="1"/>
        <v>INV-20260921-3</v>
      </c>
      <c r="D270" s="217" t="s">
        <v>81</v>
      </c>
      <c r="E270" s="218">
        <f>IFERROR(__xludf.DUMMYFUNCTION("""COMPUTED_VALUE"""),2998.5)</f>
        <v>2998.5</v>
      </c>
      <c r="F270" s="219">
        <f>IFERROR(__xludf.DUMMYFUNCTION("""COMPUTED_VALUE"""),17697.0)</f>
        <v>17697</v>
      </c>
      <c r="G270" s="219">
        <f>IFERROR(__xludf.DUMMYFUNCTION("""COMPUTED_VALUE"""),5.30644545E7)</f>
        <v>53064454.5</v>
      </c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  <c r="AB270" s="220"/>
    </row>
    <row r="271">
      <c r="A271" s="215">
        <f>IFERROR(__xludf.DUMMYFUNCTION("""COMPUTED_VALUE"""),46286.0)</f>
        <v>46286</v>
      </c>
      <c r="B271" s="216">
        <f>IFERROR(__xludf.DUMMYFUNCTION("""COMPUTED_VALUE"""),3.0)</f>
        <v>3</v>
      </c>
      <c r="C271" s="216" t="str">
        <f t="shared" si="1"/>
        <v>INV-20260921-3</v>
      </c>
      <c r="D271" s="217" t="s">
        <v>81</v>
      </c>
      <c r="E271" s="218">
        <f>IFERROR(__xludf.DUMMYFUNCTION("""COMPUTED_VALUE"""),6996.5)</f>
        <v>6996.5</v>
      </c>
      <c r="F271" s="219">
        <f>IFERROR(__xludf.DUMMYFUNCTION("""COMPUTED_VALUE"""),17700.0)</f>
        <v>17700</v>
      </c>
      <c r="G271" s="219">
        <f>IFERROR(__xludf.DUMMYFUNCTION("""COMPUTED_VALUE"""),1.2383805E8)</f>
        <v>123838050</v>
      </c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  <c r="AB271" s="220"/>
    </row>
    <row r="272">
      <c r="A272" s="215">
        <f>IFERROR(__xludf.DUMMYFUNCTION("""COMPUTED_VALUE"""),46286.0)</f>
        <v>46286</v>
      </c>
      <c r="B272" s="216">
        <f>IFERROR(__xludf.DUMMYFUNCTION("""COMPUTED_VALUE"""),3.0)</f>
        <v>3</v>
      </c>
      <c r="C272" s="216" t="str">
        <f t="shared" si="1"/>
        <v>INV-20260921-3</v>
      </c>
      <c r="D272" s="217" t="s">
        <v>81</v>
      </c>
      <c r="E272" s="218">
        <f>IFERROR(__xludf.DUMMYFUNCTION("""COMPUTED_VALUE"""),7841.08)</f>
        <v>7841.08</v>
      </c>
      <c r="F272" s="219">
        <f>IFERROR(__xludf.DUMMYFUNCTION("""COMPUTED_VALUE"""),17695.0)</f>
        <v>17695</v>
      </c>
      <c r="G272" s="219">
        <f>IFERROR(__xludf.DUMMYFUNCTION("""COMPUTED_VALUE"""),1.387479106E8)</f>
        <v>138747910.6</v>
      </c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  <c r="AB272" s="220"/>
    </row>
    <row r="273">
      <c r="A273" s="215">
        <f>IFERROR(__xludf.DUMMYFUNCTION("""COMPUTED_VALUE"""),46286.0)</f>
        <v>46286</v>
      </c>
      <c r="B273" s="216">
        <f>IFERROR(__xludf.DUMMYFUNCTION("""COMPUTED_VALUE"""),3.0)</f>
        <v>3</v>
      </c>
      <c r="C273" s="216" t="str">
        <f t="shared" si="1"/>
        <v>INV-20260921-3</v>
      </c>
      <c r="D273" s="217" t="s">
        <v>81</v>
      </c>
      <c r="E273" s="218">
        <f>IFERROR(__xludf.DUMMYFUNCTION("""COMPUTED_VALUE"""),11712.32)</f>
        <v>11712.32</v>
      </c>
      <c r="F273" s="219">
        <f>IFERROR(__xludf.DUMMYFUNCTION("""COMPUTED_VALUE"""),17700.0)</f>
        <v>17700</v>
      </c>
      <c r="G273" s="219">
        <f>IFERROR(__xludf.DUMMYFUNCTION("""COMPUTED_VALUE"""),2.07308064E8)</f>
        <v>207308064</v>
      </c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</row>
    <row r="274">
      <c r="A274" s="215">
        <f>IFERROR(__xludf.DUMMYFUNCTION("""COMPUTED_VALUE"""),46286.0)</f>
        <v>46286</v>
      </c>
      <c r="B274" s="216">
        <f>IFERROR(__xludf.DUMMYFUNCTION("""COMPUTED_VALUE"""),4.0)</f>
        <v>4</v>
      </c>
      <c r="C274" s="216" t="str">
        <f t="shared" si="1"/>
        <v>INV-20260921-4</v>
      </c>
      <c r="D274" s="217" t="s">
        <v>81</v>
      </c>
      <c r="E274" s="218">
        <f>IFERROR(__xludf.DUMMYFUNCTION("""COMPUTED_VALUE"""),28216.7)</f>
        <v>28216.7</v>
      </c>
      <c r="F274" s="219">
        <f>IFERROR(__xludf.DUMMYFUNCTION("""COMPUTED_VALUE"""),17720.0)</f>
        <v>17720</v>
      </c>
      <c r="G274" s="219">
        <f>IFERROR(__xludf.DUMMYFUNCTION("""COMPUTED_VALUE"""),4.99999924E8)</f>
        <v>499999924</v>
      </c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</row>
    <row r="275">
      <c r="A275" s="215">
        <f>IFERROR(__xludf.DUMMYFUNCTION("""COMPUTED_VALUE"""),46287.0)</f>
        <v>46287</v>
      </c>
      <c r="B275" s="216">
        <f>IFERROR(__xludf.DUMMYFUNCTION("""COMPUTED_VALUE"""),1.0)</f>
        <v>1</v>
      </c>
      <c r="C275" s="216" t="str">
        <f t="shared" si="1"/>
        <v>INV-20260922-1</v>
      </c>
      <c r="D275" s="217" t="s">
        <v>81</v>
      </c>
      <c r="E275" s="218">
        <f>IFERROR(__xludf.DUMMYFUNCTION("""COMPUTED_VALUE"""),112619.72)</f>
        <v>112619.72</v>
      </c>
      <c r="F275" s="219">
        <f>IFERROR(__xludf.DUMMYFUNCTION("""COMPUTED_VALUE"""),17750.0)</f>
        <v>17750</v>
      </c>
      <c r="G275" s="219">
        <f>IFERROR(__xludf.DUMMYFUNCTION("""COMPUTED_VALUE"""),1.99900003E9)</f>
        <v>1999000030</v>
      </c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</row>
    <row r="276">
      <c r="A276" s="215">
        <f>IFERROR(__xludf.DUMMYFUNCTION("""COMPUTED_VALUE"""),46287.0)</f>
        <v>46287</v>
      </c>
      <c r="B276" s="216">
        <f>IFERROR(__xludf.DUMMYFUNCTION("""COMPUTED_VALUE"""),2.0)</f>
        <v>2</v>
      </c>
      <c r="C276" s="216" t="str">
        <f t="shared" si="1"/>
        <v>INV-20260922-2</v>
      </c>
      <c r="D276" s="217" t="s">
        <v>81</v>
      </c>
      <c r="E276" s="218">
        <f>IFERROR(__xludf.DUMMYFUNCTION("""COMPUTED_VALUE"""),112619.72)</f>
        <v>112619.72</v>
      </c>
      <c r="F276" s="219">
        <f>IFERROR(__xludf.DUMMYFUNCTION("""COMPUTED_VALUE"""),17750.0)</f>
        <v>17750</v>
      </c>
      <c r="G276" s="219">
        <f>IFERROR(__xludf.DUMMYFUNCTION("""COMPUTED_VALUE"""),1.99900003E9)</f>
        <v>1999000030</v>
      </c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</row>
    <row r="277">
      <c r="A277" s="215">
        <f>IFERROR(__xludf.DUMMYFUNCTION("""COMPUTED_VALUE"""),46287.0)</f>
        <v>46287</v>
      </c>
      <c r="B277" s="216">
        <f>IFERROR(__xludf.DUMMYFUNCTION("""COMPUTED_VALUE"""),3.0)</f>
        <v>3</v>
      </c>
      <c r="C277" s="216" t="str">
        <f t="shared" si="1"/>
        <v>INV-20260922-3</v>
      </c>
      <c r="D277" s="217" t="s">
        <v>81</v>
      </c>
      <c r="E277" s="218">
        <f>IFERROR(__xludf.DUMMYFUNCTION("""COMPUTED_VALUE"""),10332.14)</f>
        <v>10332.14</v>
      </c>
      <c r="F277" s="219">
        <f>IFERROR(__xludf.DUMMYFUNCTION("""COMPUTED_VALUE"""),17735.0)</f>
        <v>17735</v>
      </c>
      <c r="G277" s="219">
        <f>IFERROR(__xludf.DUMMYFUNCTION("""COMPUTED_VALUE"""),1.8324050289999998E8)</f>
        <v>183240502.9</v>
      </c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</row>
    <row r="278">
      <c r="A278" s="215">
        <f>IFERROR(__xludf.DUMMYFUNCTION("""COMPUTED_VALUE"""),46287.0)</f>
        <v>46287</v>
      </c>
      <c r="B278" s="216">
        <f>IFERROR(__xludf.DUMMYFUNCTION("""COMPUTED_VALUE"""),3.0)</f>
        <v>3</v>
      </c>
      <c r="C278" s="216" t="str">
        <f t="shared" si="1"/>
        <v>INV-20260922-3</v>
      </c>
      <c r="D278" s="217" t="s">
        <v>81</v>
      </c>
      <c r="E278" s="218">
        <f>IFERROR(__xludf.DUMMYFUNCTION("""COMPUTED_VALUE"""),8679.66)</f>
        <v>8679.66</v>
      </c>
      <c r="F278" s="219">
        <f>IFERROR(__xludf.DUMMYFUNCTION("""COMPUTED_VALUE"""),17735.0)</f>
        <v>17735</v>
      </c>
      <c r="G278" s="219">
        <f>IFERROR(__xludf.DUMMYFUNCTION("""COMPUTED_VALUE"""),1.539337701E8)</f>
        <v>153933770.1</v>
      </c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</row>
    <row r="279">
      <c r="A279" s="215">
        <f>IFERROR(__xludf.DUMMYFUNCTION("""COMPUTED_VALUE"""),46287.0)</f>
        <v>46287</v>
      </c>
      <c r="B279" s="216">
        <f>IFERROR(__xludf.DUMMYFUNCTION("""COMPUTED_VALUE"""),3.0)</f>
        <v>3</v>
      </c>
      <c r="C279" s="216" t="str">
        <f t="shared" si="1"/>
        <v>INV-20260922-3</v>
      </c>
      <c r="D279" s="217" t="s">
        <v>81</v>
      </c>
      <c r="E279" s="218">
        <f>IFERROR(__xludf.DUMMYFUNCTION("""COMPUTED_VALUE"""),49975.0)</f>
        <v>49975</v>
      </c>
      <c r="F279" s="219">
        <f>IFERROR(__xludf.DUMMYFUNCTION("""COMPUTED_VALUE"""),17735.0)</f>
        <v>17735</v>
      </c>
      <c r="G279" s="219">
        <f>IFERROR(__xludf.DUMMYFUNCTION("""COMPUTED_VALUE"""),8.86306625E8)</f>
        <v>886306625</v>
      </c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</row>
    <row r="280">
      <c r="A280" s="215">
        <f>IFERROR(__xludf.DUMMYFUNCTION("""COMPUTED_VALUE"""),46287.0)</f>
        <v>46287</v>
      </c>
      <c r="B280" s="216">
        <f>IFERROR(__xludf.DUMMYFUNCTION("""COMPUTED_VALUE"""),3.0)</f>
        <v>3</v>
      </c>
      <c r="C280" s="216" t="str">
        <f t="shared" si="1"/>
        <v>INV-20260922-3</v>
      </c>
      <c r="D280" s="217" t="s">
        <v>81</v>
      </c>
      <c r="E280" s="218">
        <f>IFERROR(__xludf.DUMMYFUNCTION("""COMPUTED_VALUE"""),23988.0)</f>
        <v>23988</v>
      </c>
      <c r="F280" s="219">
        <f>IFERROR(__xludf.DUMMYFUNCTION("""COMPUTED_VALUE"""),17736.0)</f>
        <v>17736</v>
      </c>
      <c r="G280" s="219">
        <f>IFERROR(__xludf.DUMMYFUNCTION("""COMPUTED_VALUE"""),4.25451168E8)</f>
        <v>425451168</v>
      </c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</row>
    <row r="281">
      <c r="A281" s="215">
        <f>IFERROR(__xludf.DUMMYFUNCTION("""COMPUTED_VALUE"""),46287.0)</f>
        <v>46287</v>
      </c>
      <c r="B281" s="216">
        <f>IFERROR(__xludf.DUMMYFUNCTION("""COMPUTED_VALUE"""),4.0)</f>
        <v>4</v>
      </c>
      <c r="C281" s="216" t="str">
        <f t="shared" si="1"/>
        <v>INV-20260922-4</v>
      </c>
      <c r="D281" s="217" t="s">
        <v>81</v>
      </c>
      <c r="E281" s="218">
        <f>IFERROR(__xludf.DUMMYFUNCTION("""COMPUTED_VALUE"""),5997.0)</f>
        <v>5997</v>
      </c>
      <c r="F281" s="219">
        <f>IFERROR(__xludf.DUMMYFUNCTION("""COMPUTED_VALUE"""),17754.0)</f>
        <v>17754</v>
      </c>
      <c r="G281" s="219">
        <f>IFERROR(__xludf.DUMMYFUNCTION("""COMPUTED_VALUE"""),1.06470738E8)</f>
        <v>106470738</v>
      </c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</row>
    <row r="282">
      <c r="A282" s="215">
        <f>IFERROR(__xludf.DUMMYFUNCTION("""COMPUTED_VALUE"""),46287.0)</f>
        <v>46287</v>
      </c>
      <c r="B282" s="216">
        <f>IFERROR(__xludf.DUMMYFUNCTION("""COMPUTED_VALUE"""),4.0)</f>
        <v>4</v>
      </c>
      <c r="C282" s="216" t="str">
        <f t="shared" si="1"/>
        <v>INV-20260922-4</v>
      </c>
      <c r="D282" s="217" t="s">
        <v>81</v>
      </c>
      <c r="E282" s="218">
        <f>IFERROR(__xludf.DUMMYFUNCTION("""COMPUTED_VALUE"""),7331.34)</f>
        <v>7331.34</v>
      </c>
      <c r="F282" s="219">
        <f>IFERROR(__xludf.DUMMYFUNCTION("""COMPUTED_VALUE"""),17754.0)</f>
        <v>17754</v>
      </c>
      <c r="G282" s="219">
        <f>IFERROR(__xludf.DUMMYFUNCTION("""COMPUTED_VALUE"""),1.3016061036E8)</f>
        <v>130160610.4</v>
      </c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</row>
    <row r="283">
      <c r="A283" s="215">
        <f>IFERROR(__xludf.DUMMYFUNCTION("""COMPUTED_VALUE"""),46287.0)</f>
        <v>46287</v>
      </c>
      <c r="B283" s="216">
        <f>IFERROR(__xludf.DUMMYFUNCTION("""COMPUTED_VALUE"""),4.0)</f>
        <v>4</v>
      </c>
      <c r="C283" s="216" t="str">
        <f t="shared" si="1"/>
        <v>INV-20260922-4</v>
      </c>
      <c r="D283" s="217" t="s">
        <v>81</v>
      </c>
      <c r="E283" s="218">
        <f>IFERROR(__xludf.DUMMYFUNCTION("""COMPUTED_VALUE"""),9995.0)</f>
        <v>9995</v>
      </c>
      <c r="F283" s="219">
        <f>IFERROR(__xludf.DUMMYFUNCTION("""COMPUTED_VALUE"""),17754.0)</f>
        <v>17754</v>
      </c>
      <c r="G283" s="219">
        <f>IFERROR(__xludf.DUMMYFUNCTION("""COMPUTED_VALUE"""),1.7745123E8)</f>
        <v>177451230</v>
      </c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</row>
    <row r="284">
      <c r="A284" s="215">
        <f>IFERROR(__xludf.DUMMYFUNCTION("""COMPUTED_VALUE"""),46287.0)</f>
        <v>46287</v>
      </c>
      <c r="B284" s="216">
        <f>IFERROR(__xludf.DUMMYFUNCTION("""COMPUTED_VALUE"""),4.0)</f>
        <v>4</v>
      </c>
      <c r="C284" s="216" t="str">
        <f t="shared" si="1"/>
        <v>INV-20260922-4</v>
      </c>
      <c r="D284" s="217" t="s">
        <v>81</v>
      </c>
      <c r="E284" s="218">
        <f>IFERROR(__xludf.DUMMYFUNCTION("""COMPUTED_VALUE"""),9995.0)</f>
        <v>9995</v>
      </c>
      <c r="F284" s="219">
        <f>IFERROR(__xludf.DUMMYFUNCTION("""COMPUTED_VALUE"""),17754.0)</f>
        <v>17754</v>
      </c>
      <c r="G284" s="219">
        <f>IFERROR(__xludf.DUMMYFUNCTION("""COMPUTED_VALUE"""),1.7745123E8)</f>
        <v>177451230</v>
      </c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</row>
    <row r="285">
      <c r="A285" s="215">
        <f>IFERROR(__xludf.DUMMYFUNCTION("""COMPUTED_VALUE"""),46287.0)</f>
        <v>46287</v>
      </c>
      <c r="B285" s="216">
        <f>IFERROR(__xludf.DUMMYFUNCTION("""COMPUTED_VALUE"""),4.0)</f>
        <v>4</v>
      </c>
      <c r="C285" s="216" t="str">
        <f t="shared" si="1"/>
        <v>INV-20260922-4</v>
      </c>
      <c r="D285" s="217" t="s">
        <v>81</v>
      </c>
      <c r="E285" s="218">
        <f>IFERROR(__xludf.DUMMYFUNCTION("""COMPUTED_VALUE"""),20097.95)</f>
        <v>20097.95</v>
      </c>
      <c r="F285" s="219">
        <f>IFERROR(__xludf.DUMMYFUNCTION("""COMPUTED_VALUE"""),17752.0)</f>
        <v>17752</v>
      </c>
      <c r="G285" s="219">
        <f>IFERROR(__xludf.DUMMYFUNCTION("""COMPUTED_VALUE"""),3.5677880840000004E8)</f>
        <v>356778808.4</v>
      </c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</row>
    <row r="286">
      <c r="A286" s="215">
        <f>IFERROR(__xludf.DUMMYFUNCTION("""COMPUTED_VALUE"""),46287.0)</f>
        <v>46287</v>
      </c>
      <c r="B286" s="216">
        <f>IFERROR(__xludf.DUMMYFUNCTION("""COMPUTED_VALUE"""),4.0)</f>
        <v>4</v>
      </c>
      <c r="C286" s="216" t="str">
        <f t="shared" si="1"/>
        <v>INV-20260922-4</v>
      </c>
      <c r="D286" s="217" t="s">
        <v>81</v>
      </c>
      <c r="E286" s="218">
        <f>IFERROR(__xludf.DUMMYFUNCTION("""COMPUTED_VALUE"""),5965.9)</f>
        <v>5965.9</v>
      </c>
      <c r="F286" s="219">
        <f>IFERROR(__xludf.DUMMYFUNCTION("""COMPUTED_VALUE"""),17752.0)</f>
        <v>17752</v>
      </c>
      <c r="G286" s="219">
        <f>IFERROR(__xludf.DUMMYFUNCTION("""COMPUTED_VALUE"""),1.059066568E8)</f>
        <v>105906656.8</v>
      </c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</row>
    <row r="287">
      <c r="A287" s="215">
        <f>IFERROR(__xludf.DUMMYFUNCTION("""COMPUTED_VALUE"""),46287.0)</f>
        <v>46287</v>
      </c>
      <c r="B287" s="216">
        <f>IFERROR(__xludf.DUMMYFUNCTION("""COMPUTED_VALUE"""),5.0)</f>
        <v>5</v>
      </c>
      <c r="C287" s="216" t="str">
        <f t="shared" si="1"/>
        <v>INV-20260922-5</v>
      </c>
      <c r="D287" s="217" t="s">
        <v>81</v>
      </c>
      <c r="E287" s="218">
        <f>IFERROR(__xludf.DUMMYFUNCTION("""COMPUTED_VALUE"""),10113.28)</f>
        <v>10113.28</v>
      </c>
      <c r="F287" s="219">
        <f>IFERROR(__xludf.DUMMYFUNCTION("""COMPUTED_VALUE"""),17760.0)</f>
        <v>17760</v>
      </c>
      <c r="G287" s="219">
        <f>IFERROR(__xludf.DUMMYFUNCTION("""COMPUTED_VALUE"""),1.796118528E8)</f>
        <v>179611852.8</v>
      </c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</row>
    <row r="288">
      <c r="A288" s="215">
        <f>IFERROR(__xludf.DUMMYFUNCTION("""COMPUTED_VALUE"""),46287.0)</f>
        <v>46287</v>
      </c>
      <c r="B288" s="216">
        <f>IFERROR(__xludf.DUMMYFUNCTION("""COMPUTED_VALUE"""),5.0)</f>
        <v>5</v>
      </c>
      <c r="C288" s="216" t="str">
        <f t="shared" si="1"/>
        <v>INV-20260922-5</v>
      </c>
      <c r="D288" s="217" t="s">
        <v>81</v>
      </c>
      <c r="E288" s="218">
        <f>IFERROR(__xludf.DUMMYFUNCTION("""COMPUTED_VALUE"""),6780.61)</f>
        <v>6780.61</v>
      </c>
      <c r="F288" s="219">
        <f>IFERROR(__xludf.DUMMYFUNCTION("""COMPUTED_VALUE"""),17760.0)</f>
        <v>17760</v>
      </c>
      <c r="G288" s="219">
        <f>IFERROR(__xludf.DUMMYFUNCTION("""COMPUTED_VALUE"""),1.204236336E8)</f>
        <v>120423633.6</v>
      </c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</row>
    <row r="289">
      <c r="A289" s="215">
        <f>IFERROR(__xludf.DUMMYFUNCTION("""COMPUTED_VALUE"""),46287.0)</f>
        <v>46287</v>
      </c>
      <c r="B289" s="216">
        <f>IFERROR(__xludf.DUMMYFUNCTION("""COMPUTED_VALUE"""),5.0)</f>
        <v>5</v>
      </c>
      <c r="C289" s="216" t="str">
        <f t="shared" si="1"/>
        <v>INV-20260922-5</v>
      </c>
      <c r="D289" s="217" t="s">
        <v>81</v>
      </c>
      <c r="E289" s="218">
        <f>IFERROR(__xludf.DUMMYFUNCTION("""COMPUTED_VALUE"""),6582.53)</f>
        <v>6582.53</v>
      </c>
      <c r="F289" s="219">
        <f>IFERROR(__xludf.DUMMYFUNCTION("""COMPUTED_VALUE"""),17760.0)</f>
        <v>17760</v>
      </c>
      <c r="G289" s="219">
        <f>IFERROR(__xludf.DUMMYFUNCTION("""COMPUTED_VALUE"""),1.169057328E8)</f>
        <v>116905732.8</v>
      </c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</row>
    <row r="290">
      <c r="A290" s="215">
        <f>IFERROR(__xludf.DUMMYFUNCTION("""COMPUTED_VALUE"""),46287.0)</f>
        <v>46287</v>
      </c>
      <c r="B290" s="216">
        <f>IFERROR(__xludf.DUMMYFUNCTION("""COMPUTED_VALUE"""),5.0)</f>
        <v>5</v>
      </c>
      <c r="C290" s="216" t="str">
        <f t="shared" si="1"/>
        <v>INV-20260922-5</v>
      </c>
      <c r="D290" s="217" t="s">
        <v>81</v>
      </c>
      <c r="E290" s="218">
        <f>IFERROR(__xludf.DUMMYFUNCTION("""COMPUTED_VALUE"""),11322.77)</f>
        <v>11322.77</v>
      </c>
      <c r="F290" s="219">
        <f>IFERROR(__xludf.DUMMYFUNCTION("""COMPUTED_VALUE"""),17760.0)</f>
        <v>17760</v>
      </c>
      <c r="G290" s="219">
        <f>IFERROR(__xludf.DUMMYFUNCTION("""COMPUTED_VALUE"""),2.0109239520000002E8)</f>
        <v>201092395.2</v>
      </c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</row>
    <row r="291">
      <c r="A291" s="215">
        <f>IFERROR(__xludf.DUMMYFUNCTION("""COMPUTED_VALUE"""),46287.0)</f>
        <v>46287</v>
      </c>
      <c r="B291" s="216">
        <f>IFERROR(__xludf.DUMMYFUNCTION("""COMPUTED_VALUE"""),5.0)</f>
        <v>5</v>
      </c>
      <c r="C291" s="216" t="str">
        <f t="shared" si="1"/>
        <v>INV-20260922-5</v>
      </c>
      <c r="D291" s="217" t="s">
        <v>81</v>
      </c>
      <c r="E291" s="218">
        <f>IFERROR(__xludf.DUMMYFUNCTION("""COMPUTED_VALUE"""),22511.26)</f>
        <v>22511.26</v>
      </c>
      <c r="F291" s="219">
        <f>IFERROR(__xludf.DUMMYFUNCTION("""COMPUTED_VALUE"""),17760.0)</f>
        <v>17760</v>
      </c>
      <c r="G291" s="219">
        <f>IFERROR(__xludf.DUMMYFUNCTION("""COMPUTED_VALUE"""),3.9979997759999996E8)</f>
        <v>399799977.6</v>
      </c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</row>
    <row r="292">
      <c r="A292" s="215">
        <f>IFERROR(__xludf.DUMMYFUNCTION("""COMPUTED_VALUE"""),46287.0)</f>
        <v>46287</v>
      </c>
      <c r="B292" s="216">
        <f>IFERROR(__xludf.DUMMYFUNCTION("""COMPUTED_VALUE"""),6.0)</f>
        <v>6</v>
      </c>
      <c r="C292" s="216" t="str">
        <f t="shared" si="1"/>
        <v>INV-20260922-6</v>
      </c>
      <c r="D292" s="217" t="s">
        <v>81</v>
      </c>
      <c r="E292" s="218">
        <f>IFERROR(__xludf.DUMMYFUNCTION("""COMPUTED_VALUE"""),99859.19)</f>
        <v>99859.19</v>
      </c>
      <c r="F292" s="219">
        <f>IFERROR(__xludf.DUMMYFUNCTION("""COMPUTED_VALUE"""),17755.0)</f>
        <v>17755</v>
      </c>
      <c r="G292" s="219">
        <f>IFERROR(__xludf.DUMMYFUNCTION("""COMPUTED_VALUE"""),1.77299991845E9)</f>
        <v>1772999918</v>
      </c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</row>
    <row r="293">
      <c r="A293" s="215">
        <f>IFERROR(__xludf.DUMMYFUNCTION("""COMPUTED_VALUE"""),46287.0)</f>
        <v>46287</v>
      </c>
      <c r="B293" s="216">
        <f>IFERROR(__xludf.DUMMYFUNCTION("""COMPUTED_VALUE"""),7.0)</f>
        <v>7</v>
      </c>
      <c r="C293" s="216" t="str">
        <f t="shared" si="1"/>
        <v>INV-20260922-7</v>
      </c>
      <c r="D293" s="217" t="s">
        <v>81</v>
      </c>
      <c r="E293" s="218">
        <f>IFERROR(__xludf.DUMMYFUNCTION("""COMPUTED_VALUE"""),7472.27)</f>
        <v>7472.27</v>
      </c>
      <c r="F293" s="219">
        <f>IFERROR(__xludf.DUMMYFUNCTION("""COMPUTED_VALUE"""),17760.0)</f>
        <v>17760</v>
      </c>
      <c r="G293" s="219">
        <f>IFERROR(__xludf.DUMMYFUNCTION("""COMPUTED_VALUE"""),1.327075152E8)</f>
        <v>132707515.2</v>
      </c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</row>
    <row r="294">
      <c r="A294" s="215">
        <f>IFERROR(__xludf.DUMMYFUNCTION("""COMPUTED_VALUE"""),46287.0)</f>
        <v>46287</v>
      </c>
      <c r="B294" s="216">
        <f>IFERROR(__xludf.DUMMYFUNCTION("""COMPUTED_VALUE"""),7.0)</f>
        <v>7</v>
      </c>
      <c r="C294" s="216" t="str">
        <f t="shared" si="1"/>
        <v>INV-20260922-7</v>
      </c>
      <c r="D294" s="217" t="s">
        <v>81</v>
      </c>
      <c r="E294" s="218">
        <f>IFERROR(__xludf.DUMMYFUNCTION("""COMPUTED_VALUE"""),6196.9)</f>
        <v>6196.9</v>
      </c>
      <c r="F294" s="219">
        <f>IFERROR(__xludf.DUMMYFUNCTION("""COMPUTED_VALUE"""),17760.0)</f>
        <v>17760</v>
      </c>
      <c r="G294" s="219">
        <f>IFERROR(__xludf.DUMMYFUNCTION("""COMPUTED_VALUE"""),1.10056944E8)</f>
        <v>110056944</v>
      </c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</row>
    <row r="295">
      <c r="A295" s="215">
        <f>IFERROR(__xludf.DUMMYFUNCTION("""COMPUTED_VALUE"""),46287.0)</f>
        <v>46287</v>
      </c>
      <c r="B295" s="216">
        <f>IFERROR(__xludf.DUMMYFUNCTION("""COMPUTED_VALUE"""),7.0)</f>
        <v>7</v>
      </c>
      <c r="C295" s="216" t="str">
        <f t="shared" si="1"/>
        <v>INV-20260922-7</v>
      </c>
      <c r="D295" s="217" t="s">
        <v>81</v>
      </c>
      <c r="E295" s="218">
        <f>IFERROR(__xludf.DUMMYFUNCTION("""COMPUTED_VALUE"""),29659.17)</f>
        <v>29659.17</v>
      </c>
      <c r="F295" s="219">
        <f>IFERROR(__xludf.DUMMYFUNCTION("""COMPUTED_VALUE"""),17760.0)</f>
        <v>17760</v>
      </c>
      <c r="G295" s="219">
        <f>IFERROR(__xludf.DUMMYFUNCTION("""COMPUTED_VALUE"""),5.267468592E8)</f>
        <v>526746859.2</v>
      </c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</row>
    <row r="296">
      <c r="A296" s="215">
        <f>IFERROR(__xludf.DUMMYFUNCTION("""COMPUTED_VALUE"""),46287.0)</f>
        <v>46287</v>
      </c>
      <c r="B296" s="216">
        <f>IFERROR(__xludf.DUMMYFUNCTION("""COMPUTED_VALUE"""),7.0)</f>
        <v>7</v>
      </c>
      <c r="C296" s="216" t="str">
        <f t="shared" si="1"/>
        <v>INV-20260922-7</v>
      </c>
      <c r="D296" s="217" t="s">
        <v>81</v>
      </c>
      <c r="E296" s="218">
        <f>IFERROR(__xludf.DUMMYFUNCTION("""COMPUTED_VALUE"""),22517.6)</f>
        <v>22517.6</v>
      </c>
      <c r="F296" s="219">
        <f>IFERROR(__xludf.DUMMYFUNCTION("""COMPUTED_VALUE"""),17755.0)</f>
        <v>17755</v>
      </c>
      <c r="G296" s="219">
        <f>IFERROR(__xludf.DUMMYFUNCTION("""COMPUTED_VALUE"""),3.99799988E8)</f>
        <v>399799988</v>
      </c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</row>
    <row r="297">
      <c r="A297" s="215">
        <f>IFERROR(__xludf.DUMMYFUNCTION("""COMPUTED_VALUE"""),46287.0)</f>
        <v>46287</v>
      </c>
      <c r="B297" s="216">
        <f>IFERROR(__xludf.DUMMYFUNCTION("""COMPUTED_VALUE"""),8.0)</f>
        <v>8</v>
      </c>
      <c r="C297" s="216" t="str">
        <f t="shared" si="1"/>
        <v>INV-20260922-8</v>
      </c>
      <c r="D297" s="217" t="s">
        <v>81</v>
      </c>
      <c r="E297" s="218">
        <f>IFERROR(__xludf.DUMMYFUNCTION("""COMPUTED_VALUE"""),107406.36)</f>
        <v>107406.36</v>
      </c>
      <c r="F297" s="219">
        <f>IFERROR(__xludf.DUMMYFUNCTION("""COMPUTED_VALUE"""),17755.0)</f>
        <v>17755</v>
      </c>
      <c r="G297" s="219">
        <f>IFERROR(__xludf.DUMMYFUNCTION("""COMPUTED_VALUE"""),1.9069999218E9)</f>
        <v>1906999922</v>
      </c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</row>
    <row r="298">
      <c r="A298" s="215">
        <f>IFERROR(__xludf.DUMMYFUNCTION("""COMPUTED_VALUE"""),46288.0)</f>
        <v>46288</v>
      </c>
      <c r="B298" s="216">
        <f>IFERROR(__xludf.DUMMYFUNCTION("""COMPUTED_VALUE"""),1.0)</f>
        <v>1</v>
      </c>
      <c r="C298" s="216" t="str">
        <f t="shared" si="1"/>
        <v>INV-20260923-1</v>
      </c>
      <c r="D298" s="217" t="s">
        <v>81</v>
      </c>
      <c r="E298" s="218">
        <f>IFERROR(__xludf.DUMMYFUNCTION("""COMPUTED_VALUE"""),20460.91)</f>
        <v>20460.91</v>
      </c>
      <c r="F298" s="219">
        <f>IFERROR(__xludf.DUMMYFUNCTION("""COMPUTED_VALUE"""),17760.0)</f>
        <v>17760</v>
      </c>
      <c r="G298" s="219">
        <f>IFERROR(__xludf.DUMMYFUNCTION("""COMPUTED_VALUE"""),3.633857616E8)</f>
        <v>363385761.6</v>
      </c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</row>
    <row r="299">
      <c r="A299" s="215">
        <f>IFERROR(__xludf.DUMMYFUNCTION("""COMPUTED_VALUE"""),46288.0)</f>
        <v>46288</v>
      </c>
      <c r="B299" s="216">
        <f>IFERROR(__xludf.DUMMYFUNCTION("""COMPUTED_VALUE"""),1.0)</f>
        <v>1</v>
      </c>
      <c r="C299" s="216" t="str">
        <f t="shared" si="1"/>
        <v>INV-20260923-1</v>
      </c>
      <c r="D299" s="217" t="s">
        <v>81</v>
      </c>
      <c r="E299" s="218">
        <f>IFERROR(__xludf.DUMMYFUNCTION("""COMPUTED_VALUE"""),46486.1)</f>
        <v>46486.1</v>
      </c>
      <c r="F299" s="219">
        <f>IFERROR(__xludf.DUMMYFUNCTION("""COMPUTED_VALUE"""),17767.0)</f>
        <v>17767</v>
      </c>
      <c r="G299" s="219">
        <f>IFERROR(__xludf.DUMMYFUNCTION("""COMPUTED_VALUE"""),8.259185386999999E8)</f>
        <v>825918538.7</v>
      </c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</row>
    <row r="300">
      <c r="A300" s="215">
        <f>IFERROR(__xludf.DUMMYFUNCTION("""COMPUTED_VALUE"""),46288.0)</f>
        <v>46288</v>
      </c>
      <c r="B300" s="216">
        <f>IFERROR(__xludf.DUMMYFUNCTION("""COMPUTED_VALUE"""),2.0)</f>
        <v>2</v>
      </c>
      <c r="C300" s="216" t="str">
        <f t="shared" si="1"/>
        <v>INV-20260923-2</v>
      </c>
      <c r="D300" s="217" t="s">
        <v>81</v>
      </c>
      <c r="E300" s="218">
        <f>IFERROR(__xludf.DUMMYFUNCTION("""COMPUTED_VALUE"""),225288.65)</f>
        <v>225288.65</v>
      </c>
      <c r="F300" s="219">
        <f>IFERROR(__xludf.DUMMYFUNCTION("""COMPUTED_VALUE"""),17755.0)</f>
        <v>17755</v>
      </c>
      <c r="G300" s="219">
        <f>IFERROR(__xludf.DUMMYFUNCTION("""COMPUTED_VALUE"""),3.99999998075E9)</f>
        <v>3999999981</v>
      </c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</row>
    <row r="301">
      <c r="A301" s="215">
        <f>IFERROR(__xludf.DUMMYFUNCTION("""COMPUTED_VALUE"""),46288.0)</f>
        <v>46288</v>
      </c>
      <c r="B301" s="216">
        <f>IFERROR(__xludf.DUMMYFUNCTION("""COMPUTED_VALUE"""),3.0)</f>
        <v>3</v>
      </c>
      <c r="C301" s="216" t="str">
        <f t="shared" si="1"/>
        <v>INV-20260923-3</v>
      </c>
      <c r="D301" s="217" t="s">
        <v>81</v>
      </c>
      <c r="E301" s="218">
        <f>IFERROR(__xludf.DUMMYFUNCTION("""COMPUTED_VALUE"""),31292.8)</f>
        <v>31292.8</v>
      </c>
      <c r="F301" s="219">
        <f>IFERROR(__xludf.DUMMYFUNCTION("""COMPUTED_VALUE"""),17755.0)</f>
        <v>17755</v>
      </c>
      <c r="G301" s="219">
        <f>IFERROR(__xludf.DUMMYFUNCTION("""COMPUTED_VALUE"""),5.55603664E8)</f>
        <v>555603664</v>
      </c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</row>
    <row r="302">
      <c r="A302" s="215">
        <f>IFERROR(__xludf.DUMMYFUNCTION("""COMPUTED_VALUE"""),46289.0)</f>
        <v>46289</v>
      </c>
      <c r="B302" s="216">
        <f>IFERROR(__xludf.DUMMYFUNCTION("""COMPUTED_VALUE"""),1.0)</f>
        <v>1</v>
      </c>
      <c r="C302" s="216" t="str">
        <f t="shared" si="1"/>
        <v>INV-20260924-1</v>
      </c>
      <c r="D302" s="217" t="s">
        <v>81</v>
      </c>
      <c r="E302" s="218">
        <f>IFERROR(__xludf.DUMMYFUNCTION("""COMPUTED_VALUE"""),5697.15)</f>
        <v>5697.15</v>
      </c>
      <c r="F302" s="219">
        <f>IFERROR(__xludf.DUMMYFUNCTION("""COMPUTED_VALUE"""),17770.0)</f>
        <v>17770</v>
      </c>
      <c r="G302" s="219">
        <f>IFERROR(__xludf.DUMMYFUNCTION("""COMPUTED_VALUE"""),1.012383555E8)</f>
        <v>101238355.5</v>
      </c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</row>
    <row r="303">
      <c r="A303" s="215">
        <f>IFERROR(__xludf.DUMMYFUNCTION("""COMPUTED_VALUE"""),46289.0)</f>
        <v>46289</v>
      </c>
      <c r="B303" s="216">
        <f>IFERROR(__xludf.DUMMYFUNCTION("""COMPUTED_VALUE"""),1.0)</f>
        <v>1</v>
      </c>
      <c r="C303" s="216" t="str">
        <f t="shared" si="1"/>
        <v>INV-20260924-1</v>
      </c>
      <c r="D303" s="217" t="s">
        <v>81</v>
      </c>
      <c r="E303" s="218">
        <f>IFERROR(__xludf.DUMMYFUNCTION("""COMPUTED_VALUE"""),99950.0)</f>
        <v>99950</v>
      </c>
      <c r="F303" s="219">
        <f>IFERROR(__xludf.DUMMYFUNCTION("""COMPUTED_VALUE"""),17772.0)</f>
        <v>17772</v>
      </c>
      <c r="G303" s="219">
        <f>IFERROR(__xludf.DUMMYFUNCTION("""COMPUTED_VALUE"""),1.7763114E9)</f>
        <v>1776311400</v>
      </c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</row>
    <row r="304">
      <c r="A304" s="215">
        <f>IFERROR(__xludf.DUMMYFUNCTION("""COMPUTED_VALUE"""),46289.0)</f>
        <v>46289</v>
      </c>
      <c r="B304" s="216">
        <f>IFERROR(__xludf.DUMMYFUNCTION("""COMPUTED_VALUE"""),2.0)</f>
        <v>2</v>
      </c>
      <c r="C304" s="216" t="str">
        <f t="shared" si="1"/>
        <v>INV-20260924-2</v>
      </c>
      <c r="D304" s="217" t="s">
        <v>81</v>
      </c>
      <c r="E304" s="218">
        <f>IFERROR(__xludf.DUMMYFUNCTION("""COMPUTED_VALUE"""),28081.99)</f>
        <v>28081.99</v>
      </c>
      <c r="F304" s="219">
        <f>IFERROR(__xludf.DUMMYFUNCTION("""COMPUTED_VALUE"""),17805.0)</f>
        <v>17805</v>
      </c>
      <c r="G304" s="219">
        <f>IFERROR(__xludf.DUMMYFUNCTION("""COMPUTED_VALUE"""),4.9999983195000005E8)</f>
        <v>499999832</v>
      </c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</row>
    <row r="305">
      <c r="A305" s="215">
        <f>IFERROR(__xludf.DUMMYFUNCTION("""COMPUTED_VALUE"""),46289.0)</f>
        <v>46289</v>
      </c>
      <c r="B305" s="216">
        <f>IFERROR(__xludf.DUMMYFUNCTION("""COMPUTED_VALUE"""),3.0)</f>
        <v>3</v>
      </c>
      <c r="C305" s="216" t="str">
        <f t="shared" si="1"/>
        <v>INV-20260924-3</v>
      </c>
      <c r="D305" s="217" t="s">
        <v>81</v>
      </c>
      <c r="E305" s="218">
        <f>IFERROR(__xludf.DUMMYFUNCTION("""COMPUTED_VALUE"""),112580.91)</f>
        <v>112580.91</v>
      </c>
      <c r="F305" s="219">
        <f>IFERROR(__xludf.DUMMYFUNCTION("""COMPUTED_VALUE"""),17765.0)</f>
        <v>17765</v>
      </c>
      <c r="G305" s="219">
        <f>IFERROR(__xludf.DUMMYFUNCTION("""COMPUTED_VALUE"""),1.99999986615E9)</f>
        <v>1999999866</v>
      </c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</row>
    <row r="306">
      <c r="A306" s="215">
        <f>IFERROR(__xludf.DUMMYFUNCTION("""COMPUTED_VALUE"""),46289.0)</f>
        <v>46289</v>
      </c>
      <c r="B306" s="216">
        <f>IFERROR(__xludf.DUMMYFUNCTION("""COMPUTED_VALUE"""),4.0)</f>
        <v>4</v>
      </c>
      <c r="C306" s="216" t="str">
        <f t="shared" si="1"/>
        <v>INV-20260924-4</v>
      </c>
      <c r="D306" s="217" t="s">
        <v>81</v>
      </c>
      <c r="E306" s="218">
        <f>IFERROR(__xludf.DUMMYFUNCTION("""COMPUTED_VALUE"""),146928.72)</f>
        <v>146928.72</v>
      </c>
      <c r="F306" s="219">
        <f>IFERROR(__xludf.DUMMYFUNCTION("""COMPUTED_VALUE"""),17765.0)</f>
        <v>17765</v>
      </c>
      <c r="G306" s="219">
        <f>IFERROR(__xludf.DUMMYFUNCTION("""COMPUTED_VALUE"""),2.6101887108E9)</f>
        <v>2610188711</v>
      </c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</row>
    <row r="307">
      <c r="A307" s="215">
        <f>IFERROR(__xludf.DUMMYFUNCTION("""COMPUTED_VALUE"""),46289.0)</f>
        <v>46289</v>
      </c>
      <c r="B307" s="216">
        <f>IFERROR(__xludf.DUMMYFUNCTION("""COMPUTED_VALUE"""),5.0)</f>
        <v>5</v>
      </c>
      <c r="C307" s="216" t="str">
        <f t="shared" si="1"/>
        <v>INV-20260924-5</v>
      </c>
      <c r="D307" s="217" t="s">
        <v>81</v>
      </c>
      <c r="E307" s="218">
        <f>IFERROR(__xludf.DUMMYFUNCTION("""COMPUTED_VALUE"""),7242.21)</f>
        <v>7242.21</v>
      </c>
      <c r="F307" s="219">
        <f>IFERROR(__xludf.DUMMYFUNCTION("""COMPUTED_VALUE"""),17788.0)</f>
        <v>17788</v>
      </c>
      <c r="G307" s="219">
        <f>IFERROR(__xludf.DUMMYFUNCTION("""COMPUTED_VALUE"""),1.2882443148E8)</f>
        <v>128824431.5</v>
      </c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</row>
    <row r="308">
      <c r="A308" s="215">
        <f>IFERROR(__xludf.DUMMYFUNCTION("""COMPUTED_VALUE"""),46289.0)</f>
        <v>46289</v>
      </c>
      <c r="B308" s="216">
        <f>IFERROR(__xludf.DUMMYFUNCTION("""COMPUTED_VALUE"""),5.0)</f>
        <v>5</v>
      </c>
      <c r="C308" s="216" t="str">
        <f t="shared" si="1"/>
        <v>INV-20260924-5</v>
      </c>
      <c r="D308" s="217" t="s">
        <v>81</v>
      </c>
      <c r="E308" s="218">
        <f>IFERROR(__xludf.DUMMYFUNCTION("""COMPUTED_VALUE"""),8425.12)</f>
        <v>8425.12</v>
      </c>
      <c r="F308" s="219">
        <f>IFERROR(__xludf.DUMMYFUNCTION("""COMPUTED_VALUE"""),17795.0)</f>
        <v>17795</v>
      </c>
      <c r="G308" s="219">
        <f>IFERROR(__xludf.DUMMYFUNCTION("""COMPUTED_VALUE"""),1.499250104E8)</f>
        <v>149925010.4</v>
      </c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</row>
    <row r="309">
      <c r="A309" s="215">
        <f>IFERROR(__xludf.DUMMYFUNCTION("""COMPUTED_VALUE"""),46289.0)</f>
        <v>46289</v>
      </c>
      <c r="B309" s="216">
        <f>IFERROR(__xludf.DUMMYFUNCTION("""COMPUTED_VALUE"""),5.0)</f>
        <v>5</v>
      </c>
      <c r="C309" s="216" t="str">
        <f t="shared" si="1"/>
        <v>INV-20260924-5</v>
      </c>
      <c r="D309" s="217" t="s">
        <v>81</v>
      </c>
      <c r="E309" s="218">
        <f>IFERROR(__xludf.DUMMYFUNCTION("""COMPUTED_VALUE"""),9995.0)</f>
        <v>9995</v>
      </c>
      <c r="F309" s="219">
        <f>IFERROR(__xludf.DUMMYFUNCTION("""COMPUTED_VALUE"""),17805.0)</f>
        <v>17805</v>
      </c>
      <c r="G309" s="219">
        <f>IFERROR(__xludf.DUMMYFUNCTION("""COMPUTED_VALUE"""),1.77960975E8)</f>
        <v>177960975</v>
      </c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</row>
    <row r="310">
      <c r="A310" s="215">
        <f>IFERROR(__xludf.DUMMYFUNCTION("""COMPUTED_VALUE"""),46289.0)</f>
        <v>46289</v>
      </c>
      <c r="B310" s="216">
        <f>IFERROR(__xludf.DUMMYFUNCTION("""COMPUTED_VALUE"""),5.0)</f>
        <v>5</v>
      </c>
      <c r="C310" s="216" t="str">
        <f t="shared" si="1"/>
        <v>INV-20260924-5</v>
      </c>
      <c r="D310" s="217" t="s">
        <v>81</v>
      </c>
      <c r="E310" s="218">
        <f>IFERROR(__xludf.DUMMYFUNCTION("""COMPUTED_VALUE"""),99950.0)</f>
        <v>99950</v>
      </c>
      <c r="F310" s="219">
        <f>IFERROR(__xludf.DUMMYFUNCTION("""COMPUTED_VALUE"""),17805.0)</f>
        <v>17805</v>
      </c>
      <c r="G310" s="219">
        <f>IFERROR(__xludf.DUMMYFUNCTION("""COMPUTED_VALUE"""),1.77960975E9)</f>
        <v>1779609750</v>
      </c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</row>
    <row r="311">
      <c r="A311" s="215">
        <f>IFERROR(__xludf.DUMMYFUNCTION("""COMPUTED_VALUE"""),46289.0)</f>
        <v>46289</v>
      </c>
      <c r="B311" s="216">
        <f>IFERROR(__xludf.DUMMYFUNCTION("""COMPUTED_VALUE"""),5.0)</f>
        <v>5</v>
      </c>
      <c r="C311" s="216" t="str">
        <f t="shared" si="1"/>
        <v>INV-20260924-5</v>
      </c>
      <c r="D311" s="217" t="s">
        <v>81</v>
      </c>
      <c r="E311" s="218">
        <f>IFERROR(__xludf.DUMMYFUNCTION("""COMPUTED_VALUE"""),56135.91)</f>
        <v>56135.91</v>
      </c>
      <c r="F311" s="219">
        <f>IFERROR(__xludf.DUMMYFUNCTION("""COMPUTED_VALUE"""),17805.0)</f>
        <v>17805</v>
      </c>
      <c r="G311" s="219">
        <f>IFERROR(__xludf.DUMMYFUNCTION("""COMPUTED_VALUE"""),9.994998775500001E8)</f>
        <v>999499877.6</v>
      </c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</row>
    <row r="312">
      <c r="A312" s="215">
        <f>IFERROR(__xludf.DUMMYFUNCTION("""COMPUTED_VALUE"""),46289.0)</f>
        <v>46289</v>
      </c>
      <c r="B312" s="216">
        <f>IFERROR(__xludf.DUMMYFUNCTION("""COMPUTED_VALUE"""),5.0)</f>
        <v>5</v>
      </c>
      <c r="C312" s="216" t="str">
        <f t="shared" si="1"/>
        <v>INV-20260924-5</v>
      </c>
      <c r="D312" s="217" t="s">
        <v>81</v>
      </c>
      <c r="E312" s="218">
        <f>IFERROR(__xludf.DUMMYFUNCTION("""COMPUTED_VALUE"""),56135.91)</f>
        <v>56135.91</v>
      </c>
      <c r="F312" s="219">
        <f>IFERROR(__xludf.DUMMYFUNCTION("""COMPUTED_VALUE"""),17805.0)</f>
        <v>17805</v>
      </c>
      <c r="G312" s="219">
        <f>IFERROR(__xludf.DUMMYFUNCTION("""COMPUTED_VALUE"""),9.994998775500001E8)</f>
        <v>999499877.6</v>
      </c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</row>
    <row r="313">
      <c r="A313" s="215">
        <f>IFERROR(__xludf.DUMMYFUNCTION("""COMPUTED_VALUE"""),46289.0)</f>
        <v>46289</v>
      </c>
      <c r="B313" s="216">
        <f>IFERROR(__xludf.DUMMYFUNCTION("""COMPUTED_VALUE"""),5.0)</f>
        <v>5</v>
      </c>
      <c r="C313" s="216" t="str">
        <f t="shared" si="1"/>
        <v>INV-20260924-5</v>
      </c>
      <c r="D313" s="217" t="s">
        <v>81</v>
      </c>
      <c r="E313" s="218">
        <f>IFERROR(__xludf.DUMMYFUNCTION("""COMPUTED_VALUE"""),14758.75)</f>
        <v>14758.75</v>
      </c>
      <c r="F313" s="219">
        <f>IFERROR(__xludf.DUMMYFUNCTION("""COMPUTED_VALUE"""),17810.0)</f>
        <v>17810</v>
      </c>
      <c r="G313" s="219">
        <f>IFERROR(__xludf.DUMMYFUNCTION("""COMPUTED_VALUE"""),2.628533375E8)</f>
        <v>262853337.5</v>
      </c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</row>
    <row r="314">
      <c r="A314" s="215">
        <f>IFERROR(__xludf.DUMMYFUNCTION("""COMPUTED_VALUE"""),46289.0)</f>
        <v>46289</v>
      </c>
      <c r="B314" s="216">
        <f>IFERROR(__xludf.DUMMYFUNCTION("""COMPUTED_VALUE"""),5.0)</f>
        <v>5</v>
      </c>
      <c r="C314" s="216" t="str">
        <f t="shared" si="1"/>
        <v>INV-20260924-5</v>
      </c>
      <c r="D314" s="217" t="s">
        <v>81</v>
      </c>
      <c r="E314" s="218">
        <f>IFERROR(__xludf.DUMMYFUNCTION("""COMPUTED_VALUE"""),11065.98)</f>
        <v>11065.98</v>
      </c>
      <c r="F314" s="219">
        <f>IFERROR(__xludf.DUMMYFUNCTION("""COMPUTED_VALUE"""),17815.0)</f>
        <v>17815</v>
      </c>
      <c r="G314" s="219">
        <f>IFERROR(__xludf.DUMMYFUNCTION("""COMPUTED_VALUE"""),1.971404337E8)</f>
        <v>197140433.7</v>
      </c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</row>
    <row r="315">
      <c r="A315" s="215">
        <f>IFERROR(__xludf.DUMMYFUNCTION("""COMPUTED_VALUE"""),46289.0)</f>
        <v>46289</v>
      </c>
      <c r="B315" s="216">
        <f>IFERROR(__xludf.DUMMYFUNCTION("""COMPUTED_VALUE"""),5.0)</f>
        <v>5</v>
      </c>
      <c r="C315" s="216" t="str">
        <f t="shared" si="1"/>
        <v>INV-20260924-5</v>
      </c>
      <c r="D315" s="217" t="s">
        <v>81</v>
      </c>
      <c r="E315" s="218">
        <f>IFERROR(__xludf.DUMMYFUNCTION("""COMPUTED_VALUE"""),56104.41)</f>
        <v>56104.41</v>
      </c>
      <c r="F315" s="219">
        <f>IFERROR(__xludf.DUMMYFUNCTION("""COMPUTED_VALUE"""),17815.0)</f>
        <v>17815</v>
      </c>
      <c r="G315" s="219">
        <f>IFERROR(__xludf.DUMMYFUNCTION("""COMPUTED_VALUE"""),9.995000641500001E8)</f>
        <v>999500064.2</v>
      </c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</row>
    <row r="316">
      <c r="A316" s="215">
        <f>IFERROR(__xludf.DUMMYFUNCTION("""COMPUTED_VALUE"""),46289.0)</f>
        <v>46289</v>
      </c>
      <c r="B316" s="216">
        <f>IFERROR(__xludf.DUMMYFUNCTION("""COMPUTED_VALUE"""),5.0)</f>
        <v>5</v>
      </c>
      <c r="C316" s="216" t="str">
        <f t="shared" si="1"/>
        <v>INV-20260924-5</v>
      </c>
      <c r="D316" s="217" t="s">
        <v>81</v>
      </c>
      <c r="E316" s="218">
        <f>IFERROR(__xludf.DUMMYFUNCTION("""COMPUTED_VALUE"""),56104.41)</f>
        <v>56104.41</v>
      </c>
      <c r="F316" s="219">
        <f>IFERROR(__xludf.DUMMYFUNCTION("""COMPUTED_VALUE"""),17815.0)</f>
        <v>17815</v>
      </c>
      <c r="G316" s="219">
        <f>IFERROR(__xludf.DUMMYFUNCTION("""COMPUTED_VALUE"""),9.995000641500001E8)</f>
        <v>999500064.2</v>
      </c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</row>
    <row r="317">
      <c r="A317" s="215">
        <f>IFERROR(__xludf.DUMMYFUNCTION("""COMPUTED_VALUE"""),46289.0)</f>
        <v>46289</v>
      </c>
      <c r="B317" s="216">
        <f>IFERROR(__xludf.DUMMYFUNCTION("""COMPUTED_VALUE"""),5.0)</f>
        <v>5</v>
      </c>
      <c r="C317" s="216" t="str">
        <f t="shared" si="1"/>
        <v>INV-20260924-5</v>
      </c>
      <c r="D317" s="217" t="s">
        <v>81</v>
      </c>
      <c r="E317" s="218">
        <f>IFERROR(__xludf.DUMMYFUNCTION("""COMPUTED_VALUE"""),56104.41)</f>
        <v>56104.41</v>
      </c>
      <c r="F317" s="219">
        <f>IFERROR(__xludf.DUMMYFUNCTION("""COMPUTED_VALUE"""),17815.0)</f>
        <v>17815</v>
      </c>
      <c r="G317" s="219">
        <f>IFERROR(__xludf.DUMMYFUNCTION("""COMPUTED_VALUE"""),9.995000641500001E8)</f>
        <v>999500064.2</v>
      </c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</row>
    <row r="318">
      <c r="A318" s="215">
        <f>IFERROR(__xludf.DUMMYFUNCTION("""COMPUTED_VALUE"""),46289.0)</f>
        <v>46289</v>
      </c>
      <c r="B318" s="216">
        <f>IFERROR(__xludf.DUMMYFUNCTION("""COMPUTED_VALUE"""),6.0)</f>
        <v>6</v>
      </c>
      <c r="C318" s="216" t="str">
        <f t="shared" si="1"/>
        <v>INV-20260924-6</v>
      </c>
      <c r="D318" s="217" t="s">
        <v>81</v>
      </c>
      <c r="E318" s="218">
        <f>IFERROR(__xludf.DUMMYFUNCTION("""COMPUTED_VALUE"""),50456.91)</f>
        <v>50456.91</v>
      </c>
      <c r="F318" s="219">
        <f>IFERROR(__xludf.DUMMYFUNCTION("""COMPUTED_VALUE"""),17837.0)</f>
        <v>17837</v>
      </c>
      <c r="G318" s="219">
        <f>IFERROR(__xludf.DUMMYFUNCTION("""COMPUTED_VALUE"""),8.999999036700001E8)</f>
        <v>899999903.7</v>
      </c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</row>
    <row r="319">
      <c r="A319" s="215">
        <f>IFERROR(__xludf.DUMMYFUNCTION("""COMPUTED_VALUE"""),46289.0)</f>
        <v>46289</v>
      </c>
      <c r="B319" s="216">
        <f>IFERROR(__xludf.DUMMYFUNCTION("""COMPUTED_VALUE"""),6.0)</f>
        <v>6</v>
      </c>
      <c r="C319" s="216" t="str">
        <f t="shared" si="1"/>
        <v>INV-20260924-6</v>
      </c>
      <c r="D319" s="217" t="s">
        <v>81</v>
      </c>
      <c r="E319" s="218">
        <f>IFERROR(__xludf.DUMMYFUNCTION("""COMPUTED_VALUE"""),27986.0)</f>
        <v>27986</v>
      </c>
      <c r="F319" s="219">
        <f>IFERROR(__xludf.DUMMYFUNCTION("""COMPUTED_VALUE"""),17805.0)</f>
        <v>17805</v>
      </c>
      <c r="G319" s="219">
        <f>IFERROR(__xludf.DUMMYFUNCTION("""COMPUTED_VALUE"""),4.9829073E8)</f>
        <v>498290730</v>
      </c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</row>
    <row r="320">
      <c r="A320" s="215">
        <f>IFERROR(__xludf.DUMMYFUNCTION("""COMPUTED_VALUE"""),46289.0)</f>
        <v>46289</v>
      </c>
      <c r="B320" s="216">
        <f>IFERROR(__xludf.DUMMYFUNCTION("""COMPUTED_VALUE"""),6.0)</f>
        <v>6</v>
      </c>
      <c r="C320" s="216" t="str">
        <f t="shared" si="1"/>
        <v>INV-20260924-6</v>
      </c>
      <c r="D320" s="217" t="s">
        <v>81</v>
      </c>
      <c r="E320" s="218">
        <f>IFERROR(__xludf.DUMMYFUNCTION("""COMPUTED_VALUE"""),10597.97)</f>
        <v>10597.97</v>
      </c>
      <c r="F320" s="219">
        <f>IFERROR(__xludf.DUMMYFUNCTION("""COMPUTED_VALUE"""),17805.0)</f>
        <v>17805</v>
      </c>
      <c r="G320" s="219">
        <f>IFERROR(__xludf.DUMMYFUNCTION("""COMPUTED_VALUE"""),1.8869685585E8)</f>
        <v>188696855.9</v>
      </c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  <c r="AB320" s="220"/>
    </row>
    <row r="321">
      <c r="A321" s="215">
        <f>IFERROR(__xludf.DUMMYFUNCTION("""COMPUTED_VALUE"""),46289.0)</f>
        <v>46289</v>
      </c>
      <c r="B321" s="216">
        <f>IFERROR(__xludf.DUMMYFUNCTION("""COMPUTED_VALUE"""),7.0)</f>
        <v>7</v>
      </c>
      <c r="C321" s="216" t="str">
        <f t="shared" si="1"/>
        <v>INV-20260924-7</v>
      </c>
      <c r="D321" s="217" t="s">
        <v>81</v>
      </c>
      <c r="E321" s="218">
        <f>IFERROR(__xludf.DUMMYFUNCTION("""COMPUTED_VALUE"""),28065.7)</f>
        <v>28065.7</v>
      </c>
      <c r="F321" s="219">
        <f>IFERROR(__xludf.DUMMYFUNCTION("""COMPUTED_VALUE"""),17810.0)</f>
        <v>17810</v>
      </c>
      <c r="G321" s="219">
        <f>IFERROR(__xludf.DUMMYFUNCTION("""COMPUTED_VALUE"""),4.99850117E8)</f>
        <v>499850117</v>
      </c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</row>
    <row r="322">
      <c r="A322" s="215">
        <f>IFERROR(__xludf.DUMMYFUNCTION("""COMPUTED_VALUE"""),46289.0)</f>
        <v>46289</v>
      </c>
      <c r="B322" s="216">
        <f>IFERROR(__xludf.DUMMYFUNCTION("""COMPUTED_VALUE"""),7.0)</f>
        <v>7</v>
      </c>
      <c r="C322" s="216" t="str">
        <f t="shared" si="1"/>
        <v>INV-20260924-7</v>
      </c>
      <c r="D322" s="217" t="s">
        <v>81</v>
      </c>
      <c r="E322" s="218">
        <f>IFERROR(__xludf.DUMMYFUNCTION("""COMPUTED_VALUE"""),6922.87)</f>
        <v>6922.87</v>
      </c>
      <c r="F322" s="219">
        <f>IFERROR(__xludf.DUMMYFUNCTION("""COMPUTED_VALUE"""),17810.0)</f>
        <v>17810</v>
      </c>
      <c r="G322" s="219">
        <f>IFERROR(__xludf.DUMMYFUNCTION("""COMPUTED_VALUE"""),1.232963147E8)</f>
        <v>123296314.7</v>
      </c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</row>
    <row r="323">
      <c r="A323" s="215">
        <f>IFERROR(__xludf.DUMMYFUNCTION("""COMPUTED_VALUE"""),46290.0)</f>
        <v>46290</v>
      </c>
      <c r="B323" s="216">
        <f>IFERROR(__xludf.DUMMYFUNCTION("""COMPUTED_VALUE"""),1.0)</f>
        <v>1</v>
      </c>
      <c r="C323" s="216" t="str">
        <f t="shared" si="1"/>
        <v>INV-20260925-1</v>
      </c>
      <c r="D323" s="217" t="s">
        <v>81</v>
      </c>
      <c r="E323" s="218">
        <f>IFERROR(__xludf.DUMMYFUNCTION("""COMPUTED_VALUE"""),7996.0)</f>
        <v>7996</v>
      </c>
      <c r="F323" s="219">
        <f>IFERROR(__xludf.DUMMYFUNCTION("""COMPUTED_VALUE"""),17826.0)</f>
        <v>17826</v>
      </c>
      <c r="G323" s="219">
        <f>IFERROR(__xludf.DUMMYFUNCTION("""COMPUTED_VALUE"""),1.42536696E8)</f>
        <v>142536696</v>
      </c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</row>
    <row r="324">
      <c r="A324" s="215">
        <f>IFERROR(__xludf.DUMMYFUNCTION("""COMPUTED_VALUE"""),46290.0)</f>
        <v>46290</v>
      </c>
      <c r="B324" s="216">
        <f>IFERROR(__xludf.DUMMYFUNCTION("""COMPUTED_VALUE"""),1.0)</f>
        <v>1</v>
      </c>
      <c r="C324" s="216" t="str">
        <f t="shared" si="1"/>
        <v>INV-20260925-1</v>
      </c>
      <c r="D324" s="217" t="s">
        <v>81</v>
      </c>
      <c r="E324" s="218">
        <f>IFERROR(__xludf.DUMMYFUNCTION("""COMPUTED_VALUE"""),109945.0)</f>
        <v>109945</v>
      </c>
      <c r="F324" s="219">
        <f>IFERROR(__xludf.DUMMYFUNCTION("""COMPUTED_VALUE"""),17826.0)</f>
        <v>17826</v>
      </c>
      <c r="G324" s="219">
        <f>IFERROR(__xludf.DUMMYFUNCTION("""COMPUTED_VALUE"""),1.95987957E9)</f>
        <v>1959879570</v>
      </c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  <c r="AB324" s="220"/>
    </row>
    <row r="325">
      <c r="A325" s="215">
        <f>IFERROR(__xludf.DUMMYFUNCTION("""COMPUTED_VALUE"""),46290.0)</f>
        <v>46290</v>
      </c>
      <c r="B325" s="216">
        <f>IFERROR(__xludf.DUMMYFUNCTION("""COMPUTED_VALUE"""),2.0)</f>
        <v>2</v>
      </c>
      <c r="C325" s="216" t="str">
        <f t="shared" si="1"/>
        <v>INV-20260925-2</v>
      </c>
      <c r="D325" s="217" t="s">
        <v>81</v>
      </c>
      <c r="E325" s="218">
        <f>IFERROR(__xludf.DUMMYFUNCTION("""COMPUTED_VALUE"""),259404.82)</f>
        <v>259404.82</v>
      </c>
      <c r="F325" s="219">
        <f>IFERROR(__xludf.DUMMYFUNCTION("""COMPUTED_VALUE"""),17810.0)</f>
        <v>17810</v>
      </c>
      <c r="G325" s="219">
        <f>IFERROR(__xludf.DUMMYFUNCTION("""COMPUTED_VALUE"""),4.6199998442E9)</f>
        <v>4619999844</v>
      </c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  <c r="AB325" s="220"/>
    </row>
    <row r="326">
      <c r="A326" s="215">
        <f>IFERROR(__xludf.DUMMYFUNCTION("""COMPUTED_VALUE"""),46290.0)</f>
        <v>46290</v>
      </c>
      <c r="B326" s="216">
        <f>IFERROR(__xludf.DUMMYFUNCTION("""COMPUTED_VALUE"""),3.0)</f>
        <v>3</v>
      </c>
      <c r="C326" s="216" t="str">
        <f t="shared" si="1"/>
        <v>INV-20260925-3</v>
      </c>
      <c r="D326" s="217" t="s">
        <v>81</v>
      </c>
      <c r="E326" s="218">
        <f>IFERROR(__xludf.DUMMYFUNCTION("""COMPUTED_VALUE"""),76461.75)</f>
        <v>76461.75</v>
      </c>
      <c r="F326" s="219">
        <f>IFERROR(__xludf.DUMMYFUNCTION("""COMPUTED_VALUE"""),17762.0)</f>
        <v>17762</v>
      </c>
      <c r="G326" s="219">
        <f>IFERROR(__xludf.DUMMYFUNCTION("""COMPUTED_VALUE"""),1.3581136035E9)</f>
        <v>1358113604</v>
      </c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  <c r="AB326" s="220"/>
    </row>
    <row r="327">
      <c r="A327" s="215">
        <f>IFERROR(__xludf.DUMMYFUNCTION("""COMPUTED_VALUE"""),46290.0)</f>
        <v>46290</v>
      </c>
      <c r="B327" s="216">
        <f>IFERROR(__xludf.DUMMYFUNCTION("""COMPUTED_VALUE"""),4.0)</f>
        <v>4</v>
      </c>
      <c r="C327" s="216" t="str">
        <f t="shared" si="1"/>
        <v>INV-20260925-4</v>
      </c>
      <c r="D327" s="217" t="s">
        <v>81</v>
      </c>
      <c r="E327" s="218">
        <f>IFERROR(__xludf.DUMMYFUNCTION("""COMPUTED_VALUE"""),78434.68)</f>
        <v>78434.68</v>
      </c>
      <c r="F327" s="219">
        <f>IFERROR(__xludf.DUMMYFUNCTION("""COMPUTED_VALUE"""),17760.0)</f>
        <v>17760</v>
      </c>
      <c r="G327" s="219">
        <f>IFERROR(__xludf.DUMMYFUNCTION("""COMPUTED_VALUE"""),1.3929999168E9)</f>
        <v>1392999917</v>
      </c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  <c r="AB327" s="220"/>
    </row>
    <row r="328">
      <c r="A328" s="215">
        <f>IFERROR(__xludf.DUMMYFUNCTION("""COMPUTED_VALUE"""),46290.0)</f>
        <v>46290</v>
      </c>
      <c r="B328" s="216">
        <f>IFERROR(__xludf.DUMMYFUNCTION("""COMPUTED_VALUE"""),5.0)</f>
        <v>5</v>
      </c>
      <c r="C328" s="216" t="str">
        <f t="shared" si="1"/>
        <v>INV-20260925-5</v>
      </c>
      <c r="D328" s="217" t="s">
        <v>81</v>
      </c>
      <c r="E328" s="218">
        <f>IFERROR(__xludf.DUMMYFUNCTION("""COMPUTED_VALUE"""),8435.16)</f>
        <v>8435.16</v>
      </c>
      <c r="F328" s="219">
        <f>IFERROR(__xludf.DUMMYFUNCTION("""COMPUTED_VALUE"""),17760.0)</f>
        <v>17760</v>
      </c>
      <c r="G328" s="219">
        <f>IFERROR(__xludf.DUMMYFUNCTION("""COMPUTED_VALUE"""),1.498084416E8)</f>
        <v>149808441.6</v>
      </c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  <c r="AA328" s="220"/>
      <c r="AB328" s="220"/>
    </row>
    <row r="329">
      <c r="A329" s="215">
        <f>IFERROR(__xludf.DUMMYFUNCTION("""COMPUTED_VALUE"""),46290.0)</f>
        <v>46290</v>
      </c>
      <c r="B329" s="216">
        <f>IFERROR(__xludf.DUMMYFUNCTION("""COMPUTED_VALUE"""),5.0)</f>
        <v>5</v>
      </c>
      <c r="C329" s="216" t="str">
        <f t="shared" si="1"/>
        <v>INV-20260925-5</v>
      </c>
      <c r="D329" s="217" t="s">
        <v>81</v>
      </c>
      <c r="E329" s="218">
        <f>IFERROR(__xludf.DUMMYFUNCTION("""COMPUTED_VALUE"""),7913.47)</f>
        <v>7913.47</v>
      </c>
      <c r="F329" s="219">
        <f>IFERROR(__xludf.DUMMYFUNCTION("""COMPUTED_VALUE"""),17745.0)</f>
        <v>17745</v>
      </c>
      <c r="G329" s="219">
        <f>IFERROR(__xludf.DUMMYFUNCTION("""COMPUTED_VALUE"""),1.4042452515E8)</f>
        <v>140424525.2</v>
      </c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  <c r="AA329" s="220"/>
      <c r="AB329" s="220"/>
    </row>
    <row r="330">
      <c r="A330" s="215">
        <f>IFERROR(__xludf.DUMMYFUNCTION("""COMPUTED_VALUE"""),46290.0)</f>
        <v>46290</v>
      </c>
      <c r="B330" s="216">
        <f>IFERROR(__xludf.DUMMYFUNCTION("""COMPUTED_VALUE"""),6.0)</f>
        <v>6</v>
      </c>
      <c r="C330" s="216" t="str">
        <f t="shared" si="1"/>
        <v>INV-20260925-6</v>
      </c>
      <c r="D330" s="217" t="s">
        <v>81</v>
      </c>
      <c r="E330" s="218">
        <f>IFERROR(__xludf.DUMMYFUNCTION("""COMPUTED_VALUE"""),28022.99)</f>
        <v>28022.99</v>
      </c>
      <c r="F330" s="219">
        <f>IFERROR(__xludf.DUMMYFUNCTION("""COMPUTED_VALUE"""),17740.0)</f>
        <v>17740</v>
      </c>
      <c r="G330" s="219">
        <f>IFERROR(__xludf.DUMMYFUNCTION("""COMPUTED_VALUE"""),4.971278426E8)</f>
        <v>497127842.6</v>
      </c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  <c r="AA330" s="220"/>
      <c r="AB330" s="220"/>
    </row>
    <row r="331">
      <c r="A331" s="215">
        <f>IFERROR(__xludf.DUMMYFUNCTION("""COMPUTED_VALUE"""),46290.0)</f>
        <v>46290</v>
      </c>
      <c r="B331" s="216">
        <f>IFERROR(__xludf.DUMMYFUNCTION("""COMPUTED_VALUE"""),6.0)</f>
        <v>6</v>
      </c>
      <c r="C331" s="216" t="str">
        <f t="shared" si="1"/>
        <v>INV-20260925-6</v>
      </c>
      <c r="D331" s="217" t="s">
        <v>81</v>
      </c>
      <c r="E331" s="218">
        <f>IFERROR(__xludf.DUMMYFUNCTION("""COMPUTED_VALUE"""),6996.5)</f>
        <v>6996.5</v>
      </c>
      <c r="F331" s="219">
        <f>IFERROR(__xludf.DUMMYFUNCTION("""COMPUTED_VALUE"""),17745.0)</f>
        <v>17745</v>
      </c>
      <c r="G331" s="219">
        <f>IFERROR(__xludf.DUMMYFUNCTION("""COMPUTED_VALUE"""),1.241528925E8)</f>
        <v>124152892.5</v>
      </c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  <c r="AA331" s="220"/>
      <c r="AB331" s="220"/>
    </row>
    <row r="332">
      <c r="A332" s="215">
        <f>IFERROR(__xludf.DUMMYFUNCTION("""COMPUTED_VALUE"""),46290.0)</f>
        <v>46290</v>
      </c>
      <c r="B332" s="216">
        <f>IFERROR(__xludf.DUMMYFUNCTION("""COMPUTED_VALUE"""),7.0)</f>
        <v>7</v>
      </c>
      <c r="C332" s="216" t="str">
        <f t="shared" si="1"/>
        <v>INV-20260925-7</v>
      </c>
      <c r="D332" s="217" t="s">
        <v>81</v>
      </c>
      <c r="E332" s="218">
        <f>IFERROR(__xludf.DUMMYFUNCTION("""COMPUTED_VALUE"""),194291.83)</f>
        <v>194291.83</v>
      </c>
      <c r="F332" s="219">
        <f>IFERROR(__xludf.DUMMYFUNCTION("""COMPUTED_VALUE"""),17750.0)</f>
        <v>17750</v>
      </c>
      <c r="G332" s="219">
        <f>IFERROR(__xludf.DUMMYFUNCTION("""COMPUTED_VALUE"""),3.4486799825E9)</f>
        <v>3448679983</v>
      </c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  <c r="AA332" s="220"/>
      <c r="AB332" s="220"/>
    </row>
    <row r="333">
      <c r="A333" s="215">
        <f>IFERROR(__xludf.DUMMYFUNCTION("""COMPUTED_VALUE"""),46291.0)</f>
        <v>46291</v>
      </c>
      <c r="B333" s="216">
        <f>IFERROR(__xludf.DUMMYFUNCTION("""COMPUTED_VALUE"""),1.0)</f>
        <v>1</v>
      </c>
      <c r="C333" s="216" t="str">
        <f t="shared" si="1"/>
        <v>INV-20260926-1</v>
      </c>
      <c r="D333" s="217" t="s">
        <v>81</v>
      </c>
      <c r="E333" s="218">
        <f>IFERROR(__xludf.DUMMYFUNCTION("""COMPUTED_VALUE"""),16491.75)</f>
        <v>16491.75</v>
      </c>
      <c r="F333" s="219">
        <f>IFERROR(__xludf.DUMMYFUNCTION("""COMPUTED_VALUE"""),17732.0)</f>
        <v>17732</v>
      </c>
      <c r="G333" s="219">
        <f>IFERROR(__xludf.DUMMYFUNCTION("""COMPUTED_VALUE"""),2.92431711E8)</f>
        <v>292431711</v>
      </c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  <c r="AA333" s="220"/>
      <c r="AB333" s="220"/>
    </row>
    <row r="334">
      <c r="A334" s="215">
        <f>IFERROR(__xludf.DUMMYFUNCTION("""COMPUTED_VALUE"""),46291.0)</f>
        <v>46291</v>
      </c>
      <c r="B334" s="216">
        <f>IFERROR(__xludf.DUMMYFUNCTION("""COMPUTED_VALUE"""),1.0)</f>
        <v>1</v>
      </c>
      <c r="C334" s="216" t="str">
        <f t="shared" si="1"/>
        <v>INV-20260926-1</v>
      </c>
      <c r="D334" s="217" t="s">
        <v>81</v>
      </c>
      <c r="E334" s="218">
        <f>IFERROR(__xludf.DUMMYFUNCTION("""COMPUTED_VALUE"""),16491.75)</f>
        <v>16491.75</v>
      </c>
      <c r="F334" s="219">
        <f>IFERROR(__xludf.DUMMYFUNCTION("""COMPUTED_VALUE"""),17735.0)</f>
        <v>17735</v>
      </c>
      <c r="G334" s="219">
        <f>IFERROR(__xludf.DUMMYFUNCTION("""COMPUTED_VALUE"""),2.9248118625E8)</f>
        <v>292481186.3</v>
      </c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  <c r="AA334" s="220"/>
      <c r="AB334" s="220"/>
    </row>
    <row r="335">
      <c r="A335" s="215">
        <f>IFERROR(__xludf.DUMMYFUNCTION("""COMPUTED_VALUE"""),46291.0)</f>
        <v>46291</v>
      </c>
      <c r="B335" s="216">
        <f>IFERROR(__xludf.DUMMYFUNCTION("""COMPUTED_VALUE"""),1.0)</f>
        <v>1</v>
      </c>
      <c r="C335" s="216" t="str">
        <f t="shared" si="1"/>
        <v>INV-20260926-1</v>
      </c>
      <c r="D335" s="217" t="s">
        <v>81</v>
      </c>
      <c r="E335" s="218">
        <f>IFERROR(__xludf.DUMMYFUNCTION("""COMPUTED_VALUE"""),16491.75)</f>
        <v>16491.75</v>
      </c>
      <c r="F335" s="219">
        <f>IFERROR(__xludf.DUMMYFUNCTION("""COMPUTED_VALUE"""),17735.0)</f>
        <v>17735</v>
      </c>
      <c r="G335" s="219">
        <f>IFERROR(__xludf.DUMMYFUNCTION("""COMPUTED_VALUE"""),2.9248118625E8)</f>
        <v>292481186.3</v>
      </c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  <c r="AA335" s="220"/>
      <c r="AB335" s="220"/>
    </row>
    <row r="336">
      <c r="A336" s="215">
        <f>IFERROR(__xludf.DUMMYFUNCTION("""COMPUTED_VALUE"""),46291.0)</f>
        <v>46291</v>
      </c>
      <c r="B336" s="216">
        <f>IFERROR(__xludf.DUMMYFUNCTION("""COMPUTED_VALUE"""),1.0)</f>
        <v>1</v>
      </c>
      <c r="C336" s="216" t="str">
        <f t="shared" si="1"/>
        <v>INV-20260926-1</v>
      </c>
      <c r="D336" s="217" t="s">
        <v>81</v>
      </c>
      <c r="E336" s="218">
        <f>IFERROR(__xludf.DUMMYFUNCTION("""COMPUTED_VALUE"""),8448.86)</f>
        <v>8448.86</v>
      </c>
      <c r="F336" s="219">
        <f>IFERROR(__xludf.DUMMYFUNCTION("""COMPUTED_VALUE"""),17745.0)</f>
        <v>17745</v>
      </c>
      <c r="G336" s="219">
        <f>IFERROR(__xludf.DUMMYFUNCTION("""COMPUTED_VALUE"""),1.4992502070000002E8)</f>
        <v>149925020.7</v>
      </c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  <c r="AA336" s="220"/>
      <c r="AB336" s="220"/>
    </row>
    <row r="337">
      <c r="A337" s="215">
        <f>IFERROR(__xludf.DUMMYFUNCTION("""COMPUTED_VALUE"""),46291.0)</f>
        <v>46291</v>
      </c>
      <c r="B337" s="216">
        <f>IFERROR(__xludf.DUMMYFUNCTION("""COMPUTED_VALUE"""),2.0)</f>
        <v>2</v>
      </c>
      <c r="C337" s="216" t="str">
        <f t="shared" si="1"/>
        <v>INV-20260926-2</v>
      </c>
      <c r="D337" s="217" t="s">
        <v>81</v>
      </c>
      <c r="E337" s="218">
        <f>IFERROR(__xludf.DUMMYFUNCTION("""COMPUTED_VALUE"""),256901.4)</f>
        <v>256901.4</v>
      </c>
      <c r="F337" s="219">
        <f>IFERROR(__xludf.DUMMYFUNCTION("""COMPUTED_VALUE"""),17750.0)</f>
        <v>17750</v>
      </c>
      <c r="G337" s="219">
        <f>IFERROR(__xludf.DUMMYFUNCTION("""COMPUTED_VALUE"""),4.55999985E9)</f>
        <v>4559999850</v>
      </c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  <c r="AA337" s="220"/>
      <c r="AB337" s="220"/>
    </row>
    <row r="338">
      <c r="A338" s="215">
        <f>IFERROR(__xludf.DUMMYFUNCTION("""COMPUTED_VALUE"""),46291.0)</f>
        <v>46291</v>
      </c>
      <c r="B338" s="216">
        <f>IFERROR(__xludf.DUMMYFUNCTION("""COMPUTED_VALUE"""),3.0)</f>
        <v>3</v>
      </c>
      <c r="C338" s="216" t="str">
        <f t="shared" si="1"/>
        <v>INV-20260926-3</v>
      </c>
      <c r="D338" s="217" t="s">
        <v>81</v>
      </c>
      <c r="E338" s="218">
        <f>IFERROR(__xludf.DUMMYFUNCTION("""COMPUTED_VALUE"""),149788.55)</f>
        <v>149788.55</v>
      </c>
      <c r="F338" s="219">
        <f>IFERROR(__xludf.DUMMYFUNCTION("""COMPUTED_VALUE"""),17735.0)</f>
        <v>17735</v>
      </c>
      <c r="G338" s="219">
        <f>IFERROR(__xludf.DUMMYFUNCTION("""COMPUTED_VALUE"""),2.65649993425E9)</f>
        <v>2656499934</v>
      </c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  <c r="AA338" s="220"/>
      <c r="AB338" s="220"/>
    </row>
    <row r="339">
      <c r="A339" s="215">
        <f>IFERROR(__xludf.DUMMYFUNCTION("""COMPUTED_VALUE"""),46291.0)</f>
        <v>46291</v>
      </c>
      <c r="B339" s="216">
        <f>IFERROR(__xludf.DUMMYFUNCTION("""COMPUTED_VALUE"""),4.0)</f>
        <v>4</v>
      </c>
      <c r="C339" s="216" t="str">
        <f t="shared" si="1"/>
        <v>INV-20260926-4</v>
      </c>
      <c r="D339" s="217" t="s">
        <v>81</v>
      </c>
      <c r="E339" s="218">
        <f>IFERROR(__xludf.DUMMYFUNCTION("""COMPUTED_VALUE"""),299577.1)</f>
        <v>299577.1</v>
      </c>
      <c r="F339" s="219">
        <f>IFERROR(__xludf.DUMMYFUNCTION("""COMPUTED_VALUE"""),17735.0)</f>
        <v>17735</v>
      </c>
      <c r="G339" s="219">
        <f>IFERROR(__xludf.DUMMYFUNCTION("""COMPUTED_VALUE"""),5.3129998685E9)</f>
        <v>5312999869</v>
      </c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  <c r="AA339" s="220"/>
      <c r="AB339" s="220"/>
    </row>
    <row r="340">
      <c r="A340" s="215">
        <f>IFERROR(__xludf.DUMMYFUNCTION("""COMPUTED_VALUE"""),46292.0)</f>
        <v>46292</v>
      </c>
      <c r="B340" s="216">
        <f>IFERROR(__xludf.DUMMYFUNCTION("""COMPUTED_VALUE"""),1.0)</f>
        <v>1</v>
      </c>
      <c r="C340" s="216" t="str">
        <f t="shared" si="1"/>
        <v>INV-20260927-1</v>
      </c>
      <c r="D340" s="217" t="s">
        <v>81</v>
      </c>
      <c r="E340" s="218">
        <f>IFERROR(__xludf.DUMMYFUNCTION("""COMPUTED_VALUE"""),20389.8)</f>
        <v>20389.8</v>
      </c>
      <c r="F340" s="219">
        <f>IFERROR(__xludf.DUMMYFUNCTION("""COMPUTED_VALUE"""),17815.0)</f>
        <v>17815</v>
      </c>
      <c r="G340" s="219">
        <f>IFERROR(__xludf.DUMMYFUNCTION("""COMPUTED_VALUE"""),3.63244287E8)</f>
        <v>363244287</v>
      </c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  <c r="AA340" s="220"/>
      <c r="AB340" s="220"/>
    </row>
    <row r="341">
      <c r="A341" s="215">
        <f>IFERROR(__xludf.DUMMYFUNCTION("""COMPUTED_VALUE"""),46292.0)</f>
        <v>46292</v>
      </c>
      <c r="B341" s="216">
        <f>IFERROR(__xludf.DUMMYFUNCTION("""COMPUTED_VALUE"""),1.0)</f>
        <v>1</v>
      </c>
      <c r="C341" s="216" t="str">
        <f t="shared" si="1"/>
        <v>INV-20260927-1</v>
      </c>
      <c r="D341" s="217" t="s">
        <v>81</v>
      </c>
      <c r="E341" s="218">
        <f>IFERROR(__xludf.DUMMYFUNCTION("""COMPUTED_VALUE"""),112208.81)</f>
        <v>112208.81</v>
      </c>
      <c r="F341" s="219">
        <f>IFERROR(__xludf.DUMMYFUNCTION("""COMPUTED_VALUE"""),17815.0)</f>
        <v>17815</v>
      </c>
      <c r="G341" s="219">
        <f>IFERROR(__xludf.DUMMYFUNCTION("""COMPUTED_VALUE"""),1.9989999501499999E9)</f>
        <v>1998999950</v>
      </c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  <c r="AA341" s="220"/>
      <c r="AB341" s="220"/>
    </row>
    <row r="342">
      <c r="A342" s="215">
        <f>IFERROR(__xludf.DUMMYFUNCTION("""COMPUTED_VALUE"""),46292.0)</f>
        <v>46292</v>
      </c>
      <c r="B342" s="216">
        <f>IFERROR(__xludf.DUMMYFUNCTION("""COMPUTED_VALUE"""),1.0)</f>
        <v>1</v>
      </c>
      <c r="C342" s="216" t="str">
        <f t="shared" si="1"/>
        <v>INV-20260927-1</v>
      </c>
      <c r="D342" s="217" t="s">
        <v>81</v>
      </c>
      <c r="E342" s="218">
        <f>IFERROR(__xludf.DUMMYFUNCTION("""COMPUTED_VALUE"""),15922.0)</f>
        <v>15922</v>
      </c>
      <c r="F342" s="219">
        <f>IFERROR(__xludf.DUMMYFUNCTION("""COMPUTED_VALUE"""),17815.0)</f>
        <v>17815</v>
      </c>
      <c r="G342" s="219">
        <f>IFERROR(__xludf.DUMMYFUNCTION("""COMPUTED_VALUE"""),2.8365043E8)</f>
        <v>283650430</v>
      </c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  <c r="AA342" s="220"/>
      <c r="AB342" s="220"/>
    </row>
    <row r="343">
      <c r="A343" s="215">
        <f>IFERROR(__xludf.DUMMYFUNCTION("""COMPUTED_VALUE"""),46292.0)</f>
        <v>46292</v>
      </c>
      <c r="B343" s="216">
        <f>IFERROR(__xludf.DUMMYFUNCTION("""COMPUTED_VALUE"""),2.0)</f>
        <v>2</v>
      </c>
      <c r="C343" s="216" t="str">
        <f t="shared" si="1"/>
        <v>INV-20260927-2</v>
      </c>
      <c r="D343" s="217" t="s">
        <v>81</v>
      </c>
      <c r="E343" s="218">
        <f>IFERROR(__xludf.DUMMYFUNCTION("""COMPUTED_VALUE"""),112303.38)</f>
        <v>112303.38</v>
      </c>
      <c r="F343" s="219">
        <f>IFERROR(__xludf.DUMMYFUNCTION("""COMPUTED_VALUE"""),17800.0)</f>
        <v>17800</v>
      </c>
      <c r="G343" s="219">
        <f>IFERROR(__xludf.DUMMYFUNCTION("""COMPUTED_VALUE"""),1.999000164E9)</f>
        <v>1999000164</v>
      </c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  <c r="AA343" s="220"/>
      <c r="AB343" s="220"/>
    </row>
    <row r="344">
      <c r="A344" s="215">
        <f>IFERROR(__xludf.DUMMYFUNCTION("""COMPUTED_VALUE"""),46292.0)</f>
        <v>46292</v>
      </c>
      <c r="B344" s="216">
        <f>IFERROR(__xludf.DUMMYFUNCTION("""COMPUTED_VALUE"""),3.0)</f>
        <v>3</v>
      </c>
      <c r="C344" s="216" t="str">
        <f t="shared" si="1"/>
        <v>INV-20260927-3</v>
      </c>
      <c r="D344" s="217" t="s">
        <v>81</v>
      </c>
      <c r="E344" s="218">
        <f>IFERROR(__xludf.DUMMYFUNCTION("""COMPUTED_VALUE"""),61867.3)</f>
        <v>61867.3</v>
      </c>
      <c r="F344" s="219">
        <f>IFERROR(__xludf.DUMMYFUNCTION("""COMPUTED_VALUE"""),17780.0)</f>
        <v>17780</v>
      </c>
      <c r="G344" s="219">
        <f>IFERROR(__xludf.DUMMYFUNCTION("""COMPUTED_VALUE"""),1.100000594E9)</f>
        <v>1100000594</v>
      </c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  <c r="AA344" s="220"/>
      <c r="AB344" s="220"/>
    </row>
    <row r="345">
      <c r="A345" s="215">
        <f>IFERROR(__xludf.DUMMYFUNCTION("""COMPUTED_VALUE"""),46293.0)</f>
        <v>46293</v>
      </c>
      <c r="B345" s="216">
        <f>IFERROR(__xludf.DUMMYFUNCTION("""COMPUTED_VALUE"""),1.0)</f>
        <v>1</v>
      </c>
      <c r="C345" s="216" t="str">
        <f t="shared" si="1"/>
        <v>INV-20260928-1</v>
      </c>
      <c r="D345" s="217" t="s">
        <v>81</v>
      </c>
      <c r="E345" s="218">
        <f>IFERROR(__xludf.DUMMYFUNCTION("""COMPUTED_VALUE"""),55162.55)</f>
        <v>55162.55</v>
      </c>
      <c r="F345" s="219">
        <f>IFERROR(__xludf.DUMMYFUNCTION("""COMPUTED_VALUE"""),17840.0)</f>
        <v>17840</v>
      </c>
      <c r="G345" s="219">
        <f>IFERROR(__xludf.DUMMYFUNCTION("""COMPUTED_VALUE"""),9.84099892E8)</f>
        <v>984099892</v>
      </c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  <c r="AA345" s="220"/>
      <c r="AB345" s="220"/>
    </row>
    <row r="346">
      <c r="A346" s="215">
        <f>IFERROR(__xludf.DUMMYFUNCTION("""COMPUTED_VALUE"""),46293.0)</f>
        <v>46293</v>
      </c>
      <c r="B346" s="216">
        <f>IFERROR(__xludf.DUMMYFUNCTION("""COMPUTED_VALUE"""),2.0)</f>
        <v>2</v>
      </c>
      <c r="C346" s="216" t="str">
        <f t="shared" si="1"/>
        <v>INV-20260928-2</v>
      </c>
      <c r="D346" s="217" t="s">
        <v>81</v>
      </c>
      <c r="E346" s="218">
        <f>IFERROR(__xludf.DUMMYFUNCTION("""COMPUTED_VALUE"""),88000.0)</f>
        <v>88000</v>
      </c>
      <c r="F346" s="219">
        <f>IFERROR(__xludf.DUMMYFUNCTION("""COMPUTED_VALUE"""),17845.0)</f>
        <v>17845</v>
      </c>
      <c r="G346" s="219">
        <f>IFERROR(__xludf.DUMMYFUNCTION("""COMPUTED_VALUE"""),1.57036E9)</f>
        <v>1570360000</v>
      </c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  <c r="AA346" s="220"/>
      <c r="AB346" s="220"/>
    </row>
    <row r="347">
      <c r="A347" s="215">
        <f>IFERROR(__xludf.DUMMYFUNCTION("""COMPUTED_VALUE"""),46293.0)</f>
        <v>46293</v>
      </c>
      <c r="B347" s="216">
        <f>IFERROR(__xludf.DUMMYFUNCTION("""COMPUTED_VALUE"""),5.0)</f>
        <v>5</v>
      </c>
      <c r="C347" s="216" t="str">
        <f t="shared" si="1"/>
        <v>INV-20260928-5</v>
      </c>
      <c r="D347" s="217" t="s">
        <v>81</v>
      </c>
      <c r="E347" s="218">
        <f>IFERROR(__xludf.DUMMYFUNCTION("""COMPUTED_VALUE"""),44201.56)</f>
        <v>44201.56</v>
      </c>
      <c r="F347" s="219">
        <f>IFERROR(__xludf.DUMMYFUNCTION("""COMPUTED_VALUE"""),17885.0)</f>
        <v>17885</v>
      </c>
      <c r="G347" s="219">
        <f>IFERROR(__xludf.DUMMYFUNCTION("""COMPUTED_VALUE"""),7.905449005999999E8)</f>
        <v>790544900.6</v>
      </c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  <c r="AA347" s="220"/>
      <c r="AB347" s="220"/>
    </row>
    <row r="348">
      <c r="A348" s="215">
        <f>IFERROR(__xludf.DUMMYFUNCTION("""COMPUTED_VALUE"""),46293.0)</f>
        <v>46293</v>
      </c>
      <c r="B348" s="216">
        <f>IFERROR(__xludf.DUMMYFUNCTION("""COMPUTED_VALUE"""),6.0)</f>
        <v>6</v>
      </c>
      <c r="C348" s="216" t="str">
        <f t="shared" si="1"/>
        <v>INV-20260928-6</v>
      </c>
      <c r="D348" s="217" t="s">
        <v>81</v>
      </c>
      <c r="E348" s="218">
        <f>IFERROR(__xludf.DUMMYFUNCTION("""COMPUTED_VALUE"""),29985.0)</f>
        <v>29985</v>
      </c>
      <c r="F348" s="219">
        <f>IFERROR(__xludf.DUMMYFUNCTION("""COMPUTED_VALUE"""),17920.0)</f>
        <v>17920</v>
      </c>
      <c r="G348" s="219">
        <f>IFERROR(__xludf.DUMMYFUNCTION("""COMPUTED_VALUE"""),5.373312E8)</f>
        <v>537331200</v>
      </c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  <c r="AA348" s="220"/>
      <c r="AB348" s="220"/>
    </row>
    <row r="349">
      <c r="A349" s="215">
        <f>IFERROR(__xludf.DUMMYFUNCTION("""COMPUTED_VALUE"""),46293.0)</f>
        <v>46293</v>
      </c>
      <c r="B349" s="216">
        <f>IFERROR(__xludf.DUMMYFUNCTION("""COMPUTED_VALUE"""),3.0)</f>
        <v>3</v>
      </c>
      <c r="C349" s="216" t="str">
        <f t="shared" si="1"/>
        <v>INV-20260928-3</v>
      </c>
      <c r="D349" s="217" t="s">
        <v>81</v>
      </c>
      <c r="E349" s="218">
        <f>IFERROR(__xludf.DUMMYFUNCTION("""COMPUTED_VALUE"""),55000.0)</f>
        <v>55000</v>
      </c>
      <c r="F349" s="219">
        <f>IFERROR(__xludf.DUMMYFUNCTION("""COMPUTED_VALUE"""),17870.0)</f>
        <v>17870</v>
      </c>
      <c r="G349" s="219">
        <f>IFERROR(__xludf.DUMMYFUNCTION("""COMPUTED_VALUE"""),9.8285E8)</f>
        <v>982850000</v>
      </c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  <c r="AA349" s="220"/>
      <c r="AB349" s="220"/>
    </row>
    <row r="350">
      <c r="A350" s="215">
        <f>IFERROR(__xludf.DUMMYFUNCTION("""COMPUTED_VALUE"""),46293.0)</f>
        <v>46293</v>
      </c>
      <c r="B350" s="216">
        <f>IFERROR(__xludf.DUMMYFUNCTION("""COMPUTED_VALUE"""),4.0)</f>
        <v>4</v>
      </c>
      <c r="C350" s="216" t="str">
        <f t="shared" si="1"/>
        <v>INV-20260928-4</v>
      </c>
      <c r="D350" s="217" t="s">
        <v>81</v>
      </c>
      <c r="E350" s="218">
        <f>IFERROR(__xludf.DUMMYFUNCTION("""COMPUTED_VALUE"""),55000.0)</f>
        <v>55000</v>
      </c>
      <c r="F350" s="219">
        <f>IFERROR(__xludf.DUMMYFUNCTION("""COMPUTED_VALUE"""),17880.0)</f>
        <v>17880</v>
      </c>
      <c r="G350" s="219">
        <f>IFERROR(__xludf.DUMMYFUNCTION("""COMPUTED_VALUE"""),9.834E8)</f>
        <v>983400000</v>
      </c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  <c r="AA350" s="220"/>
      <c r="AB350" s="220"/>
    </row>
    <row r="351">
      <c r="A351" s="215">
        <f>IFERROR(__xludf.DUMMYFUNCTION("""COMPUTED_VALUE"""),46294.0)</f>
        <v>46294</v>
      </c>
      <c r="B351" s="216">
        <f>IFERROR(__xludf.DUMMYFUNCTION("""COMPUTED_VALUE"""),1.0)</f>
        <v>1</v>
      </c>
      <c r="C351" s="216" t="str">
        <f t="shared" si="1"/>
        <v>INV-20260929-1</v>
      </c>
      <c r="D351" s="217" t="s">
        <v>81</v>
      </c>
      <c r="E351" s="218">
        <f>IFERROR(__xludf.DUMMYFUNCTION("""COMPUTED_VALUE"""),109945.0)</f>
        <v>109945</v>
      </c>
      <c r="F351" s="219">
        <f>IFERROR(__xludf.DUMMYFUNCTION("""COMPUTED_VALUE"""),17930.0)</f>
        <v>17930</v>
      </c>
      <c r="G351" s="219">
        <f>IFERROR(__xludf.DUMMYFUNCTION("""COMPUTED_VALUE"""),1.97131385E9)</f>
        <v>1971313850</v>
      </c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  <c r="AA351" s="220"/>
      <c r="AB351" s="220"/>
    </row>
    <row r="352">
      <c r="A352" s="215">
        <f>IFERROR(__xludf.DUMMYFUNCTION("""COMPUTED_VALUE"""),46294.0)</f>
        <v>46294</v>
      </c>
      <c r="B352" s="216">
        <f>IFERROR(__xludf.DUMMYFUNCTION("""COMPUTED_VALUE"""),1.0)</f>
        <v>1</v>
      </c>
      <c r="C352" s="216" t="str">
        <f t="shared" si="1"/>
        <v>INV-20260929-1</v>
      </c>
      <c r="D352" s="217" t="s">
        <v>81</v>
      </c>
      <c r="E352" s="218">
        <f>IFERROR(__xludf.DUMMYFUNCTION("""COMPUTED_VALUE"""),8378.03)</f>
        <v>8378.03</v>
      </c>
      <c r="F352" s="219">
        <f>IFERROR(__xludf.DUMMYFUNCTION("""COMPUTED_VALUE"""),17895.0)</f>
        <v>17895</v>
      </c>
      <c r="G352" s="219">
        <f>IFERROR(__xludf.DUMMYFUNCTION("""COMPUTED_VALUE"""),1.4992484685000002E8)</f>
        <v>149924846.9</v>
      </c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  <c r="AA352" s="220"/>
      <c r="AB352" s="220"/>
    </row>
    <row r="353">
      <c r="A353" s="215">
        <f>IFERROR(__xludf.DUMMYFUNCTION("""COMPUTED_VALUE"""),46294.0)</f>
        <v>46294</v>
      </c>
      <c r="B353" s="216">
        <f>IFERROR(__xludf.DUMMYFUNCTION("""COMPUTED_VALUE"""),2.0)</f>
        <v>2</v>
      </c>
      <c r="C353" s="216" t="str">
        <f t="shared" si="1"/>
        <v>INV-20260929-2</v>
      </c>
      <c r="D353" s="217" t="s">
        <v>81</v>
      </c>
      <c r="E353" s="218">
        <f>IFERROR(__xludf.DUMMYFUNCTION("""COMPUTED_VALUE"""),292375.59)</f>
        <v>292375.59</v>
      </c>
      <c r="F353" s="219">
        <f>IFERROR(__xludf.DUMMYFUNCTION("""COMPUTED_VALUE"""),17905.0)</f>
        <v>17905</v>
      </c>
      <c r="G353" s="219">
        <f>IFERROR(__xludf.DUMMYFUNCTION("""COMPUTED_VALUE"""),5.234984938950001E9)</f>
        <v>5234984939</v>
      </c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  <c r="AA353" s="220"/>
      <c r="AB353" s="220"/>
    </row>
    <row r="354">
      <c r="A354" s="215">
        <f>IFERROR(__xludf.DUMMYFUNCTION("""COMPUTED_VALUE"""),46295.0)</f>
        <v>46295</v>
      </c>
      <c r="B354" s="216"/>
      <c r="C354" s="216" t="str">
        <f t="shared" si="1"/>
        <v/>
      </c>
      <c r="D354" s="216"/>
      <c r="E354" s="218" t="str">
        <f>IFERROR(__xludf.DUMMYFUNCTION("IFERROR(INDEX(FILTER(BUY_SEP!D:D,(BUY_SEP!B:B=A354)*(BUY_SEP!C:C=B354)),1),"""")"),"")</f>
        <v/>
      </c>
      <c r="F354" s="216"/>
      <c r="G354" s="216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  <c r="AA354" s="220"/>
      <c r="AB354" s="220"/>
    </row>
    <row r="355">
      <c r="A355" s="215">
        <f>IFERROR(__xludf.DUMMYFUNCTION("""COMPUTED_VALUE"""),46295.0)</f>
        <v>46295</v>
      </c>
      <c r="B355" s="216"/>
      <c r="C355" s="216" t="str">
        <f t="shared" si="1"/>
        <v/>
      </c>
      <c r="D355" s="216"/>
      <c r="E355" s="218" t="str">
        <f>IFERROR(__xludf.DUMMYFUNCTION("IFERROR(INDEX(FILTER(BUY_SEP!D:D,(BUY_SEP!B:B=A355)*(BUY_SEP!C:C=B355)),1),"""")"),"")</f>
        <v/>
      </c>
      <c r="F355" s="216"/>
      <c r="G355" s="216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  <c r="AA355" s="220"/>
      <c r="AB355" s="220"/>
    </row>
    <row r="356">
      <c r="A356" s="215">
        <f>IFERROR(__xludf.DUMMYFUNCTION("""COMPUTED_VALUE"""),46295.0)</f>
        <v>46295</v>
      </c>
      <c r="B356" s="216"/>
      <c r="C356" s="216" t="str">
        <f t="shared" si="1"/>
        <v/>
      </c>
      <c r="D356" s="216"/>
      <c r="E356" s="218" t="str">
        <f>IFERROR(__xludf.DUMMYFUNCTION("IFERROR(INDEX(FILTER(BUY_SEP!D:D,(BUY_SEP!B:B=A356)*(BUY_SEP!C:C=B356)),1),"""")"),"")</f>
        <v/>
      </c>
      <c r="F356" s="216"/>
      <c r="G356" s="216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  <c r="AA356" s="220"/>
      <c r="AB356" s="220"/>
    </row>
    <row r="357">
      <c r="A357" s="215">
        <f>IFERROR(__xludf.DUMMYFUNCTION("""COMPUTED_VALUE"""),46295.0)</f>
        <v>46295</v>
      </c>
      <c r="B357" s="216"/>
      <c r="C357" s="216" t="str">
        <f t="shared" si="1"/>
        <v/>
      </c>
      <c r="D357" s="216"/>
      <c r="E357" s="218" t="str">
        <f>IFERROR(__xludf.DUMMYFUNCTION("IFERROR(INDEX(FILTER(BUY_SEP!D:D,(BUY_SEP!B:B=A357)*(BUY_SEP!C:C=B357)),1),"""")"),"")</f>
        <v/>
      </c>
      <c r="F357" s="216"/>
      <c r="G357" s="216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  <c r="AA357" s="220"/>
      <c r="AB357" s="220"/>
    </row>
    <row r="358">
      <c r="A358" s="215">
        <f>IFERROR(__xludf.DUMMYFUNCTION("""COMPUTED_VALUE"""),46295.0)</f>
        <v>46295</v>
      </c>
      <c r="B358" s="216"/>
      <c r="C358" s="216" t="str">
        <f t="shared" si="1"/>
        <v/>
      </c>
      <c r="D358" s="216"/>
      <c r="E358" s="218" t="str">
        <f>IFERROR(__xludf.DUMMYFUNCTION("IFERROR(INDEX(FILTER(BUY_SEP!D:D,(BUY_SEP!B:B=A358)*(BUY_SEP!C:C=B358)),1),"""")"),"")</f>
        <v/>
      </c>
      <c r="F358" s="216"/>
      <c r="G358" s="216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  <c r="AA358" s="220"/>
      <c r="AB358" s="220"/>
    </row>
    <row r="359">
      <c r="A359" s="215">
        <f>IFERROR(__xludf.DUMMYFUNCTION("""COMPUTED_VALUE"""),46295.0)</f>
        <v>46295</v>
      </c>
      <c r="B359" s="216"/>
      <c r="C359" s="216" t="str">
        <f t="shared" si="1"/>
        <v/>
      </c>
      <c r="D359" s="216"/>
      <c r="E359" s="218" t="str">
        <f>IFERROR(__xludf.DUMMYFUNCTION("IFERROR(INDEX(FILTER(BUY_SEP!D:D,(BUY_SEP!B:B=A359)*(BUY_SEP!C:C=B359)),1),"""")"),"")</f>
        <v/>
      </c>
      <c r="F359" s="216"/>
      <c r="G359" s="216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  <c r="AA359" s="220"/>
      <c r="AB359" s="220"/>
    </row>
    <row r="360">
      <c r="A360" s="215">
        <f>IFERROR(__xludf.DUMMYFUNCTION("""COMPUTED_VALUE"""),46295.0)</f>
        <v>46295</v>
      </c>
      <c r="B360" s="216"/>
      <c r="C360" s="216" t="str">
        <f t="shared" si="1"/>
        <v/>
      </c>
      <c r="D360" s="216"/>
      <c r="E360" s="218" t="str">
        <f>IFERROR(__xludf.DUMMYFUNCTION("IFERROR(INDEX(FILTER(BUY_SEP!D:D,(BUY_SEP!B:B=A360)*(BUY_SEP!C:C=B360)),1),"""")"),"")</f>
        <v/>
      </c>
      <c r="F360" s="216"/>
      <c r="G360" s="216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  <c r="AA360" s="220"/>
      <c r="AB360" s="220"/>
    </row>
    <row r="361">
      <c r="A361" s="215">
        <f>IFERROR(__xludf.DUMMYFUNCTION("""COMPUTED_VALUE"""),46295.0)</f>
        <v>46295</v>
      </c>
      <c r="B361" s="216"/>
      <c r="C361" s="216" t="str">
        <f t="shared" si="1"/>
        <v/>
      </c>
      <c r="D361" s="216"/>
      <c r="E361" s="218" t="str">
        <f>IFERROR(__xludf.DUMMYFUNCTION("IFERROR(INDEX(FILTER(BUY_SEP!D:D,(BUY_SEP!B:B=A361)*(BUY_SEP!C:C=B361)),1),"""")"),"")</f>
        <v/>
      </c>
      <c r="F361" s="216"/>
      <c r="G361" s="216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  <c r="AA361" s="220"/>
      <c r="AB361" s="220"/>
    </row>
    <row r="362">
      <c r="A362" s="215">
        <f>IFERROR(__xludf.DUMMYFUNCTION("""COMPUTED_VALUE"""),46295.0)</f>
        <v>46295</v>
      </c>
      <c r="B362" s="216"/>
      <c r="C362" s="216" t="str">
        <f t="shared" si="1"/>
        <v/>
      </c>
      <c r="D362" s="216"/>
      <c r="E362" s="218" t="str">
        <f>IFERROR(__xludf.DUMMYFUNCTION("IFERROR(INDEX(FILTER(BUY_SEP!D:D,(BUY_SEP!B:B=A362)*(BUY_SEP!C:C=B362)),1),"""")"),"")</f>
        <v/>
      </c>
      <c r="F362" s="216"/>
      <c r="G362" s="216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  <c r="AA362" s="220"/>
      <c r="AB362" s="220"/>
    </row>
    <row r="363">
      <c r="A363" s="215">
        <f>IFERROR(__xludf.DUMMYFUNCTION("""COMPUTED_VALUE"""),46295.0)</f>
        <v>46295</v>
      </c>
      <c r="B363" s="216"/>
      <c r="C363" s="216" t="str">
        <f t="shared" si="1"/>
        <v/>
      </c>
      <c r="D363" s="216"/>
      <c r="E363" s="218" t="str">
        <f>IFERROR(__xludf.DUMMYFUNCTION("IFERROR(INDEX(FILTER(BUY_SEP!D:D,(BUY_SEP!B:B=A363)*(BUY_SEP!C:C=B363)),1),"""")"),"")</f>
        <v/>
      </c>
      <c r="F363" s="216"/>
      <c r="G363" s="216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  <c r="AA363" s="220"/>
      <c r="AB363" s="220"/>
    </row>
    <row r="364">
      <c r="A364" s="215">
        <f>IFERROR(__xludf.DUMMYFUNCTION("""COMPUTED_VALUE"""),46295.0)</f>
        <v>46295</v>
      </c>
      <c r="B364" s="216"/>
      <c r="C364" s="216" t="str">
        <f t="shared" si="1"/>
        <v/>
      </c>
      <c r="D364" s="216"/>
      <c r="E364" s="218" t="str">
        <f>IFERROR(__xludf.DUMMYFUNCTION("IFERROR(INDEX(FILTER(BUY_SEP!D:D,(BUY_SEP!B:B=A364)*(BUY_SEP!C:C=B364)),1),"""")"),"")</f>
        <v/>
      </c>
      <c r="F364" s="216"/>
      <c r="G364" s="216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  <c r="AA364" s="220"/>
      <c r="AB364" s="220"/>
    </row>
    <row r="365">
      <c r="A365" s="215">
        <f>IFERROR(__xludf.DUMMYFUNCTION("""COMPUTED_VALUE"""),46295.0)</f>
        <v>46295</v>
      </c>
      <c r="B365" s="216"/>
      <c r="C365" s="216" t="str">
        <f t="shared" si="1"/>
        <v/>
      </c>
      <c r="D365" s="216"/>
      <c r="E365" s="218" t="str">
        <f>IFERROR(__xludf.DUMMYFUNCTION("IFERROR(INDEX(FILTER(BUY_SEP!D:D,(BUY_SEP!B:B=A365)*(BUY_SEP!C:C=B365)),1),"""")"),"")</f>
        <v/>
      </c>
      <c r="F365" s="216"/>
      <c r="G365" s="216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  <c r="AA365" s="220"/>
      <c r="AB365" s="220"/>
    </row>
    <row r="366">
      <c r="A366" s="215">
        <f>IFERROR(__xludf.DUMMYFUNCTION("""COMPUTED_VALUE"""),46295.0)</f>
        <v>46295</v>
      </c>
      <c r="B366" s="216"/>
      <c r="C366" s="216" t="str">
        <f t="shared" si="1"/>
        <v/>
      </c>
      <c r="D366" s="216"/>
      <c r="E366" s="218" t="str">
        <f>IFERROR(__xludf.DUMMYFUNCTION("IFERROR(INDEX(FILTER(BUY_SEP!D:D,(BUY_SEP!B:B=A366)*(BUY_SEP!C:C=B366)),1),"""")"),"")</f>
        <v/>
      </c>
      <c r="F366" s="216"/>
      <c r="G366" s="216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  <c r="AA366" s="220"/>
      <c r="AB366" s="220"/>
    </row>
    <row r="367">
      <c r="A367" s="215">
        <f>IFERROR(__xludf.DUMMYFUNCTION("""COMPUTED_VALUE"""),46295.0)</f>
        <v>46295</v>
      </c>
      <c r="B367" s="216"/>
      <c r="C367" s="216" t="str">
        <f t="shared" si="1"/>
        <v/>
      </c>
      <c r="D367" s="216"/>
      <c r="E367" s="218" t="str">
        <f>IFERROR(__xludf.DUMMYFUNCTION("IFERROR(INDEX(FILTER(BUY_SEP!D:D,(BUY_SEP!B:B=A367)*(BUY_SEP!C:C=B367)),1),"""")"),"")</f>
        <v/>
      </c>
      <c r="F367" s="216"/>
      <c r="G367" s="216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  <c r="AA367" s="220"/>
      <c r="AB367" s="220"/>
    </row>
    <row r="368">
      <c r="A368" s="215">
        <f>IFERROR(__xludf.DUMMYFUNCTION("""COMPUTED_VALUE"""),46295.0)</f>
        <v>46295</v>
      </c>
      <c r="B368" s="216"/>
      <c r="C368" s="216" t="str">
        <f t="shared" si="1"/>
        <v/>
      </c>
      <c r="D368" s="216"/>
      <c r="E368" s="218" t="str">
        <f>IFERROR(__xludf.DUMMYFUNCTION("IFERROR(INDEX(FILTER(BUY_SEP!D:D,(BUY_SEP!B:B=A368)*(BUY_SEP!C:C=B368)),1),"""")"),"")</f>
        <v/>
      </c>
      <c r="F368" s="216"/>
      <c r="G368" s="216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  <c r="AA368" s="220"/>
      <c r="AB368" s="220"/>
    </row>
    <row r="369">
      <c r="A369" s="215">
        <f>IFERROR(__xludf.DUMMYFUNCTION("""COMPUTED_VALUE"""),46295.0)</f>
        <v>46295</v>
      </c>
      <c r="B369" s="216"/>
      <c r="C369" s="216" t="str">
        <f t="shared" si="1"/>
        <v/>
      </c>
      <c r="D369" s="216"/>
      <c r="E369" s="218" t="str">
        <f>IFERROR(__xludf.DUMMYFUNCTION("IFERROR(INDEX(FILTER(BUY_SEP!D:D,(BUY_SEP!B:B=A369)*(BUY_SEP!C:C=B369)),1),"""")"),"")</f>
        <v/>
      </c>
      <c r="F369" s="216"/>
      <c r="G369" s="216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  <c r="AA369" s="220"/>
      <c r="AB369" s="220"/>
    </row>
    <row r="370">
      <c r="A370" s="215">
        <f>IFERROR(__xludf.DUMMYFUNCTION("""COMPUTED_VALUE"""),46295.0)</f>
        <v>46295</v>
      </c>
      <c r="B370" s="216"/>
      <c r="C370" s="216" t="str">
        <f t="shared" si="1"/>
        <v/>
      </c>
      <c r="D370" s="216"/>
      <c r="E370" s="218" t="str">
        <f>IFERROR(__xludf.DUMMYFUNCTION("IFERROR(INDEX(FILTER(BUY_SEP!D:D,(BUY_SEP!B:B=A370)*(BUY_SEP!C:C=B370)),1),"""")"),"")</f>
        <v/>
      </c>
      <c r="F370" s="216"/>
      <c r="G370" s="216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  <c r="AA370" s="220"/>
      <c r="AB370" s="220"/>
    </row>
    <row r="371">
      <c r="A371" s="215">
        <f>IFERROR(__xludf.DUMMYFUNCTION("""COMPUTED_VALUE"""),46295.0)</f>
        <v>46295</v>
      </c>
      <c r="B371" s="216"/>
      <c r="C371" s="216" t="str">
        <f t="shared" si="1"/>
        <v/>
      </c>
      <c r="D371" s="216"/>
      <c r="E371" s="218" t="str">
        <f>IFERROR(__xludf.DUMMYFUNCTION("IFERROR(INDEX(FILTER(BUY_SEP!D:D,(BUY_SEP!B:B=A371)*(BUY_SEP!C:C=B371)),1),"""")"),"")</f>
        <v/>
      </c>
      <c r="F371" s="216"/>
      <c r="G371" s="216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  <c r="AA371" s="220"/>
      <c r="AB371" s="220"/>
    </row>
    <row r="372">
      <c r="A372" s="215">
        <f>IFERROR(__xludf.DUMMYFUNCTION("""COMPUTED_VALUE"""),46295.0)</f>
        <v>46295</v>
      </c>
      <c r="B372" s="216"/>
      <c r="C372" s="216" t="str">
        <f t="shared" si="1"/>
        <v/>
      </c>
      <c r="D372" s="216"/>
      <c r="E372" s="218" t="str">
        <f>IFERROR(__xludf.DUMMYFUNCTION("IFERROR(INDEX(FILTER(BUY_SEP!D:D,(BUY_SEP!B:B=A372)*(BUY_SEP!C:C=B372)),1),"""")"),"")</f>
        <v/>
      </c>
      <c r="F372" s="216"/>
      <c r="G372" s="216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  <c r="AA372" s="220"/>
      <c r="AB372" s="220"/>
    </row>
    <row r="373">
      <c r="A373" s="215">
        <f>IFERROR(__xludf.DUMMYFUNCTION("""COMPUTED_VALUE"""),46295.0)</f>
        <v>46295</v>
      </c>
      <c r="B373" s="216"/>
      <c r="C373" s="216" t="str">
        <f t="shared" si="1"/>
        <v/>
      </c>
      <c r="D373" s="216"/>
      <c r="E373" s="218" t="str">
        <f>IFERROR(__xludf.DUMMYFUNCTION("IFERROR(INDEX(FILTER(BUY_SEP!D:D,(BUY_SEP!B:B=A373)*(BUY_SEP!C:C=B373)),1),"""")"),"")</f>
        <v/>
      </c>
      <c r="F373" s="216"/>
      <c r="G373" s="216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  <c r="AA373" s="220"/>
      <c r="AB373" s="220"/>
    </row>
    <row r="374">
      <c r="A374" s="215">
        <f>IFERROR(__xludf.DUMMYFUNCTION("""COMPUTED_VALUE"""),46295.0)</f>
        <v>46295</v>
      </c>
      <c r="B374" s="216"/>
      <c r="C374" s="216" t="str">
        <f t="shared" si="1"/>
        <v/>
      </c>
      <c r="D374" s="216"/>
      <c r="E374" s="218" t="str">
        <f>IFERROR(__xludf.DUMMYFUNCTION("IFERROR(INDEX(FILTER(BUY_SEP!D:D,(BUY_SEP!B:B=A374)*(BUY_SEP!C:C=B374)),1),"""")"),"")</f>
        <v/>
      </c>
      <c r="F374" s="216"/>
      <c r="G374" s="216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  <c r="AA374" s="220"/>
      <c r="AB374" s="220"/>
    </row>
    <row r="375">
      <c r="A375" s="215">
        <f>IFERROR(__xludf.DUMMYFUNCTION("""COMPUTED_VALUE"""),46295.0)</f>
        <v>46295</v>
      </c>
      <c r="B375" s="216"/>
      <c r="C375" s="216" t="str">
        <f t="shared" si="1"/>
        <v/>
      </c>
      <c r="D375" s="216"/>
      <c r="E375" s="218" t="str">
        <f>IFERROR(__xludf.DUMMYFUNCTION("IFERROR(INDEX(FILTER(BUY_SEP!D:D,(BUY_SEP!B:B=A375)*(BUY_SEP!C:C=B375)),1),"""")"),"")</f>
        <v/>
      </c>
      <c r="F375" s="216"/>
      <c r="G375" s="216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  <c r="AA375" s="220"/>
      <c r="AB375" s="220"/>
    </row>
    <row r="376">
      <c r="A376" s="215">
        <f>IFERROR(__xludf.DUMMYFUNCTION("""COMPUTED_VALUE"""),46295.0)</f>
        <v>46295</v>
      </c>
      <c r="B376" s="216"/>
      <c r="C376" s="216" t="str">
        <f t="shared" si="1"/>
        <v/>
      </c>
      <c r="D376" s="216"/>
      <c r="E376" s="218" t="str">
        <f>IFERROR(__xludf.DUMMYFUNCTION("IFERROR(INDEX(FILTER(BUY_SEP!D:D,(BUY_SEP!B:B=A376)*(BUY_SEP!C:C=B376)),1),"""")"),"")</f>
        <v/>
      </c>
      <c r="F376" s="216"/>
      <c r="G376" s="216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  <c r="AA376" s="220"/>
      <c r="AB376" s="220"/>
    </row>
    <row r="377">
      <c r="A377" s="215">
        <f>IFERROR(__xludf.DUMMYFUNCTION("""COMPUTED_VALUE"""),46295.0)</f>
        <v>46295</v>
      </c>
      <c r="B377" s="216"/>
      <c r="C377" s="216" t="str">
        <f t="shared" si="1"/>
        <v/>
      </c>
      <c r="D377" s="216"/>
      <c r="E377" s="218" t="str">
        <f>IFERROR(__xludf.DUMMYFUNCTION("IFERROR(INDEX(FILTER(BUY_SEP!D:D,(BUY_SEP!B:B=A377)*(BUY_SEP!C:C=B377)),1),"""")"),"")</f>
        <v/>
      </c>
      <c r="F377" s="216"/>
      <c r="G377" s="216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  <c r="AA377" s="220"/>
      <c r="AB377" s="220"/>
    </row>
    <row r="378">
      <c r="A378" s="215">
        <f>IFERROR(__xludf.DUMMYFUNCTION("""COMPUTED_VALUE"""),46295.0)</f>
        <v>46295</v>
      </c>
      <c r="B378" s="216"/>
      <c r="C378" s="216" t="str">
        <f t="shared" si="1"/>
        <v/>
      </c>
      <c r="D378" s="216"/>
      <c r="E378" s="218" t="str">
        <f>IFERROR(__xludf.DUMMYFUNCTION("IFERROR(INDEX(FILTER(BUY_SEP!D:D,(BUY_SEP!B:B=A378)*(BUY_SEP!C:C=B378)),1),"""")"),"")</f>
        <v/>
      </c>
      <c r="F378" s="216"/>
      <c r="G378" s="216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  <c r="AA378" s="220"/>
      <c r="AB378" s="220"/>
    </row>
    <row r="379">
      <c r="A379" s="215">
        <f>IFERROR(__xludf.DUMMYFUNCTION("""COMPUTED_VALUE"""),46295.0)</f>
        <v>46295</v>
      </c>
      <c r="B379" s="216"/>
      <c r="C379" s="216" t="str">
        <f t="shared" si="1"/>
        <v/>
      </c>
      <c r="D379" s="216"/>
      <c r="E379" s="218" t="str">
        <f>IFERROR(__xludf.DUMMYFUNCTION("IFERROR(INDEX(FILTER(BUY_SEP!D:D,(BUY_SEP!B:B=A379)*(BUY_SEP!C:C=B379)),1),"""")"),"")</f>
        <v/>
      </c>
      <c r="F379" s="216"/>
      <c r="G379" s="216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  <c r="AA379" s="220"/>
      <c r="AB379" s="220"/>
    </row>
    <row r="380">
      <c r="A380" s="215">
        <f>IFERROR(__xludf.DUMMYFUNCTION("""COMPUTED_VALUE"""),46295.0)</f>
        <v>46295</v>
      </c>
      <c r="B380" s="216"/>
      <c r="C380" s="216" t="str">
        <f t="shared" si="1"/>
        <v/>
      </c>
      <c r="D380" s="216"/>
      <c r="E380" s="218" t="str">
        <f>IFERROR(__xludf.DUMMYFUNCTION("IFERROR(INDEX(FILTER(BUY_SEP!D:D,(BUY_SEP!B:B=A380)*(BUY_SEP!C:C=B380)),1),"""")"),"")</f>
        <v/>
      </c>
      <c r="F380" s="216"/>
      <c r="G380" s="216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  <c r="AA380" s="220"/>
      <c r="AB380" s="220"/>
    </row>
    <row r="381">
      <c r="A381" s="215">
        <f>IFERROR(__xludf.DUMMYFUNCTION("""COMPUTED_VALUE"""),46295.0)</f>
        <v>46295</v>
      </c>
      <c r="B381" s="216"/>
      <c r="C381" s="216" t="str">
        <f t="shared" si="1"/>
        <v/>
      </c>
      <c r="D381" s="216"/>
      <c r="E381" s="218" t="str">
        <f>IFERROR(__xludf.DUMMYFUNCTION("IFERROR(INDEX(FILTER(BUY_SEP!D:D,(BUY_SEP!B:B=A381)*(BUY_SEP!C:C=B381)),1),"""")"),"")</f>
        <v/>
      </c>
      <c r="F381" s="216"/>
      <c r="G381" s="216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  <c r="AA381" s="220"/>
      <c r="AB381" s="220"/>
    </row>
    <row r="382">
      <c r="A382" s="215">
        <f>IFERROR(__xludf.DUMMYFUNCTION("""COMPUTED_VALUE"""),46295.0)</f>
        <v>46295</v>
      </c>
      <c r="B382" s="216"/>
      <c r="C382" s="216" t="str">
        <f t="shared" si="1"/>
        <v/>
      </c>
      <c r="D382" s="216"/>
      <c r="E382" s="218" t="str">
        <f>IFERROR(__xludf.DUMMYFUNCTION("IFERROR(INDEX(FILTER(BUY_SEP!D:D,(BUY_SEP!B:B=A382)*(BUY_SEP!C:C=B382)),1),"""")"),"")</f>
        <v/>
      </c>
      <c r="F382" s="216"/>
      <c r="G382" s="216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  <c r="AA382" s="220"/>
      <c r="AB382" s="220"/>
    </row>
    <row r="383">
      <c r="A383" s="215">
        <f>IFERROR(__xludf.DUMMYFUNCTION("""COMPUTED_VALUE"""),46295.0)</f>
        <v>46295</v>
      </c>
      <c r="B383" s="216"/>
      <c r="C383" s="216" t="str">
        <f t="shared" si="1"/>
        <v/>
      </c>
      <c r="D383" s="216"/>
      <c r="E383" s="218" t="str">
        <f>IFERROR(__xludf.DUMMYFUNCTION("IFERROR(INDEX(FILTER(BUY_SEP!D:D,(BUY_SEP!B:B=A383)*(BUY_SEP!C:C=B383)),1),"""")"),"")</f>
        <v/>
      </c>
      <c r="F383" s="216"/>
      <c r="G383" s="216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  <c r="AA383" s="220"/>
      <c r="AB383" s="220"/>
    </row>
    <row r="384">
      <c r="A384" s="215">
        <f>IFERROR(__xludf.DUMMYFUNCTION("""COMPUTED_VALUE"""),46295.0)</f>
        <v>46295</v>
      </c>
      <c r="B384" s="216"/>
      <c r="C384" s="216" t="str">
        <f t="shared" si="1"/>
        <v/>
      </c>
      <c r="D384" s="216"/>
      <c r="E384" s="218" t="str">
        <f>IFERROR(__xludf.DUMMYFUNCTION("IFERROR(INDEX(FILTER(BUY_SEP!D:D,(BUY_SEP!B:B=A384)*(BUY_SEP!C:C=B384)),1),"""")"),"")</f>
        <v/>
      </c>
      <c r="F384" s="216"/>
      <c r="G384" s="216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  <c r="AA384" s="220"/>
      <c r="AB384" s="220"/>
    </row>
    <row r="385">
      <c r="A385" s="215">
        <f>IFERROR(__xludf.DUMMYFUNCTION("""COMPUTED_VALUE"""),46295.0)</f>
        <v>46295</v>
      </c>
      <c r="B385" s="216"/>
      <c r="C385" s="216" t="str">
        <f t="shared" si="1"/>
        <v/>
      </c>
      <c r="D385" s="216"/>
      <c r="E385" s="218" t="str">
        <f>IFERROR(__xludf.DUMMYFUNCTION("IFERROR(INDEX(FILTER(BUY_SEP!D:D,(BUY_SEP!B:B=A385)*(BUY_SEP!C:C=B385)),1),"""")"),"")</f>
        <v/>
      </c>
      <c r="F385" s="216"/>
      <c r="G385" s="216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  <c r="AA385" s="220"/>
      <c r="AB385" s="220"/>
    </row>
    <row r="386">
      <c r="A386" s="215">
        <f>IFERROR(__xludf.DUMMYFUNCTION("""COMPUTED_VALUE"""),46295.0)</f>
        <v>46295</v>
      </c>
      <c r="B386" s="216"/>
      <c r="C386" s="216" t="str">
        <f t="shared" si="1"/>
        <v/>
      </c>
      <c r="D386" s="216"/>
      <c r="E386" s="218" t="str">
        <f>IFERROR(__xludf.DUMMYFUNCTION("IFERROR(INDEX(FILTER(BUY_SEP!D:D,(BUY_SEP!B:B=A386)*(BUY_SEP!C:C=B386)),1),"""")"),"")</f>
        <v/>
      </c>
      <c r="F386" s="216"/>
      <c r="G386" s="216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  <c r="AA386" s="220"/>
      <c r="AB386" s="220"/>
    </row>
    <row r="387">
      <c r="A387" s="215">
        <f>IFERROR(__xludf.DUMMYFUNCTION("""COMPUTED_VALUE"""),46295.0)</f>
        <v>46295</v>
      </c>
      <c r="B387" s="216"/>
      <c r="C387" s="216" t="str">
        <f t="shared" si="1"/>
        <v/>
      </c>
      <c r="D387" s="216"/>
      <c r="E387" s="218" t="str">
        <f>IFERROR(__xludf.DUMMYFUNCTION("IFERROR(INDEX(FILTER(BUY_SEP!D:D,(BUY_SEP!B:B=A387)*(BUY_SEP!C:C=B387)),1),"""")"),"")</f>
        <v/>
      </c>
      <c r="F387" s="216"/>
      <c r="G387" s="216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  <c r="AA387" s="220"/>
      <c r="AB387" s="220"/>
    </row>
    <row r="388">
      <c r="A388" s="215">
        <f>IFERROR(__xludf.DUMMYFUNCTION("""COMPUTED_VALUE"""),46295.0)</f>
        <v>46295</v>
      </c>
      <c r="B388" s="216"/>
      <c r="C388" s="216" t="str">
        <f t="shared" si="1"/>
        <v/>
      </c>
      <c r="D388" s="216"/>
      <c r="E388" s="218" t="str">
        <f>IFERROR(__xludf.DUMMYFUNCTION("IFERROR(INDEX(FILTER(BUY_SEP!D:D,(BUY_SEP!B:B=A388)*(BUY_SEP!C:C=B388)),1),"""")"),"")</f>
        <v/>
      </c>
      <c r="F388" s="216"/>
      <c r="G388" s="216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  <c r="AA388" s="220"/>
      <c r="AB388" s="220"/>
    </row>
    <row r="389">
      <c r="A389" s="215">
        <f>IFERROR(__xludf.DUMMYFUNCTION("""COMPUTED_VALUE"""),46295.0)</f>
        <v>46295</v>
      </c>
      <c r="B389" s="216"/>
      <c r="C389" s="216" t="str">
        <f t="shared" si="1"/>
        <v/>
      </c>
      <c r="D389" s="216"/>
      <c r="E389" s="218" t="str">
        <f>IFERROR(__xludf.DUMMYFUNCTION("IFERROR(INDEX(FILTER(BUY_SEP!D:D,(BUY_SEP!B:B=A389)*(BUY_SEP!C:C=B389)),1),"""")"),"")</f>
        <v/>
      </c>
      <c r="F389" s="216"/>
      <c r="G389" s="216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  <c r="AA389" s="220"/>
      <c r="AB389" s="220"/>
    </row>
    <row r="390">
      <c r="A390" s="215">
        <f>IFERROR(__xludf.DUMMYFUNCTION("""COMPUTED_VALUE"""),46295.0)</f>
        <v>46295</v>
      </c>
      <c r="B390" s="216"/>
      <c r="C390" s="216" t="str">
        <f t="shared" si="1"/>
        <v/>
      </c>
      <c r="D390" s="216"/>
      <c r="E390" s="218" t="str">
        <f>IFERROR(__xludf.DUMMYFUNCTION("IFERROR(INDEX(FILTER(BUY_SEP!D:D,(BUY_SEP!B:B=A390)*(BUY_SEP!C:C=B390)),1),"""")"),"")</f>
        <v/>
      </c>
      <c r="F390" s="216"/>
      <c r="G390" s="216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  <c r="AA390" s="220"/>
      <c r="AB390" s="220"/>
    </row>
    <row r="391">
      <c r="A391" s="215">
        <f>IFERROR(__xludf.DUMMYFUNCTION("""COMPUTED_VALUE"""),46295.0)</f>
        <v>46295</v>
      </c>
      <c r="B391" s="216"/>
      <c r="C391" s="216" t="str">
        <f t="shared" si="1"/>
        <v/>
      </c>
      <c r="D391" s="216"/>
      <c r="E391" s="218" t="str">
        <f>IFERROR(__xludf.DUMMYFUNCTION("IFERROR(INDEX(FILTER(BUY_SEP!D:D,(BUY_SEP!B:B=A391)*(BUY_SEP!C:C=B391)),1),"""")"),"")</f>
        <v/>
      </c>
      <c r="F391" s="216"/>
      <c r="G391" s="216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  <c r="AA391" s="220"/>
      <c r="AB391" s="220"/>
    </row>
    <row r="392">
      <c r="A392" s="215">
        <f>IFERROR(__xludf.DUMMYFUNCTION("""COMPUTED_VALUE"""),46295.0)</f>
        <v>46295</v>
      </c>
      <c r="B392" s="216"/>
      <c r="C392" s="216" t="str">
        <f t="shared" si="1"/>
        <v/>
      </c>
      <c r="D392" s="216"/>
      <c r="E392" s="218" t="str">
        <f>IFERROR(__xludf.DUMMYFUNCTION("IFERROR(INDEX(FILTER(BUY_SEP!D:D,(BUY_SEP!B:B=A392)*(BUY_SEP!C:C=B392)),1),"""")"),"")</f>
        <v/>
      </c>
      <c r="F392" s="216"/>
      <c r="G392" s="216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  <c r="AA392" s="220"/>
      <c r="AB392" s="220"/>
    </row>
    <row r="393">
      <c r="A393" s="215">
        <f>IFERROR(__xludf.DUMMYFUNCTION("""COMPUTED_VALUE"""),46295.0)</f>
        <v>46295</v>
      </c>
      <c r="B393" s="216"/>
      <c r="C393" s="216" t="str">
        <f t="shared" si="1"/>
        <v/>
      </c>
      <c r="D393" s="216"/>
      <c r="E393" s="218" t="str">
        <f>IFERROR(__xludf.DUMMYFUNCTION("IFERROR(INDEX(FILTER(BUY_SEP!D:D,(BUY_SEP!B:B=A393)*(BUY_SEP!C:C=B393)),1),"""")"),"")</f>
        <v/>
      </c>
      <c r="F393" s="216"/>
      <c r="G393" s="216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  <c r="AA393" s="220"/>
      <c r="AB393" s="220"/>
    </row>
    <row r="394">
      <c r="A394" s="215">
        <f>IFERROR(__xludf.DUMMYFUNCTION("""COMPUTED_VALUE"""),46295.0)</f>
        <v>46295</v>
      </c>
      <c r="B394" s="216"/>
      <c r="C394" s="216" t="str">
        <f t="shared" si="1"/>
        <v/>
      </c>
      <c r="D394" s="216"/>
      <c r="E394" s="218" t="str">
        <f>IFERROR(__xludf.DUMMYFUNCTION("IFERROR(INDEX(FILTER(BUY_SEP!D:D,(BUY_SEP!B:B=A394)*(BUY_SEP!C:C=B394)),1),"""")"),"")</f>
        <v/>
      </c>
      <c r="F394" s="216"/>
      <c r="G394" s="216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  <c r="AA394" s="220"/>
      <c r="AB394" s="220"/>
    </row>
    <row r="395">
      <c r="A395" s="215">
        <f>IFERROR(__xludf.DUMMYFUNCTION("""COMPUTED_VALUE"""),46295.0)</f>
        <v>46295</v>
      </c>
      <c r="B395" s="216"/>
      <c r="C395" s="216" t="str">
        <f t="shared" si="1"/>
        <v/>
      </c>
      <c r="D395" s="216"/>
      <c r="E395" s="218" t="str">
        <f>IFERROR(__xludf.DUMMYFUNCTION("IFERROR(INDEX(FILTER(BUY_SEP!D:D,(BUY_SEP!B:B=A395)*(BUY_SEP!C:C=B395)),1),"""")"),"")</f>
        <v/>
      </c>
      <c r="F395" s="216"/>
      <c r="G395" s="216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  <c r="AA395" s="220"/>
      <c r="AB395" s="220"/>
    </row>
    <row r="396">
      <c r="A396" s="215">
        <f>IFERROR(__xludf.DUMMYFUNCTION("""COMPUTED_VALUE"""),46295.0)</f>
        <v>46295</v>
      </c>
      <c r="B396" s="216"/>
      <c r="C396" s="216" t="str">
        <f t="shared" si="1"/>
        <v/>
      </c>
      <c r="D396" s="216"/>
      <c r="E396" s="218" t="str">
        <f>IFERROR(__xludf.DUMMYFUNCTION("IFERROR(INDEX(FILTER(BUY_SEP!D:D,(BUY_SEP!B:B=A396)*(BUY_SEP!C:C=B396)),1),"""")"),"")</f>
        <v/>
      </c>
      <c r="F396" s="216"/>
      <c r="G396" s="216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  <c r="AA396" s="220"/>
      <c r="AB396" s="220"/>
    </row>
    <row r="397">
      <c r="A397" s="215">
        <f>IFERROR(__xludf.DUMMYFUNCTION("""COMPUTED_VALUE"""),46295.0)</f>
        <v>46295</v>
      </c>
      <c r="B397" s="216"/>
      <c r="C397" s="216" t="str">
        <f t="shared" si="1"/>
        <v/>
      </c>
      <c r="D397" s="216"/>
      <c r="E397" s="218" t="str">
        <f>IFERROR(__xludf.DUMMYFUNCTION("IFERROR(INDEX(FILTER(BUY_SEP!D:D,(BUY_SEP!B:B=A397)*(BUY_SEP!C:C=B397)),1),"""")"),"")</f>
        <v/>
      </c>
      <c r="F397" s="216"/>
      <c r="G397" s="216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  <c r="AA397" s="220"/>
      <c r="AB397" s="220"/>
    </row>
    <row r="398">
      <c r="A398" s="215">
        <f>IFERROR(__xludf.DUMMYFUNCTION("""COMPUTED_VALUE"""),46295.0)</f>
        <v>46295</v>
      </c>
      <c r="B398" s="216"/>
      <c r="C398" s="216" t="str">
        <f t="shared" si="1"/>
        <v/>
      </c>
      <c r="D398" s="216"/>
      <c r="E398" s="218" t="str">
        <f>IFERROR(__xludf.DUMMYFUNCTION("IFERROR(INDEX(FILTER(BUY_SEP!D:D,(BUY_SEP!B:B=A398)*(BUY_SEP!C:C=B398)),1),"""")"),"")</f>
        <v/>
      </c>
      <c r="F398" s="216"/>
      <c r="G398" s="216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  <c r="AA398" s="220"/>
      <c r="AB398" s="220"/>
    </row>
    <row r="399">
      <c r="A399" s="215">
        <f>IFERROR(__xludf.DUMMYFUNCTION("""COMPUTED_VALUE"""),46295.0)</f>
        <v>46295</v>
      </c>
      <c r="B399" s="216"/>
      <c r="C399" s="216" t="str">
        <f t="shared" si="1"/>
        <v/>
      </c>
      <c r="D399" s="216"/>
      <c r="E399" s="218" t="str">
        <f>IFERROR(__xludf.DUMMYFUNCTION("IFERROR(INDEX(FILTER(BUY_SEP!D:D,(BUY_SEP!B:B=A399)*(BUY_SEP!C:C=B399)),1),"""")"),"")</f>
        <v/>
      </c>
      <c r="F399" s="216"/>
      <c r="G399" s="216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  <c r="AA399" s="220"/>
      <c r="AB399" s="220"/>
    </row>
    <row r="400">
      <c r="A400" s="215">
        <f>IFERROR(__xludf.DUMMYFUNCTION("""COMPUTED_VALUE"""),46295.0)</f>
        <v>46295</v>
      </c>
      <c r="B400" s="216"/>
      <c r="C400" s="216" t="str">
        <f t="shared" si="1"/>
        <v/>
      </c>
      <c r="D400" s="216"/>
      <c r="E400" s="218" t="str">
        <f>IFERROR(__xludf.DUMMYFUNCTION("IFERROR(INDEX(FILTER(BUY_SEP!D:D,(BUY_SEP!B:B=A400)*(BUY_SEP!C:C=B400)),1),"""")"),"")</f>
        <v/>
      </c>
      <c r="F400" s="216"/>
      <c r="G400" s="216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  <c r="AA400" s="220"/>
      <c r="AB400" s="220"/>
    </row>
    <row r="401">
      <c r="A401" s="215">
        <f>IFERROR(__xludf.DUMMYFUNCTION("""COMPUTED_VALUE"""),46295.0)</f>
        <v>46295</v>
      </c>
      <c r="B401" s="216"/>
      <c r="C401" s="216" t="str">
        <f t="shared" si="1"/>
        <v/>
      </c>
      <c r="D401" s="216"/>
      <c r="E401" s="218" t="str">
        <f>IFERROR(__xludf.DUMMYFUNCTION("IFERROR(INDEX(FILTER(BUY_SEP!D:D,(BUY_SEP!B:B=A401)*(BUY_SEP!C:C=B401)),1),"""")"),"")</f>
        <v/>
      </c>
      <c r="F401" s="216"/>
      <c r="G401" s="216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  <c r="AA401" s="220"/>
      <c r="AB401" s="220"/>
    </row>
    <row r="402">
      <c r="A402" s="215">
        <f>IFERROR(__xludf.DUMMYFUNCTION("""COMPUTED_VALUE"""),46295.0)</f>
        <v>46295</v>
      </c>
      <c r="B402" s="216"/>
      <c r="C402" s="216" t="str">
        <f t="shared" si="1"/>
        <v/>
      </c>
      <c r="D402" s="216"/>
      <c r="E402" s="218" t="str">
        <f>IFERROR(__xludf.DUMMYFUNCTION("IFERROR(INDEX(FILTER(BUY_SEP!D:D,(BUY_SEP!B:B=A402)*(BUY_SEP!C:C=B402)),1),"""")"),"")</f>
        <v/>
      </c>
      <c r="F402" s="216"/>
      <c r="G402" s="216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  <c r="AA402" s="220"/>
      <c r="AB402" s="220"/>
    </row>
    <row r="403">
      <c r="A403" s="215">
        <f>IFERROR(__xludf.DUMMYFUNCTION("""COMPUTED_VALUE"""),46295.0)</f>
        <v>46295</v>
      </c>
      <c r="B403" s="216"/>
      <c r="C403" s="216" t="str">
        <f t="shared" si="1"/>
        <v/>
      </c>
      <c r="D403" s="216"/>
      <c r="E403" s="218" t="str">
        <f>IFERROR(__xludf.DUMMYFUNCTION("IFERROR(INDEX(FILTER(BUY_SEP!D:D,(BUY_SEP!B:B=A403)*(BUY_SEP!C:C=B403)),1),"""")"),"")</f>
        <v/>
      </c>
      <c r="F403" s="216"/>
      <c r="G403" s="216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  <c r="AA403" s="220"/>
      <c r="AB403" s="220"/>
    </row>
    <row r="404">
      <c r="A404" s="215">
        <f>IFERROR(__xludf.DUMMYFUNCTION("""COMPUTED_VALUE"""),46295.0)</f>
        <v>46295</v>
      </c>
      <c r="B404" s="216"/>
      <c r="C404" s="216" t="str">
        <f t="shared" si="1"/>
        <v/>
      </c>
      <c r="D404" s="216"/>
      <c r="E404" s="218" t="str">
        <f>IFERROR(__xludf.DUMMYFUNCTION("IFERROR(INDEX(FILTER(BUY_SEP!D:D,(BUY_SEP!B:B=A404)*(BUY_SEP!C:C=B404)),1),"""")"),"")</f>
        <v/>
      </c>
      <c r="F404" s="216"/>
      <c r="G404" s="216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  <c r="AA404" s="220"/>
      <c r="AB404" s="220"/>
    </row>
    <row r="405">
      <c r="A405" s="215">
        <f>IFERROR(__xludf.DUMMYFUNCTION("""COMPUTED_VALUE"""),46295.0)</f>
        <v>46295</v>
      </c>
      <c r="B405" s="216"/>
      <c r="C405" s="216" t="str">
        <f t="shared" si="1"/>
        <v/>
      </c>
      <c r="D405" s="216"/>
      <c r="E405" s="218" t="str">
        <f>IFERROR(__xludf.DUMMYFUNCTION("IFERROR(INDEX(FILTER(BUY_SEP!D:D,(BUY_SEP!B:B=A405)*(BUY_SEP!C:C=B405)),1),"""")"),"")</f>
        <v/>
      </c>
      <c r="F405" s="216"/>
      <c r="G405" s="216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  <c r="AA405" s="220"/>
      <c r="AB405" s="220"/>
    </row>
    <row r="406">
      <c r="A406" s="215">
        <f>IFERROR(__xludf.DUMMYFUNCTION("""COMPUTED_VALUE"""),46295.0)</f>
        <v>46295</v>
      </c>
      <c r="B406" s="216"/>
      <c r="C406" s="216" t="str">
        <f t="shared" si="1"/>
        <v/>
      </c>
      <c r="D406" s="216"/>
      <c r="E406" s="218" t="str">
        <f>IFERROR(__xludf.DUMMYFUNCTION("IFERROR(INDEX(FILTER(BUY_SEP!D:D,(BUY_SEP!B:B=A406)*(BUY_SEP!C:C=B406)),1),"""")"),"")</f>
        <v/>
      </c>
      <c r="F406" s="216"/>
      <c r="G406" s="216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0"/>
      <c r="AA406" s="220"/>
      <c r="AB406" s="220"/>
    </row>
    <row r="407">
      <c r="A407" s="215">
        <f>IFERROR(__xludf.DUMMYFUNCTION("""COMPUTED_VALUE"""),46295.0)</f>
        <v>46295</v>
      </c>
      <c r="B407" s="216"/>
      <c r="C407" s="216" t="str">
        <f t="shared" si="1"/>
        <v/>
      </c>
      <c r="D407" s="216"/>
      <c r="E407" s="218" t="str">
        <f>IFERROR(__xludf.DUMMYFUNCTION("IFERROR(INDEX(FILTER(BUY_SEP!D:D,(BUY_SEP!B:B=A407)*(BUY_SEP!C:C=B407)),1),"""")"),"")</f>
        <v/>
      </c>
      <c r="F407" s="216"/>
      <c r="G407" s="216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0"/>
      <c r="AA407" s="220"/>
      <c r="AB407" s="220"/>
    </row>
    <row r="408">
      <c r="A408" s="215">
        <f>IFERROR(__xludf.DUMMYFUNCTION("""COMPUTED_VALUE"""),46295.0)</f>
        <v>46295</v>
      </c>
      <c r="B408" s="216"/>
      <c r="C408" s="216" t="str">
        <f t="shared" si="1"/>
        <v/>
      </c>
      <c r="D408" s="216"/>
      <c r="E408" s="218" t="str">
        <f>IFERROR(__xludf.DUMMYFUNCTION("IFERROR(INDEX(FILTER(BUY_SEP!D:D,(BUY_SEP!B:B=A408)*(BUY_SEP!C:C=B408)),1),"""")"),"")</f>
        <v/>
      </c>
      <c r="F408" s="216"/>
      <c r="G408" s="216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0"/>
      <c r="AA408" s="220"/>
      <c r="AB408" s="220"/>
    </row>
    <row r="409">
      <c r="A409" s="215">
        <f>IFERROR(__xludf.DUMMYFUNCTION("""COMPUTED_VALUE"""),46295.0)</f>
        <v>46295</v>
      </c>
      <c r="B409" s="216"/>
      <c r="C409" s="216" t="str">
        <f t="shared" si="1"/>
        <v/>
      </c>
      <c r="D409" s="216"/>
      <c r="E409" s="218" t="str">
        <f>IFERROR(__xludf.DUMMYFUNCTION("IFERROR(INDEX(FILTER(BUY_SEP!D:D,(BUY_SEP!B:B=A409)*(BUY_SEP!C:C=B409)),1),"""")"),"")</f>
        <v/>
      </c>
      <c r="F409" s="216"/>
      <c r="G409" s="216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0"/>
      <c r="AA409" s="220"/>
      <c r="AB409" s="220"/>
    </row>
    <row r="410">
      <c r="A410" s="215">
        <f>IFERROR(__xludf.DUMMYFUNCTION("""COMPUTED_VALUE"""),46295.0)</f>
        <v>46295</v>
      </c>
      <c r="B410" s="216"/>
      <c r="C410" s="216" t="str">
        <f t="shared" si="1"/>
        <v/>
      </c>
      <c r="D410" s="216"/>
      <c r="E410" s="218" t="str">
        <f>IFERROR(__xludf.DUMMYFUNCTION("IFERROR(INDEX(FILTER(BUY_SEP!D:D,(BUY_SEP!B:B=A410)*(BUY_SEP!C:C=B410)),1),"""")"),"")</f>
        <v/>
      </c>
      <c r="F410" s="216"/>
      <c r="G410" s="216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0"/>
      <c r="AA410" s="220"/>
      <c r="AB410" s="220"/>
    </row>
    <row r="411">
      <c r="A411" s="215">
        <f>IFERROR(__xludf.DUMMYFUNCTION("""COMPUTED_VALUE"""),46295.0)</f>
        <v>46295</v>
      </c>
      <c r="B411" s="216"/>
      <c r="C411" s="216" t="str">
        <f t="shared" si="1"/>
        <v/>
      </c>
      <c r="D411" s="216"/>
      <c r="E411" s="218" t="str">
        <f>IFERROR(__xludf.DUMMYFUNCTION("IFERROR(INDEX(FILTER(BUY_SEP!D:D,(BUY_SEP!B:B=A411)*(BUY_SEP!C:C=B411)),1),"""")"),"")</f>
        <v/>
      </c>
      <c r="F411" s="216"/>
      <c r="G411" s="216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0"/>
      <c r="AA411" s="220"/>
      <c r="AB411" s="220"/>
    </row>
    <row r="412">
      <c r="A412" s="215">
        <f>IFERROR(__xludf.DUMMYFUNCTION("""COMPUTED_VALUE"""),46295.0)</f>
        <v>46295</v>
      </c>
      <c r="B412" s="216"/>
      <c r="C412" s="216" t="str">
        <f t="shared" si="1"/>
        <v/>
      </c>
      <c r="D412" s="216"/>
      <c r="E412" s="218" t="str">
        <f>IFERROR(__xludf.DUMMYFUNCTION("IFERROR(INDEX(FILTER(BUY_SEP!D:D,(BUY_SEP!B:B=A412)*(BUY_SEP!C:C=B412)),1),"""")"),"")</f>
        <v/>
      </c>
      <c r="F412" s="216"/>
      <c r="G412" s="216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  <c r="AA412" s="220"/>
      <c r="AB412" s="220"/>
    </row>
    <row r="413">
      <c r="A413" s="215">
        <f>IFERROR(__xludf.DUMMYFUNCTION("""COMPUTED_VALUE"""),46295.0)</f>
        <v>46295</v>
      </c>
      <c r="B413" s="216"/>
      <c r="C413" s="216" t="str">
        <f t="shared" si="1"/>
        <v/>
      </c>
      <c r="D413" s="216"/>
      <c r="E413" s="218" t="str">
        <f>IFERROR(__xludf.DUMMYFUNCTION("IFERROR(INDEX(FILTER(BUY_SEP!D:D,(BUY_SEP!B:B=A413)*(BUY_SEP!C:C=B413)),1),"""")"),"")</f>
        <v/>
      </c>
      <c r="F413" s="216"/>
      <c r="G413" s="216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  <c r="AA413" s="220"/>
      <c r="AB413" s="220"/>
    </row>
    <row r="414">
      <c r="A414" s="215">
        <f>IFERROR(__xludf.DUMMYFUNCTION("""COMPUTED_VALUE"""),46295.0)</f>
        <v>46295</v>
      </c>
      <c r="B414" s="216"/>
      <c r="C414" s="216" t="str">
        <f t="shared" si="1"/>
        <v/>
      </c>
      <c r="D414" s="216"/>
      <c r="E414" s="218" t="str">
        <f>IFERROR(__xludf.DUMMYFUNCTION("IFERROR(INDEX(FILTER(BUY_SEP!D:D,(BUY_SEP!B:B=A414)*(BUY_SEP!C:C=B414)),1),"""")"),"")</f>
        <v/>
      </c>
      <c r="F414" s="216"/>
      <c r="G414" s="216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  <c r="AA414" s="220"/>
      <c r="AB414" s="220"/>
    </row>
    <row r="415">
      <c r="A415" s="215">
        <f>IFERROR(__xludf.DUMMYFUNCTION("""COMPUTED_VALUE"""),46295.0)</f>
        <v>46295</v>
      </c>
      <c r="B415" s="216"/>
      <c r="C415" s="216" t="str">
        <f t="shared" si="1"/>
        <v/>
      </c>
      <c r="D415" s="216"/>
      <c r="E415" s="218" t="str">
        <f>IFERROR(__xludf.DUMMYFUNCTION("IFERROR(INDEX(FILTER(BUY_SEP!D:D,(BUY_SEP!B:B=A415)*(BUY_SEP!C:C=B415)),1),"""")"),"")</f>
        <v/>
      </c>
      <c r="F415" s="216"/>
      <c r="G415" s="216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  <c r="AA415" s="220"/>
      <c r="AB415" s="220"/>
    </row>
    <row r="416">
      <c r="A416" s="215">
        <f>IFERROR(__xludf.DUMMYFUNCTION("""COMPUTED_VALUE"""),46295.0)</f>
        <v>46295</v>
      </c>
      <c r="B416" s="216"/>
      <c r="C416" s="216" t="str">
        <f t="shared" si="1"/>
        <v/>
      </c>
      <c r="D416" s="216"/>
      <c r="E416" s="218" t="str">
        <f>IFERROR(__xludf.DUMMYFUNCTION("IFERROR(INDEX(FILTER(BUY_SEP!D:D,(BUY_SEP!B:B=A416)*(BUY_SEP!C:C=B416)),1),"""")"),"")</f>
        <v/>
      </c>
      <c r="F416" s="216"/>
      <c r="G416" s="216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  <c r="AA416" s="220"/>
      <c r="AB416" s="220"/>
    </row>
    <row r="417">
      <c r="A417" s="215">
        <f>IFERROR(__xludf.DUMMYFUNCTION("""COMPUTED_VALUE"""),46295.0)</f>
        <v>46295</v>
      </c>
      <c r="B417" s="216"/>
      <c r="C417" s="216" t="str">
        <f t="shared" si="1"/>
        <v/>
      </c>
      <c r="D417" s="216"/>
      <c r="E417" s="218" t="str">
        <f>IFERROR(__xludf.DUMMYFUNCTION("IFERROR(INDEX(FILTER(BUY_SEP!D:D,(BUY_SEP!B:B=A417)*(BUY_SEP!C:C=B417)),1),"""")"),"")</f>
        <v/>
      </c>
      <c r="F417" s="216"/>
      <c r="G417" s="216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  <c r="AA417" s="220"/>
      <c r="AB417" s="220"/>
    </row>
    <row r="418">
      <c r="A418" s="215">
        <f>IFERROR(__xludf.DUMMYFUNCTION("""COMPUTED_VALUE"""),46295.0)</f>
        <v>46295</v>
      </c>
      <c r="B418" s="216"/>
      <c r="C418" s="216" t="str">
        <f t="shared" si="1"/>
        <v/>
      </c>
      <c r="D418" s="216"/>
      <c r="E418" s="218" t="str">
        <f>IFERROR(__xludf.DUMMYFUNCTION("IFERROR(INDEX(FILTER(BUY_SEP!D:D,(BUY_SEP!B:B=A418)*(BUY_SEP!C:C=B418)),1),"""")"),"")</f>
        <v/>
      </c>
      <c r="F418" s="216"/>
      <c r="G418" s="216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  <c r="AA418" s="220"/>
      <c r="AB418" s="220"/>
    </row>
    <row r="419">
      <c r="A419" s="215">
        <f>IFERROR(__xludf.DUMMYFUNCTION("""COMPUTED_VALUE"""),46295.0)</f>
        <v>46295</v>
      </c>
      <c r="B419" s="216"/>
      <c r="C419" s="216" t="str">
        <f t="shared" si="1"/>
        <v/>
      </c>
      <c r="D419" s="216"/>
      <c r="E419" s="218" t="str">
        <f>IFERROR(__xludf.DUMMYFUNCTION("IFERROR(INDEX(FILTER(BUY_SEP!D:D,(BUY_SEP!B:B=A419)*(BUY_SEP!C:C=B419)),1),"""")"),"")</f>
        <v/>
      </c>
      <c r="F419" s="216"/>
      <c r="G419" s="216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  <c r="AA419" s="220"/>
      <c r="AB419" s="220"/>
    </row>
    <row r="420">
      <c r="A420" s="215">
        <f>IFERROR(__xludf.DUMMYFUNCTION("""COMPUTED_VALUE"""),46295.0)</f>
        <v>46295</v>
      </c>
      <c r="B420" s="216"/>
      <c r="C420" s="216" t="str">
        <f t="shared" si="1"/>
        <v/>
      </c>
      <c r="D420" s="216"/>
      <c r="E420" s="218" t="str">
        <f>IFERROR(__xludf.DUMMYFUNCTION("IFERROR(INDEX(FILTER(BUY_SEP!D:D,(BUY_SEP!B:B=A420)*(BUY_SEP!C:C=B420)),1),"""")"),"")</f>
        <v/>
      </c>
      <c r="F420" s="216"/>
      <c r="G420" s="216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  <c r="AA420" s="220"/>
      <c r="AB420" s="220"/>
    </row>
    <row r="421">
      <c r="A421" s="215">
        <f>IFERROR(__xludf.DUMMYFUNCTION("""COMPUTED_VALUE"""),46295.0)</f>
        <v>46295</v>
      </c>
      <c r="B421" s="216"/>
      <c r="C421" s="216" t="str">
        <f t="shared" si="1"/>
        <v/>
      </c>
      <c r="D421" s="216"/>
      <c r="E421" s="218" t="str">
        <f>IFERROR(__xludf.DUMMYFUNCTION("IFERROR(INDEX(FILTER(BUY_SEP!D:D,(BUY_SEP!B:B=A421)*(BUY_SEP!C:C=B421)),1),"""")"),"")</f>
        <v/>
      </c>
      <c r="F421" s="216"/>
      <c r="G421" s="216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  <c r="AA421" s="220"/>
      <c r="AB421" s="220"/>
    </row>
    <row r="422">
      <c r="A422" s="215">
        <f>IFERROR(__xludf.DUMMYFUNCTION("""COMPUTED_VALUE"""),46295.0)</f>
        <v>46295</v>
      </c>
      <c r="B422" s="216"/>
      <c r="C422" s="216" t="str">
        <f t="shared" si="1"/>
        <v/>
      </c>
      <c r="D422" s="216"/>
      <c r="E422" s="218" t="str">
        <f>IFERROR(__xludf.DUMMYFUNCTION("IFERROR(INDEX(FILTER(BUY_SEP!D:D,(BUY_SEP!B:B=A422)*(BUY_SEP!C:C=B422)),1),"""")"),"")</f>
        <v/>
      </c>
      <c r="F422" s="216"/>
      <c r="G422" s="216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  <c r="AA422" s="220"/>
      <c r="AB422" s="220"/>
    </row>
    <row r="423">
      <c r="A423" s="215">
        <f>IFERROR(__xludf.DUMMYFUNCTION("""COMPUTED_VALUE"""),46295.0)</f>
        <v>46295</v>
      </c>
      <c r="B423" s="216"/>
      <c r="C423" s="216" t="str">
        <f t="shared" si="1"/>
        <v/>
      </c>
      <c r="D423" s="216"/>
      <c r="E423" s="218" t="str">
        <f>IFERROR(__xludf.DUMMYFUNCTION("IFERROR(INDEX(FILTER(BUY_SEP!D:D,(BUY_SEP!B:B=A423)*(BUY_SEP!C:C=B423)),1),"""")"),"")</f>
        <v/>
      </c>
      <c r="F423" s="216"/>
      <c r="G423" s="216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  <c r="AA423" s="220"/>
      <c r="AB423" s="220"/>
    </row>
    <row r="424">
      <c r="A424" s="215">
        <f>IFERROR(__xludf.DUMMYFUNCTION("""COMPUTED_VALUE"""),46295.0)</f>
        <v>46295</v>
      </c>
      <c r="B424" s="216"/>
      <c r="C424" s="216" t="str">
        <f t="shared" si="1"/>
        <v/>
      </c>
      <c r="D424" s="216"/>
      <c r="E424" s="218" t="str">
        <f>IFERROR(__xludf.DUMMYFUNCTION("IFERROR(INDEX(FILTER(BUY_SEP!D:D,(BUY_SEP!B:B=A424)*(BUY_SEP!C:C=B424)),1),"""")"),"")</f>
        <v/>
      </c>
      <c r="F424" s="216"/>
      <c r="G424" s="216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  <c r="AA424" s="220"/>
      <c r="AB424" s="220"/>
    </row>
    <row r="425">
      <c r="A425" s="215">
        <f>IFERROR(__xludf.DUMMYFUNCTION("""COMPUTED_VALUE"""),46295.0)</f>
        <v>46295</v>
      </c>
      <c r="B425" s="216"/>
      <c r="C425" s="216" t="str">
        <f t="shared" si="1"/>
        <v/>
      </c>
      <c r="D425" s="216"/>
      <c r="E425" s="218" t="str">
        <f>IFERROR(__xludf.DUMMYFUNCTION("IFERROR(INDEX(FILTER(BUY_SEP!D:D,(BUY_SEP!B:B=A425)*(BUY_SEP!C:C=B425)),1),"""")"),"")</f>
        <v/>
      </c>
      <c r="F425" s="216"/>
      <c r="G425" s="216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  <c r="AA425" s="220"/>
      <c r="AB425" s="220"/>
    </row>
    <row r="426">
      <c r="A426" s="215">
        <f>IFERROR(__xludf.DUMMYFUNCTION("""COMPUTED_VALUE"""),46295.0)</f>
        <v>46295</v>
      </c>
      <c r="B426" s="216"/>
      <c r="C426" s="216" t="str">
        <f t="shared" si="1"/>
        <v/>
      </c>
      <c r="D426" s="216"/>
      <c r="E426" s="218" t="str">
        <f>IFERROR(__xludf.DUMMYFUNCTION("IFERROR(INDEX(FILTER(BUY_SEP!D:D,(BUY_SEP!B:B=A426)*(BUY_SEP!C:C=B426)),1),"""")"),"")</f>
        <v/>
      </c>
      <c r="F426" s="216"/>
      <c r="G426" s="216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  <c r="AA426" s="220"/>
      <c r="AB426" s="220"/>
    </row>
    <row r="427">
      <c r="A427" s="215">
        <f>IFERROR(__xludf.DUMMYFUNCTION("""COMPUTED_VALUE"""),46295.0)</f>
        <v>46295</v>
      </c>
      <c r="B427" s="216"/>
      <c r="C427" s="216" t="str">
        <f t="shared" si="1"/>
        <v/>
      </c>
      <c r="D427" s="216"/>
      <c r="E427" s="218" t="str">
        <f>IFERROR(__xludf.DUMMYFUNCTION("IFERROR(INDEX(FILTER(BUY_SEP!D:D,(BUY_SEP!B:B=A427)*(BUY_SEP!C:C=B427)),1),"""")"),"")</f>
        <v/>
      </c>
      <c r="F427" s="216"/>
      <c r="G427" s="216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  <c r="AA427" s="220"/>
      <c r="AB427" s="220"/>
    </row>
    <row r="428">
      <c r="A428" s="215">
        <f>IFERROR(__xludf.DUMMYFUNCTION("""COMPUTED_VALUE"""),46295.0)</f>
        <v>46295</v>
      </c>
      <c r="B428" s="216"/>
      <c r="C428" s="216" t="str">
        <f t="shared" si="1"/>
        <v/>
      </c>
      <c r="D428" s="216"/>
      <c r="E428" s="218" t="str">
        <f>IFERROR(__xludf.DUMMYFUNCTION("IFERROR(INDEX(FILTER(BUY_SEP!D:D,(BUY_SEP!B:B=A428)*(BUY_SEP!C:C=B428)),1),"""")"),"")</f>
        <v/>
      </c>
      <c r="F428" s="216"/>
      <c r="G428" s="216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  <c r="AA428" s="220"/>
      <c r="AB428" s="220"/>
    </row>
    <row r="429">
      <c r="A429" s="215">
        <f>IFERROR(__xludf.DUMMYFUNCTION("""COMPUTED_VALUE"""),46295.0)</f>
        <v>46295</v>
      </c>
      <c r="B429" s="216"/>
      <c r="C429" s="216" t="str">
        <f t="shared" si="1"/>
        <v/>
      </c>
      <c r="D429" s="216"/>
      <c r="E429" s="218" t="str">
        <f>IFERROR(__xludf.DUMMYFUNCTION("IFERROR(INDEX(FILTER(BUY_SEP!D:D,(BUY_SEP!B:B=A429)*(BUY_SEP!C:C=B429)),1),"""")"),"")</f>
        <v/>
      </c>
      <c r="F429" s="216"/>
      <c r="G429" s="216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  <c r="AA429" s="220"/>
      <c r="AB429" s="220"/>
    </row>
    <row r="430">
      <c r="A430" s="215">
        <f>IFERROR(__xludf.DUMMYFUNCTION("""COMPUTED_VALUE"""),46295.0)</f>
        <v>46295</v>
      </c>
      <c r="B430" s="216"/>
      <c r="C430" s="216" t="str">
        <f t="shared" si="1"/>
        <v/>
      </c>
      <c r="D430" s="216"/>
      <c r="E430" s="218" t="str">
        <f>IFERROR(__xludf.DUMMYFUNCTION("IFERROR(INDEX(FILTER(BUY_SEP!D:D,(BUY_SEP!B:B=A430)*(BUY_SEP!C:C=B430)),1),"""")"),"")</f>
        <v/>
      </c>
      <c r="F430" s="216"/>
      <c r="G430" s="216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  <c r="AA430" s="220"/>
      <c r="AB430" s="220"/>
    </row>
    <row r="431">
      <c r="A431" s="215">
        <f>IFERROR(__xludf.DUMMYFUNCTION("""COMPUTED_VALUE"""),46295.0)</f>
        <v>46295</v>
      </c>
      <c r="B431" s="216"/>
      <c r="C431" s="216" t="str">
        <f t="shared" si="1"/>
        <v/>
      </c>
      <c r="D431" s="216"/>
      <c r="E431" s="218" t="str">
        <f>IFERROR(__xludf.DUMMYFUNCTION("IFERROR(INDEX(FILTER(BUY_SEP!D:D,(BUY_SEP!B:B=A431)*(BUY_SEP!C:C=B431)),1),"""")"),"")</f>
        <v/>
      </c>
      <c r="F431" s="216"/>
      <c r="G431" s="216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  <c r="AA431" s="220"/>
      <c r="AB431" s="220"/>
    </row>
    <row r="432">
      <c r="A432" s="215">
        <f>IFERROR(__xludf.DUMMYFUNCTION("""COMPUTED_VALUE"""),46295.0)</f>
        <v>46295</v>
      </c>
      <c r="B432" s="216"/>
      <c r="C432" s="216" t="str">
        <f t="shared" si="1"/>
        <v/>
      </c>
      <c r="D432" s="216"/>
      <c r="E432" s="218" t="str">
        <f>IFERROR(__xludf.DUMMYFUNCTION("IFERROR(INDEX(FILTER(BUY_SEP!D:D,(BUY_SEP!B:B=A432)*(BUY_SEP!C:C=B432)),1),"""")"),"")</f>
        <v/>
      </c>
      <c r="F432" s="216"/>
      <c r="G432" s="216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  <c r="AA432" s="220"/>
      <c r="AB432" s="220"/>
    </row>
    <row r="433">
      <c r="A433" s="215">
        <f>IFERROR(__xludf.DUMMYFUNCTION("""COMPUTED_VALUE"""),46295.0)</f>
        <v>46295</v>
      </c>
      <c r="B433" s="216"/>
      <c r="C433" s="216" t="str">
        <f t="shared" si="1"/>
        <v/>
      </c>
      <c r="D433" s="216"/>
      <c r="E433" s="218" t="str">
        <f>IFERROR(__xludf.DUMMYFUNCTION("IFERROR(INDEX(FILTER(BUY_SEP!D:D,(BUY_SEP!B:B=A433)*(BUY_SEP!C:C=B433)),1),"""")"),"")</f>
        <v/>
      </c>
      <c r="F433" s="216"/>
      <c r="G433" s="216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  <c r="AA433" s="220"/>
      <c r="AB433" s="220"/>
    </row>
    <row r="434">
      <c r="A434" s="215">
        <f>IFERROR(__xludf.DUMMYFUNCTION("""COMPUTED_VALUE"""),46295.0)</f>
        <v>46295</v>
      </c>
      <c r="B434" s="216"/>
      <c r="C434" s="216" t="str">
        <f t="shared" si="1"/>
        <v/>
      </c>
      <c r="D434" s="216"/>
      <c r="E434" s="218" t="str">
        <f>IFERROR(__xludf.DUMMYFUNCTION("IFERROR(INDEX(FILTER(BUY_SEP!D:D,(BUY_SEP!B:B=A434)*(BUY_SEP!C:C=B434)),1),"""")"),"")</f>
        <v/>
      </c>
      <c r="F434" s="216"/>
      <c r="G434" s="216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  <c r="AA434" s="220"/>
      <c r="AB434" s="220"/>
    </row>
    <row r="435">
      <c r="A435" s="215">
        <f>IFERROR(__xludf.DUMMYFUNCTION("""COMPUTED_VALUE"""),46295.0)</f>
        <v>46295</v>
      </c>
      <c r="B435" s="216"/>
      <c r="C435" s="216" t="str">
        <f t="shared" si="1"/>
        <v/>
      </c>
      <c r="D435" s="216"/>
      <c r="E435" s="218" t="str">
        <f>IFERROR(__xludf.DUMMYFUNCTION("IFERROR(INDEX(FILTER(BUY_SEP!D:D,(BUY_SEP!B:B=A435)*(BUY_SEP!C:C=B435)),1),"""")"),"")</f>
        <v/>
      </c>
      <c r="F435" s="216"/>
      <c r="G435" s="216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  <c r="AA435" s="220"/>
      <c r="AB435" s="220"/>
    </row>
    <row r="436">
      <c r="A436" s="215">
        <f>IFERROR(__xludf.DUMMYFUNCTION("""COMPUTED_VALUE"""),46295.0)</f>
        <v>46295</v>
      </c>
      <c r="B436" s="216"/>
      <c r="C436" s="216" t="str">
        <f t="shared" si="1"/>
        <v/>
      </c>
      <c r="D436" s="216"/>
      <c r="E436" s="218" t="str">
        <f>IFERROR(__xludf.DUMMYFUNCTION("IFERROR(INDEX(FILTER(BUY_SEP!D:D,(BUY_SEP!B:B=A436)*(BUY_SEP!C:C=B436)),1),"""")"),"")</f>
        <v/>
      </c>
      <c r="F436" s="216"/>
      <c r="G436" s="216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  <c r="AA436" s="220"/>
      <c r="AB436" s="220"/>
    </row>
    <row r="437">
      <c r="A437" s="215">
        <f>IFERROR(__xludf.DUMMYFUNCTION("""COMPUTED_VALUE"""),46295.0)</f>
        <v>46295</v>
      </c>
      <c r="B437" s="216"/>
      <c r="C437" s="216" t="str">
        <f t="shared" si="1"/>
        <v/>
      </c>
      <c r="D437" s="216"/>
      <c r="E437" s="218" t="str">
        <f>IFERROR(__xludf.DUMMYFUNCTION("IFERROR(INDEX(FILTER(BUY_SEP!D:D,(BUY_SEP!B:B=A437)*(BUY_SEP!C:C=B437)),1),"""")"),"")</f>
        <v/>
      </c>
      <c r="F437" s="216"/>
      <c r="G437" s="216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  <c r="AA437" s="220"/>
      <c r="AB437" s="220"/>
    </row>
    <row r="438">
      <c r="A438" s="215">
        <f>IFERROR(__xludf.DUMMYFUNCTION("""COMPUTED_VALUE"""),46295.0)</f>
        <v>46295</v>
      </c>
      <c r="B438" s="216"/>
      <c r="C438" s="216" t="str">
        <f t="shared" si="1"/>
        <v/>
      </c>
      <c r="D438" s="216"/>
      <c r="E438" s="218" t="str">
        <f>IFERROR(__xludf.DUMMYFUNCTION("IFERROR(INDEX(FILTER(BUY_SEP!D:D,(BUY_SEP!B:B=A438)*(BUY_SEP!C:C=B438)),1),"""")"),"")</f>
        <v/>
      </c>
      <c r="F438" s="216"/>
      <c r="G438" s="216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  <c r="AA438" s="220"/>
      <c r="AB438" s="220"/>
    </row>
    <row r="439">
      <c r="A439" s="215">
        <f>IFERROR(__xludf.DUMMYFUNCTION("""COMPUTED_VALUE"""),46295.0)</f>
        <v>46295</v>
      </c>
      <c r="B439" s="216"/>
      <c r="C439" s="216" t="str">
        <f t="shared" si="1"/>
        <v/>
      </c>
      <c r="D439" s="216"/>
      <c r="E439" s="218" t="str">
        <f>IFERROR(__xludf.DUMMYFUNCTION("IFERROR(INDEX(FILTER(BUY_SEP!D:D,(BUY_SEP!B:B=A439)*(BUY_SEP!C:C=B439)),1),"""")"),"")</f>
        <v/>
      </c>
      <c r="F439" s="216"/>
      <c r="G439" s="216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  <c r="AA439" s="220"/>
      <c r="AB439" s="220"/>
    </row>
    <row r="440">
      <c r="A440" s="215">
        <f>IFERROR(__xludf.DUMMYFUNCTION("""COMPUTED_VALUE"""),46295.0)</f>
        <v>46295</v>
      </c>
      <c r="B440" s="216"/>
      <c r="C440" s="216" t="str">
        <f t="shared" si="1"/>
        <v/>
      </c>
      <c r="D440" s="216"/>
      <c r="E440" s="218" t="str">
        <f>IFERROR(__xludf.DUMMYFUNCTION("IFERROR(INDEX(FILTER(BUY_SEP!D:D,(BUY_SEP!B:B=A440)*(BUY_SEP!C:C=B440)),1),"""")"),"")</f>
        <v/>
      </c>
      <c r="F440" s="216"/>
      <c r="G440" s="216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  <c r="AA440" s="220"/>
      <c r="AB440" s="220"/>
    </row>
    <row r="441">
      <c r="A441" s="215">
        <f>IFERROR(__xludf.DUMMYFUNCTION("""COMPUTED_VALUE"""),46295.0)</f>
        <v>46295</v>
      </c>
      <c r="B441" s="216"/>
      <c r="C441" s="216" t="str">
        <f t="shared" si="1"/>
        <v/>
      </c>
      <c r="D441" s="216"/>
      <c r="E441" s="218" t="str">
        <f>IFERROR(__xludf.DUMMYFUNCTION("IFERROR(INDEX(FILTER(BUY_SEP!D:D,(BUY_SEP!B:B=A441)*(BUY_SEP!C:C=B441)),1),"""")"),"")</f>
        <v/>
      </c>
      <c r="F441" s="216"/>
      <c r="G441" s="216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  <c r="AA441" s="220"/>
      <c r="AB441" s="220"/>
    </row>
    <row r="442">
      <c r="A442" s="215">
        <f>IFERROR(__xludf.DUMMYFUNCTION("""COMPUTED_VALUE"""),46295.0)</f>
        <v>46295</v>
      </c>
      <c r="B442" s="216"/>
      <c r="C442" s="216" t="str">
        <f t="shared" si="1"/>
        <v/>
      </c>
      <c r="D442" s="216"/>
      <c r="E442" s="218" t="str">
        <f>IFERROR(__xludf.DUMMYFUNCTION("IFERROR(INDEX(FILTER(BUY_SEP!D:D,(BUY_SEP!B:B=A442)*(BUY_SEP!C:C=B442)),1),"""")"),"")</f>
        <v/>
      </c>
      <c r="F442" s="216"/>
      <c r="G442" s="216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  <c r="AA442" s="220"/>
      <c r="AB442" s="220"/>
    </row>
    <row r="443">
      <c r="A443" s="215">
        <f>IFERROR(__xludf.DUMMYFUNCTION("""COMPUTED_VALUE"""),46295.0)</f>
        <v>46295</v>
      </c>
      <c r="B443" s="216"/>
      <c r="C443" s="216" t="str">
        <f t="shared" si="1"/>
        <v/>
      </c>
      <c r="D443" s="216"/>
      <c r="E443" s="218" t="str">
        <f>IFERROR(__xludf.DUMMYFUNCTION("IFERROR(INDEX(FILTER(BUY_SEP!D:D,(BUY_SEP!B:B=A443)*(BUY_SEP!C:C=B443)),1),"""")"),"")</f>
        <v/>
      </c>
      <c r="F443" s="216"/>
      <c r="G443" s="216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  <c r="AA443" s="220"/>
      <c r="AB443" s="220"/>
    </row>
    <row r="444">
      <c r="A444" s="215">
        <f>IFERROR(__xludf.DUMMYFUNCTION("""COMPUTED_VALUE"""),46295.0)</f>
        <v>46295</v>
      </c>
      <c r="B444" s="216"/>
      <c r="C444" s="216" t="str">
        <f t="shared" si="1"/>
        <v/>
      </c>
      <c r="D444" s="216"/>
      <c r="E444" s="218" t="str">
        <f>IFERROR(__xludf.DUMMYFUNCTION("IFERROR(INDEX(FILTER(BUY_SEP!D:D,(BUY_SEP!B:B=A444)*(BUY_SEP!C:C=B444)),1),"""")"),"")</f>
        <v/>
      </c>
      <c r="F444" s="216"/>
      <c r="G444" s="216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  <c r="AA444" s="220"/>
      <c r="AB444" s="220"/>
    </row>
    <row r="445">
      <c r="A445" s="215">
        <f>IFERROR(__xludf.DUMMYFUNCTION("""COMPUTED_VALUE"""),46295.0)</f>
        <v>46295</v>
      </c>
      <c r="B445" s="216"/>
      <c r="C445" s="216" t="str">
        <f t="shared" si="1"/>
        <v/>
      </c>
      <c r="D445" s="216"/>
      <c r="E445" s="218" t="str">
        <f>IFERROR(__xludf.DUMMYFUNCTION("IFERROR(INDEX(FILTER(BUY_SEP!D:D,(BUY_SEP!B:B=A445)*(BUY_SEP!C:C=B445)),1),"""")"),"")</f>
        <v/>
      </c>
      <c r="F445" s="216"/>
      <c r="G445" s="216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  <c r="AA445" s="220"/>
      <c r="AB445" s="220"/>
    </row>
    <row r="446">
      <c r="A446" s="215">
        <f>IFERROR(__xludf.DUMMYFUNCTION("""COMPUTED_VALUE"""),46295.0)</f>
        <v>46295</v>
      </c>
      <c r="B446" s="216"/>
      <c r="C446" s="216" t="str">
        <f t="shared" si="1"/>
        <v/>
      </c>
      <c r="D446" s="216"/>
      <c r="E446" s="218" t="str">
        <f>IFERROR(__xludf.DUMMYFUNCTION("IFERROR(INDEX(FILTER(BUY_SEP!D:D,(BUY_SEP!B:B=A446)*(BUY_SEP!C:C=B446)),1),"""")"),"")</f>
        <v/>
      </c>
      <c r="F446" s="216"/>
      <c r="G446" s="216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  <c r="AA446" s="220"/>
      <c r="AB446" s="220"/>
    </row>
    <row r="447">
      <c r="A447" s="215">
        <f>IFERROR(__xludf.DUMMYFUNCTION("""COMPUTED_VALUE"""),46295.0)</f>
        <v>46295</v>
      </c>
      <c r="B447" s="216"/>
      <c r="C447" s="216" t="str">
        <f t="shared" si="1"/>
        <v/>
      </c>
      <c r="D447" s="216"/>
      <c r="E447" s="218" t="str">
        <f>IFERROR(__xludf.DUMMYFUNCTION("IFERROR(INDEX(FILTER(BUY_SEP!D:D,(BUY_SEP!B:B=A447)*(BUY_SEP!C:C=B447)),1),"""")"),"")</f>
        <v/>
      </c>
      <c r="F447" s="216"/>
      <c r="G447" s="216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  <c r="AA447" s="220"/>
      <c r="AB447" s="220"/>
    </row>
    <row r="448">
      <c r="A448" s="215">
        <f>IFERROR(__xludf.DUMMYFUNCTION("""COMPUTED_VALUE"""),46295.0)</f>
        <v>46295</v>
      </c>
      <c r="B448" s="216"/>
      <c r="C448" s="216" t="str">
        <f t="shared" si="1"/>
        <v/>
      </c>
      <c r="D448" s="216"/>
      <c r="E448" s="218" t="str">
        <f>IFERROR(__xludf.DUMMYFUNCTION("IFERROR(INDEX(FILTER(BUY_SEP!D:D,(BUY_SEP!B:B=A448)*(BUY_SEP!C:C=B448)),1),"""")"),"")</f>
        <v/>
      </c>
      <c r="F448" s="216"/>
      <c r="G448" s="216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  <c r="AA448" s="220"/>
      <c r="AB448" s="220"/>
    </row>
    <row r="449">
      <c r="A449" s="215">
        <f>IFERROR(__xludf.DUMMYFUNCTION("""COMPUTED_VALUE"""),46295.0)</f>
        <v>46295</v>
      </c>
      <c r="B449" s="216"/>
      <c r="C449" s="216" t="str">
        <f t="shared" si="1"/>
        <v/>
      </c>
      <c r="D449" s="216"/>
      <c r="E449" s="218" t="str">
        <f>IFERROR(__xludf.DUMMYFUNCTION("IFERROR(INDEX(FILTER(BUY_SEP!D:D,(BUY_SEP!B:B=A449)*(BUY_SEP!C:C=B449)),1),"""")"),"")</f>
        <v/>
      </c>
      <c r="F449" s="216"/>
      <c r="G449" s="216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  <c r="AA449" s="220"/>
      <c r="AB449" s="220"/>
    </row>
    <row r="450">
      <c r="A450" s="215">
        <f>IFERROR(__xludf.DUMMYFUNCTION("""COMPUTED_VALUE"""),46295.0)</f>
        <v>46295</v>
      </c>
      <c r="B450" s="216"/>
      <c r="C450" s="216" t="str">
        <f t="shared" si="1"/>
        <v/>
      </c>
      <c r="D450" s="216"/>
      <c r="E450" s="218" t="str">
        <f>IFERROR(__xludf.DUMMYFUNCTION("IFERROR(INDEX(FILTER(BUY_SEP!D:D,(BUY_SEP!B:B=A450)*(BUY_SEP!C:C=B450)),1),"""")"),"")</f>
        <v/>
      </c>
      <c r="F450" s="216"/>
      <c r="G450" s="216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  <c r="AA450" s="220"/>
      <c r="AB450" s="220"/>
    </row>
    <row r="451">
      <c r="A451" s="215">
        <f>IFERROR(__xludf.DUMMYFUNCTION("""COMPUTED_VALUE"""),46295.0)</f>
        <v>46295</v>
      </c>
      <c r="B451" s="216"/>
      <c r="C451" s="216" t="str">
        <f t="shared" si="1"/>
        <v/>
      </c>
      <c r="D451" s="216"/>
      <c r="E451" s="218" t="str">
        <f>IFERROR(__xludf.DUMMYFUNCTION("IFERROR(INDEX(FILTER(BUY_SEP!D:D,(BUY_SEP!B:B=A451)*(BUY_SEP!C:C=B451)),1),"""")"),"")</f>
        <v/>
      </c>
      <c r="F451" s="216"/>
      <c r="G451" s="216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  <c r="AA451" s="220"/>
      <c r="AB451" s="220"/>
    </row>
    <row r="452">
      <c r="A452" s="215">
        <f>IFERROR(__xludf.DUMMYFUNCTION("""COMPUTED_VALUE"""),46295.0)</f>
        <v>46295</v>
      </c>
      <c r="B452" s="216"/>
      <c r="C452" s="216" t="str">
        <f t="shared" si="1"/>
        <v/>
      </c>
      <c r="D452" s="216"/>
      <c r="E452" s="218" t="str">
        <f>IFERROR(__xludf.DUMMYFUNCTION("IFERROR(INDEX(FILTER(BUY_SEP!D:D,(BUY_SEP!B:B=A452)*(BUY_SEP!C:C=B452)),1),"""")"),"")</f>
        <v/>
      </c>
      <c r="F452" s="216"/>
      <c r="G452" s="216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  <c r="AA452" s="220"/>
      <c r="AB452" s="220"/>
    </row>
    <row r="453">
      <c r="A453" s="215">
        <f>IFERROR(__xludf.DUMMYFUNCTION("""COMPUTED_VALUE"""),46295.0)</f>
        <v>46295</v>
      </c>
      <c r="B453" s="216"/>
      <c r="C453" s="216" t="str">
        <f t="shared" si="1"/>
        <v/>
      </c>
      <c r="D453" s="216"/>
      <c r="E453" s="218" t="str">
        <f>IFERROR(__xludf.DUMMYFUNCTION("IFERROR(INDEX(FILTER(BUY_SEP!D:D,(BUY_SEP!B:B=A453)*(BUY_SEP!C:C=B453)),1),"""")"),"")</f>
        <v/>
      </c>
      <c r="F453" s="216"/>
      <c r="G453" s="216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  <c r="AA453" s="220"/>
      <c r="AB453" s="220"/>
    </row>
    <row r="454">
      <c r="A454" s="215">
        <f>IFERROR(__xludf.DUMMYFUNCTION("""COMPUTED_VALUE"""),46295.0)</f>
        <v>46295</v>
      </c>
      <c r="B454" s="216"/>
      <c r="C454" s="216" t="str">
        <f t="shared" si="1"/>
        <v/>
      </c>
      <c r="D454" s="216"/>
      <c r="E454" s="218" t="str">
        <f>IFERROR(__xludf.DUMMYFUNCTION("IFERROR(INDEX(FILTER(BUY_SEP!D:D,(BUY_SEP!B:B=A454)*(BUY_SEP!C:C=B454)),1),"""")"),"")</f>
        <v/>
      </c>
      <c r="F454" s="216"/>
      <c r="G454" s="216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  <c r="AA454" s="220"/>
      <c r="AB454" s="220"/>
    </row>
    <row r="455">
      <c r="A455" s="215">
        <f>IFERROR(__xludf.DUMMYFUNCTION("""COMPUTED_VALUE"""),46295.0)</f>
        <v>46295</v>
      </c>
      <c r="B455" s="216"/>
      <c r="C455" s="216" t="str">
        <f t="shared" si="1"/>
        <v/>
      </c>
      <c r="D455" s="216"/>
      <c r="E455" s="218" t="str">
        <f>IFERROR(__xludf.DUMMYFUNCTION("IFERROR(INDEX(FILTER(BUY_SEP!D:D,(BUY_SEP!B:B=A455)*(BUY_SEP!C:C=B455)),1),"""")"),"")</f>
        <v/>
      </c>
      <c r="F455" s="216"/>
      <c r="G455" s="216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  <c r="AA455" s="220"/>
      <c r="AB455" s="220"/>
    </row>
    <row r="456">
      <c r="A456" s="215">
        <f>IFERROR(__xludf.DUMMYFUNCTION("""COMPUTED_VALUE"""),46295.0)</f>
        <v>46295</v>
      </c>
      <c r="B456" s="216"/>
      <c r="C456" s="216" t="str">
        <f t="shared" si="1"/>
        <v/>
      </c>
      <c r="D456" s="216"/>
      <c r="E456" s="218" t="str">
        <f>IFERROR(__xludf.DUMMYFUNCTION("IFERROR(INDEX(FILTER(BUY_SEP!D:D,(BUY_SEP!B:B=A456)*(BUY_SEP!C:C=B456)),1),"""")"),"")</f>
        <v/>
      </c>
      <c r="F456" s="216"/>
      <c r="G456" s="216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  <c r="AA456" s="220"/>
      <c r="AB456" s="220"/>
    </row>
    <row r="457">
      <c r="A457" s="215">
        <f>IFERROR(__xludf.DUMMYFUNCTION("""COMPUTED_VALUE"""),46295.0)</f>
        <v>46295</v>
      </c>
      <c r="B457" s="216"/>
      <c r="C457" s="216" t="str">
        <f t="shared" si="1"/>
        <v/>
      </c>
      <c r="D457" s="216"/>
      <c r="E457" s="218" t="str">
        <f>IFERROR(__xludf.DUMMYFUNCTION("IFERROR(INDEX(FILTER(BUY_SEP!D:D,(BUY_SEP!B:B=A457)*(BUY_SEP!C:C=B457)),1),"""")"),"")</f>
        <v/>
      </c>
      <c r="F457" s="216"/>
      <c r="G457" s="216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  <c r="AA457" s="220"/>
      <c r="AB457" s="220"/>
    </row>
    <row r="458">
      <c r="A458" s="215">
        <f>IFERROR(__xludf.DUMMYFUNCTION("""COMPUTED_VALUE"""),46295.0)</f>
        <v>46295</v>
      </c>
      <c r="B458" s="216"/>
      <c r="C458" s="216" t="str">
        <f t="shared" si="1"/>
        <v/>
      </c>
      <c r="D458" s="216"/>
      <c r="E458" s="218" t="str">
        <f>IFERROR(__xludf.DUMMYFUNCTION("IFERROR(INDEX(FILTER(BUY_SEP!D:D,(BUY_SEP!B:B=A458)*(BUY_SEP!C:C=B458)),1),"""")"),"")</f>
        <v/>
      </c>
      <c r="F458" s="216"/>
      <c r="G458" s="216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  <c r="AA458" s="220"/>
      <c r="AB458" s="220"/>
    </row>
    <row r="459">
      <c r="A459" s="215">
        <f>IFERROR(__xludf.DUMMYFUNCTION("""COMPUTED_VALUE"""),46295.0)</f>
        <v>46295</v>
      </c>
      <c r="B459" s="216"/>
      <c r="C459" s="216" t="str">
        <f t="shared" si="1"/>
        <v/>
      </c>
      <c r="D459" s="216"/>
      <c r="E459" s="218" t="str">
        <f>IFERROR(__xludf.DUMMYFUNCTION("IFERROR(INDEX(FILTER(BUY_SEP!D:D,(BUY_SEP!B:B=A459)*(BUY_SEP!C:C=B459)),1),"""")"),"")</f>
        <v/>
      </c>
      <c r="F459" s="216"/>
      <c r="G459" s="216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  <c r="AA459" s="220"/>
      <c r="AB459" s="220"/>
    </row>
    <row r="460">
      <c r="A460" s="215">
        <f>IFERROR(__xludf.DUMMYFUNCTION("""COMPUTED_VALUE"""),46295.0)</f>
        <v>46295</v>
      </c>
      <c r="B460" s="216"/>
      <c r="C460" s="216" t="str">
        <f t="shared" si="1"/>
        <v/>
      </c>
      <c r="D460" s="216"/>
      <c r="E460" s="218" t="str">
        <f>IFERROR(__xludf.DUMMYFUNCTION("IFERROR(INDEX(FILTER(BUY_SEP!D:D,(BUY_SEP!B:B=A460)*(BUY_SEP!C:C=B460)),1),"""")"),"")</f>
        <v/>
      </c>
      <c r="F460" s="216"/>
      <c r="G460" s="216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  <c r="AA460" s="220"/>
      <c r="AB460" s="220"/>
    </row>
    <row r="461">
      <c r="A461" s="215">
        <f>IFERROR(__xludf.DUMMYFUNCTION("""COMPUTED_VALUE"""),46295.0)</f>
        <v>46295</v>
      </c>
      <c r="B461" s="216"/>
      <c r="C461" s="216" t="str">
        <f t="shared" si="1"/>
        <v/>
      </c>
      <c r="D461" s="216"/>
      <c r="E461" s="218" t="str">
        <f>IFERROR(__xludf.DUMMYFUNCTION("IFERROR(INDEX(FILTER(BUY_SEP!D:D,(BUY_SEP!B:B=A461)*(BUY_SEP!C:C=B461)),1),"""")"),"")</f>
        <v/>
      </c>
      <c r="F461" s="216"/>
      <c r="G461" s="216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  <c r="AA461" s="220"/>
      <c r="AB461" s="220"/>
    </row>
    <row r="462">
      <c r="A462" s="215">
        <f>IFERROR(__xludf.DUMMYFUNCTION("""COMPUTED_VALUE"""),46295.0)</f>
        <v>46295</v>
      </c>
      <c r="B462" s="216"/>
      <c r="C462" s="216" t="str">
        <f t="shared" si="1"/>
        <v/>
      </c>
      <c r="D462" s="216"/>
      <c r="E462" s="218" t="str">
        <f>IFERROR(__xludf.DUMMYFUNCTION("IFERROR(INDEX(FILTER(BUY_SEP!D:D,(BUY_SEP!B:B=A462)*(BUY_SEP!C:C=B462)),1),"""")"),"")</f>
        <v/>
      </c>
      <c r="F462" s="216"/>
      <c r="G462" s="216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  <c r="AA462" s="220"/>
      <c r="AB462" s="220"/>
    </row>
    <row r="463">
      <c r="A463" s="215">
        <f>IFERROR(__xludf.DUMMYFUNCTION("""COMPUTED_VALUE"""),46295.0)</f>
        <v>46295</v>
      </c>
      <c r="B463" s="216"/>
      <c r="C463" s="216" t="str">
        <f t="shared" si="1"/>
        <v/>
      </c>
      <c r="D463" s="216"/>
      <c r="E463" s="218" t="str">
        <f>IFERROR(__xludf.DUMMYFUNCTION("IFERROR(INDEX(FILTER(BUY_SEP!D:D,(BUY_SEP!B:B=A463)*(BUY_SEP!C:C=B463)),1),"""")"),"")</f>
        <v/>
      </c>
      <c r="F463" s="216"/>
      <c r="G463" s="216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  <c r="AA463" s="220"/>
      <c r="AB463" s="220"/>
    </row>
    <row r="464">
      <c r="A464" s="215">
        <f>IFERROR(__xludf.DUMMYFUNCTION("""COMPUTED_VALUE"""),46295.0)</f>
        <v>46295</v>
      </c>
      <c r="B464" s="216"/>
      <c r="C464" s="216" t="str">
        <f t="shared" si="1"/>
        <v/>
      </c>
      <c r="D464" s="216"/>
      <c r="E464" s="218" t="str">
        <f>IFERROR(__xludf.DUMMYFUNCTION("IFERROR(INDEX(FILTER(BUY_SEP!D:D,(BUY_SEP!B:B=A464)*(BUY_SEP!C:C=B464)),1),"""")"),"")</f>
        <v/>
      </c>
      <c r="F464" s="216"/>
      <c r="G464" s="216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  <c r="AA464" s="220"/>
      <c r="AB464" s="22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6.63"/>
    <col customWidth="1" min="3" max="7" width="26.63"/>
    <col customWidth="1" min="8" max="8" width="16.5"/>
    <col customWidth="1" min="9" max="9" width="34.0"/>
    <col customWidth="1" min="10" max="10" width="22.25"/>
    <col customWidth="1" min="11" max="27" width="26.63"/>
  </cols>
  <sheetData>
    <row r="1">
      <c r="A1" s="177" t="s">
        <v>4</v>
      </c>
      <c r="B1" s="177" t="s">
        <v>42</v>
      </c>
      <c r="C1" s="178" t="s">
        <v>65</v>
      </c>
      <c r="D1" s="178" t="s">
        <v>66</v>
      </c>
      <c r="E1" s="178" t="s">
        <v>67</v>
      </c>
      <c r="F1" s="179" t="s">
        <v>68</v>
      </c>
      <c r="G1" s="178" t="s">
        <v>69</v>
      </c>
      <c r="H1" s="178" t="s">
        <v>70</v>
      </c>
      <c r="I1" s="180" t="s">
        <v>71</v>
      </c>
      <c r="J1" s="180" t="s">
        <v>72</v>
      </c>
      <c r="K1" s="180" t="s">
        <v>73</v>
      </c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</row>
    <row r="2" ht="24.0" customHeight="1">
      <c r="A2" s="222">
        <f>IFERROR(__xludf.DUMMYFUNCTION("FILTER(SEP!B3:C999,SEP!B3:B999&lt;&gt;"""")"),46266.0)</f>
        <v>46266</v>
      </c>
      <c r="B2" s="183">
        <f>IFERROR(__xludf.DUMMYFUNCTION("""COMPUTED_VALUE"""),1.0)</f>
        <v>1</v>
      </c>
      <c r="C2" s="183" t="str">
        <f t="shared" ref="C2:C110" si="1">IF(B2="","","INV-S"&amp;TEXT(A2,"yyyymmdd")&amp;"-"&amp;B2)</f>
        <v>INV-S20260901-1</v>
      </c>
      <c r="D2" s="183" t="s">
        <v>74</v>
      </c>
      <c r="E2" s="184" t="s">
        <v>75</v>
      </c>
      <c r="F2" s="185">
        <f t="shared" ref="F2:F110" si="2">A2</f>
        <v>46266</v>
      </c>
      <c r="G2" s="223">
        <f t="shared" ref="G2:G110" si="3">A2</f>
        <v>46266</v>
      </c>
      <c r="H2" s="183" t="s">
        <v>76</v>
      </c>
      <c r="I2" s="224">
        <f>IFERROR(__xludf.DUMMYFUNCTION("FILTER(SEP!D3:D999,SEP!D3:D999&lt;&gt;"""")"),49908.72)</f>
        <v>49908.72</v>
      </c>
      <c r="J2" s="192">
        <f>IFERROR(__xludf.DUMMYFUNCTION("FILTER(SEP!G3:H999,SEP!G3:G999&lt;&gt;"""")"),17675.0)</f>
        <v>17675</v>
      </c>
      <c r="K2" s="225">
        <f>IFERROR(__xludf.DUMMYFUNCTION("""COMPUTED_VALUE"""),8.82136626E8)</f>
        <v>882136626</v>
      </c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</row>
    <row r="3" ht="24.0" customHeight="1">
      <c r="A3" s="223">
        <f>IFERROR(__xludf.DUMMYFUNCTION("""COMPUTED_VALUE"""),46266.0)</f>
        <v>46266</v>
      </c>
      <c r="B3" s="192">
        <f>IFERROR(__xludf.DUMMYFUNCTION("""COMPUTED_VALUE"""),1.0)</f>
        <v>1</v>
      </c>
      <c r="C3" s="183" t="str">
        <f t="shared" si="1"/>
        <v>INV-S20260901-1</v>
      </c>
      <c r="D3" s="183" t="s">
        <v>74</v>
      </c>
      <c r="E3" s="184" t="s">
        <v>75</v>
      </c>
      <c r="F3" s="185">
        <f t="shared" si="2"/>
        <v>46266</v>
      </c>
      <c r="G3" s="223">
        <f t="shared" si="3"/>
        <v>46266</v>
      </c>
      <c r="H3" s="183" t="s">
        <v>76</v>
      </c>
      <c r="I3" s="224">
        <f>IFERROR(__xludf.DUMMYFUNCTION("""COMPUTED_VALUE"""),63245.45)</f>
        <v>63245.45</v>
      </c>
      <c r="J3" s="192">
        <f>IFERROR(__xludf.DUMMYFUNCTION("""COMPUTED_VALUE"""),17675.0)</f>
        <v>17675</v>
      </c>
      <c r="K3" s="225">
        <f>IFERROR(__xludf.DUMMYFUNCTION("""COMPUTED_VALUE"""),1.11786332875E9)</f>
        <v>1117863329</v>
      </c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</row>
    <row r="4" ht="24.0" customHeight="1">
      <c r="A4" s="223">
        <f>IFERROR(__xludf.DUMMYFUNCTION("""COMPUTED_VALUE"""),46266.0)</f>
        <v>46266</v>
      </c>
      <c r="B4" s="192">
        <f>IFERROR(__xludf.DUMMYFUNCTION("""COMPUTED_VALUE"""),1.0)</f>
        <v>1</v>
      </c>
      <c r="C4" s="183" t="str">
        <f t="shared" si="1"/>
        <v>INV-S20260901-1</v>
      </c>
      <c r="D4" s="183" t="s">
        <v>74</v>
      </c>
      <c r="E4" s="184" t="s">
        <v>75</v>
      </c>
      <c r="F4" s="185">
        <f t="shared" si="2"/>
        <v>46266</v>
      </c>
      <c r="G4" s="223">
        <f t="shared" si="3"/>
        <v>46266</v>
      </c>
      <c r="H4" s="183" t="s">
        <v>76</v>
      </c>
      <c r="I4" s="224">
        <f>IFERROR(__xludf.DUMMYFUNCTION("""COMPUTED_VALUE"""),28312.57)</f>
        <v>28312.57</v>
      </c>
      <c r="J4" s="192">
        <f>IFERROR(__xludf.DUMMYFUNCTION("""COMPUTED_VALUE"""),17660.0)</f>
        <v>17660</v>
      </c>
      <c r="K4" s="225">
        <f>IFERROR(__xludf.DUMMYFUNCTION("""COMPUTED_VALUE"""),4.999999862E8)</f>
        <v>499999986.2</v>
      </c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</row>
    <row r="5" ht="24.0" customHeight="1">
      <c r="A5" s="223">
        <f>IFERROR(__xludf.DUMMYFUNCTION("""COMPUTED_VALUE"""),46266.0)</f>
        <v>46266</v>
      </c>
      <c r="B5" s="192">
        <f>IFERROR(__xludf.DUMMYFUNCTION("""COMPUTED_VALUE"""),1.0)</f>
        <v>1</v>
      </c>
      <c r="C5" s="183" t="str">
        <f t="shared" si="1"/>
        <v>INV-S20260901-1</v>
      </c>
      <c r="D5" s="183" t="s">
        <v>74</v>
      </c>
      <c r="E5" s="184" t="s">
        <v>75</v>
      </c>
      <c r="F5" s="185">
        <f t="shared" si="2"/>
        <v>46266</v>
      </c>
      <c r="G5" s="223">
        <f t="shared" si="3"/>
        <v>46266</v>
      </c>
      <c r="H5" s="183" t="s">
        <v>76</v>
      </c>
      <c r="I5" s="224">
        <f>IFERROR(__xludf.DUMMYFUNCTION("""COMPUTED_VALUE"""),30000.0)</f>
        <v>30000</v>
      </c>
      <c r="J5" s="192">
        <f>IFERROR(__xludf.DUMMYFUNCTION("""COMPUTED_VALUE"""),17665.0)</f>
        <v>17665</v>
      </c>
      <c r="K5" s="225">
        <f>IFERROR(__xludf.DUMMYFUNCTION("""COMPUTED_VALUE"""),5.2995E8)</f>
        <v>529950000</v>
      </c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</row>
    <row r="6" ht="24.0" customHeight="1">
      <c r="A6" s="223">
        <f>IFERROR(__xludf.DUMMYFUNCTION("""COMPUTED_VALUE"""),46266.0)</f>
        <v>46266</v>
      </c>
      <c r="B6" s="192">
        <f>IFERROR(__xludf.DUMMYFUNCTION("""COMPUTED_VALUE"""),1.0)</f>
        <v>1</v>
      </c>
      <c r="C6" s="183" t="str">
        <f t="shared" si="1"/>
        <v>INV-S20260901-1</v>
      </c>
      <c r="D6" s="183" t="s">
        <v>74</v>
      </c>
      <c r="E6" s="184" t="s">
        <v>75</v>
      </c>
      <c r="F6" s="185">
        <f t="shared" si="2"/>
        <v>46266</v>
      </c>
      <c r="G6" s="223">
        <f t="shared" si="3"/>
        <v>46266</v>
      </c>
      <c r="H6" s="183" t="s">
        <v>76</v>
      </c>
      <c r="I6" s="224">
        <f>IFERROR(__xludf.DUMMYFUNCTION("""COMPUTED_VALUE"""),3401.93)</f>
        <v>3401.93</v>
      </c>
      <c r="J6" s="192">
        <f>IFERROR(__xludf.DUMMYFUNCTION("""COMPUTED_VALUE"""),17637.0)</f>
        <v>17637</v>
      </c>
      <c r="K6" s="225">
        <f>IFERROR(__xludf.DUMMYFUNCTION("""COMPUTED_VALUE"""),5.999983941E7)</f>
        <v>59999839.41</v>
      </c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</row>
    <row r="7" ht="24.0" customHeight="1">
      <c r="A7" s="223">
        <f>IFERROR(__xludf.DUMMYFUNCTION("""COMPUTED_VALUE"""),46266.0)</f>
        <v>46266</v>
      </c>
      <c r="B7" s="192">
        <f>IFERROR(__xludf.DUMMYFUNCTION("""COMPUTED_VALUE"""),1.0)</f>
        <v>1</v>
      </c>
      <c r="C7" s="183" t="str">
        <f t="shared" si="1"/>
        <v>INV-S20260901-1</v>
      </c>
      <c r="D7" s="183" t="s">
        <v>74</v>
      </c>
      <c r="E7" s="184" t="s">
        <v>75</v>
      </c>
      <c r="F7" s="185">
        <f t="shared" si="2"/>
        <v>46266</v>
      </c>
      <c r="G7" s="223">
        <f t="shared" si="3"/>
        <v>46266</v>
      </c>
      <c r="H7" s="183" t="s">
        <v>76</v>
      </c>
      <c r="I7" s="224">
        <f>IFERROR(__xludf.DUMMYFUNCTION("""COMPUTED_VALUE"""),15126.62)</f>
        <v>15126.62</v>
      </c>
      <c r="J7" s="192">
        <f>IFERROR(__xludf.DUMMYFUNCTION("""COMPUTED_VALUE"""),17651.0)</f>
        <v>17651</v>
      </c>
      <c r="K7" s="225">
        <f>IFERROR(__xludf.DUMMYFUNCTION("""COMPUTED_VALUE"""),2.6699996962E8)</f>
        <v>266999969.6</v>
      </c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</row>
    <row r="8" ht="24.0" customHeight="1">
      <c r="A8" s="223">
        <f>IFERROR(__xludf.DUMMYFUNCTION("""COMPUTED_VALUE"""),46266.0)</f>
        <v>46266</v>
      </c>
      <c r="B8" s="192">
        <f>IFERROR(__xludf.DUMMYFUNCTION("""COMPUTED_VALUE"""),2.0)</f>
        <v>2</v>
      </c>
      <c r="C8" s="183" t="str">
        <f t="shared" si="1"/>
        <v>INV-S20260901-2</v>
      </c>
      <c r="D8" s="183" t="s">
        <v>74</v>
      </c>
      <c r="E8" s="184" t="s">
        <v>75</v>
      </c>
      <c r="F8" s="185">
        <f t="shared" si="2"/>
        <v>46266</v>
      </c>
      <c r="G8" s="223">
        <f t="shared" si="3"/>
        <v>46266</v>
      </c>
      <c r="H8" s="183" t="s">
        <v>76</v>
      </c>
      <c r="I8" s="224">
        <f>IFERROR(__xludf.DUMMYFUNCTION("""COMPUTED_VALUE"""),73612.68)</f>
        <v>73612.68</v>
      </c>
      <c r="J8" s="192">
        <f>IFERROR(__xludf.DUMMYFUNCTION("""COMPUTED_VALUE"""),17660.0)</f>
        <v>17660</v>
      </c>
      <c r="K8" s="225">
        <f>IFERROR(__xludf.DUMMYFUNCTION("""COMPUTED_VALUE"""),1.2999999288E9)</f>
        <v>1299999929</v>
      </c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</row>
    <row r="9" ht="24.0" customHeight="1">
      <c r="A9" s="223">
        <f>IFERROR(__xludf.DUMMYFUNCTION("""COMPUTED_VALUE"""),46267.0)</f>
        <v>46267</v>
      </c>
      <c r="B9" s="192">
        <f>IFERROR(__xludf.DUMMYFUNCTION("""COMPUTED_VALUE"""),1.0)</f>
        <v>1</v>
      </c>
      <c r="C9" s="183" t="str">
        <f t="shared" si="1"/>
        <v>INV-S20260902-1</v>
      </c>
      <c r="D9" s="183" t="s">
        <v>74</v>
      </c>
      <c r="E9" s="184" t="s">
        <v>75</v>
      </c>
      <c r="F9" s="185">
        <f t="shared" si="2"/>
        <v>46267</v>
      </c>
      <c r="G9" s="223">
        <f t="shared" si="3"/>
        <v>46267</v>
      </c>
      <c r="H9" s="183" t="s">
        <v>76</v>
      </c>
      <c r="I9" s="224">
        <f>IFERROR(__xludf.DUMMYFUNCTION("""COMPUTED_VALUE"""),45209.01)</f>
        <v>45209.01</v>
      </c>
      <c r="J9" s="192">
        <f>IFERROR(__xludf.DUMMYFUNCTION("""COMPUTED_VALUE"""),17695.0)</f>
        <v>17695</v>
      </c>
      <c r="K9" s="225">
        <f>IFERROR(__xludf.DUMMYFUNCTION("""COMPUTED_VALUE"""),7.9997343195E8)</f>
        <v>799973432</v>
      </c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</row>
    <row r="10" ht="24.0" customHeight="1">
      <c r="A10" s="223">
        <f>IFERROR(__xludf.DUMMYFUNCTION("""COMPUTED_VALUE"""),46267.0)</f>
        <v>46267</v>
      </c>
      <c r="B10" s="192">
        <f>IFERROR(__xludf.DUMMYFUNCTION("""COMPUTED_VALUE"""),1.0)</f>
        <v>1</v>
      </c>
      <c r="C10" s="183" t="str">
        <f t="shared" si="1"/>
        <v>INV-S20260902-1</v>
      </c>
      <c r="D10" s="183" t="s">
        <v>74</v>
      </c>
      <c r="E10" s="184" t="s">
        <v>75</v>
      </c>
      <c r="F10" s="185">
        <f t="shared" si="2"/>
        <v>46267</v>
      </c>
      <c r="G10" s="223">
        <f t="shared" si="3"/>
        <v>46267</v>
      </c>
      <c r="H10" s="183" t="s">
        <v>76</v>
      </c>
      <c r="I10" s="224">
        <f>IFERROR(__xludf.DUMMYFUNCTION("""COMPUTED_VALUE"""),69511.16)</f>
        <v>69511.16</v>
      </c>
      <c r="J10" s="192">
        <f>IFERROR(__xludf.DUMMYFUNCTION("""COMPUTED_VALUE"""),17700.0)</f>
        <v>17700</v>
      </c>
      <c r="K10" s="225">
        <f>IFERROR(__xludf.DUMMYFUNCTION("""COMPUTED_VALUE"""),1.230347532E9)</f>
        <v>1230347532</v>
      </c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</row>
    <row r="11" ht="24.0" customHeight="1">
      <c r="A11" s="223">
        <f>IFERROR(__xludf.DUMMYFUNCTION("""COMPUTED_VALUE"""),46267.0)</f>
        <v>46267</v>
      </c>
      <c r="B11" s="192">
        <f>IFERROR(__xludf.DUMMYFUNCTION("""COMPUTED_VALUE"""),1.0)</f>
        <v>1</v>
      </c>
      <c r="C11" s="183" t="str">
        <f t="shared" si="1"/>
        <v>INV-S20260902-1</v>
      </c>
      <c r="D11" s="183" t="s">
        <v>74</v>
      </c>
      <c r="E11" s="184" t="s">
        <v>75</v>
      </c>
      <c r="F11" s="185">
        <f t="shared" si="2"/>
        <v>46267</v>
      </c>
      <c r="G11" s="223">
        <f t="shared" si="3"/>
        <v>46267</v>
      </c>
      <c r="H11" s="183" t="s">
        <v>76</v>
      </c>
      <c r="I11" s="224">
        <f>IFERROR(__xludf.DUMMYFUNCTION("""COMPUTED_VALUE"""),56983.05)</f>
        <v>56983.05</v>
      </c>
      <c r="J11" s="192">
        <f>IFERROR(__xludf.DUMMYFUNCTION("""COMPUTED_VALUE"""),17700.0)</f>
        <v>17700</v>
      </c>
      <c r="K11" s="225">
        <f>IFERROR(__xludf.DUMMYFUNCTION("""COMPUTED_VALUE"""),1.008599985E9)</f>
        <v>1008599985</v>
      </c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</row>
    <row r="12" ht="24.0" customHeight="1">
      <c r="A12" s="223">
        <f>IFERROR(__xludf.DUMMYFUNCTION("""COMPUTED_VALUE"""),46267.0)</f>
        <v>46267</v>
      </c>
      <c r="B12" s="192">
        <f>IFERROR(__xludf.DUMMYFUNCTION("""COMPUTED_VALUE"""),2.0)</f>
        <v>2</v>
      </c>
      <c r="C12" s="183" t="str">
        <f t="shared" si="1"/>
        <v>INV-S20260902-2</v>
      </c>
      <c r="D12" s="183" t="s">
        <v>74</v>
      </c>
      <c r="E12" s="184" t="s">
        <v>75</v>
      </c>
      <c r="F12" s="185">
        <f t="shared" si="2"/>
        <v>46267</v>
      </c>
      <c r="G12" s="223">
        <f t="shared" si="3"/>
        <v>46267</v>
      </c>
      <c r="H12" s="183" t="s">
        <v>76</v>
      </c>
      <c r="I12" s="224">
        <f>IFERROR(__xludf.DUMMYFUNCTION("""COMPUTED_VALUE"""),56497.17)</f>
        <v>56497.17</v>
      </c>
      <c r="J12" s="192">
        <f>IFERROR(__xludf.DUMMYFUNCTION("""COMPUTED_VALUE"""),17700.0)</f>
        <v>17700</v>
      </c>
      <c r="K12" s="225">
        <f>IFERROR(__xludf.DUMMYFUNCTION("""COMPUTED_VALUE"""),9.99999909E8)</f>
        <v>999999909</v>
      </c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</row>
    <row r="13" ht="24.0" customHeight="1">
      <c r="A13" s="223">
        <f>IFERROR(__xludf.DUMMYFUNCTION("""COMPUTED_VALUE"""),46267.0)</f>
        <v>46267</v>
      </c>
      <c r="B13" s="192">
        <f>IFERROR(__xludf.DUMMYFUNCTION("""COMPUTED_VALUE"""),3.0)</f>
        <v>3</v>
      </c>
      <c r="C13" s="183" t="str">
        <f t="shared" si="1"/>
        <v>INV-S20260902-3</v>
      </c>
      <c r="D13" s="183" t="s">
        <v>74</v>
      </c>
      <c r="E13" s="184" t="s">
        <v>75</v>
      </c>
      <c r="F13" s="185">
        <f t="shared" si="2"/>
        <v>46267</v>
      </c>
      <c r="G13" s="223">
        <f t="shared" si="3"/>
        <v>46267</v>
      </c>
      <c r="H13" s="183" t="s">
        <v>76</v>
      </c>
      <c r="I13" s="224">
        <f>IFERROR(__xludf.DUMMYFUNCTION("""COMPUTED_VALUE"""),113058.22)</f>
        <v>113058.22</v>
      </c>
      <c r="J13" s="192">
        <f>IFERROR(__xludf.DUMMYFUNCTION("""COMPUTED_VALUE"""),17690.0)</f>
        <v>17690</v>
      </c>
      <c r="K13" s="225">
        <f>IFERROR(__xludf.DUMMYFUNCTION("""COMPUTED_VALUE"""),1.9999999118E9)</f>
        <v>1999999912</v>
      </c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</row>
    <row r="14" ht="24.0" customHeight="1">
      <c r="A14" s="223">
        <f>IFERROR(__xludf.DUMMYFUNCTION("""COMPUTED_VALUE"""),46267.0)</f>
        <v>46267</v>
      </c>
      <c r="B14" s="192">
        <f>IFERROR(__xludf.DUMMYFUNCTION("""COMPUTED_VALUE"""),4.0)</f>
        <v>4</v>
      </c>
      <c r="C14" s="183" t="str">
        <f t="shared" si="1"/>
        <v>INV-S20260902-4</v>
      </c>
      <c r="D14" s="183" t="s">
        <v>74</v>
      </c>
      <c r="E14" s="184" t="s">
        <v>75</v>
      </c>
      <c r="F14" s="185">
        <f t="shared" si="2"/>
        <v>46267</v>
      </c>
      <c r="G14" s="223">
        <f t="shared" si="3"/>
        <v>46267</v>
      </c>
      <c r="H14" s="183" t="s">
        <v>76</v>
      </c>
      <c r="I14" s="224">
        <f>IFERROR(__xludf.DUMMYFUNCTION("""COMPUTED_VALUE"""),28264.55)</f>
        <v>28264.55</v>
      </c>
      <c r="J14" s="192">
        <f>IFERROR(__xludf.DUMMYFUNCTION("""COMPUTED_VALUE"""),17690.0)</f>
        <v>17690</v>
      </c>
      <c r="K14" s="225">
        <f>IFERROR(__xludf.DUMMYFUNCTION("""COMPUTED_VALUE"""),4.999998895E8)</f>
        <v>499999889.5</v>
      </c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</row>
    <row r="15" ht="24.0" customHeight="1">
      <c r="A15" s="223">
        <f>IFERROR(__xludf.DUMMYFUNCTION("""COMPUTED_VALUE"""),46267.0)</f>
        <v>46267</v>
      </c>
      <c r="B15" s="192">
        <f>IFERROR(__xludf.DUMMYFUNCTION("""COMPUTED_VALUE"""),5.0)</f>
        <v>5</v>
      </c>
      <c r="C15" s="183" t="str">
        <f t="shared" si="1"/>
        <v>INV-S20260902-5</v>
      </c>
      <c r="D15" s="183" t="s">
        <v>74</v>
      </c>
      <c r="E15" s="184" t="s">
        <v>75</v>
      </c>
      <c r="F15" s="185">
        <f t="shared" si="2"/>
        <v>46267</v>
      </c>
      <c r="G15" s="223">
        <f t="shared" si="3"/>
        <v>46267</v>
      </c>
      <c r="H15" s="183" t="s">
        <v>76</v>
      </c>
      <c r="I15" s="224">
        <f>IFERROR(__xludf.DUMMYFUNCTION("""COMPUTED_VALUE"""),56529.11)</f>
        <v>56529.11</v>
      </c>
      <c r="J15" s="192">
        <f>IFERROR(__xludf.DUMMYFUNCTION("""COMPUTED_VALUE"""),17690.0)</f>
        <v>17690</v>
      </c>
      <c r="K15" s="225">
        <f>IFERROR(__xludf.DUMMYFUNCTION("""COMPUTED_VALUE"""),9.999999559E8)</f>
        <v>999999955.9</v>
      </c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</row>
    <row r="16" ht="24.0" customHeight="1">
      <c r="A16" s="223">
        <f>IFERROR(__xludf.DUMMYFUNCTION("""COMPUTED_VALUE"""),46268.0)</f>
        <v>46268</v>
      </c>
      <c r="B16" s="192">
        <f>IFERROR(__xludf.DUMMYFUNCTION("""COMPUTED_VALUE"""),1.0)</f>
        <v>1</v>
      </c>
      <c r="C16" s="183" t="str">
        <f t="shared" si="1"/>
        <v>INV-S20260903-1</v>
      </c>
      <c r="D16" s="183" t="s">
        <v>74</v>
      </c>
      <c r="E16" s="184" t="s">
        <v>75</v>
      </c>
      <c r="F16" s="185">
        <f t="shared" si="2"/>
        <v>46268</v>
      </c>
      <c r="G16" s="223">
        <f t="shared" si="3"/>
        <v>46268</v>
      </c>
      <c r="H16" s="183" t="s">
        <v>76</v>
      </c>
      <c r="I16" s="224">
        <f>IFERROR(__xludf.DUMMYFUNCTION("""COMPUTED_VALUE"""),141522.78)</f>
        <v>141522.78</v>
      </c>
      <c r="J16" s="192">
        <f>IFERROR(__xludf.DUMMYFUNCTION("""COMPUTED_VALUE"""),17665.0)</f>
        <v>17665</v>
      </c>
      <c r="K16" s="225">
        <f>IFERROR(__xludf.DUMMYFUNCTION("""COMPUTED_VALUE"""),2.4999999087E9)</f>
        <v>2499999909</v>
      </c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</row>
    <row r="17" ht="24.0" customHeight="1">
      <c r="A17" s="223">
        <f>IFERROR(__xludf.DUMMYFUNCTION("""COMPUTED_VALUE"""),46268.0)</f>
        <v>46268</v>
      </c>
      <c r="B17" s="192">
        <f>IFERROR(__xludf.DUMMYFUNCTION("""COMPUTED_VALUE"""),1.0)</f>
        <v>1</v>
      </c>
      <c r="C17" s="183" t="str">
        <f t="shared" si="1"/>
        <v>INV-S20260903-1</v>
      </c>
      <c r="D17" s="183" t="s">
        <v>74</v>
      </c>
      <c r="E17" s="184" t="s">
        <v>75</v>
      </c>
      <c r="F17" s="185">
        <f t="shared" si="2"/>
        <v>46268</v>
      </c>
      <c r="G17" s="223">
        <f t="shared" si="3"/>
        <v>46268</v>
      </c>
      <c r="H17" s="183" t="s">
        <v>76</v>
      </c>
      <c r="I17" s="224">
        <f>IFERROR(__xludf.DUMMYFUNCTION("""COMPUTED_VALUE"""),33172.94)</f>
        <v>33172.94</v>
      </c>
      <c r="J17" s="192">
        <f>IFERROR(__xludf.DUMMYFUNCTION("""COMPUTED_VALUE"""),17665.0)</f>
        <v>17665</v>
      </c>
      <c r="K17" s="225">
        <f>IFERROR(__xludf.DUMMYFUNCTION("""COMPUTED_VALUE"""),5.859999851E8)</f>
        <v>585999985.1</v>
      </c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</row>
    <row r="18" ht="24.0" customHeight="1">
      <c r="A18" s="223">
        <f>IFERROR(__xludf.DUMMYFUNCTION("""COMPUTED_VALUE"""),46268.0)</f>
        <v>46268</v>
      </c>
      <c r="B18" s="192">
        <f>IFERROR(__xludf.DUMMYFUNCTION("""COMPUTED_VALUE"""),1.0)</f>
        <v>1</v>
      </c>
      <c r="C18" s="183" t="str">
        <f t="shared" si="1"/>
        <v>INV-S20260903-1</v>
      </c>
      <c r="D18" s="183" t="s">
        <v>74</v>
      </c>
      <c r="E18" s="184" t="s">
        <v>75</v>
      </c>
      <c r="F18" s="185">
        <f t="shared" si="2"/>
        <v>46268</v>
      </c>
      <c r="G18" s="223">
        <f t="shared" si="3"/>
        <v>46268</v>
      </c>
      <c r="H18" s="183" t="s">
        <v>76</v>
      </c>
      <c r="I18" s="224">
        <f>IFERROR(__xludf.DUMMYFUNCTION("""COMPUTED_VALUE"""),135900.33)</f>
        <v>135900.33</v>
      </c>
      <c r="J18" s="192">
        <f>IFERROR(__xludf.DUMMYFUNCTION("""COMPUTED_VALUE"""),17660.0)</f>
        <v>17660</v>
      </c>
      <c r="K18" s="225">
        <f>IFERROR(__xludf.DUMMYFUNCTION("""COMPUTED_VALUE"""),2.3999998277999997E9)</f>
        <v>2399999828</v>
      </c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</row>
    <row r="19" ht="24.0" customHeight="1">
      <c r="A19" s="223">
        <f>IFERROR(__xludf.DUMMYFUNCTION("""COMPUTED_VALUE"""),46268.0)</f>
        <v>46268</v>
      </c>
      <c r="B19" s="192">
        <f>IFERROR(__xludf.DUMMYFUNCTION("""COMPUTED_VALUE"""),1.0)</f>
        <v>1</v>
      </c>
      <c r="C19" s="183" t="str">
        <f t="shared" si="1"/>
        <v>INV-S20260903-1</v>
      </c>
      <c r="D19" s="183" t="s">
        <v>74</v>
      </c>
      <c r="E19" s="184" t="s">
        <v>75</v>
      </c>
      <c r="F19" s="185">
        <f t="shared" si="2"/>
        <v>46268</v>
      </c>
      <c r="G19" s="223">
        <f t="shared" si="3"/>
        <v>46268</v>
      </c>
      <c r="H19" s="183" t="s">
        <v>76</v>
      </c>
      <c r="I19" s="224">
        <f>IFERROR(__xludf.DUMMYFUNCTION("""COMPUTED_VALUE"""),45325.77)</f>
        <v>45325.77</v>
      </c>
      <c r="J19" s="192">
        <f>IFERROR(__xludf.DUMMYFUNCTION("""COMPUTED_VALUE"""),17650.0)</f>
        <v>17650</v>
      </c>
      <c r="K19" s="225">
        <f>IFERROR(__xludf.DUMMYFUNCTION("""COMPUTED_VALUE"""),7.999998405E8)</f>
        <v>799999840.5</v>
      </c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</row>
    <row r="20" ht="24.0" customHeight="1">
      <c r="A20" s="223">
        <f>IFERROR(__xludf.DUMMYFUNCTION("""COMPUTED_VALUE"""),46268.0)</f>
        <v>46268</v>
      </c>
      <c r="B20" s="192">
        <f>IFERROR(__xludf.DUMMYFUNCTION("""COMPUTED_VALUE"""),1.0)</f>
        <v>1</v>
      </c>
      <c r="C20" s="183" t="str">
        <f t="shared" si="1"/>
        <v>INV-S20260903-1</v>
      </c>
      <c r="D20" s="183" t="s">
        <v>74</v>
      </c>
      <c r="E20" s="184" t="s">
        <v>75</v>
      </c>
      <c r="F20" s="185">
        <f t="shared" si="2"/>
        <v>46268</v>
      </c>
      <c r="G20" s="223">
        <f t="shared" si="3"/>
        <v>46268</v>
      </c>
      <c r="H20" s="183" t="s">
        <v>76</v>
      </c>
      <c r="I20" s="224">
        <f>IFERROR(__xludf.DUMMYFUNCTION("""COMPUTED_VALUE"""),79320.11)</f>
        <v>79320.11</v>
      </c>
      <c r="J20" s="192">
        <f>IFERROR(__xludf.DUMMYFUNCTION("""COMPUTED_VALUE"""),17650.0)</f>
        <v>17650</v>
      </c>
      <c r="K20" s="225">
        <f>IFERROR(__xludf.DUMMYFUNCTION("""COMPUTED_VALUE"""),1.3999999415E9)</f>
        <v>1399999942</v>
      </c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</row>
    <row r="21" ht="24.0" customHeight="1">
      <c r="A21" s="223">
        <f>IFERROR(__xludf.DUMMYFUNCTION("""COMPUTED_VALUE"""),46268.0)</f>
        <v>46268</v>
      </c>
      <c r="B21" s="192">
        <f>IFERROR(__xludf.DUMMYFUNCTION("""COMPUTED_VALUE"""),2.0)</f>
        <v>2</v>
      </c>
      <c r="C21" s="183" t="str">
        <f t="shared" si="1"/>
        <v>INV-S20260903-2</v>
      </c>
      <c r="D21" s="183" t="s">
        <v>74</v>
      </c>
      <c r="E21" s="184" t="s">
        <v>75</v>
      </c>
      <c r="F21" s="185">
        <f t="shared" si="2"/>
        <v>46268</v>
      </c>
      <c r="G21" s="223">
        <f t="shared" si="3"/>
        <v>46268</v>
      </c>
      <c r="H21" s="183" t="s">
        <v>76</v>
      </c>
      <c r="I21" s="224">
        <f>IFERROR(__xludf.DUMMYFUNCTION("""COMPUTED_VALUE"""),107693.67)</f>
        <v>107693.67</v>
      </c>
      <c r="J21" s="192">
        <f>IFERROR(__xludf.DUMMYFUNCTION("""COMPUTED_VALUE"""),17640.0)</f>
        <v>17640</v>
      </c>
      <c r="K21" s="225">
        <f>IFERROR(__xludf.DUMMYFUNCTION("""COMPUTED_VALUE"""),1.8997163388E9)</f>
        <v>1899716339</v>
      </c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</row>
    <row r="22" ht="24.0" customHeight="1">
      <c r="A22" s="223">
        <f>IFERROR(__xludf.DUMMYFUNCTION("""COMPUTED_VALUE"""),46268.0)</f>
        <v>46268</v>
      </c>
      <c r="B22" s="192">
        <f>IFERROR(__xludf.DUMMYFUNCTION("""COMPUTED_VALUE"""),2.0)</f>
        <v>2</v>
      </c>
      <c r="C22" s="183" t="str">
        <f t="shared" si="1"/>
        <v>INV-S20260903-2</v>
      </c>
      <c r="D22" s="183" t="s">
        <v>74</v>
      </c>
      <c r="E22" s="184" t="s">
        <v>75</v>
      </c>
      <c r="F22" s="185">
        <f t="shared" si="2"/>
        <v>46268</v>
      </c>
      <c r="G22" s="223">
        <f t="shared" si="3"/>
        <v>46268</v>
      </c>
      <c r="H22" s="183" t="s">
        <v>76</v>
      </c>
      <c r="I22" s="224">
        <f>IFERROR(__xludf.DUMMYFUNCTION("""COMPUTED_VALUE"""),62406.51)</f>
        <v>62406.51</v>
      </c>
      <c r="J22" s="192">
        <f>IFERROR(__xludf.DUMMYFUNCTION("""COMPUTED_VALUE"""),17625.0)</f>
        <v>17625</v>
      </c>
      <c r="K22" s="225">
        <f>IFERROR(__xludf.DUMMYFUNCTION("""COMPUTED_VALUE"""),1.09991473875E9)</f>
        <v>1099914739</v>
      </c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</row>
    <row r="23" ht="24.0" customHeight="1">
      <c r="A23" s="223">
        <f>IFERROR(__xludf.DUMMYFUNCTION("""COMPUTED_VALUE"""),46269.0)</f>
        <v>46269</v>
      </c>
      <c r="B23" s="192">
        <f>IFERROR(__xludf.DUMMYFUNCTION("""COMPUTED_VALUE"""),1.0)</f>
        <v>1</v>
      </c>
      <c r="C23" s="183" t="str">
        <f t="shared" si="1"/>
        <v>INV-S20260904-1</v>
      </c>
      <c r="D23" s="183" t="s">
        <v>74</v>
      </c>
      <c r="E23" s="184" t="s">
        <v>75</v>
      </c>
      <c r="F23" s="185">
        <f t="shared" si="2"/>
        <v>46269</v>
      </c>
      <c r="G23" s="223">
        <f t="shared" si="3"/>
        <v>46269</v>
      </c>
      <c r="H23" s="183" t="s">
        <v>76</v>
      </c>
      <c r="I23" s="224">
        <f>IFERROR(__xludf.DUMMYFUNCTION("""COMPUTED_VALUE"""),266893.81)</f>
        <v>266893.81</v>
      </c>
      <c r="J23" s="192">
        <f>IFERROR(__xludf.DUMMYFUNCTION("""COMPUTED_VALUE"""),17610.0)</f>
        <v>17610</v>
      </c>
      <c r="K23" s="225">
        <f>IFERROR(__xludf.DUMMYFUNCTION("""COMPUTED_VALUE"""),4.6999999941E9)</f>
        <v>4699999994</v>
      </c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</row>
    <row r="24" ht="24.0" customHeight="1">
      <c r="A24" s="223">
        <f>IFERROR(__xludf.DUMMYFUNCTION("""COMPUTED_VALUE"""),46269.0)</f>
        <v>46269</v>
      </c>
      <c r="B24" s="192">
        <f>IFERROR(__xludf.DUMMYFUNCTION("""COMPUTED_VALUE"""),2.0)</f>
        <v>2</v>
      </c>
      <c r="C24" s="183" t="str">
        <f t="shared" si="1"/>
        <v>INV-S20260904-2</v>
      </c>
      <c r="D24" s="183" t="s">
        <v>74</v>
      </c>
      <c r="E24" s="184" t="s">
        <v>75</v>
      </c>
      <c r="F24" s="185">
        <f t="shared" si="2"/>
        <v>46269</v>
      </c>
      <c r="G24" s="223">
        <f t="shared" si="3"/>
        <v>46269</v>
      </c>
      <c r="H24" s="183" t="s">
        <v>76</v>
      </c>
      <c r="I24" s="224">
        <f>IFERROR(__xludf.DUMMYFUNCTION("""COMPUTED_VALUE"""),113571.0)</f>
        <v>113571</v>
      </c>
      <c r="J24" s="192">
        <f>IFERROR(__xludf.DUMMYFUNCTION("""COMPUTED_VALUE"""),17610.0)</f>
        <v>17610</v>
      </c>
      <c r="K24" s="225">
        <f>IFERROR(__xludf.DUMMYFUNCTION("""COMPUTED_VALUE"""),1.99998531E9)</f>
        <v>1999985310</v>
      </c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</row>
    <row r="25" ht="24.0" customHeight="1">
      <c r="A25" s="223">
        <f>IFERROR(__xludf.DUMMYFUNCTION("""COMPUTED_VALUE"""),46269.0)</f>
        <v>46269</v>
      </c>
      <c r="B25" s="192">
        <f>IFERROR(__xludf.DUMMYFUNCTION("""COMPUTED_VALUE"""),2.0)</f>
        <v>2</v>
      </c>
      <c r="C25" s="183" t="str">
        <f t="shared" si="1"/>
        <v>INV-S20260904-2</v>
      </c>
      <c r="D25" s="183" t="s">
        <v>74</v>
      </c>
      <c r="E25" s="184" t="s">
        <v>75</v>
      </c>
      <c r="F25" s="185">
        <f t="shared" si="2"/>
        <v>46269</v>
      </c>
      <c r="G25" s="223">
        <f t="shared" si="3"/>
        <v>46269</v>
      </c>
      <c r="H25" s="183" t="s">
        <v>76</v>
      </c>
      <c r="I25" s="224">
        <f>IFERROR(__xludf.DUMMYFUNCTION("""COMPUTED_VALUE"""),17050.29)</f>
        <v>17050.29</v>
      </c>
      <c r="J25" s="192">
        <f>IFERROR(__xludf.DUMMYFUNCTION("""COMPUTED_VALUE"""),17595.0)</f>
        <v>17595</v>
      </c>
      <c r="K25" s="225">
        <f>IFERROR(__xludf.DUMMYFUNCTION("""COMPUTED_VALUE"""),2.9999985255E8)</f>
        <v>299999852.6</v>
      </c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</row>
    <row r="26" ht="24.0" customHeight="1">
      <c r="A26" s="223">
        <f>IFERROR(__xludf.DUMMYFUNCTION("""COMPUTED_VALUE"""),46269.0)</f>
        <v>46269</v>
      </c>
      <c r="B26" s="192">
        <f>IFERROR(__xludf.DUMMYFUNCTION("""COMPUTED_VALUE"""),3.0)</f>
        <v>3</v>
      </c>
      <c r="C26" s="183" t="str">
        <f t="shared" si="1"/>
        <v>INV-S20260904-3</v>
      </c>
      <c r="D26" s="183" t="s">
        <v>74</v>
      </c>
      <c r="E26" s="184" t="s">
        <v>75</v>
      </c>
      <c r="F26" s="185">
        <f t="shared" si="2"/>
        <v>46269</v>
      </c>
      <c r="G26" s="223">
        <f t="shared" si="3"/>
        <v>46269</v>
      </c>
      <c r="H26" s="183" t="s">
        <v>76</v>
      </c>
      <c r="I26" s="224">
        <f>IFERROR(__xludf.DUMMYFUNCTION("""COMPUTED_VALUE"""),92355.78)</f>
        <v>92355.78</v>
      </c>
      <c r="J26" s="192">
        <f>IFERROR(__xludf.DUMMYFUNCTION("""COMPUTED_VALUE"""),17595.0)</f>
        <v>17595</v>
      </c>
      <c r="K26" s="225">
        <f>IFERROR(__xludf.DUMMYFUNCTION("""COMPUTED_VALUE"""),1.6249999491E9)</f>
        <v>1624999949</v>
      </c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</row>
    <row r="27" ht="24.0" customHeight="1">
      <c r="A27" s="223">
        <f>IFERROR(__xludf.DUMMYFUNCTION("""COMPUTED_VALUE"""),46269.0)</f>
        <v>46269</v>
      </c>
      <c r="B27" s="192">
        <f>IFERROR(__xludf.DUMMYFUNCTION("""COMPUTED_VALUE"""),4.0)</f>
        <v>4</v>
      </c>
      <c r="C27" s="183" t="str">
        <f t="shared" si="1"/>
        <v>INV-S20260904-4</v>
      </c>
      <c r="D27" s="183" t="s">
        <v>74</v>
      </c>
      <c r="E27" s="184" t="s">
        <v>75</v>
      </c>
      <c r="F27" s="185">
        <f t="shared" si="2"/>
        <v>46269</v>
      </c>
      <c r="G27" s="223">
        <f t="shared" si="3"/>
        <v>46269</v>
      </c>
      <c r="H27" s="183" t="s">
        <v>76</v>
      </c>
      <c r="I27" s="224">
        <f>IFERROR(__xludf.DUMMYFUNCTION("""COMPUTED_VALUE"""),73947.66)</f>
        <v>73947.66</v>
      </c>
      <c r="J27" s="192">
        <f>IFERROR(__xludf.DUMMYFUNCTION("""COMPUTED_VALUE"""),17580.0)</f>
        <v>17580</v>
      </c>
      <c r="K27" s="225">
        <f>IFERROR(__xludf.DUMMYFUNCTION("""COMPUTED_VALUE"""),1.2999998628E9)</f>
        <v>1299999863</v>
      </c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</row>
    <row r="28" ht="24.0" customHeight="1">
      <c r="A28" s="223">
        <f>IFERROR(__xludf.DUMMYFUNCTION("""COMPUTED_VALUE"""),46269.0)</f>
        <v>46269</v>
      </c>
      <c r="B28" s="192">
        <f>IFERROR(__xludf.DUMMYFUNCTION("""COMPUTED_VALUE"""),5.0)</f>
        <v>5</v>
      </c>
      <c r="C28" s="183" t="str">
        <f t="shared" si="1"/>
        <v>INV-S20260904-5</v>
      </c>
      <c r="D28" s="183" t="s">
        <v>74</v>
      </c>
      <c r="E28" s="184" t="s">
        <v>75</v>
      </c>
      <c r="F28" s="185">
        <f t="shared" si="2"/>
        <v>46269</v>
      </c>
      <c r="G28" s="223">
        <f t="shared" si="3"/>
        <v>46269</v>
      </c>
      <c r="H28" s="183" t="s">
        <v>76</v>
      </c>
      <c r="I28" s="224">
        <f>IFERROR(__xludf.DUMMYFUNCTION("""COMPUTED_VALUE"""),56866.64)</f>
        <v>56866.64</v>
      </c>
      <c r="J28" s="192">
        <f>IFERROR(__xludf.DUMMYFUNCTION("""COMPUTED_VALUE"""),17585.0)</f>
        <v>17585</v>
      </c>
      <c r="K28" s="225">
        <f>IFERROR(__xludf.DUMMYFUNCTION("""COMPUTED_VALUE"""),9.999998644E8)</f>
        <v>999999864.4</v>
      </c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</row>
    <row r="29" ht="24.0" customHeight="1">
      <c r="A29" s="223">
        <f>IFERROR(__xludf.DUMMYFUNCTION("""COMPUTED_VALUE"""),46269.0)</f>
        <v>46269</v>
      </c>
      <c r="B29" s="192">
        <f>IFERROR(__xludf.DUMMYFUNCTION("""COMPUTED_VALUE"""),4.0)</f>
        <v>4</v>
      </c>
      <c r="C29" s="183" t="str">
        <f t="shared" si="1"/>
        <v>INV-S20260904-4</v>
      </c>
      <c r="D29" s="183" t="s">
        <v>74</v>
      </c>
      <c r="E29" s="184" t="s">
        <v>75</v>
      </c>
      <c r="F29" s="185">
        <f t="shared" si="2"/>
        <v>46269</v>
      </c>
      <c r="G29" s="223">
        <f t="shared" si="3"/>
        <v>46269</v>
      </c>
      <c r="H29" s="183" t="s">
        <v>76</v>
      </c>
      <c r="I29" s="224">
        <f>IFERROR(__xludf.DUMMYFUNCTION("""COMPUTED_VALUE"""),95931.72)</f>
        <v>95931.72</v>
      </c>
      <c r="J29" s="192">
        <f>IFERROR(__xludf.DUMMYFUNCTION("""COMPUTED_VALUE"""),17575.0)</f>
        <v>17575</v>
      </c>
      <c r="K29" s="225">
        <f>IFERROR(__xludf.DUMMYFUNCTION("""COMPUTED_VALUE"""),1.685999979E9)</f>
        <v>1685999979</v>
      </c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</row>
    <row r="30" ht="24.0" customHeight="1">
      <c r="A30" s="223">
        <f>IFERROR(__xludf.DUMMYFUNCTION("""COMPUTED_VALUE"""),46270.0)</f>
        <v>46270</v>
      </c>
      <c r="B30" s="192">
        <f>IFERROR(__xludf.DUMMYFUNCTION("""COMPUTED_VALUE"""),1.0)</f>
        <v>1</v>
      </c>
      <c r="C30" s="183" t="str">
        <f t="shared" si="1"/>
        <v>INV-S20260905-1</v>
      </c>
      <c r="D30" s="183" t="s">
        <v>74</v>
      </c>
      <c r="E30" s="184" t="s">
        <v>75</v>
      </c>
      <c r="F30" s="185">
        <f t="shared" si="2"/>
        <v>46270</v>
      </c>
      <c r="G30" s="223">
        <f t="shared" si="3"/>
        <v>46270</v>
      </c>
      <c r="H30" s="183" t="s">
        <v>76</v>
      </c>
      <c r="I30" s="224">
        <f>IFERROR(__xludf.DUMMYFUNCTION("""COMPUTED_VALUE"""),85348.5)</f>
        <v>85348.5</v>
      </c>
      <c r="J30" s="192">
        <f>IFERROR(__xludf.DUMMYFUNCTION("""COMPUTED_VALUE"""),17575.0)</f>
        <v>17575</v>
      </c>
      <c r="K30" s="225">
        <f>IFERROR(__xludf.DUMMYFUNCTION("""COMPUTED_VALUE"""),1.4999998875E9)</f>
        <v>1499999888</v>
      </c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</row>
    <row r="31" ht="24.0" customHeight="1">
      <c r="A31" s="223">
        <f>IFERROR(__xludf.DUMMYFUNCTION("""COMPUTED_VALUE"""),46272.0)</f>
        <v>46272</v>
      </c>
      <c r="B31" s="192">
        <f>IFERROR(__xludf.DUMMYFUNCTION("""COMPUTED_VALUE"""),1.0)</f>
        <v>1</v>
      </c>
      <c r="C31" s="183" t="str">
        <f t="shared" si="1"/>
        <v>INV-S20260907-1</v>
      </c>
      <c r="D31" s="183" t="s">
        <v>74</v>
      </c>
      <c r="E31" s="184" t="s">
        <v>75</v>
      </c>
      <c r="F31" s="185">
        <f t="shared" si="2"/>
        <v>46272</v>
      </c>
      <c r="G31" s="223">
        <f t="shared" si="3"/>
        <v>46272</v>
      </c>
      <c r="H31" s="183" t="s">
        <v>76</v>
      </c>
      <c r="I31" s="224">
        <f>IFERROR(__xludf.DUMMYFUNCTION("""COMPUTED_VALUE"""),56899.01)</f>
        <v>56899.01</v>
      </c>
      <c r="J31" s="192">
        <f>IFERROR(__xludf.DUMMYFUNCTION("""COMPUTED_VALUE"""),17575.0)</f>
        <v>17575</v>
      </c>
      <c r="K31" s="225">
        <f>IFERROR(__xludf.DUMMYFUNCTION("""COMPUTED_VALUE"""),1.00000010075E9)</f>
        <v>1000000101</v>
      </c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</row>
    <row r="32" ht="24.0" customHeight="1">
      <c r="A32" s="223">
        <f>IFERROR(__xludf.DUMMYFUNCTION("""COMPUTED_VALUE"""),46272.0)</f>
        <v>46272</v>
      </c>
      <c r="B32" s="192">
        <f>IFERROR(__xludf.DUMMYFUNCTION("""COMPUTED_VALUE"""),1.0)</f>
        <v>1</v>
      </c>
      <c r="C32" s="183" t="str">
        <f t="shared" si="1"/>
        <v>INV-S20260907-1</v>
      </c>
      <c r="D32" s="183" t="s">
        <v>74</v>
      </c>
      <c r="E32" s="184" t="s">
        <v>75</v>
      </c>
      <c r="F32" s="185">
        <f t="shared" si="2"/>
        <v>46272</v>
      </c>
      <c r="G32" s="223">
        <f t="shared" si="3"/>
        <v>46272</v>
      </c>
      <c r="H32" s="183" t="s">
        <v>76</v>
      </c>
      <c r="I32" s="224">
        <f>IFERROR(__xludf.DUMMYFUNCTION("""COMPUTED_VALUE"""),56850.48)</f>
        <v>56850.48</v>
      </c>
      <c r="J32" s="192">
        <f>IFERROR(__xludf.DUMMYFUNCTION("""COMPUTED_VALUE"""),17590.0)</f>
        <v>17590</v>
      </c>
      <c r="K32" s="225">
        <f>IFERROR(__xludf.DUMMYFUNCTION("""COMPUTED_VALUE"""),9.999999432E8)</f>
        <v>999999943.2</v>
      </c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</row>
    <row r="33" ht="24.0" customHeight="1">
      <c r="A33" s="223">
        <f>IFERROR(__xludf.DUMMYFUNCTION("""COMPUTED_VALUE"""),46273.0)</f>
        <v>46273</v>
      </c>
      <c r="B33" s="192">
        <f>IFERROR(__xludf.DUMMYFUNCTION("""COMPUTED_VALUE"""),1.0)</f>
        <v>1</v>
      </c>
      <c r="C33" s="183" t="str">
        <f t="shared" si="1"/>
        <v>INV-S20260908-1</v>
      </c>
      <c r="D33" s="183" t="s">
        <v>74</v>
      </c>
      <c r="E33" s="184" t="s">
        <v>75</v>
      </c>
      <c r="F33" s="185">
        <f t="shared" si="2"/>
        <v>46273</v>
      </c>
      <c r="G33" s="223">
        <f t="shared" si="3"/>
        <v>46273</v>
      </c>
      <c r="H33" s="183" t="s">
        <v>76</v>
      </c>
      <c r="I33" s="224">
        <f>IFERROR(__xludf.DUMMYFUNCTION("""COMPUTED_VALUE"""),65930.23)</f>
        <v>65930.23</v>
      </c>
      <c r="J33" s="192">
        <f>IFERROR(__xludf.DUMMYFUNCTION("""COMPUTED_VALUE"""),17572.0)</f>
        <v>17572</v>
      </c>
      <c r="K33" s="225">
        <f>IFERROR(__xludf.DUMMYFUNCTION("""COMPUTED_VALUE"""),1.15852600156E9)</f>
        <v>1158526002</v>
      </c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</row>
    <row r="34" ht="24.0" customHeight="1">
      <c r="A34" s="223">
        <f>IFERROR(__xludf.DUMMYFUNCTION("""COMPUTED_VALUE"""),46273.0)</f>
        <v>46273</v>
      </c>
      <c r="B34" s="192">
        <f>IFERROR(__xludf.DUMMYFUNCTION("""COMPUTED_VALUE"""),2.0)</f>
        <v>2</v>
      </c>
      <c r="C34" s="183" t="str">
        <f t="shared" si="1"/>
        <v>INV-S20260908-2</v>
      </c>
      <c r="D34" s="183" t="s">
        <v>74</v>
      </c>
      <c r="E34" s="184" t="s">
        <v>75</v>
      </c>
      <c r="F34" s="185">
        <f t="shared" si="2"/>
        <v>46273</v>
      </c>
      <c r="G34" s="223">
        <f t="shared" si="3"/>
        <v>46273</v>
      </c>
      <c r="H34" s="183" t="s">
        <v>76</v>
      </c>
      <c r="I34" s="224">
        <f>IFERROR(__xludf.DUMMYFUNCTION("""COMPUTED_VALUE"""),113817.43)</f>
        <v>113817.43</v>
      </c>
      <c r="J34" s="192">
        <f>IFERROR(__xludf.DUMMYFUNCTION("""COMPUTED_VALUE"""),17572.0)</f>
        <v>17572</v>
      </c>
      <c r="K34" s="225">
        <f>IFERROR(__xludf.DUMMYFUNCTION("""COMPUTED_VALUE"""),1.9999998799599998E9)</f>
        <v>1999999880</v>
      </c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</row>
    <row r="35" ht="24.0" customHeight="1">
      <c r="A35" s="223">
        <f>IFERROR(__xludf.DUMMYFUNCTION("""COMPUTED_VALUE"""),46273.0)</f>
        <v>46273</v>
      </c>
      <c r="B35" s="192">
        <f>IFERROR(__xludf.DUMMYFUNCTION("""COMPUTED_VALUE"""),3.0)</f>
        <v>3</v>
      </c>
      <c r="C35" s="183" t="str">
        <f t="shared" si="1"/>
        <v>INV-S20260908-3</v>
      </c>
      <c r="D35" s="183" t="s">
        <v>74</v>
      </c>
      <c r="E35" s="184" t="s">
        <v>75</v>
      </c>
      <c r="F35" s="185">
        <f t="shared" si="2"/>
        <v>46273</v>
      </c>
      <c r="G35" s="223">
        <f t="shared" si="3"/>
        <v>46273</v>
      </c>
      <c r="H35" s="183" t="s">
        <v>76</v>
      </c>
      <c r="I35" s="224">
        <f>IFERROR(__xludf.DUMMYFUNCTION("""COMPUTED_VALUE"""),28454.35)</f>
        <v>28454.35</v>
      </c>
      <c r="J35" s="192">
        <f>IFERROR(__xludf.DUMMYFUNCTION("""COMPUTED_VALUE"""),17572.0)</f>
        <v>17572</v>
      </c>
      <c r="K35" s="225">
        <f>IFERROR(__xludf.DUMMYFUNCTION("""COMPUTED_VALUE"""),4.999998382E8)</f>
        <v>499999838.2</v>
      </c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</row>
    <row r="36" ht="24.0" customHeight="1">
      <c r="A36" s="223">
        <f>IFERROR(__xludf.DUMMYFUNCTION("""COMPUTED_VALUE"""),46273.0)</f>
        <v>46273</v>
      </c>
      <c r="B36" s="192">
        <f>IFERROR(__xludf.DUMMYFUNCTION("""COMPUTED_VALUE"""),4.0)</f>
        <v>4</v>
      </c>
      <c r="C36" s="183" t="str">
        <f t="shared" si="1"/>
        <v>INV-S20260908-4</v>
      </c>
      <c r="D36" s="183" t="s">
        <v>74</v>
      </c>
      <c r="E36" s="184" t="s">
        <v>75</v>
      </c>
      <c r="F36" s="185">
        <f t="shared" si="2"/>
        <v>46273</v>
      </c>
      <c r="G36" s="223">
        <f t="shared" si="3"/>
        <v>46273</v>
      </c>
      <c r="H36" s="183" t="s">
        <v>76</v>
      </c>
      <c r="I36" s="224">
        <f>IFERROR(__xludf.DUMMYFUNCTION("""COMPUTED_VALUE"""),131345.32)</f>
        <v>131345.32</v>
      </c>
      <c r="J36" s="192">
        <f>IFERROR(__xludf.DUMMYFUNCTION("""COMPUTED_VALUE"""),17572.0)</f>
        <v>17572</v>
      </c>
      <c r="K36" s="225">
        <f>IFERROR(__xludf.DUMMYFUNCTION("""COMPUTED_VALUE"""),2.30799996304E9)</f>
        <v>2307999963</v>
      </c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</row>
    <row r="37" ht="24.0" customHeight="1">
      <c r="A37" s="223">
        <f>IFERROR(__xludf.DUMMYFUNCTION("""COMPUTED_VALUE"""),46273.0)</f>
        <v>46273</v>
      </c>
      <c r="B37" s="192">
        <f>IFERROR(__xludf.DUMMYFUNCTION("""COMPUTED_VALUE"""),5.0)</f>
        <v>5</v>
      </c>
      <c r="C37" s="183" t="str">
        <f t="shared" si="1"/>
        <v>INV-S20260908-5</v>
      </c>
      <c r="D37" s="183" t="s">
        <v>74</v>
      </c>
      <c r="E37" s="184" t="s">
        <v>75</v>
      </c>
      <c r="F37" s="185">
        <f t="shared" si="2"/>
        <v>46273</v>
      </c>
      <c r="G37" s="223">
        <f t="shared" si="3"/>
        <v>46273</v>
      </c>
      <c r="H37" s="183" t="s">
        <v>76</v>
      </c>
      <c r="I37" s="224">
        <f>IFERROR(__xludf.DUMMYFUNCTION("""COMPUTED_VALUE"""),56908.71)</f>
        <v>56908.71</v>
      </c>
      <c r="J37" s="192">
        <f>IFERROR(__xludf.DUMMYFUNCTION("""COMPUTED_VALUE"""),17572.0)</f>
        <v>17572</v>
      </c>
      <c r="K37" s="225">
        <f>IFERROR(__xludf.DUMMYFUNCTION("""COMPUTED_VALUE"""),9.9999985212E8)</f>
        <v>999999852.1</v>
      </c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</row>
    <row r="38" ht="24.0" customHeight="1">
      <c r="A38" s="223">
        <f>IFERROR(__xludf.DUMMYFUNCTION("""COMPUTED_VALUE"""),46274.0)</f>
        <v>46274</v>
      </c>
      <c r="B38" s="192">
        <f>IFERROR(__xludf.DUMMYFUNCTION("""COMPUTED_VALUE"""),1.0)</f>
        <v>1</v>
      </c>
      <c r="C38" s="183" t="str">
        <f t="shared" si="1"/>
        <v>INV-S20260909-1</v>
      </c>
      <c r="D38" s="183" t="s">
        <v>74</v>
      </c>
      <c r="E38" s="184" t="s">
        <v>75</v>
      </c>
      <c r="F38" s="185">
        <f t="shared" si="2"/>
        <v>46274</v>
      </c>
      <c r="G38" s="223">
        <f t="shared" si="3"/>
        <v>46274</v>
      </c>
      <c r="H38" s="183" t="s">
        <v>76</v>
      </c>
      <c r="I38" s="224">
        <f>IFERROR(__xludf.DUMMYFUNCTION("""COMPUTED_VALUE"""),57208.23)</f>
        <v>57208.23</v>
      </c>
      <c r="J38" s="192">
        <f>IFERROR(__xludf.DUMMYFUNCTION("""COMPUTED_VALUE"""),17480.0)</f>
        <v>17480</v>
      </c>
      <c r="K38" s="225">
        <f>IFERROR(__xludf.DUMMYFUNCTION("""COMPUTED_VALUE"""),9.999998604000001E8)</f>
        <v>999999860.4</v>
      </c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</row>
    <row r="39" ht="24.0" customHeight="1">
      <c r="A39" s="223">
        <f>IFERROR(__xludf.DUMMYFUNCTION("""COMPUTED_VALUE"""),46275.0)</f>
        <v>46275</v>
      </c>
      <c r="B39" s="192">
        <f>IFERROR(__xludf.DUMMYFUNCTION("""COMPUTED_VALUE"""),1.0)</f>
        <v>1</v>
      </c>
      <c r="C39" s="183" t="str">
        <f t="shared" si="1"/>
        <v>INV-S20260910-1</v>
      </c>
      <c r="D39" s="183" t="s">
        <v>74</v>
      </c>
      <c r="E39" s="184" t="s">
        <v>75</v>
      </c>
      <c r="F39" s="185">
        <f t="shared" si="2"/>
        <v>46275</v>
      </c>
      <c r="G39" s="223">
        <f t="shared" si="3"/>
        <v>46275</v>
      </c>
      <c r="H39" s="183" t="s">
        <v>76</v>
      </c>
      <c r="I39" s="224">
        <f>IFERROR(__xludf.DUMMYFUNCTION("""COMPUTED_VALUE"""),57142.85)</f>
        <v>57142.85</v>
      </c>
      <c r="J39" s="192">
        <f>IFERROR(__xludf.DUMMYFUNCTION("""COMPUTED_VALUE"""),17500.0)</f>
        <v>17500</v>
      </c>
      <c r="K39" s="225">
        <f>IFERROR(__xludf.DUMMYFUNCTION("""COMPUTED_VALUE"""),9.99999875E8)</f>
        <v>999999875</v>
      </c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</row>
    <row r="40" ht="24.0" customHeight="1">
      <c r="A40" s="223">
        <f>IFERROR(__xludf.DUMMYFUNCTION("""COMPUTED_VALUE"""),46275.0)</f>
        <v>46275</v>
      </c>
      <c r="B40" s="192">
        <f>IFERROR(__xludf.DUMMYFUNCTION("""COMPUTED_VALUE"""),2.0)</f>
        <v>2</v>
      </c>
      <c r="C40" s="183" t="str">
        <f t="shared" si="1"/>
        <v>INV-S20260910-2</v>
      </c>
      <c r="D40" s="183" t="s">
        <v>74</v>
      </c>
      <c r="E40" s="184" t="s">
        <v>75</v>
      </c>
      <c r="F40" s="185">
        <f t="shared" si="2"/>
        <v>46275</v>
      </c>
      <c r="G40" s="223">
        <f t="shared" si="3"/>
        <v>46275</v>
      </c>
      <c r="H40" s="183" t="s">
        <v>76</v>
      </c>
      <c r="I40" s="224">
        <f>IFERROR(__xludf.DUMMYFUNCTION("""COMPUTED_VALUE"""),68571.42)</f>
        <v>68571.42</v>
      </c>
      <c r="J40" s="192">
        <f>IFERROR(__xludf.DUMMYFUNCTION("""COMPUTED_VALUE"""),17500.0)</f>
        <v>17500</v>
      </c>
      <c r="K40" s="225">
        <f>IFERROR(__xludf.DUMMYFUNCTION("""COMPUTED_VALUE"""),1.19999985E9)</f>
        <v>1199999850</v>
      </c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</row>
    <row r="41" ht="24.0" customHeight="1">
      <c r="A41" s="223">
        <f>IFERROR(__xludf.DUMMYFUNCTION("""COMPUTED_VALUE"""),46275.0)</f>
        <v>46275</v>
      </c>
      <c r="B41" s="192">
        <f>IFERROR(__xludf.DUMMYFUNCTION("""COMPUTED_VALUE"""),3.0)</f>
        <v>3</v>
      </c>
      <c r="C41" s="183" t="str">
        <f t="shared" si="1"/>
        <v>INV-S20260910-3</v>
      </c>
      <c r="D41" s="183" t="s">
        <v>74</v>
      </c>
      <c r="E41" s="184" t="s">
        <v>75</v>
      </c>
      <c r="F41" s="185">
        <f t="shared" si="2"/>
        <v>46275</v>
      </c>
      <c r="G41" s="223">
        <f t="shared" si="3"/>
        <v>46275</v>
      </c>
      <c r="H41" s="183" t="s">
        <v>76</v>
      </c>
      <c r="I41" s="224">
        <f>IFERROR(__xludf.DUMMYFUNCTION("""COMPUTED_VALUE"""),18952.85)</f>
        <v>18952.85</v>
      </c>
      <c r="J41" s="192">
        <f>IFERROR(__xludf.DUMMYFUNCTION("""COMPUTED_VALUE"""),17500.0)</f>
        <v>17500</v>
      </c>
      <c r="K41" s="225">
        <f>IFERROR(__xludf.DUMMYFUNCTION("""COMPUTED_VALUE"""),3.31674875E8)</f>
        <v>331674875</v>
      </c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</row>
    <row r="42" ht="24.0" customHeight="1">
      <c r="A42" s="223">
        <f>IFERROR(__xludf.DUMMYFUNCTION("""COMPUTED_VALUE"""),46276.0)</f>
        <v>46276</v>
      </c>
      <c r="B42" s="192">
        <f>IFERROR(__xludf.DUMMYFUNCTION("""COMPUTED_VALUE"""),1.0)</f>
        <v>1</v>
      </c>
      <c r="C42" s="183" t="str">
        <f t="shared" si="1"/>
        <v>INV-S20260911-1</v>
      </c>
      <c r="D42" s="183" t="s">
        <v>74</v>
      </c>
      <c r="E42" s="184" t="s">
        <v>75</v>
      </c>
      <c r="F42" s="185">
        <f t="shared" si="2"/>
        <v>46276</v>
      </c>
      <c r="G42" s="223">
        <f t="shared" si="3"/>
        <v>46276</v>
      </c>
      <c r="H42" s="183" t="s">
        <v>76</v>
      </c>
      <c r="I42" s="224">
        <f>IFERROR(__xludf.DUMMYFUNCTION("""COMPUTED_VALUE"""),28506.27)</f>
        <v>28506.27</v>
      </c>
      <c r="J42" s="192">
        <f>IFERROR(__xludf.DUMMYFUNCTION("""COMPUTED_VALUE"""),17540.0)</f>
        <v>17540</v>
      </c>
      <c r="K42" s="225">
        <f>IFERROR(__xludf.DUMMYFUNCTION("""COMPUTED_VALUE"""),4.999999758E8)</f>
        <v>499999975.8</v>
      </c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</row>
    <row r="43" ht="24.0" customHeight="1">
      <c r="A43" s="223">
        <f>IFERROR(__xludf.DUMMYFUNCTION("""COMPUTED_VALUE"""),46276.0)</f>
        <v>46276</v>
      </c>
      <c r="B43" s="192">
        <f>IFERROR(__xludf.DUMMYFUNCTION("""COMPUTED_VALUE"""),2.0)</f>
        <v>2</v>
      </c>
      <c r="C43" s="183" t="str">
        <f t="shared" si="1"/>
        <v>INV-S20260911-2</v>
      </c>
      <c r="D43" s="183" t="s">
        <v>74</v>
      </c>
      <c r="E43" s="184" t="s">
        <v>75</v>
      </c>
      <c r="F43" s="185">
        <f t="shared" si="2"/>
        <v>46276</v>
      </c>
      <c r="G43" s="223">
        <f t="shared" si="3"/>
        <v>46276</v>
      </c>
      <c r="H43" s="183" t="s">
        <v>76</v>
      </c>
      <c r="I43" s="224">
        <f>IFERROR(__xludf.DUMMYFUNCTION("""COMPUTED_VALUE"""),129529.24)</f>
        <v>129529.24</v>
      </c>
      <c r="J43" s="192">
        <f>IFERROR(__xludf.DUMMYFUNCTION("""COMPUTED_VALUE"""),17525.0)</f>
        <v>17525</v>
      </c>
      <c r="K43" s="225">
        <f>IFERROR(__xludf.DUMMYFUNCTION("""COMPUTED_VALUE"""),2.269999931E9)</f>
        <v>2269999931</v>
      </c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</row>
    <row r="44" ht="24.0" customHeight="1">
      <c r="A44" s="223">
        <f>IFERROR(__xludf.DUMMYFUNCTION("""COMPUTED_VALUE"""),46277.0)</f>
        <v>46277</v>
      </c>
      <c r="B44" s="192">
        <f>IFERROR(__xludf.DUMMYFUNCTION("""COMPUTED_VALUE"""),1.0)</f>
        <v>1</v>
      </c>
      <c r="C44" s="183" t="str">
        <f t="shared" si="1"/>
        <v>INV-S20260912-1</v>
      </c>
      <c r="D44" s="183" t="s">
        <v>74</v>
      </c>
      <c r="E44" s="184" t="s">
        <v>75</v>
      </c>
      <c r="F44" s="185">
        <f t="shared" si="2"/>
        <v>46277</v>
      </c>
      <c r="G44" s="223">
        <f t="shared" si="3"/>
        <v>46277</v>
      </c>
      <c r="H44" s="183" t="s">
        <v>76</v>
      </c>
      <c r="I44" s="224">
        <f>IFERROR(__xludf.DUMMYFUNCTION("""COMPUTED_VALUE"""),183157.29)</f>
        <v>183157.29</v>
      </c>
      <c r="J44" s="192">
        <f>IFERROR(__xludf.DUMMYFUNCTION("""COMPUTED_VALUE"""),17515.0)</f>
        <v>17515</v>
      </c>
      <c r="K44" s="225">
        <f>IFERROR(__xludf.DUMMYFUNCTION("""COMPUTED_VALUE"""),3.20799993435E9)</f>
        <v>3207999934</v>
      </c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</row>
    <row r="45" ht="24.0" customHeight="1">
      <c r="A45" s="223">
        <f>IFERROR(__xludf.DUMMYFUNCTION("""COMPUTED_VALUE"""),46278.0)</f>
        <v>46278</v>
      </c>
      <c r="B45" s="192">
        <f>IFERROR(__xludf.DUMMYFUNCTION("""COMPUTED_VALUE"""),1.0)</f>
        <v>1</v>
      </c>
      <c r="C45" s="183" t="str">
        <f t="shared" si="1"/>
        <v>INV-S20260913-1</v>
      </c>
      <c r="D45" s="183" t="s">
        <v>74</v>
      </c>
      <c r="E45" s="184" t="s">
        <v>75</v>
      </c>
      <c r="F45" s="185">
        <f t="shared" si="2"/>
        <v>46278</v>
      </c>
      <c r="G45" s="223">
        <f t="shared" si="3"/>
        <v>46278</v>
      </c>
      <c r="H45" s="183" t="s">
        <v>76</v>
      </c>
      <c r="I45" s="224">
        <f>IFERROR(__xludf.DUMMYFUNCTION("""COMPUTED_VALUE"""),57236.68)</f>
        <v>57236.68</v>
      </c>
      <c r="J45" s="192">
        <f>IFERROR(__xludf.DUMMYFUNCTION("""COMPUTED_VALUE"""),17515.0)</f>
        <v>17515</v>
      </c>
      <c r="K45" s="225">
        <f>IFERROR(__xludf.DUMMYFUNCTION("""COMPUTED_VALUE"""),1.0025004502E9)</f>
        <v>1002500450</v>
      </c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</row>
    <row r="46" ht="24.0" customHeight="1">
      <c r="A46" s="223">
        <f>IFERROR(__xludf.DUMMYFUNCTION("""COMPUTED_VALUE"""),46278.0)</f>
        <v>46278</v>
      </c>
      <c r="B46" s="192">
        <f>IFERROR(__xludf.DUMMYFUNCTION("""COMPUTED_VALUE"""),2.0)</f>
        <v>2</v>
      </c>
      <c r="C46" s="183" t="str">
        <f t="shared" si="1"/>
        <v>INV-S20260913-2</v>
      </c>
      <c r="D46" s="183" t="s">
        <v>74</v>
      </c>
      <c r="E46" s="184" t="s">
        <v>75</v>
      </c>
      <c r="F46" s="185">
        <f t="shared" si="2"/>
        <v>46278</v>
      </c>
      <c r="G46" s="223">
        <f t="shared" si="3"/>
        <v>46278</v>
      </c>
      <c r="H46" s="183" t="s">
        <v>76</v>
      </c>
      <c r="I46" s="224">
        <f>IFERROR(__xludf.DUMMYFUNCTION("""COMPUTED_VALUE"""),128497.99)</f>
        <v>128497.99</v>
      </c>
      <c r="J46" s="192">
        <f>IFERROR(__xludf.DUMMYFUNCTION("""COMPUTED_VALUE"""),17510.0)</f>
        <v>17510</v>
      </c>
      <c r="K46" s="225">
        <f>IFERROR(__xludf.DUMMYFUNCTION("""COMPUTED_VALUE"""),2.2499998049E9)</f>
        <v>2249999805</v>
      </c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</row>
    <row r="47" ht="24.0" customHeight="1">
      <c r="A47" s="223">
        <f>IFERROR(__xludf.DUMMYFUNCTION("""COMPUTED_VALUE"""),46278.0)</f>
        <v>46278</v>
      </c>
      <c r="B47" s="192">
        <f>IFERROR(__xludf.DUMMYFUNCTION("""COMPUTED_VALUE"""),3.0)</f>
        <v>3</v>
      </c>
      <c r="C47" s="183" t="str">
        <f t="shared" si="1"/>
        <v>INV-S20260913-3</v>
      </c>
      <c r="D47" s="183" t="s">
        <v>74</v>
      </c>
      <c r="E47" s="184" t="s">
        <v>75</v>
      </c>
      <c r="F47" s="185">
        <f t="shared" si="2"/>
        <v>46278</v>
      </c>
      <c r="G47" s="223">
        <f t="shared" si="3"/>
        <v>46278</v>
      </c>
      <c r="H47" s="183" t="s">
        <v>76</v>
      </c>
      <c r="I47" s="224">
        <f>IFERROR(__xludf.DUMMYFUNCTION("""COMPUTED_VALUE"""),158340.51)</f>
        <v>158340.51</v>
      </c>
      <c r="J47" s="192">
        <f>IFERROR(__xludf.DUMMYFUNCTION("""COMPUTED_VALUE"""),17510.0)</f>
        <v>17510</v>
      </c>
      <c r="K47" s="225">
        <f>IFERROR(__xludf.DUMMYFUNCTION("""COMPUTED_VALUE"""),2.7725423301000004E9)</f>
        <v>2772542330</v>
      </c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</row>
    <row r="48" ht="24.0" customHeight="1">
      <c r="A48" s="223">
        <f>IFERROR(__xludf.DUMMYFUNCTION("""COMPUTED_VALUE"""),46279.0)</f>
        <v>46279</v>
      </c>
      <c r="B48" s="192">
        <f>IFERROR(__xludf.DUMMYFUNCTION("""COMPUTED_VALUE"""),1.0)</f>
        <v>1</v>
      </c>
      <c r="C48" s="183" t="str">
        <f t="shared" si="1"/>
        <v>INV-S20260914-1</v>
      </c>
      <c r="D48" s="183" t="s">
        <v>74</v>
      </c>
      <c r="E48" s="184" t="s">
        <v>75</v>
      </c>
      <c r="F48" s="185">
        <f t="shared" si="2"/>
        <v>46279</v>
      </c>
      <c r="G48" s="223">
        <f t="shared" si="3"/>
        <v>46279</v>
      </c>
      <c r="H48" s="183" t="s">
        <v>76</v>
      </c>
      <c r="I48" s="224">
        <f>IFERROR(__xludf.DUMMYFUNCTION("""COMPUTED_VALUE"""),99573.25)</f>
        <v>99573.25</v>
      </c>
      <c r="J48" s="192">
        <f>IFERROR(__xludf.DUMMYFUNCTION("""COMPUTED_VALUE"""),17575.0)</f>
        <v>17575</v>
      </c>
      <c r="K48" s="225">
        <f>IFERROR(__xludf.DUMMYFUNCTION("""COMPUTED_VALUE"""),1.74999986875E9)</f>
        <v>1749999869</v>
      </c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</row>
    <row r="49" ht="24.0" customHeight="1">
      <c r="A49" s="223">
        <f>IFERROR(__xludf.DUMMYFUNCTION("""COMPUTED_VALUE"""),46279.0)</f>
        <v>46279</v>
      </c>
      <c r="B49" s="192">
        <f>IFERROR(__xludf.DUMMYFUNCTION("""COMPUTED_VALUE"""),1.0)</f>
        <v>1</v>
      </c>
      <c r="C49" s="183" t="str">
        <f t="shared" si="1"/>
        <v>INV-S20260914-1</v>
      </c>
      <c r="D49" s="183" t="s">
        <v>74</v>
      </c>
      <c r="E49" s="184" t="s">
        <v>75</v>
      </c>
      <c r="F49" s="185">
        <f t="shared" si="2"/>
        <v>46279</v>
      </c>
      <c r="G49" s="223">
        <f t="shared" si="3"/>
        <v>46279</v>
      </c>
      <c r="H49" s="183" t="s">
        <v>76</v>
      </c>
      <c r="I49" s="224">
        <f>IFERROR(__xludf.DUMMYFUNCTION("""COMPUTED_VALUE"""),42832.66)</f>
        <v>42832.66</v>
      </c>
      <c r="J49" s="192">
        <f>IFERROR(__xludf.DUMMYFUNCTION("""COMPUTED_VALUE"""),17510.0)</f>
        <v>17510</v>
      </c>
      <c r="K49" s="225">
        <f>IFERROR(__xludf.DUMMYFUNCTION("""COMPUTED_VALUE"""),7.499998766E8)</f>
        <v>749999876.6</v>
      </c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</row>
    <row r="50" ht="24.0" customHeight="1">
      <c r="A50" s="223">
        <f>IFERROR(__xludf.DUMMYFUNCTION("""COMPUTED_VALUE"""),46279.0)</f>
        <v>46279</v>
      </c>
      <c r="B50" s="192">
        <f>IFERROR(__xludf.DUMMYFUNCTION("""COMPUTED_VALUE"""),2.0)</f>
        <v>2</v>
      </c>
      <c r="C50" s="183" t="str">
        <f t="shared" si="1"/>
        <v>INV-S20260914-2</v>
      </c>
      <c r="D50" s="183" t="s">
        <v>74</v>
      </c>
      <c r="E50" s="184" t="s">
        <v>75</v>
      </c>
      <c r="F50" s="185">
        <f t="shared" si="2"/>
        <v>46279</v>
      </c>
      <c r="G50" s="223">
        <f t="shared" si="3"/>
        <v>46279</v>
      </c>
      <c r="H50" s="183" t="s">
        <v>76</v>
      </c>
      <c r="I50" s="224">
        <f>IFERROR(__xludf.DUMMYFUNCTION("""COMPUTED_VALUE"""),113798.0)</f>
        <v>113798</v>
      </c>
      <c r="J50" s="192">
        <f>IFERROR(__xludf.DUMMYFUNCTION("""COMPUTED_VALUE"""),17575.0)</f>
        <v>17575</v>
      </c>
      <c r="K50" s="225">
        <f>IFERROR(__xludf.DUMMYFUNCTION("""COMPUTED_VALUE"""),1.99999985E9)</f>
        <v>1999999850</v>
      </c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</row>
    <row r="51" ht="24.0" customHeight="1">
      <c r="A51" s="223">
        <f>IFERROR(__xludf.DUMMYFUNCTION("""COMPUTED_VALUE"""),46279.0)</f>
        <v>46279</v>
      </c>
      <c r="B51" s="192">
        <f>IFERROR(__xludf.DUMMYFUNCTION("""COMPUTED_VALUE"""),3.0)</f>
        <v>3</v>
      </c>
      <c r="C51" s="183" t="str">
        <f t="shared" si="1"/>
        <v>INV-S20260914-3</v>
      </c>
      <c r="D51" s="183" t="s">
        <v>74</v>
      </c>
      <c r="E51" s="184" t="s">
        <v>75</v>
      </c>
      <c r="F51" s="185">
        <f t="shared" si="2"/>
        <v>46279</v>
      </c>
      <c r="G51" s="223">
        <f t="shared" si="3"/>
        <v>46279</v>
      </c>
      <c r="H51" s="183" t="s">
        <v>76</v>
      </c>
      <c r="I51" s="224">
        <f>IFERROR(__xludf.DUMMYFUNCTION("""COMPUTED_VALUE"""),113798.0)</f>
        <v>113798</v>
      </c>
      <c r="J51" s="192">
        <f>IFERROR(__xludf.DUMMYFUNCTION("""COMPUTED_VALUE"""),17575.0)</f>
        <v>17575</v>
      </c>
      <c r="K51" s="225">
        <f>IFERROR(__xludf.DUMMYFUNCTION("""COMPUTED_VALUE"""),1.99999985E9)</f>
        <v>1999999850</v>
      </c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</row>
    <row r="52" ht="24.0" customHeight="1">
      <c r="A52" s="223">
        <f>IFERROR(__xludf.DUMMYFUNCTION("""COMPUTED_VALUE"""),46279.0)</f>
        <v>46279</v>
      </c>
      <c r="B52" s="192">
        <f>IFERROR(__xludf.DUMMYFUNCTION("""COMPUTED_VALUE"""),4.0)</f>
        <v>4</v>
      </c>
      <c r="C52" s="183" t="str">
        <f t="shared" si="1"/>
        <v>INV-S20260914-4</v>
      </c>
      <c r="D52" s="183" t="s">
        <v>74</v>
      </c>
      <c r="E52" s="184" t="s">
        <v>75</v>
      </c>
      <c r="F52" s="185">
        <f t="shared" si="2"/>
        <v>46279</v>
      </c>
      <c r="G52" s="223">
        <f t="shared" si="3"/>
        <v>46279</v>
      </c>
      <c r="H52" s="183" t="s">
        <v>76</v>
      </c>
      <c r="I52" s="224">
        <f>IFERROR(__xludf.DUMMYFUNCTION("""COMPUTED_VALUE"""),148909.75)</f>
        <v>148909.75</v>
      </c>
      <c r="J52" s="192">
        <f>IFERROR(__xludf.DUMMYFUNCTION("""COMPUTED_VALUE"""),17575.0)</f>
        <v>17575</v>
      </c>
      <c r="K52" s="225">
        <f>IFERROR(__xludf.DUMMYFUNCTION("""COMPUTED_VALUE"""),2.61708885625E9)</f>
        <v>2617088856</v>
      </c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</row>
    <row r="53" ht="24.0" customHeight="1">
      <c r="A53" s="223">
        <f>IFERROR(__xludf.DUMMYFUNCTION("""COMPUTED_VALUE"""),46279.0)</f>
        <v>46279</v>
      </c>
      <c r="B53" s="192">
        <f>IFERROR(__xludf.DUMMYFUNCTION("""COMPUTED_VALUE"""),5.0)</f>
        <v>5</v>
      </c>
      <c r="C53" s="183" t="str">
        <f t="shared" si="1"/>
        <v>INV-S20260914-5</v>
      </c>
      <c r="D53" s="183" t="s">
        <v>74</v>
      </c>
      <c r="E53" s="184" t="s">
        <v>75</v>
      </c>
      <c r="F53" s="185">
        <f t="shared" si="2"/>
        <v>46279</v>
      </c>
      <c r="G53" s="223">
        <f t="shared" si="3"/>
        <v>46279</v>
      </c>
      <c r="H53" s="183" t="s">
        <v>76</v>
      </c>
      <c r="I53" s="224">
        <f>IFERROR(__xludf.DUMMYFUNCTION("""COMPUTED_VALUE"""),58605.97)</f>
        <v>58605.97</v>
      </c>
      <c r="J53" s="192">
        <f>IFERROR(__xludf.DUMMYFUNCTION("""COMPUTED_VALUE"""),17575.0)</f>
        <v>17575</v>
      </c>
      <c r="K53" s="225">
        <f>IFERROR(__xludf.DUMMYFUNCTION("""COMPUTED_VALUE"""),1.02999992275E9)</f>
        <v>1029999923</v>
      </c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</row>
    <row r="54" ht="24.0" customHeight="1">
      <c r="A54" s="223">
        <f>IFERROR(__xludf.DUMMYFUNCTION("""COMPUTED_VALUE"""),46279.0)</f>
        <v>46279</v>
      </c>
      <c r="B54" s="192">
        <f>IFERROR(__xludf.DUMMYFUNCTION("""COMPUTED_VALUE"""),5.0)</f>
        <v>5</v>
      </c>
      <c r="C54" s="183" t="str">
        <f t="shared" si="1"/>
        <v>INV-S20260914-5</v>
      </c>
      <c r="D54" s="183" t="s">
        <v>74</v>
      </c>
      <c r="E54" s="184" t="s">
        <v>75</v>
      </c>
      <c r="F54" s="185">
        <f t="shared" si="2"/>
        <v>46279</v>
      </c>
      <c r="G54" s="223">
        <f t="shared" si="3"/>
        <v>46279</v>
      </c>
      <c r="H54" s="183" t="s">
        <v>76</v>
      </c>
      <c r="I54" s="224">
        <f>IFERROR(__xludf.DUMMYFUNCTION("""COMPUTED_VALUE"""),134970.12)</f>
        <v>134970.12</v>
      </c>
      <c r="J54" s="192">
        <f>IFERROR(__xludf.DUMMYFUNCTION("""COMPUTED_VALUE"""),17575.0)</f>
        <v>17575</v>
      </c>
      <c r="K54" s="225">
        <f>IFERROR(__xludf.DUMMYFUNCTION("""COMPUTED_VALUE"""),2.372099859E9)</f>
        <v>2372099859</v>
      </c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</row>
    <row r="55" ht="24.0" customHeight="1">
      <c r="A55" s="223">
        <f>IFERROR(__xludf.DUMMYFUNCTION("""COMPUTED_VALUE"""),46279.0)</f>
        <v>46279</v>
      </c>
      <c r="B55" s="192">
        <f>IFERROR(__xludf.DUMMYFUNCTION("""COMPUTED_VALUE"""),6.0)</f>
        <v>6</v>
      </c>
      <c r="C55" s="183" t="str">
        <f t="shared" si="1"/>
        <v>INV-S20260914-6</v>
      </c>
      <c r="D55" s="183" t="s">
        <v>74</v>
      </c>
      <c r="E55" s="184" t="s">
        <v>75</v>
      </c>
      <c r="F55" s="185">
        <f t="shared" si="2"/>
        <v>46279</v>
      </c>
      <c r="G55" s="223">
        <f t="shared" si="3"/>
        <v>46279</v>
      </c>
      <c r="H55" s="183" t="s">
        <v>76</v>
      </c>
      <c r="I55" s="224">
        <f>IFERROR(__xludf.DUMMYFUNCTION("""COMPUTED_VALUE"""),45532.15)</f>
        <v>45532.15</v>
      </c>
      <c r="J55" s="192">
        <f>IFERROR(__xludf.DUMMYFUNCTION("""COMPUTED_VALUE"""),17570.0)</f>
        <v>17570</v>
      </c>
      <c r="K55" s="225">
        <f>IFERROR(__xludf.DUMMYFUNCTION("""COMPUTED_VALUE"""),7.999998755E8)</f>
        <v>799999875.5</v>
      </c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</row>
    <row r="56" ht="24.0" customHeight="1">
      <c r="A56" s="223">
        <f>IFERROR(__xludf.DUMMYFUNCTION("""COMPUTED_VALUE"""),46280.0)</f>
        <v>46280</v>
      </c>
      <c r="B56" s="192">
        <f>IFERROR(__xludf.DUMMYFUNCTION("""COMPUTED_VALUE"""),1.0)</f>
        <v>1</v>
      </c>
      <c r="C56" s="183" t="str">
        <f t="shared" si="1"/>
        <v>INV-S20260915-1</v>
      </c>
      <c r="D56" s="183" t="s">
        <v>74</v>
      </c>
      <c r="E56" s="184" t="s">
        <v>75</v>
      </c>
      <c r="F56" s="185">
        <f t="shared" si="2"/>
        <v>46280</v>
      </c>
      <c r="G56" s="223">
        <f t="shared" si="3"/>
        <v>46280</v>
      </c>
      <c r="H56" s="183" t="s">
        <v>76</v>
      </c>
      <c r="I56" s="224">
        <f>IFERROR(__xludf.DUMMYFUNCTION("""COMPUTED_VALUE"""),130496.45)</f>
        <v>130496.45</v>
      </c>
      <c r="J56" s="192">
        <f>IFERROR(__xludf.DUMMYFUNCTION("""COMPUTED_VALUE"""),17625.0)</f>
        <v>17625</v>
      </c>
      <c r="K56" s="225">
        <f>IFERROR(__xludf.DUMMYFUNCTION("""COMPUTED_VALUE"""),2.29999993125E9)</f>
        <v>2299999931</v>
      </c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</row>
    <row r="57" ht="24.0" customHeight="1">
      <c r="A57" s="223">
        <f>IFERROR(__xludf.DUMMYFUNCTION("""COMPUTED_VALUE"""),46281.0)</f>
        <v>46281</v>
      </c>
      <c r="B57" s="192">
        <f>IFERROR(__xludf.DUMMYFUNCTION("""COMPUTED_VALUE"""),1.0)</f>
        <v>1</v>
      </c>
      <c r="C57" s="183" t="str">
        <f t="shared" si="1"/>
        <v>INV-S20260916-1</v>
      </c>
      <c r="D57" s="183" t="s">
        <v>74</v>
      </c>
      <c r="E57" s="184" t="s">
        <v>75</v>
      </c>
      <c r="F57" s="185">
        <f t="shared" si="2"/>
        <v>46281</v>
      </c>
      <c r="G57" s="223">
        <f t="shared" si="3"/>
        <v>46281</v>
      </c>
      <c r="H57" s="183" t="s">
        <v>76</v>
      </c>
      <c r="I57" s="224">
        <f>IFERROR(__xludf.DUMMYFUNCTION("""COMPUTED_VALUE"""),28392.95)</f>
        <v>28392.95</v>
      </c>
      <c r="J57" s="192">
        <f>IFERROR(__xludf.DUMMYFUNCTION("""COMPUTED_VALUE"""),17610.0)</f>
        <v>17610</v>
      </c>
      <c r="K57" s="225">
        <f>IFERROR(__xludf.DUMMYFUNCTION("""COMPUTED_VALUE"""),4.999998495E8)</f>
        <v>499999849.5</v>
      </c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</row>
    <row r="58" ht="24.0" customHeight="1">
      <c r="A58" s="223">
        <f>IFERROR(__xludf.DUMMYFUNCTION("""COMPUTED_VALUE"""),46281.0)</f>
        <v>46281</v>
      </c>
      <c r="B58" s="192">
        <f>IFERROR(__xludf.DUMMYFUNCTION("""COMPUTED_VALUE"""),2.0)</f>
        <v>2</v>
      </c>
      <c r="C58" s="183" t="str">
        <f t="shared" si="1"/>
        <v>INV-S20260916-2</v>
      </c>
      <c r="D58" s="183" t="s">
        <v>74</v>
      </c>
      <c r="E58" s="184" t="s">
        <v>75</v>
      </c>
      <c r="F58" s="185">
        <f t="shared" si="2"/>
        <v>46281</v>
      </c>
      <c r="G58" s="223">
        <f t="shared" si="3"/>
        <v>46281</v>
      </c>
      <c r="H58" s="183" t="s">
        <v>76</v>
      </c>
      <c r="I58" s="224">
        <f>IFERROR(__xludf.DUMMYFUNCTION("""COMPUTED_VALUE"""),28392.95)</f>
        <v>28392.95</v>
      </c>
      <c r="J58" s="192">
        <f>IFERROR(__xludf.DUMMYFUNCTION("""COMPUTED_VALUE"""),17610.0)</f>
        <v>17610</v>
      </c>
      <c r="K58" s="225">
        <f>IFERROR(__xludf.DUMMYFUNCTION("""COMPUTED_VALUE"""),4.999998495E8)</f>
        <v>499999849.5</v>
      </c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</row>
    <row r="59" ht="24.0" customHeight="1">
      <c r="A59" s="223">
        <f>IFERROR(__xludf.DUMMYFUNCTION("""COMPUTED_VALUE"""),46281.0)</f>
        <v>46281</v>
      </c>
      <c r="B59" s="192">
        <f>IFERROR(__xludf.DUMMYFUNCTION("""COMPUTED_VALUE"""),3.0)</f>
        <v>3</v>
      </c>
      <c r="C59" s="183" t="str">
        <f t="shared" si="1"/>
        <v>INV-S20260916-3</v>
      </c>
      <c r="D59" s="183" t="s">
        <v>74</v>
      </c>
      <c r="E59" s="184" t="s">
        <v>75</v>
      </c>
      <c r="F59" s="185">
        <f t="shared" si="2"/>
        <v>46281</v>
      </c>
      <c r="G59" s="223">
        <f t="shared" si="3"/>
        <v>46281</v>
      </c>
      <c r="H59" s="183" t="s">
        <v>76</v>
      </c>
      <c r="I59" s="224">
        <f>IFERROR(__xludf.DUMMYFUNCTION("""COMPUTED_VALUE"""),26032.82)</f>
        <v>26032.82</v>
      </c>
      <c r="J59" s="192">
        <f>IFERROR(__xludf.DUMMYFUNCTION("""COMPUTED_VALUE"""),17670.0)</f>
        <v>17670</v>
      </c>
      <c r="K59" s="225">
        <f>IFERROR(__xludf.DUMMYFUNCTION("""COMPUTED_VALUE"""),4.599999294E8)</f>
        <v>459999929.4</v>
      </c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</row>
    <row r="60" ht="24.0" customHeight="1">
      <c r="A60" s="223">
        <f>IFERROR(__xludf.DUMMYFUNCTION("""COMPUTED_VALUE"""),46281.0)</f>
        <v>46281</v>
      </c>
      <c r="B60" s="192">
        <f>IFERROR(__xludf.DUMMYFUNCTION("""COMPUTED_VALUE"""),4.0)</f>
        <v>4</v>
      </c>
      <c r="C60" s="183" t="str">
        <f t="shared" si="1"/>
        <v>INV-S20260916-4</v>
      </c>
      <c r="D60" s="183" t="s">
        <v>74</v>
      </c>
      <c r="E60" s="184" t="s">
        <v>75</v>
      </c>
      <c r="F60" s="185">
        <f t="shared" si="2"/>
        <v>46281</v>
      </c>
      <c r="G60" s="223">
        <f t="shared" si="3"/>
        <v>46281</v>
      </c>
      <c r="H60" s="183" t="s">
        <v>76</v>
      </c>
      <c r="I60" s="224">
        <f>IFERROR(__xludf.DUMMYFUNCTION("""COMPUTED_VALUE"""),28401.02)</f>
        <v>28401.02</v>
      </c>
      <c r="J60" s="192">
        <f>IFERROR(__xludf.DUMMYFUNCTION("""COMPUTED_VALUE"""),17605.0)</f>
        <v>17605</v>
      </c>
      <c r="K60" s="225">
        <f>IFERROR(__xludf.DUMMYFUNCTION("""COMPUTED_VALUE"""),4.999999571E8)</f>
        <v>499999957.1</v>
      </c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</row>
    <row r="61" ht="24.0" customHeight="1">
      <c r="A61" s="223">
        <f>IFERROR(__xludf.DUMMYFUNCTION("""COMPUTED_VALUE"""),46281.0)</f>
        <v>46281</v>
      </c>
      <c r="B61" s="192">
        <f>IFERROR(__xludf.DUMMYFUNCTION("""COMPUTED_VALUE"""),4.0)</f>
        <v>4</v>
      </c>
      <c r="C61" s="183" t="str">
        <f t="shared" si="1"/>
        <v>INV-S20260916-4</v>
      </c>
      <c r="D61" s="183" t="s">
        <v>74</v>
      </c>
      <c r="E61" s="184" t="s">
        <v>75</v>
      </c>
      <c r="F61" s="185">
        <f t="shared" si="2"/>
        <v>46281</v>
      </c>
      <c r="G61" s="223">
        <f t="shared" si="3"/>
        <v>46281</v>
      </c>
      <c r="H61" s="183" t="s">
        <v>76</v>
      </c>
      <c r="I61" s="224">
        <f>IFERROR(__xludf.DUMMYFUNCTION("""COMPUTED_VALUE"""),56834.32)</f>
        <v>56834.32</v>
      </c>
      <c r="J61" s="192">
        <f>IFERROR(__xludf.DUMMYFUNCTION("""COMPUTED_VALUE"""),17595.0)</f>
        <v>17595</v>
      </c>
      <c r="K61" s="225">
        <f>IFERROR(__xludf.DUMMYFUNCTION("""COMPUTED_VALUE"""),9.999998604E8)</f>
        <v>999999860.4</v>
      </c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</row>
    <row r="62" ht="24.0" customHeight="1">
      <c r="A62" s="223">
        <f>IFERROR(__xludf.DUMMYFUNCTION("""COMPUTED_VALUE"""),46281.0)</f>
        <v>46281</v>
      </c>
      <c r="B62" s="192">
        <f>IFERROR(__xludf.DUMMYFUNCTION("""COMPUTED_VALUE"""),5.0)</f>
        <v>5</v>
      </c>
      <c r="C62" s="183" t="str">
        <f t="shared" si="1"/>
        <v>INV-S20260916-5</v>
      </c>
      <c r="D62" s="183" t="s">
        <v>74</v>
      </c>
      <c r="E62" s="184" t="s">
        <v>75</v>
      </c>
      <c r="F62" s="185">
        <f t="shared" si="2"/>
        <v>46281</v>
      </c>
      <c r="G62" s="223">
        <f t="shared" si="3"/>
        <v>46281</v>
      </c>
      <c r="H62" s="183" t="s">
        <v>76</v>
      </c>
      <c r="I62" s="224">
        <f>IFERROR(__xludf.DUMMYFUNCTION("""COMPUTED_VALUE"""),125071.06)</f>
        <v>125071.06</v>
      </c>
      <c r="J62" s="192">
        <f>IFERROR(__xludf.DUMMYFUNCTION("""COMPUTED_VALUE"""),17590.0)</f>
        <v>17590</v>
      </c>
      <c r="K62" s="225">
        <f>IFERROR(__xludf.DUMMYFUNCTION("""COMPUTED_VALUE"""),2.1999999454E9)</f>
        <v>2199999945</v>
      </c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</row>
    <row r="63" ht="24.0" customHeight="1">
      <c r="A63" s="223">
        <f>IFERROR(__xludf.DUMMYFUNCTION("""COMPUTED_VALUE"""),46281.0)</f>
        <v>46281</v>
      </c>
      <c r="B63" s="192">
        <f>IFERROR(__xludf.DUMMYFUNCTION("""COMPUTED_VALUE"""),6.0)</f>
        <v>6</v>
      </c>
      <c r="C63" s="183" t="str">
        <f t="shared" si="1"/>
        <v>INV-S20260916-6</v>
      </c>
      <c r="D63" s="183" t="s">
        <v>74</v>
      </c>
      <c r="E63" s="184" t="s">
        <v>75</v>
      </c>
      <c r="F63" s="185">
        <f t="shared" si="2"/>
        <v>46281</v>
      </c>
      <c r="G63" s="223">
        <f t="shared" si="3"/>
        <v>46281</v>
      </c>
      <c r="H63" s="183" t="s">
        <v>76</v>
      </c>
      <c r="I63" s="224">
        <f>IFERROR(__xludf.DUMMYFUNCTION("""COMPUTED_VALUE"""),159226.61)</f>
        <v>159226.61</v>
      </c>
      <c r="J63" s="192">
        <f>IFERROR(__xludf.DUMMYFUNCTION("""COMPUTED_VALUE"""),17585.0)</f>
        <v>17585</v>
      </c>
      <c r="K63" s="225">
        <f>IFERROR(__xludf.DUMMYFUNCTION("""COMPUTED_VALUE"""),2.79999993685E9)</f>
        <v>2799999937</v>
      </c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</row>
    <row r="64" ht="24.0" customHeight="1">
      <c r="A64" s="223">
        <f>IFERROR(__xludf.DUMMYFUNCTION("""COMPUTED_VALUE"""),46282.0)</f>
        <v>46282</v>
      </c>
      <c r="B64" s="192">
        <f>IFERROR(__xludf.DUMMYFUNCTION("""COMPUTED_VALUE"""),1.0)</f>
        <v>1</v>
      </c>
      <c r="C64" s="183" t="str">
        <f t="shared" si="1"/>
        <v>INV-S20260917-1</v>
      </c>
      <c r="D64" s="183" t="s">
        <v>74</v>
      </c>
      <c r="E64" s="184" t="s">
        <v>75</v>
      </c>
      <c r="F64" s="185">
        <f t="shared" si="2"/>
        <v>46282</v>
      </c>
      <c r="G64" s="223">
        <f t="shared" si="3"/>
        <v>46282</v>
      </c>
      <c r="H64" s="183" t="s">
        <v>76</v>
      </c>
      <c r="I64" s="224">
        <f>IFERROR(__xludf.DUMMYFUNCTION("""COMPUTED_VALUE"""),14722.53)</f>
        <v>14722.53</v>
      </c>
      <c r="J64" s="192">
        <f>IFERROR(__xludf.DUMMYFUNCTION("""COMPUTED_VALUE"""),17660.0)</f>
        <v>17660</v>
      </c>
      <c r="K64" s="225">
        <f>IFERROR(__xludf.DUMMYFUNCTION("""COMPUTED_VALUE"""),2.599998798E8)</f>
        <v>259999879.8</v>
      </c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</row>
    <row r="65" ht="24.0" customHeight="1">
      <c r="A65" s="223">
        <f>IFERROR(__xludf.DUMMYFUNCTION("""COMPUTED_VALUE"""),46282.0)</f>
        <v>46282</v>
      </c>
      <c r="B65" s="192">
        <f>IFERROR(__xludf.DUMMYFUNCTION("""COMPUTED_VALUE"""),2.0)</f>
        <v>2</v>
      </c>
      <c r="C65" s="183" t="str">
        <f t="shared" si="1"/>
        <v>INV-S20260917-2</v>
      </c>
      <c r="D65" s="183" t="s">
        <v>74</v>
      </c>
      <c r="E65" s="184" t="s">
        <v>75</v>
      </c>
      <c r="F65" s="185">
        <f t="shared" si="2"/>
        <v>46282</v>
      </c>
      <c r="G65" s="223">
        <f t="shared" si="3"/>
        <v>46282</v>
      </c>
      <c r="H65" s="183" t="s">
        <v>76</v>
      </c>
      <c r="I65" s="224">
        <f>IFERROR(__xludf.DUMMYFUNCTION("""COMPUTED_VALUE"""),84937.71)</f>
        <v>84937.71</v>
      </c>
      <c r="J65" s="192">
        <f>IFERROR(__xludf.DUMMYFUNCTION("""COMPUTED_VALUE"""),17660.0)</f>
        <v>17660</v>
      </c>
      <c r="K65" s="225">
        <f>IFERROR(__xludf.DUMMYFUNCTION("""COMPUTED_VALUE"""),1.4999999586000001E9)</f>
        <v>1499999959</v>
      </c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</row>
    <row r="66" ht="24.0" customHeight="1">
      <c r="A66" s="223">
        <f>IFERROR(__xludf.DUMMYFUNCTION("""COMPUTED_VALUE"""),46282.0)</f>
        <v>46282</v>
      </c>
      <c r="B66" s="192">
        <f>IFERROR(__xludf.DUMMYFUNCTION("""COMPUTED_VALUE"""),3.0)</f>
        <v>3</v>
      </c>
      <c r="C66" s="183" t="str">
        <f t="shared" si="1"/>
        <v>INV-S20260917-3</v>
      </c>
      <c r="D66" s="183" t="s">
        <v>74</v>
      </c>
      <c r="E66" s="184" t="s">
        <v>75</v>
      </c>
      <c r="F66" s="185">
        <f t="shared" si="2"/>
        <v>46282</v>
      </c>
      <c r="G66" s="223">
        <f t="shared" si="3"/>
        <v>46282</v>
      </c>
      <c r="H66" s="183" t="s">
        <v>76</v>
      </c>
      <c r="I66" s="224">
        <f>IFERROR(__xludf.DUMMYFUNCTION("""COMPUTED_VALUE"""),28328.61)</f>
        <v>28328.61</v>
      </c>
      <c r="J66" s="192">
        <f>IFERROR(__xludf.DUMMYFUNCTION("""COMPUTED_VALUE"""),17650.0)</f>
        <v>17650</v>
      </c>
      <c r="K66" s="225">
        <f>IFERROR(__xludf.DUMMYFUNCTION("""COMPUTED_VALUE"""),4.999999665E8)</f>
        <v>499999966.5</v>
      </c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</row>
    <row r="67" ht="24.0" customHeight="1">
      <c r="A67" s="223">
        <f>IFERROR(__xludf.DUMMYFUNCTION("""COMPUTED_VALUE"""),46282.0)</f>
        <v>46282</v>
      </c>
      <c r="B67" s="192">
        <f>IFERROR(__xludf.DUMMYFUNCTION("""COMPUTED_VALUE"""),4.0)</f>
        <v>4</v>
      </c>
      <c r="C67" s="183" t="str">
        <f t="shared" si="1"/>
        <v>INV-S20260917-4</v>
      </c>
      <c r="D67" s="183" t="s">
        <v>74</v>
      </c>
      <c r="E67" s="184" t="s">
        <v>75</v>
      </c>
      <c r="F67" s="185">
        <f t="shared" si="2"/>
        <v>46282</v>
      </c>
      <c r="G67" s="223">
        <f t="shared" si="3"/>
        <v>46282</v>
      </c>
      <c r="H67" s="183" t="s">
        <v>76</v>
      </c>
      <c r="I67" s="224">
        <f>IFERROR(__xludf.DUMMYFUNCTION("""COMPUTED_VALUE"""),56657.22)</f>
        <v>56657.22</v>
      </c>
      <c r="J67" s="192">
        <f>IFERROR(__xludf.DUMMYFUNCTION("""COMPUTED_VALUE"""),17650.0)</f>
        <v>17650</v>
      </c>
      <c r="K67" s="225">
        <f>IFERROR(__xludf.DUMMYFUNCTION("""COMPUTED_VALUE"""),9.99999933E8)</f>
        <v>999999933</v>
      </c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</row>
    <row r="68" ht="24.0" customHeight="1">
      <c r="A68" s="223">
        <f>IFERROR(__xludf.DUMMYFUNCTION("""COMPUTED_VALUE"""),46282.0)</f>
        <v>46282</v>
      </c>
      <c r="B68" s="192">
        <f>IFERROR(__xludf.DUMMYFUNCTION("""COMPUTED_VALUE"""),5.0)</f>
        <v>5</v>
      </c>
      <c r="C68" s="183" t="str">
        <f t="shared" si="1"/>
        <v>INV-S20260917-5</v>
      </c>
      <c r="D68" s="183" t="s">
        <v>74</v>
      </c>
      <c r="E68" s="184" t="s">
        <v>75</v>
      </c>
      <c r="F68" s="185">
        <f t="shared" si="2"/>
        <v>46282</v>
      </c>
      <c r="G68" s="223">
        <f t="shared" si="3"/>
        <v>46282</v>
      </c>
      <c r="H68" s="183" t="s">
        <v>76</v>
      </c>
      <c r="I68" s="224">
        <f>IFERROR(__xludf.DUMMYFUNCTION("""COMPUTED_VALUE"""),56687.84)</f>
        <v>56687.84</v>
      </c>
      <c r="J68" s="192">
        <f>IFERROR(__xludf.DUMMYFUNCTION("""COMPUTED_VALUE"""),17640.0)</f>
        <v>17640</v>
      </c>
      <c r="K68" s="225">
        <f>IFERROR(__xludf.DUMMYFUNCTION("""COMPUTED_VALUE"""),9.999734975999999E8)</f>
        <v>999973497.6</v>
      </c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</row>
    <row r="69" ht="24.0" customHeight="1">
      <c r="A69" s="223">
        <f>IFERROR(__xludf.DUMMYFUNCTION("""COMPUTED_VALUE"""),46283.0)</f>
        <v>46283</v>
      </c>
      <c r="B69" s="192">
        <f>IFERROR(__xludf.DUMMYFUNCTION("""COMPUTED_VALUE"""),1.0)</f>
        <v>1</v>
      </c>
      <c r="C69" s="183" t="str">
        <f t="shared" si="1"/>
        <v>INV-S20260918-1</v>
      </c>
      <c r="D69" s="183" t="s">
        <v>74</v>
      </c>
      <c r="E69" s="184" t="s">
        <v>75</v>
      </c>
      <c r="F69" s="185">
        <f t="shared" si="2"/>
        <v>46283</v>
      </c>
      <c r="G69" s="223">
        <f t="shared" si="3"/>
        <v>46283</v>
      </c>
      <c r="H69" s="183" t="s">
        <v>76</v>
      </c>
      <c r="I69" s="224">
        <f>IFERROR(__xludf.DUMMYFUNCTION("""COMPUTED_VALUE"""),113314.44)</f>
        <v>113314.44</v>
      </c>
      <c r="J69" s="192">
        <f>IFERROR(__xludf.DUMMYFUNCTION("""COMPUTED_VALUE"""),17650.0)</f>
        <v>17650</v>
      </c>
      <c r="K69" s="225">
        <f>IFERROR(__xludf.DUMMYFUNCTION("""COMPUTED_VALUE"""),1.999999866E9)</f>
        <v>1999999866</v>
      </c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</row>
    <row r="70" ht="24.0" customHeight="1">
      <c r="A70" s="223">
        <f>IFERROR(__xludf.DUMMYFUNCTION("""COMPUTED_VALUE"""),46283.0)</f>
        <v>46283</v>
      </c>
      <c r="B70" s="192">
        <f>IFERROR(__xludf.DUMMYFUNCTION("""COMPUTED_VALUE"""),2.0)</f>
        <v>2</v>
      </c>
      <c r="C70" s="183" t="str">
        <f t="shared" si="1"/>
        <v>INV-S20260918-2</v>
      </c>
      <c r="D70" s="183" t="s">
        <v>74</v>
      </c>
      <c r="E70" s="184" t="s">
        <v>75</v>
      </c>
      <c r="F70" s="185">
        <f t="shared" si="2"/>
        <v>46283</v>
      </c>
      <c r="G70" s="223">
        <f t="shared" si="3"/>
        <v>46283</v>
      </c>
      <c r="H70" s="183" t="s">
        <v>76</v>
      </c>
      <c r="I70" s="224">
        <f>IFERROR(__xludf.DUMMYFUNCTION("""COMPUTED_VALUE"""),35781.49)</f>
        <v>35781.49</v>
      </c>
      <c r="J70" s="192">
        <f>IFERROR(__xludf.DUMMYFUNCTION("""COMPUTED_VALUE"""),17645.0)</f>
        <v>17645</v>
      </c>
      <c r="K70" s="225">
        <f>IFERROR(__xludf.DUMMYFUNCTION("""COMPUTED_VALUE"""),6.3136439105E8)</f>
        <v>631364391.1</v>
      </c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</row>
    <row r="71" ht="24.0" customHeight="1">
      <c r="A71" s="223">
        <f>IFERROR(__xludf.DUMMYFUNCTION("""COMPUTED_VALUE"""),46283.0)</f>
        <v>46283</v>
      </c>
      <c r="B71" s="192">
        <f>IFERROR(__xludf.DUMMYFUNCTION("""COMPUTED_VALUE"""),3.0)</f>
        <v>3</v>
      </c>
      <c r="C71" s="183" t="str">
        <f t="shared" si="1"/>
        <v>INV-S20260918-3</v>
      </c>
      <c r="D71" s="183" t="s">
        <v>74</v>
      </c>
      <c r="E71" s="184" t="s">
        <v>75</v>
      </c>
      <c r="F71" s="185">
        <f t="shared" si="2"/>
        <v>46283</v>
      </c>
      <c r="G71" s="223">
        <f t="shared" si="3"/>
        <v>46283</v>
      </c>
      <c r="H71" s="183" t="s">
        <v>76</v>
      </c>
      <c r="I71" s="224">
        <f>IFERROR(__xludf.DUMMYFUNCTION("""COMPUTED_VALUE"""),186915.88)</f>
        <v>186915.88</v>
      </c>
      <c r="J71" s="192">
        <f>IFERROR(__xludf.DUMMYFUNCTION("""COMPUTED_VALUE"""),17655.0)</f>
        <v>17655</v>
      </c>
      <c r="K71" s="225">
        <f>IFERROR(__xludf.DUMMYFUNCTION("""COMPUTED_VALUE"""),3.2999998614E9)</f>
        <v>3299999861</v>
      </c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</row>
    <row r="72" ht="24.0" customHeight="1">
      <c r="A72" s="223">
        <f>IFERROR(__xludf.DUMMYFUNCTION("""COMPUTED_VALUE"""),46283.0)</f>
        <v>46283</v>
      </c>
      <c r="B72" s="192">
        <f>IFERROR(__xludf.DUMMYFUNCTION("""COMPUTED_VALUE"""),4.0)</f>
        <v>4</v>
      </c>
      <c r="C72" s="183" t="str">
        <f t="shared" si="1"/>
        <v>INV-S20260918-4</v>
      </c>
      <c r="D72" s="183" t="s">
        <v>74</v>
      </c>
      <c r="E72" s="184" t="s">
        <v>75</v>
      </c>
      <c r="F72" s="185">
        <f t="shared" si="2"/>
        <v>46283</v>
      </c>
      <c r="G72" s="223">
        <f t="shared" si="3"/>
        <v>46283</v>
      </c>
      <c r="H72" s="183" t="s">
        <v>76</v>
      </c>
      <c r="I72" s="224">
        <f>IFERROR(__xludf.DUMMYFUNCTION("""COMPUTED_VALUE"""),104875.28)</f>
        <v>104875.28</v>
      </c>
      <c r="J72" s="192">
        <f>IFERROR(__xludf.DUMMYFUNCTION("""COMPUTED_VALUE"""),17640.0)</f>
        <v>17640</v>
      </c>
      <c r="K72" s="225">
        <f>IFERROR(__xludf.DUMMYFUNCTION("""COMPUTED_VALUE"""),1.8499999392E9)</f>
        <v>1849999939</v>
      </c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</row>
    <row r="73" ht="24.0" customHeight="1">
      <c r="A73" s="223">
        <f>IFERROR(__xludf.DUMMYFUNCTION("""COMPUTED_VALUE"""),46283.0)</f>
        <v>46283</v>
      </c>
      <c r="B73" s="192">
        <f>IFERROR(__xludf.DUMMYFUNCTION("""COMPUTED_VALUE"""),5.0)</f>
        <v>5</v>
      </c>
      <c r="C73" s="183" t="str">
        <f t="shared" si="1"/>
        <v>INV-S20260918-5</v>
      </c>
      <c r="D73" s="183" t="s">
        <v>74</v>
      </c>
      <c r="E73" s="184" t="s">
        <v>75</v>
      </c>
      <c r="F73" s="185">
        <f t="shared" si="2"/>
        <v>46283</v>
      </c>
      <c r="G73" s="223">
        <f t="shared" si="3"/>
        <v>46283</v>
      </c>
      <c r="H73" s="183" t="s">
        <v>76</v>
      </c>
      <c r="I73" s="224">
        <f>IFERROR(__xludf.DUMMYFUNCTION("""COMPUTED_VALUE"""),83730.15)</f>
        <v>83730.15</v>
      </c>
      <c r="J73" s="192">
        <f>IFERROR(__xludf.DUMMYFUNCTION("""COMPUTED_VALUE"""),17640.0)</f>
        <v>17640</v>
      </c>
      <c r="K73" s="225">
        <f>IFERROR(__xludf.DUMMYFUNCTION("""COMPUTED_VALUE"""),1.476999846E9)</f>
        <v>1476999846</v>
      </c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</row>
    <row r="74" ht="24.0" customHeight="1">
      <c r="A74" s="223">
        <f>IFERROR(__xludf.DUMMYFUNCTION("""COMPUTED_VALUE"""),46283.0)</f>
        <v>46283</v>
      </c>
      <c r="B74" s="192">
        <f>IFERROR(__xludf.DUMMYFUNCTION("""COMPUTED_VALUE"""),6.0)</f>
        <v>6</v>
      </c>
      <c r="C74" s="183" t="str">
        <f t="shared" si="1"/>
        <v>INV-S20260918-6</v>
      </c>
      <c r="D74" s="183" t="s">
        <v>74</v>
      </c>
      <c r="E74" s="184" t="s">
        <v>75</v>
      </c>
      <c r="F74" s="185">
        <f t="shared" si="2"/>
        <v>46283</v>
      </c>
      <c r="G74" s="223">
        <f t="shared" si="3"/>
        <v>46283</v>
      </c>
      <c r="H74" s="183" t="s">
        <v>76</v>
      </c>
      <c r="I74" s="224">
        <f>IFERROR(__xludf.DUMMYFUNCTION("""COMPUTED_VALUE"""),226628.89)</f>
        <v>226628.89</v>
      </c>
      <c r="J74" s="192">
        <f>IFERROR(__xludf.DUMMYFUNCTION("""COMPUTED_VALUE"""),17650.0)</f>
        <v>17650</v>
      </c>
      <c r="K74" s="225">
        <f>IFERROR(__xludf.DUMMYFUNCTION("""COMPUTED_VALUE"""),3.9999999085000005E9)</f>
        <v>3999999909</v>
      </c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</row>
    <row r="75" ht="24.0" customHeight="1">
      <c r="A75" s="223">
        <f>IFERROR(__xludf.DUMMYFUNCTION("""COMPUTED_VALUE"""),46284.0)</f>
        <v>46284</v>
      </c>
      <c r="B75" s="192">
        <f>IFERROR(__xludf.DUMMYFUNCTION("""COMPUTED_VALUE"""),1.0)</f>
        <v>1</v>
      </c>
      <c r="C75" s="183" t="str">
        <f t="shared" si="1"/>
        <v>INV-S20260919-1</v>
      </c>
      <c r="D75" s="183" t="s">
        <v>74</v>
      </c>
      <c r="E75" s="184" t="s">
        <v>75</v>
      </c>
      <c r="F75" s="185">
        <f t="shared" si="2"/>
        <v>46284</v>
      </c>
      <c r="G75" s="223">
        <f t="shared" si="3"/>
        <v>46284</v>
      </c>
      <c r="H75" s="183" t="s">
        <v>76</v>
      </c>
      <c r="I75" s="224">
        <f>IFERROR(__xludf.DUMMYFUNCTION("""COMPUTED_VALUE"""),59772.72)</f>
        <v>59772.72</v>
      </c>
      <c r="J75" s="192">
        <f>IFERROR(__xludf.DUMMYFUNCTION("""COMPUTED_VALUE"""),17600.0)</f>
        <v>17600</v>
      </c>
      <c r="K75" s="225">
        <f>IFERROR(__xludf.DUMMYFUNCTION("""COMPUTED_VALUE"""),1.051999872E9)</f>
        <v>1051999872</v>
      </c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</row>
    <row r="76" ht="24.0" customHeight="1">
      <c r="A76" s="223">
        <f>IFERROR(__xludf.DUMMYFUNCTION("""COMPUTED_VALUE"""),46284.0)</f>
        <v>46284</v>
      </c>
      <c r="B76" s="192">
        <f>IFERROR(__xludf.DUMMYFUNCTION("""COMPUTED_VALUE"""),2.0)</f>
        <v>2</v>
      </c>
      <c r="C76" s="183" t="str">
        <f t="shared" si="1"/>
        <v>INV-S20260919-2</v>
      </c>
      <c r="D76" s="183" t="s">
        <v>74</v>
      </c>
      <c r="E76" s="184" t="s">
        <v>75</v>
      </c>
      <c r="F76" s="185">
        <f t="shared" si="2"/>
        <v>46284</v>
      </c>
      <c r="G76" s="223">
        <f t="shared" si="3"/>
        <v>46284</v>
      </c>
      <c r="H76" s="183" t="s">
        <v>76</v>
      </c>
      <c r="I76" s="224">
        <f>IFERROR(__xludf.DUMMYFUNCTION("""COMPUTED_VALUE"""),28409.09)</f>
        <v>28409.09</v>
      </c>
      <c r="J76" s="192">
        <f>IFERROR(__xludf.DUMMYFUNCTION("""COMPUTED_VALUE"""),17600.0)</f>
        <v>17600</v>
      </c>
      <c r="K76" s="225">
        <f>IFERROR(__xludf.DUMMYFUNCTION("""COMPUTED_VALUE"""),4.99999984E8)</f>
        <v>499999984</v>
      </c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</row>
    <row r="77" ht="24.0" customHeight="1">
      <c r="A77" s="223">
        <f>IFERROR(__xludf.DUMMYFUNCTION("""COMPUTED_VALUE"""),46284.0)</f>
        <v>46284</v>
      </c>
      <c r="B77" s="192">
        <f>IFERROR(__xludf.DUMMYFUNCTION("""COMPUTED_VALUE"""),3.0)</f>
        <v>3</v>
      </c>
      <c r="C77" s="183" t="str">
        <f t="shared" si="1"/>
        <v>INV-S20260919-3</v>
      </c>
      <c r="D77" s="183" t="s">
        <v>74</v>
      </c>
      <c r="E77" s="184" t="s">
        <v>75</v>
      </c>
      <c r="F77" s="185">
        <f t="shared" si="2"/>
        <v>46284</v>
      </c>
      <c r="G77" s="223">
        <f t="shared" si="3"/>
        <v>46284</v>
      </c>
      <c r="H77" s="183" t="s">
        <v>76</v>
      </c>
      <c r="I77" s="224">
        <f>IFERROR(__xludf.DUMMYFUNCTION("""COMPUTED_VALUE"""),57389.11)</f>
        <v>57389.11</v>
      </c>
      <c r="J77" s="192">
        <f>IFERROR(__xludf.DUMMYFUNCTION("""COMPUTED_VALUE"""),17600.0)</f>
        <v>17600</v>
      </c>
      <c r="K77" s="225">
        <f>IFERROR(__xludf.DUMMYFUNCTION("""COMPUTED_VALUE"""),1.010048336E9)</f>
        <v>1010048336</v>
      </c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</row>
    <row r="78" ht="24.0" customHeight="1">
      <c r="A78" s="223">
        <f>IFERROR(__xludf.DUMMYFUNCTION("""COMPUTED_VALUE"""),46284.0)</f>
        <v>46284</v>
      </c>
      <c r="B78" s="192">
        <f>IFERROR(__xludf.DUMMYFUNCTION("""COMPUTED_VALUE"""),4.0)</f>
        <v>4</v>
      </c>
      <c r="C78" s="183" t="str">
        <f t="shared" si="1"/>
        <v>INV-S20260919-4</v>
      </c>
      <c r="D78" s="183" t="s">
        <v>74</v>
      </c>
      <c r="E78" s="184" t="s">
        <v>75</v>
      </c>
      <c r="F78" s="185">
        <f t="shared" si="2"/>
        <v>46284</v>
      </c>
      <c r="G78" s="223">
        <f t="shared" si="3"/>
        <v>46284</v>
      </c>
      <c r="H78" s="183" t="s">
        <v>76</v>
      </c>
      <c r="I78" s="224">
        <f>IFERROR(__xludf.DUMMYFUNCTION("""COMPUTED_VALUE"""),56818.18)</f>
        <v>56818.18</v>
      </c>
      <c r="J78" s="192">
        <f>IFERROR(__xludf.DUMMYFUNCTION("""COMPUTED_VALUE"""),17600.0)</f>
        <v>17600</v>
      </c>
      <c r="K78" s="225">
        <f>IFERROR(__xludf.DUMMYFUNCTION("""COMPUTED_VALUE"""),9.99999968E8)</f>
        <v>999999968</v>
      </c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</row>
    <row r="79" ht="24.0" customHeight="1">
      <c r="A79" s="223">
        <f>IFERROR(__xludf.DUMMYFUNCTION("""COMPUTED_VALUE"""),46284.0)</f>
        <v>46284</v>
      </c>
      <c r="B79" s="192">
        <f>IFERROR(__xludf.DUMMYFUNCTION("""COMPUTED_VALUE"""),5.0)</f>
        <v>5</v>
      </c>
      <c r="C79" s="183" t="str">
        <f t="shared" si="1"/>
        <v>INV-S20260919-5</v>
      </c>
      <c r="D79" s="183" t="s">
        <v>74</v>
      </c>
      <c r="E79" s="184" t="s">
        <v>75</v>
      </c>
      <c r="F79" s="185">
        <f t="shared" si="2"/>
        <v>46284</v>
      </c>
      <c r="G79" s="223">
        <f t="shared" si="3"/>
        <v>46284</v>
      </c>
      <c r="H79" s="183" t="s">
        <v>76</v>
      </c>
      <c r="I79" s="224">
        <f>IFERROR(__xludf.DUMMYFUNCTION("""COMPUTED_VALUE"""),113765.64)</f>
        <v>113765.64</v>
      </c>
      <c r="J79" s="192">
        <f>IFERROR(__xludf.DUMMYFUNCTION("""COMPUTED_VALUE"""),17580.0)</f>
        <v>17580</v>
      </c>
      <c r="K79" s="225">
        <f>IFERROR(__xludf.DUMMYFUNCTION("""COMPUTED_VALUE"""),1.9999999512E9)</f>
        <v>1999999951</v>
      </c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</row>
    <row r="80" ht="24.0" customHeight="1">
      <c r="A80" s="223">
        <f>IFERROR(__xludf.DUMMYFUNCTION("""COMPUTED_VALUE"""),46284.0)</f>
        <v>46284</v>
      </c>
      <c r="B80" s="192">
        <f>IFERROR(__xludf.DUMMYFUNCTION("""COMPUTED_VALUE"""),6.0)</f>
        <v>6</v>
      </c>
      <c r="C80" s="183" t="str">
        <f t="shared" si="1"/>
        <v>INV-S20260919-6</v>
      </c>
      <c r="D80" s="183" t="s">
        <v>74</v>
      </c>
      <c r="E80" s="184" t="s">
        <v>75</v>
      </c>
      <c r="F80" s="185">
        <f t="shared" si="2"/>
        <v>46284</v>
      </c>
      <c r="G80" s="223">
        <f t="shared" si="3"/>
        <v>46284</v>
      </c>
      <c r="H80" s="183" t="s">
        <v>76</v>
      </c>
      <c r="I80" s="224">
        <f>IFERROR(__xludf.DUMMYFUNCTION("""COMPUTED_VALUE"""),56882.882)</f>
        <v>56882.882</v>
      </c>
      <c r="J80" s="192">
        <f>IFERROR(__xludf.DUMMYFUNCTION("""COMPUTED_VALUE"""),17580.0)</f>
        <v>17580</v>
      </c>
      <c r="K80" s="225">
        <f>IFERROR(__xludf.DUMMYFUNCTION("""COMPUTED_VALUE"""),1.00000106556E9)</f>
        <v>1000001066</v>
      </c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</row>
    <row r="81" ht="24.0" customHeight="1">
      <c r="A81" s="223">
        <f>IFERROR(__xludf.DUMMYFUNCTION("""COMPUTED_VALUE"""),46284.0)</f>
        <v>46284</v>
      </c>
      <c r="B81" s="192">
        <f>IFERROR(__xludf.DUMMYFUNCTION("""COMPUTED_VALUE"""),6.0)</f>
        <v>6</v>
      </c>
      <c r="C81" s="183" t="str">
        <f t="shared" si="1"/>
        <v>INV-S20260919-6</v>
      </c>
      <c r="D81" s="183" t="s">
        <v>74</v>
      </c>
      <c r="E81" s="184" t="s">
        <v>75</v>
      </c>
      <c r="F81" s="185">
        <f t="shared" si="2"/>
        <v>46284</v>
      </c>
      <c r="G81" s="223">
        <f t="shared" si="3"/>
        <v>46284</v>
      </c>
      <c r="H81" s="183" t="s">
        <v>76</v>
      </c>
      <c r="I81" s="224">
        <f>IFERROR(__xludf.DUMMYFUNCTION("""COMPUTED_VALUE"""),113765.64)</f>
        <v>113765.64</v>
      </c>
      <c r="J81" s="192">
        <f>IFERROR(__xludf.DUMMYFUNCTION("""COMPUTED_VALUE"""),17580.0)</f>
        <v>17580</v>
      </c>
      <c r="K81" s="225">
        <f>IFERROR(__xludf.DUMMYFUNCTION("""COMPUTED_VALUE"""),1.9999999512E9)</f>
        <v>1999999951</v>
      </c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</row>
    <row r="82" ht="24.0" customHeight="1">
      <c r="A82" s="223">
        <f>IFERROR(__xludf.DUMMYFUNCTION("""COMPUTED_VALUE"""),46284.0)</f>
        <v>46284</v>
      </c>
      <c r="B82" s="192">
        <f>IFERROR(__xludf.DUMMYFUNCTION("""COMPUTED_VALUE"""),7.0)</f>
        <v>7</v>
      </c>
      <c r="C82" s="183" t="str">
        <f t="shared" si="1"/>
        <v>INV-S20260919-7</v>
      </c>
      <c r="D82" s="183" t="s">
        <v>74</v>
      </c>
      <c r="E82" s="184" t="s">
        <v>75</v>
      </c>
      <c r="F82" s="185">
        <f t="shared" si="2"/>
        <v>46284</v>
      </c>
      <c r="G82" s="223">
        <f t="shared" si="3"/>
        <v>46284</v>
      </c>
      <c r="H82" s="183" t="s">
        <v>76</v>
      </c>
      <c r="I82" s="224">
        <f>IFERROR(__xludf.DUMMYFUNCTION("""COMPUTED_VALUE"""),28465.69)</f>
        <v>28465.69</v>
      </c>
      <c r="J82" s="192">
        <f>IFERROR(__xludf.DUMMYFUNCTION("""COMPUTED_VALUE"""),17565.0)</f>
        <v>17565</v>
      </c>
      <c r="K82" s="225">
        <f>IFERROR(__xludf.DUMMYFUNCTION("""COMPUTED_VALUE"""),4.9999984484999996E8)</f>
        <v>499999844.9</v>
      </c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</row>
    <row r="83" ht="24.0" customHeight="1">
      <c r="A83" s="223">
        <f>IFERROR(__xludf.DUMMYFUNCTION("""COMPUTED_VALUE"""),46285.0)</f>
        <v>46285</v>
      </c>
      <c r="B83" s="192">
        <f>IFERROR(__xludf.DUMMYFUNCTION("""COMPUTED_VALUE"""),1.0)</f>
        <v>1</v>
      </c>
      <c r="C83" s="183" t="str">
        <f t="shared" si="1"/>
        <v>INV-S20260920-1</v>
      </c>
      <c r="D83" s="183" t="s">
        <v>74</v>
      </c>
      <c r="E83" s="184" t="s">
        <v>75</v>
      </c>
      <c r="F83" s="185">
        <f t="shared" si="2"/>
        <v>46285</v>
      </c>
      <c r="G83" s="223">
        <f t="shared" si="3"/>
        <v>46285</v>
      </c>
      <c r="H83" s="183" t="s">
        <v>76</v>
      </c>
      <c r="I83" s="224">
        <f>IFERROR(__xludf.DUMMYFUNCTION("""COMPUTED_VALUE"""),85324.23)</f>
        <v>85324.23</v>
      </c>
      <c r="J83" s="192">
        <f>IFERROR(__xludf.DUMMYFUNCTION("""COMPUTED_VALUE"""),17580.0)</f>
        <v>17580</v>
      </c>
      <c r="K83" s="225">
        <f>IFERROR(__xludf.DUMMYFUNCTION("""COMPUTED_VALUE"""),1.4999999633999999E9)</f>
        <v>1499999963</v>
      </c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</row>
    <row r="84" ht="24.0" customHeight="1">
      <c r="A84" s="223">
        <f>IFERROR(__xludf.DUMMYFUNCTION("""COMPUTED_VALUE"""),46285.0)</f>
        <v>46285</v>
      </c>
      <c r="B84" s="192">
        <f>IFERROR(__xludf.DUMMYFUNCTION("""COMPUTED_VALUE"""),1.0)</f>
        <v>1</v>
      </c>
      <c r="C84" s="183" t="str">
        <f t="shared" si="1"/>
        <v>INV-S20260920-1</v>
      </c>
      <c r="D84" s="183" t="s">
        <v>74</v>
      </c>
      <c r="E84" s="184" t="s">
        <v>75</v>
      </c>
      <c r="F84" s="185">
        <f t="shared" si="2"/>
        <v>46285</v>
      </c>
      <c r="G84" s="223">
        <f t="shared" si="3"/>
        <v>46285</v>
      </c>
      <c r="H84" s="183" t="s">
        <v>76</v>
      </c>
      <c r="I84" s="224">
        <f>IFERROR(__xludf.DUMMYFUNCTION("""COMPUTED_VALUE"""),66894.19)</f>
        <v>66894.19</v>
      </c>
      <c r="J84" s="192">
        <f>IFERROR(__xludf.DUMMYFUNCTION("""COMPUTED_VALUE"""),17580.0)</f>
        <v>17580</v>
      </c>
      <c r="K84" s="225">
        <f>IFERROR(__xludf.DUMMYFUNCTION("""COMPUTED_VALUE"""),1.1759998602E9)</f>
        <v>1175999860</v>
      </c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</row>
    <row r="85" ht="24.0" customHeight="1">
      <c r="A85" s="223">
        <f>IFERROR(__xludf.DUMMYFUNCTION("""COMPUTED_VALUE"""),46285.0)</f>
        <v>46285</v>
      </c>
      <c r="B85" s="192">
        <f>IFERROR(__xludf.DUMMYFUNCTION("""COMPUTED_VALUE"""),1.0)</f>
        <v>1</v>
      </c>
      <c r="C85" s="183" t="str">
        <f t="shared" si="1"/>
        <v>INV-S20260920-1</v>
      </c>
      <c r="D85" s="183" t="s">
        <v>74</v>
      </c>
      <c r="E85" s="184" t="s">
        <v>75</v>
      </c>
      <c r="F85" s="185">
        <f t="shared" si="2"/>
        <v>46285</v>
      </c>
      <c r="G85" s="223">
        <f t="shared" si="3"/>
        <v>46285</v>
      </c>
      <c r="H85" s="183" t="s">
        <v>76</v>
      </c>
      <c r="I85" s="224">
        <f>IFERROR(__xludf.DUMMYFUNCTION("""COMPUTED_VALUE"""),56882.82)</f>
        <v>56882.82</v>
      </c>
      <c r="J85" s="192">
        <f>IFERROR(__xludf.DUMMYFUNCTION("""COMPUTED_VALUE"""),17580.0)</f>
        <v>17580</v>
      </c>
      <c r="K85" s="225">
        <f>IFERROR(__xludf.DUMMYFUNCTION("""COMPUTED_VALUE"""),9.999999756E8)</f>
        <v>999999975.6</v>
      </c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</row>
    <row r="86" ht="24.0" customHeight="1">
      <c r="A86" s="223">
        <f>IFERROR(__xludf.DUMMYFUNCTION("""COMPUTED_VALUE"""),46285.0)</f>
        <v>46285</v>
      </c>
      <c r="B86" s="192">
        <f>IFERROR(__xludf.DUMMYFUNCTION("""COMPUTED_VALUE"""),1.0)</f>
        <v>1</v>
      </c>
      <c r="C86" s="183" t="str">
        <f t="shared" si="1"/>
        <v>INV-S20260920-1</v>
      </c>
      <c r="D86" s="183" t="s">
        <v>74</v>
      </c>
      <c r="E86" s="184" t="s">
        <v>75</v>
      </c>
      <c r="F86" s="185">
        <f t="shared" si="2"/>
        <v>46285</v>
      </c>
      <c r="G86" s="223">
        <f t="shared" si="3"/>
        <v>46285</v>
      </c>
      <c r="H86" s="183" t="s">
        <v>76</v>
      </c>
      <c r="I86" s="224">
        <f>IFERROR(__xludf.DUMMYFUNCTION("""COMPUTED_VALUE"""),56882.82)</f>
        <v>56882.82</v>
      </c>
      <c r="J86" s="192">
        <f>IFERROR(__xludf.DUMMYFUNCTION("""COMPUTED_VALUE"""),17580.0)</f>
        <v>17580</v>
      </c>
      <c r="K86" s="225">
        <f>IFERROR(__xludf.DUMMYFUNCTION("""COMPUTED_VALUE"""),9.999999756E8)</f>
        <v>999999975.6</v>
      </c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</row>
    <row r="87" ht="24.0" customHeight="1">
      <c r="A87" s="223">
        <f>IFERROR(__xludf.DUMMYFUNCTION("""COMPUTED_VALUE"""),46285.0)</f>
        <v>46285</v>
      </c>
      <c r="B87" s="192">
        <f>IFERROR(__xludf.DUMMYFUNCTION("""COMPUTED_VALUE"""),1.0)</f>
        <v>1</v>
      </c>
      <c r="C87" s="183" t="str">
        <f t="shared" si="1"/>
        <v>INV-S20260920-1</v>
      </c>
      <c r="D87" s="183" t="s">
        <v>74</v>
      </c>
      <c r="E87" s="184" t="s">
        <v>75</v>
      </c>
      <c r="F87" s="185">
        <f t="shared" si="2"/>
        <v>46285</v>
      </c>
      <c r="G87" s="223">
        <f t="shared" si="3"/>
        <v>46285</v>
      </c>
      <c r="H87" s="183" t="s">
        <v>76</v>
      </c>
      <c r="I87" s="224">
        <f>IFERROR(__xludf.DUMMYFUNCTION("""COMPUTED_VALUE"""),28441.41)</f>
        <v>28441.41</v>
      </c>
      <c r="J87" s="192">
        <f>IFERROR(__xludf.DUMMYFUNCTION("""COMPUTED_VALUE"""),17580.0)</f>
        <v>17580</v>
      </c>
      <c r="K87" s="225">
        <f>IFERROR(__xludf.DUMMYFUNCTION("""COMPUTED_VALUE"""),4.999999878E8)</f>
        <v>499999987.8</v>
      </c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</row>
    <row r="88" ht="24.0" customHeight="1">
      <c r="A88" s="223">
        <f>IFERROR(__xludf.DUMMYFUNCTION("""COMPUTED_VALUE"""),46285.0)</f>
        <v>46285</v>
      </c>
      <c r="B88" s="192">
        <f>IFERROR(__xludf.DUMMYFUNCTION("""COMPUTED_VALUE"""),1.0)</f>
        <v>1</v>
      </c>
      <c r="C88" s="183" t="str">
        <f t="shared" si="1"/>
        <v>INV-S20260920-1</v>
      </c>
      <c r="D88" s="183" t="s">
        <v>74</v>
      </c>
      <c r="E88" s="184" t="s">
        <v>75</v>
      </c>
      <c r="F88" s="185">
        <f t="shared" si="2"/>
        <v>46285</v>
      </c>
      <c r="G88" s="223">
        <f t="shared" si="3"/>
        <v>46285</v>
      </c>
      <c r="H88" s="183" t="s">
        <v>76</v>
      </c>
      <c r="I88" s="224">
        <f>IFERROR(__xludf.DUMMYFUNCTION("""COMPUTED_VALUE"""),45545.11)</f>
        <v>45545.11</v>
      </c>
      <c r="J88" s="192">
        <f>IFERROR(__xludf.DUMMYFUNCTION("""COMPUTED_VALUE"""),17565.0)</f>
        <v>17565</v>
      </c>
      <c r="K88" s="225">
        <f>IFERROR(__xludf.DUMMYFUNCTION("""COMPUTED_VALUE"""),7.9999985715E8)</f>
        <v>799999857.2</v>
      </c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</row>
    <row r="89" ht="24.0" customHeight="1">
      <c r="A89" s="223">
        <f>IFERROR(__xludf.DUMMYFUNCTION("""COMPUTED_VALUE"""),46285.0)</f>
        <v>46285</v>
      </c>
      <c r="B89" s="192">
        <f>IFERROR(__xludf.DUMMYFUNCTION("""COMPUTED_VALUE"""),2.0)</f>
        <v>2</v>
      </c>
      <c r="C89" s="183" t="str">
        <f t="shared" si="1"/>
        <v>INV-S20260920-2</v>
      </c>
      <c r="D89" s="183" t="s">
        <v>74</v>
      </c>
      <c r="E89" s="184" t="s">
        <v>75</v>
      </c>
      <c r="F89" s="185">
        <f t="shared" si="2"/>
        <v>46285</v>
      </c>
      <c r="G89" s="223">
        <f t="shared" si="3"/>
        <v>46285</v>
      </c>
      <c r="H89" s="183" t="s">
        <v>76</v>
      </c>
      <c r="I89" s="224">
        <f>IFERROR(__xludf.DUMMYFUNCTION("""COMPUTED_VALUE"""),57012.54)</f>
        <v>57012.54</v>
      </c>
      <c r="J89" s="192">
        <f>IFERROR(__xludf.DUMMYFUNCTION("""COMPUTED_VALUE"""),17540.0)</f>
        <v>17540</v>
      </c>
      <c r="K89" s="225">
        <f>IFERROR(__xludf.DUMMYFUNCTION("""COMPUTED_VALUE"""),9.999999516E8)</f>
        <v>999999951.6</v>
      </c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</row>
    <row r="90" ht="24.0" customHeight="1">
      <c r="A90" s="223">
        <f>IFERROR(__xludf.DUMMYFUNCTION("""COMPUTED_VALUE"""),46286.0)</f>
        <v>46286</v>
      </c>
      <c r="B90" s="192">
        <f>IFERROR(__xludf.DUMMYFUNCTION("""COMPUTED_VALUE"""),1.0)</f>
        <v>1</v>
      </c>
      <c r="C90" s="183" t="str">
        <f t="shared" si="1"/>
        <v>INV-S20260921-1</v>
      </c>
      <c r="D90" s="183" t="s">
        <v>74</v>
      </c>
      <c r="E90" s="184" t="s">
        <v>75</v>
      </c>
      <c r="F90" s="185">
        <f t="shared" si="2"/>
        <v>46286</v>
      </c>
      <c r="G90" s="223">
        <f t="shared" si="3"/>
        <v>46286</v>
      </c>
      <c r="H90" s="183" t="s">
        <v>76</v>
      </c>
      <c r="I90" s="224">
        <f>IFERROR(__xludf.DUMMYFUNCTION("""COMPUTED_VALUE"""),59937.8)</f>
        <v>59937.8</v>
      </c>
      <c r="J90" s="192">
        <f>IFERROR(__xludf.DUMMYFUNCTION("""COMPUTED_VALUE"""),17685.0)</f>
        <v>17685</v>
      </c>
      <c r="K90" s="225">
        <f>IFERROR(__xludf.DUMMYFUNCTION("""COMPUTED_VALUE"""),1.059999993E9)</f>
        <v>1059999993</v>
      </c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</row>
    <row r="91" ht="24.0" customHeight="1">
      <c r="A91" s="223">
        <f>IFERROR(__xludf.DUMMYFUNCTION("""COMPUTED_VALUE"""),46286.0)</f>
        <v>46286</v>
      </c>
      <c r="B91" s="192">
        <f>IFERROR(__xludf.DUMMYFUNCTION("""COMPUTED_VALUE"""),1.0)</f>
        <v>1</v>
      </c>
      <c r="C91" s="183" t="str">
        <f t="shared" si="1"/>
        <v>INV-S20260921-1</v>
      </c>
      <c r="D91" s="183" t="s">
        <v>74</v>
      </c>
      <c r="E91" s="184" t="s">
        <v>75</v>
      </c>
      <c r="F91" s="185">
        <f t="shared" si="2"/>
        <v>46286</v>
      </c>
      <c r="G91" s="223">
        <f t="shared" si="3"/>
        <v>46286</v>
      </c>
      <c r="H91" s="183" t="s">
        <v>76</v>
      </c>
      <c r="I91" s="224">
        <f>IFERROR(__xludf.DUMMYFUNCTION("""COMPUTED_VALUE"""),99491.23)</f>
        <v>99491.23</v>
      </c>
      <c r="J91" s="192">
        <f>IFERROR(__xludf.DUMMYFUNCTION("""COMPUTED_VALUE"""),17690.0)</f>
        <v>17690</v>
      </c>
      <c r="K91" s="225">
        <f>IFERROR(__xludf.DUMMYFUNCTION("""COMPUTED_VALUE"""),1.7599998586999998E9)</f>
        <v>1759999859</v>
      </c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</row>
    <row r="92" ht="24.0" customHeight="1">
      <c r="A92" s="223">
        <f>IFERROR(__xludf.DUMMYFUNCTION("""COMPUTED_VALUE"""),46286.0)</f>
        <v>46286</v>
      </c>
      <c r="B92" s="192">
        <f>IFERROR(__xludf.DUMMYFUNCTION("""COMPUTED_VALUE"""),1.0)</f>
        <v>1</v>
      </c>
      <c r="C92" s="183" t="str">
        <f t="shared" si="1"/>
        <v>INV-S20260921-1</v>
      </c>
      <c r="D92" s="183" t="s">
        <v>74</v>
      </c>
      <c r="E92" s="184" t="s">
        <v>75</v>
      </c>
      <c r="F92" s="185">
        <f t="shared" si="2"/>
        <v>46286</v>
      </c>
      <c r="G92" s="223">
        <f t="shared" si="3"/>
        <v>46286</v>
      </c>
      <c r="H92" s="183" t="s">
        <v>76</v>
      </c>
      <c r="I92" s="224">
        <f>IFERROR(__xludf.DUMMYFUNCTION("""COMPUTED_VALUE"""),56529.11)</f>
        <v>56529.11</v>
      </c>
      <c r="J92" s="192">
        <f>IFERROR(__xludf.DUMMYFUNCTION("""COMPUTED_VALUE"""),17690.0)</f>
        <v>17690</v>
      </c>
      <c r="K92" s="225">
        <f>IFERROR(__xludf.DUMMYFUNCTION("""COMPUTED_VALUE"""),9.999999559E8)</f>
        <v>999999955.9</v>
      </c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</row>
    <row r="93" ht="24.0" customHeight="1">
      <c r="A93" s="223">
        <f>IFERROR(__xludf.DUMMYFUNCTION("""COMPUTED_VALUE"""),46286.0)</f>
        <v>46286</v>
      </c>
      <c r="B93" s="192">
        <f>IFERROR(__xludf.DUMMYFUNCTION("""COMPUTED_VALUE"""),2.0)</f>
        <v>2</v>
      </c>
      <c r="C93" s="183" t="str">
        <f t="shared" si="1"/>
        <v>INV-S20260921-2</v>
      </c>
      <c r="D93" s="183" t="s">
        <v>74</v>
      </c>
      <c r="E93" s="184" t="s">
        <v>75</v>
      </c>
      <c r="F93" s="185">
        <f t="shared" si="2"/>
        <v>46286</v>
      </c>
      <c r="G93" s="223">
        <f t="shared" si="3"/>
        <v>46286</v>
      </c>
      <c r="H93" s="183" t="s">
        <v>76</v>
      </c>
      <c r="I93" s="224">
        <f>IFERROR(__xludf.DUMMYFUNCTION("""COMPUTED_VALUE"""),114124.61)</f>
        <v>114124.61</v>
      </c>
      <c r="J93" s="192">
        <f>IFERROR(__xludf.DUMMYFUNCTION("""COMPUTED_VALUE"""),17735.0)</f>
        <v>17735</v>
      </c>
      <c r="K93" s="225">
        <f>IFERROR(__xludf.DUMMYFUNCTION("""COMPUTED_VALUE"""),2.02399995835E9)</f>
        <v>2023999958</v>
      </c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</row>
    <row r="94" ht="24.0" customHeight="1">
      <c r="A94" s="223">
        <f>IFERROR(__xludf.DUMMYFUNCTION("""COMPUTED_VALUE"""),46286.0)</f>
        <v>46286</v>
      </c>
      <c r="B94" s="192">
        <f>IFERROR(__xludf.DUMMYFUNCTION("""COMPUTED_VALUE"""),2.0)</f>
        <v>2</v>
      </c>
      <c r="C94" s="183" t="str">
        <f t="shared" si="1"/>
        <v>INV-S20260921-2</v>
      </c>
      <c r="D94" s="183" t="s">
        <v>74</v>
      </c>
      <c r="E94" s="184" t="s">
        <v>75</v>
      </c>
      <c r="F94" s="185">
        <f t="shared" si="2"/>
        <v>46286</v>
      </c>
      <c r="G94" s="223">
        <f t="shared" si="3"/>
        <v>46286</v>
      </c>
      <c r="H94" s="183" t="s">
        <v>76</v>
      </c>
      <c r="I94" s="224">
        <f>IFERROR(__xludf.DUMMYFUNCTION("""COMPUTED_VALUE"""),56385.67)</f>
        <v>56385.67</v>
      </c>
      <c r="J94" s="192">
        <f>IFERROR(__xludf.DUMMYFUNCTION("""COMPUTED_VALUE"""),17735.0)</f>
        <v>17735</v>
      </c>
      <c r="K94" s="225">
        <f>IFERROR(__xludf.DUMMYFUNCTION("""COMPUTED_VALUE"""),9.999998574499999E8)</f>
        <v>999999857.5</v>
      </c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</row>
    <row r="95" ht="24.0" customHeight="1">
      <c r="A95" s="223">
        <f>IFERROR(__xludf.DUMMYFUNCTION("""COMPUTED_VALUE"""),46286.0)</f>
        <v>46286</v>
      </c>
      <c r="B95" s="192">
        <f>IFERROR(__xludf.DUMMYFUNCTION("""COMPUTED_VALUE"""),3.0)</f>
        <v>3</v>
      </c>
      <c r="C95" s="183" t="str">
        <f t="shared" si="1"/>
        <v>INV-S20260921-3</v>
      </c>
      <c r="D95" s="183" t="s">
        <v>74</v>
      </c>
      <c r="E95" s="184" t="s">
        <v>75</v>
      </c>
      <c r="F95" s="185">
        <f t="shared" si="2"/>
        <v>46286</v>
      </c>
      <c r="G95" s="223">
        <f t="shared" si="3"/>
        <v>46286</v>
      </c>
      <c r="H95" s="183" t="s">
        <v>76</v>
      </c>
      <c r="I95" s="224">
        <f>IFERROR(__xludf.DUMMYFUNCTION("""COMPUTED_VALUE"""),56385.67)</f>
        <v>56385.67</v>
      </c>
      <c r="J95" s="192">
        <f>IFERROR(__xludf.DUMMYFUNCTION("""COMPUTED_VALUE"""),17745.0)</f>
        <v>17745</v>
      </c>
      <c r="K95" s="225">
        <f>IFERROR(__xludf.DUMMYFUNCTION("""COMPUTED_VALUE"""),1.00056371415E9)</f>
        <v>1000563714</v>
      </c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</row>
    <row r="96" ht="24.0" customHeight="1">
      <c r="A96" s="223">
        <f>IFERROR(__xludf.DUMMYFUNCTION("""COMPUTED_VALUE"""),46286.0)</f>
        <v>46286</v>
      </c>
      <c r="B96" s="192">
        <f>IFERROR(__xludf.DUMMYFUNCTION("""COMPUTED_VALUE"""),4.0)</f>
        <v>4</v>
      </c>
      <c r="C96" s="183" t="str">
        <f t="shared" si="1"/>
        <v>INV-S20260921-4</v>
      </c>
      <c r="D96" s="183" t="s">
        <v>74</v>
      </c>
      <c r="E96" s="184" t="s">
        <v>75</v>
      </c>
      <c r="F96" s="185">
        <f t="shared" si="2"/>
        <v>46286</v>
      </c>
      <c r="G96" s="223">
        <f t="shared" si="3"/>
        <v>46286</v>
      </c>
      <c r="H96" s="183" t="s">
        <v>76</v>
      </c>
      <c r="I96" s="224">
        <f>IFERROR(__xludf.DUMMYFUNCTION("""COMPUTED_VALUE"""),28178.45)</f>
        <v>28178.45</v>
      </c>
      <c r="J96" s="192">
        <f>IFERROR(__xludf.DUMMYFUNCTION("""COMPUTED_VALUE"""),17745.0)</f>
        <v>17745</v>
      </c>
      <c r="K96" s="225">
        <f>IFERROR(__xludf.DUMMYFUNCTION("""COMPUTED_VALUE"""),5.0002659525E8)</f>
        <v>500026595.3</v>
      </c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</row>
    <row r="97" ht="24.0" customHeight="1">
      <c r="A97" s="223">
        <f>IFERROR(__xludf.DUMMYFUNCTION("""COMPUTED_VALUE"""),46287.0)</f>
        <v>46287</v>
      </c>
      <c r="B97" s="192">
        <f>IFERROR(__xludf.DUMMYFUNCTION("""COMPUTED_VALUE"""),1.0)</f>
        <v>1</v>
      </c>
      <c r="C97" s="183" t="str">
        <f t="shared" si="1"/>
        <v>INV-S20260922-1</v>
      </c>
      <c r="D97" s="183" t="s">
        <v>74</v>
      </c>
      <c r="E97" s="184" t="s">
        <v>75</v>
      </c>
      <c r="F97" s="185">
        <f t="shared" si="2"/>
        <v>46287</v>
      </c>
      <c r="G97" s="223">
        <f t="shared" si="3"/>
        <v>46287</v>
      </c>
      <c r="H97" s="183" t="s">
        <v>76</v>
      </c>
      <c r="I97" s="224">
        <f>IFERROR(__xludf.DUMMYFUNCTION("""COMPUTED_VALUE"""),112422.7)</f>
        <v>112422.7</v>
      </c>
      <c r="J97" s="192">
        <f>IFERROR(__xludf.DUMMYFUNCTION("""COMPUTED_VALUE"""),17790.0)</f>
        <v>17790</v>
      </c>
      <c r="K97" s="225">
        <f>IFERROR(__xludf.DUMMYFUNCTION("""COMPUTED_VALUE"""),1.999999833E9)</f>
        <v>1999999833</v>
      </c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</row>
    <row r="98" ht="24.0" customHeight="1">
      <c r="A98" s="223">
        <f>IFERROR(__xludf.DUMMYFUNCTION("""COMPUTED_VALUE"""),46287.0)</f>
        <v>46287</v>
      </c>
      <c r="B98" s="192">
        <f>IFERROR(__xludf.DUMMYFUNCTION("""COMPUTED_VALUE"""),2.0)</f>
        <v>2</v>
      </c>
      <c r="C98" s="183" t="str">
        <f t="shared" si="1"/>
        <v>INV-S20260922-2</v>
      </c>
      <c r="D98" s="183" t="s">
        <v>74</v>
      </c>
      <c r="E98" s="184" t="s">
        <v>75</v>
      </c>
      <c r="F98" s="185">
        <f t="shared" si="2"/>
        <v>46287</v>
      </c>
      <c r="G98" s="223">
        <f t="shared" si="3"/>
        <v>46287</v>
      </c>
      <c r="H98" s="183" t="s">
        <v>76</v>
      </c>
      <c r="I98" s="224">
        <f>IFERROR(__xludf.DUMMYFUNCTION("""COMPUTED_VALUE"""),112422.7)</f>
        <v>112422.7</v>
      </c>
      <c r="J98" s="192">
        <f>IFERROR(__xludf.DUMMYFUNCTION("""COMPUTED_VALUE"""),17790.0)</f>
        <v>17790</v>
      </c>
      <c r="K98" s="225">
        <f>IFERROR(__xludf.DUMMYFUNCTION("""COMPUTED_VALUE"""),1.999999833E9)</f>
        <v>1999999833</v>
      </c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</row>
    <row r="99" ht="24.0" customHeight="1">
      <c r="A99" s="223">
        <f>IFERROR(__xludf.DUMMYFUNCTION("""COMPUTED_VALUE"""),46287.0)</f>
        <v>46287</v>
      </c>
      <c r="B99" s="192">
        <f>IFERROR(__xludf.DUMMYFUNCTION("""COMPUTED_VALUE"""),3.0)</f>
        <v>3</v>
      </c>
      <c r="C99" s="183" t="str">
        <f t="shared" si="1"/>
        <v>INV-S20260922-3</v>
      </c>
      <c r="D99" s="183" t="s">
        <v>74</v>
      </c>
      <c r="E99" s="184" t="s">
        <v>75</v>
      </c>
      <c r="F99" s="185">
        <f t="shared" si="2"/>
        <v>46287</v>
      </c>
      <c r="G99" s="223">
        <f t="shared" si="3"/>
        <v>46287</v>
      </c>
      <c r="H99" s="183" t="s">
        <v>76</v>
      </c>
      <c r="I99" s="224">
        <f>IFERROR(__xludf.DUMMYFUNCTION("""COMPUTED_VALUE"""),101237.34)</f>
        <v>101237.34</v>
      </c>
      <c r="J99" s="192">
        <f>IFERROR(__xludf.DUMMYFUNCTION("""COMPUTED_VALUE"""),17780.0)</f>
        <v>17780</v>
      </c>
      <c r="K99" s="225">
        <f>IFERROR(__xludf.DUMMYFUNCTION("""COMPUTED_VALUE"""),1.7999999052E9)</f>
        <v>1799999905</v>
      </c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</row>
    <row r="100" ht="24.0" customHeight="1">
      <c r="A100" s="223">
        <f>IFERROR(__xludf.DUMMYFUNCTION("""COMPUTED_VALUE"""),46287.0)</f>
        <v>46287</v>
      </c>
      <c r="B100" s="192">
        <f>IFERROR(__xludf.DUMMYFUNCTION("""COMPUTED_VALUE"""),4.0)</f>
        <v>4</v>
      </c>
      <c r="C100" s="183" t="str">
        <f t="shared" si="1"/>
        <v>INV-S20260922-4</v>
      </c>
      <c r="D100" s="183" t="s">
        <v>74</v>
      </c>
      <c r="E100" s="184" t="s">
        <v>75</v>
      </c>
      <c r="F100" s="185">
        <f t="shared" si="2"/>
        <v>46287</v>
      </c>
      <c r="G100" s="223">
        <f t="shared" si="3"/>
        <v>46287</v>
      </c>
      <c r="H100" s="183" t="s">
        <v>76</v>
      </c>
      <c r="I100" s="224">
        <f>IFERROR(__xludf.DUMMYFUNCTION("""COMPUTED_VALUE"""),56242.96)</f>
        <v>56242.96</v>
      </c>
      <c r="J100" s="192">
        <f>IFERROR(__xludf.DUMMYFUNCTION("""COMPUTED_VALUE"""),17780.0)</f>
        <v>17780</v>
      </c>
      <c r="K100" s="225">
        <f>IFERROR(__xludf.DUMMYFUNCTION("""COMPUTED_VALUE"""),9.999998288E8)</f>
        <v>999999828.8</v>
      </c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</row>
    <row r="101" ht="24.0" customHeight="1">
      <c r="A101" s="226">
        <f>IFERROR(__xludf.DUMMYFUNCTION("""COMPUTED_VALUE"""),46287.0)</f>
        <v>46287</v>
      </c>
      <c r="B101" s="196">
        <f>IFERROR(__xludf.DUMMYFUNCTION("""COMPUTED_VALUE"""),5.0)</f>
        <v>5</v>
      </c>
      <c r="C101" s="183" t="str">
        <f t="shared" si="1"/>
        <v>INV-S20260922-5</v>
      </c>
      <c r="D101" s="183" t="s">
        <v>74</v>
      </c>
      <c r="E101" s="184" t="s">
        <v>75</v>
      </c>
      <c r="F101" s="185">
        <f t="shared" si="2"/>
        <v>46287</v>
      </c>
      <c r="G101" s="223">
        <f t="shared" si="3"/>
        <v>46287</v>
      </c>
      <c r="H101" s="183" t="s">
        <v>76</v>
      </c>
      <c r="I101" s="227">
        <f>IFERROR(__xludf.DUMMYFUNCTION("""COMPUTED_VALUE"""),56242.96)</f>
        <v>56242.96</v>
      </c>
      <c r="J101" s="196">
        <f>IFERROR(__xludf.DUMMYFUNCTION("""COMPUTED_VALUE"""),17780.0)</f>
        <v>17780</v>
      </c>
      <c r="K101" s="228">
        <f>IFERROR(__xludf.DUMMYFUNCTION("""COMPUTED_VALUE"""),9.999998288E8)</f>
        <v>999999828.8</v>
      </c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  <c r="AA101" s="200"/>
    </row>
    <row r="102" ht="24.0" customHeight="1">
      <c r="A102" s="226">
        <f>IFERROR(__xludf.DUMMYFUNCTION("""COMPUTED_VALUE"""),46287.0)</f>
        <v>46287</v>
      </c>
      <c r="B102" s="196">
        <f>IFERROR(__xludf.DUMMYFUNCTION("""COMPUTED_VALUE"""),6.0)</f>
        <v>6</v>
      </c>
      <c r="C102" s="183" t="str">
        <f t="shared" si="1"/>
        <v>INV-S20260922-6</v>
      </c>
      <c r="D102" s="183" t="s">
        <v>74</v>
      </c>
      <c r="E102" s="184" t="s">
        <v>75</v>
      </c>
      <c r="F102" s="185">
        <f t="shared" si="2"/>
        <v>46287</v>
      </c>
      <c r="G102" s="223">
        <f t="shared" si="3"/>
        <v>46287</v>
      </c>
      <c r="H102" s="183" t="s">
        <v>76</v>
      </c>
      <c r="I102" s="227">
        <f>IFERROR(__xludf.DUMMYFUNCTION("""COMPUTED_VALUE"""),99662.73)</f>
        <v>99662.73</v>
      </c>
      <c r="J102" s="196">
        <f>IFERROR(__xludf.DUMMYFUNCTION("""COMPUTED_VALUE"""),17790.0)</f>
        <v>17790</v>
      </c>
      <c r="K102" s="228">
        <f>IFERROR(__xludf.DUMMYFUNCTION("""COMPUTED_VALUE"""),1.7729999666999998E9)</f>
        <v>1772999967</v>
      </c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  <c r="AA102" s="200"/>
    </row>
    <row r="103" ht="24.0" customHeight="1">
      <c r="A103" s="226">
        <f>IFERROR(__xludf.DUMMYFUNCTION("""COMPUTED_VALUE"""),46287.0)</f>
        <v>46287</v>
      </c>
      <c r="B103" s="196">
        <f>IFERROR(__xludf.DUMMYFUNCTION("""COMPUTED_VALUE"""),7.0)</f>
        <v>7</v>
      </c>
      <c r="C103" s="183" t="str">
        <f t="shared" si="1"/>
        <v>INV-S20260922-7</v>
      </c>
      <c r="D103" s="183" t="s">
        <v>74</v>
      </c>
      <c r="E103" s="184" t="s">
        <v>75</v>
      </c>
      <c r="F103" s="185">
        <f t="shared" si="2"/>
        <v>46287</v>
      </c>
      <c r="G103" s="223">
        <f t="shared" si="3"/>
        <v>46287</v>
      </c>
      <c r="H103" s="183" t="s">
        <v>76</v>
      </c>
      <c r="I103" s="227">
        <f>IFERROR(__xludf.DUMMYFUNCTION("""COMPUTED_VALUE"""),56211.35)</f>
        <v>56211.35</v>
      </c>
      <c r="J103" s="196">
        <f>IFERROR(__xludf.DUMMYFUNCTION("""COMPUTED_VALUE"""),17790.0)</f>
        <v>17790</v>
      </c>
      <c r="K103" s="228">
        <f>IFERROR(__xludf.DUMMYFUNCTION("""COMPUTED_VALUE"""),9.999999165E8)</f>
        <v>999999916.5</v>
      </c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  <c r="AA103" s="200"/>
    </row>
    <row r="104" ht="24.0" customHeight="1">
      <c r="A104" s="226">
        <f>IFERROR(__xludf.DUMMYFUNCTION("""COMPUTED_VALUE"""),46287.0)</f>
        <v>46287</v>
      </c>
      <c r="B104" s="196">
        <f>IFERROR(__xludf.DUMMYFUNCTION("""COMPUTED_VALUE"""),8.0)</f>
        <v>8</v>
      </c>
      <c r="C104" s="183" t="str">
        <f t="shared" si="1"/>
        <v>INV-S20260922-8</v>
      </c>
      <c r="D104" s="183" t="s">
        <v>74</v>
      </c>
      <c r="E104" s="184" t="s">
        <v>75</v>
      </c>
      <c r="F104" s="185">
        <f t="shared" si="2"/>
        <v>46287</v>
      </c>
      <c r="G104" s="223">
        <f t="shared" si="3"/>
        <v>46287</v>
      </c>
      <c r="H104" s="183" t="s">
        <v>76</v>
      </c>
      <c r="I104" s="227">
        <f>IFERROR(__xludf.DUMMYFUNCTION("""COMPUTED_VALUE"""),112422.7)</f>
        <v>112422.7</v>
      </c>
      <c r="J104" s="196">
        <f>IFERROR(__xludf.DUMMYFUNCTION("""COMPUTED_VALUE"""),17790.0)</f>
        <v>17790</v>
      </c>
      <c r="K104" s="228">
        <f>IFERROR(__xludf.DUMMYFUNCTION("""COMPUTED_VALUE"""),1.999999833E9)</f>
        <v>1999999833</v>
      </c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</row>
    <row r="105" ht="24.0" customHeight="1">
      <c r="A105" s="226">
        <f>IFERROR(__xludf.DUMMYFUNCTION("""COMPUTED_VALUE"""),46288.0)</f>
        <v>46288</v>
      </c>
      <c r="B105" s="196">
        <f>IFERROR(__xludf.DUMMYFUNCTION("""COMPUTED_VALUE"""),1.0)</f>
        <v>1</v>
      </c>
      <c r="C105" s="183" t="str">
        <f t="shared" si="1"/>
        <v>INV-S20260923-1</v>
      </c>
      <c r="D105" s="183" t="s">
        <v>74</v>
      </c>
      <c r="E105" s="184" t="s">
        <v>75</v>
      </c>
      <c r="F105" s="185">
        <f t="shared" si="2"/>
        <v>46288</v>
      </c>
      <c r="G105" s="223">
        <f t="shared" si="3"/>
        <v>46288</v>
      </c>
      <c r="H105" s="183" t="s">
        <v>76</v>
      </c>
      <c r="I105" s="227">
        <f>IFERROR(__xludf.DUMMYFUNCTION("""COMPUTED_VALUE"""),56211.35)</f>
        <v>56211.35</v>
      </c>
      <c r="J105" s="196">
        <f>IFERROR(__xludf.DUMMYFUNCTION("""COMPUTED_VALUE"""),17790.0)</f>
        <v>17790</v>
      </c>
      <c r="K105" s="228">
        <f>IFERROR(__xludf.DUMMYFUNCTION("""COMPUTED_VALUE"""),9.999999165E8)</f>
        <v>999999916.5</v>
      </c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</row>
    <row r="106" ht="24.0" customHeight="1">
      <c r="A106" s="226">
        <f>IFERROR(__xludf.DUMMYFUNCTION("""COMPUTED_VALUE"""),46288.0)</f>
        <v>46288</v>
      </c>
      <c r="B106" s="196">
        <f>IFERROR(__xludf.DUMMYFUNCTION("""COMPUTED_VALUE"""),2.0)</f>
        <v>2</v>
      </c>
      <c r="C106" s="183" t="str">
        <f t="shared" si="1"/>
        <v>INV-S20260923-2</v>
      </c>
      <c r="D106" s="183" t="s">
        <v>74</v>
      </c>
      <c r="E106" s="184" t="s">
        <v>75</v>
      </c>
      <c r="F106" s="185">
        <f t="shared" si="2"/>
        <v>46288</v>
      </c>
      <c r="G106" s="223">
        <f t="shared" si="3"/>
        <v>46288</v>
      </c>
      <c r="H106" s="183" t="s">
        <v>76</v>
      </c>
      <c r="I106" s="227">
        <f>IFERROR(__xludf.DUMMYFUNCTION("""COMPUTED_VALUE"""),56211.35)</f>
        <v>56211.35</v>
      </c>
      <c r="J106" s="196">
        <f>IFERROR(__xludf.DUMMYFUNCTION("""COMPUTED_VALUE"""),17790.0)</f>
        <v>17790</v>
      </c>
      <c r="K106" s="228">
        <f>IFERROR(__xludf.DUMMYFUNCTION("""COMPUTED_VALUE"""),9.999999165E8)</f>
        <v>999999916.5</v>
      </c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  <c r="AA106" s="200"/>
    </row>
    <row r="107" ht="24.0" customHeight="1">
      <c r="A107" s="226">
        <f>IFERROR(__xludf.DUMMYFUNCTION("""COMPUTED_VALUE"""),46288.0)</f>
        <v>46288</v>
      </c>
      <c r="B107" s="196">
        <f>IFERROR(__xludf.DUMMYFUNCTION("""COMPUTED_VALUE"""),2.0)</f>
        <v>2</v>
      </c>
      <c r="C107" s="183" t="str">
        <f t="shared" si="1"/>
        <v>INV-S20260923-2</v>
      </c>
      <c r="D107" s="183" t="s">
        <v>74</v>
      </c>
      <c r="E107" s="184" t="s">
        <v>75</v>
      </c>
      <c r="F107" s="185">
        <f t="shared" si="2"/>
        <v>46288</v>
      </c>
      <c r="G107" s="223">
        <f t="shared" si="3"/>
        <v>46288</v>
      </c>
      <c r="H107" s="183" t="s">
        <v>76</v>
      </c>
      <c r="I107" s="227">
        <f>IFERROR(__xludf.DUMMYFUNCTION("""COMPUTED_VALUE"""),168728.9)</f>
        <v>168728.9</v>
      </c>
      <c r="J107" s="196">
        <f>IFERROR(__xludf.DUMMYFUNCTION("""COMPUTED_VALUE"""),17780.0)</f>
        <v>17780</v>
      </c>
      <c r="K107" s="228">
        <f>IFERROR(__xludf.DUMMYFUNCTION("""COMPUTED_VALUE"""),2.999999842E9)</f>
        <v>2999999842</v>
      </c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  <c r="AA107" s="200"/>
    </row>
    <row r="108" ht="24.0" customHeight="1">
      <c r="A108" s="226">
        <f>IFERROR(__xludf.DUMMYFUNCTION("""COMPUTED_VALUE"""),46288.0)</f>
        <v>46288</v>
      </c>
      <c r="B108" s="196">
        <f>IFERROR(__xludf.DUMMYFUNCTION("""COMPUTED_VALUE"""),3.0)</f>
        <v>3</v>
      </c>
      <c r="C108" s="183" t="str">
        <f t="shared" si="1"/>
        <v>INV-S20260923-3</v>
      </c>
      <c r="D108" s="183" t="s">
        <v>74</v>
      </c>
      <c r="E108" s="184" t="s">
        <v>75</v>
      </c>
      <c r="F108" s="185">
        <f t="shared" si="2"/>
        <v>46288</v>
      </c>
      <c r="G108" s="223">
        <f t="shared" si="3"/>
        <v>46288</v>
      </c>
      <c r="H108" s="183" t="s">
        <v>76</v>
      </c>
      <c r="I108" s="227">
        <f>IFERROR(__xludf.DUMMYFUNCTION("""COMPUTED_VALUE"""),31271.62)</f>
        <v>31271.62</v>
      </c>
      <c r="J108" s="196">
        <f>IFERROR(__xludf.DUMMYFUNCTION("""COMPUTED_VALUE"""),17767.0)</f>
        <v>17767</v>
      </c>
      <c r="K108" s="228">
        <f>IFERROR(__xludf.DUMMYFUNCTION("""COMPUTED_VALUE"""),5.5560287254E8)</f>
        <v>555602872.5</v>
      </c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  <c r="AA108" s="200"/>
    </row>
    <row r="109" ht="24.0" customHeight="1">
      <c r="A109" s="226">
        <f>IFERROR(__xludf.DUMMYFUNCTION("""COMPUTED_VALUE"""),46289.0)</f>
        <v>46289</v>
      </c>
      <c r="B109" s="196">
        <f>IFERROR(__xludf.DUMMYFUNCTION("""COMPUTED_VALUE"""),1.0)</f>
        <v>1</v>
      </c>
      <c r="C109" s="183" t="str">
        <f t="shared" si="1"/>
        <v>INV-S20260924-1</v>
      </c>
      <c r="D109" s="183" t="s">
        <v>74</v>
      </c>
      <c r="E109" s="184" t="s">
        <v>75</v>
      </c>
      <c r="F109" s="185">
        <f t="shared" si="2"/>
        <v>46289</v>
      </c>
      <c r="G109" s="223">
        <f t="shared" si="3"/>
        <v>46289</v>
      </c>
      <c r="H109" s="183" t="s">
        <v>76</v>
      </c>
      <c r="I109" s="227">
        <f>IFERROR(__xludf.DUMMYFUNCTION("""COMPUTED_VALUE"""),112359.55)</f>
        <v>112359.55</v>
      </c>
      <c r="J109" s="196">
        <f>IFERROR(__xludf.DUMMYFUNCTION("""COMPUTED_VALUE"""),17800.0)</f>
        <v>17800</v>
      </c>
      <c r="K109" s="228">
        <f>IFERROR(__xludf.DUMMYFUNCTION("""COMPUTED_VALUE"""),1.99999999E9)</f>
        <v>1999999990</v>
      </c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  <c r="AA109" s="200"/>
    </row>
    <row r="110" ht="24.0" customHeight="1">
      <c r="A110" s="226">
        <f>IFERROR(__xludf.DUMMYFUNCTION("""COMPUTED_VALUE"""),46289.0)</f>
        <v>46289</v>
      </c>
      <c r="B110" s="196">
        <f>IFERROR(__xludf.DUMMYFUNCTION("""COMPUTED_VALUE"""),2.0)</f>
        <v>2</v>
      </c>
      <c r="C110" s="183" t="str">
        <f t="shared" si="1"/>
        <v>INV-S20260924-2</v>
      </c>
      <c r="D110" s="196"/>
      <c r="E110" s="203"/>
      <c r="F110" s="185">
        <f t="shared" si="2"/>
        <v>46289</v>
      </c>
      <c r="G110" s="223">
        <f t="shared" si="3"/>
        <v>46289</v>
      </c>
      <c r="H110" s="196"/>
      <c r="I110" s="227">
        <f>IFERROR(__xludf.DUMMYFUNCTION("""COMPUTED_VALUE"""),28089.88)</f>
        <v>28089.88</v>
      </c>
      <c r="J110" s="196">
        <f>IFERROR(__xludf.DUMMYFUNCTION("""COMPUTED_VALUE"""),17800.0)</f>
        <v>17800</v>
      </c>
      <c r="K110" s="228">
        <f>IFERROR(__xludf.DUMMYFUNCTION("""COMPUTED_VALUE"""),4.99999864E8)</f>
        <v>499999864</v>
      </c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  <c r="AA110" s="200"/>
    </row>
    <row r="111">
      <c r="A111" s="229">
        <f>IFERROR(__xludf.DUMMYFUNCTION("""COMPUTED_VALUE"""),46289.0)</f>
        <v>46289</v>
      </c>
      <c r="B111" s="200">
        <f>IFERROR(__xludf.DUMMYFUNCTION("""COMPUTED_VALUE"""),3.0)</f>
        <v>3</v>
      </c>
      <c r="C111" s="200"/>
      <c r="D111" s="200"/>
      <c r="E111" s="200"/>
      <c r="F111" s="204"/>
      <c r="G111" s="200"/>
      <c r="H111" s="200"/>
      <c r="I111" s="230">
        <f>IFERROR(__xludf.DUMMYFUNCTION("""COMPUTED_VALUE"""),112359.55)</f>
        <v>112359.55</v>
      </c>
      <c r="J111" s="200">
        <f>IFERROR(__xludf.DUMMYFUNCTION("""COMPUTED_VALUE"""),17800.0)</f>
        <v>17800</v>
      </c>
      <c r="K111" s="231">
        <f>IFERROR(__xludf.DUMMYFUNCTION("""COMPUTED_VALUE"""),1.99999999E9)</f>
        <v>1999999990</v>
      </c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  <c r="AA111" s="200"/>
    </row>
    <row r="112">
      <c r="A112" s="229">
        <f>IFERROR(__xludf.DUMMYFUNCTION("""COMPUTED_VALUE"""),46289.0)</f>
        <v>46289</v>
      </c>
      <c r="B112" s="200">
        <f>IFERROR(__xludf.DUMMYFUNCTION("""COMPUTED_VALUE"""),4.0)</f>
        <v>4</v>
      </c>
      <c r="C112" s="200"/>
      <c r="D112" s="200"/>
      <c r="E112" s="200"/>
      <c r="F112" s="204"/>
      <c r="G112" s="200"/>
      <c r="H112" s="200"/>
      <c r="I112" s="230">
        <f>IFERROR(__xludf.DUMMYFUNCTION("""COMPUTED_VALUE"""),140449.43)</f>
        <v>140449.43</v>
      </c>
      <c r="J112" s="200">
        <f>IFERROR(__xludf.DUMMYFUNCTION("""COMPUTED_VALUE"""),17800.0)</f>
        <v>17800</v>
      </c>
      <c r="K112" s="231">
        <f>IFERROR(__xludf.DUMMYFUNCTION("""COMPUTED_VALUE"""),2.499999854E9)</f>
        <v>2499999854</v>
      </c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/>
    </row>
    <row r="113">
      <c r="A113" s="229">
        <f>IFERROR(__xludf.DUMMYFUNCTION("""COMPUTED_VALUE"""),46289.0)</f>
        <v>46289</v>
      </c>
      <c r="B113" s="200">
        <f>IFERROR(__xludf.DUMMYFUNCTION("""COMPUTED_VALUE"""),5.0)</f>
        <v>5</v>
      </c>
      <c r="C113" s="200"/>
      <c r="D113" s="200"/>
      <c r="E113" s="200"/>
      <c r="F113" s="204"/>
      <c r="G113" s="200"/>
      <c r="H113" s="200"/>
      <c r="I113" s="230">
        <f>IFERROR(__xludf.DUMMYFUNCTION("""COMPUTED_VALUE"""),128996.07)</f>
        <v>128996.07</v>
      </c>
      <c r="J113" s="200">
        <f>IFERROR(__xludf.DUMMYFUNCTION("""COMPUTED_VALUE"""),17830.0)</f>
        <v>17830</v>
      </c>
      <c r="K113" s="231">
        <f>IFERROR(__xludf.DUMMYFUNCTION("""COMPUTED_VALUE"""),2.2999999281E9)</f>
        <v>2299999928</v>
      </c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/>
    </row>
    <row r="114">
      <c r="A114" s="229">
        <f>IFERROR(__xludf.DUMMYFUNCTION("""COMPUTED_VALUE"""),46289.0)</f>
        <v>46289</v>
      </c>
      <c r="B114" s="200">
        <f>IFERROR(__xludf.DUMMYFUNCTION("""COMPUTED_VALUE"""),5.0)</f>
        <v>5</v>
      </c>
      <c r="C114" s="200"/>
      <c r="D114" s="200"/>
      <c r="E114" s="200"/>
      <c r="F114" s="204"/>
      <c r="G114" s="200"/>
      <c r="H114" s="200"/>
      <c r="I114" s="230">
        <f>IFERROR(__xludf.DUMMYFUNCTION("""COMPUTED_VALUE"""),56085.24)</f>
        <v>56085.24</v>
      </c>
      <c r="J114" s="200">
        <f>IFERROR(__xludf.DUMMYFUNCTION("""COMPUTED_VALUE"""),17830.0)</f>
        <v>17830</v>
      </c>
      <c r="K114" s="231">
        <f>IFERROR(__xludf.DUMMYFUNCTION("""COMPUTED_VALUE"""),9.999998291999999E8)</f>
        <v>999999829.2</v>
      </c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/>
    </row>
    <row r="115">
      <c r="A115" s="229">
        <f>IFERROR(__xludf.DUMMYFUNCTION("""COMPUTED_VALUE"""),46289.0)</f>
        <v>46289</v>
      </c>
      <c r="B115" s="200">
        <f>IFERROR(__xludf.DUMMYFUNCTION("""COMPUTED_VALUE"""),5.0)</f>
        <v>5</v>
      </c>
      <c r="C115" s="200"/>
      <c r="D115" s="200"/>
      <c r="E115" s="200"/>
      <c r="F115" s="204"/>
      <c r="G115" s="200"/>
      <c r="H115" s="200"/>
      <c r="I115" s="230">
        <f>IFERROR(__xludf.DUMMYFUNCTION("""COMPUTED_VALUE"""),56085.24)</f>
        <v>56085.24</v>
      </c>
      <c r="J115" s="200">
        <f>IFERROR(__xludf.DUMMYFUNCTION("""COMPUTED_VALUE"""),17830.0)</f>
        <v>17830</v>
      </c>
      <c r="K115" s="231">
        <f>IFERROR(__xludf.DUMMYFUNCTION("""COMPUTED_VALUE"""),9.999998291999999E8)</f>
        <v>999999829.2</v>
      </c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</row>
    <row r="116">
      <c r="A116" s="229">
        <f>IFERROR(__xludf.DUMMYFUNCTION("""COMPUTED_VALUE"""),46289.0)</f>
        <v>46289</v>
      </c>
      <c r="B116" s="200">
        <f>IFERROR(__xludf.DUMMYFUNCTION("""COMPUTED_VALUE"""),5.0)</f>
        <v>5</v>
      </c>
      <c r="C116" s="200"/>
      <c r="D116" s="200"/>
      <c r="E116" s="200"/>
      <c r="F116" s="204"/>
      <c r="G116" s="200"/>
      <c r="H116" s="200"/>
      <c r="I116" s="230">
        <f>IFERROR(__xludf.DUMMYFUNCTION("""COMPUTED_VALUE"""),84080.71)</f>
        <v>84080.71</v>
      </c>
      <c r="J116" s="200">
        <f>IFERROR(__xludf.DUMMYFUNCTION("""COMPUTED_VALUE"""),17840.0)</f>
        <v>17840</v>
      </c>
      <c r="K116" s="231">
        <f>IFERROR(__xludf.DUMMYFUNCTION("""COMPUTED_VALUE"""),1.4999998664E9)</f>
        <v>1499999866</v>
      </c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</row>
    <row r="117">
      <c r="A117" s="229">
        <f>IFERROR(__xludf.DUMMYFUNCTION("""COMPUTED_VALUE"""),46289.0)</f>
        <v>46289</v>
      </c>
      <c r="B117" s="200">
        <f>IFERROR(__xludf.DUMMYFUNCTION("""COMPUTED_VALUE"""),5.0)</f>
        <v>5</v>
      </c>
      <c r="C117" s="200"/>
      <c r="D117" s="200"/>
      <c r="E117" s="200"/>
      <c r="F117" s="204"/>
      <c r="G117" s="200"/>
      <c r="H117" s="200"/>
      <c r="I117" s="230">
        <f>IFERROR(__xludf.DUMMYFUNCTION("""COMPUTED_VALUE"""),56053.81)</f>
        <v>56053.81</v>
      </c>
      <c r="J117" s="200">
        <f>IFERROR(__xludf.DUMMYFUNCTION("""COMPUTED_VALUE"""),17840.0)</f>
        <v>17840</v>
      </c>
      <c r="K117" s="231">
        <f>IFERROR(__xludf.DUMMYFUNCTION("""COMPUTED_VALUE"""),9.999999704E8)</f>
        <v>999999970.4</v>
      </c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</row>
    <row r="118">
      <c r="A118" s="229">
        <f>IFERROR(__xludf.DUMMYFUNCTION("""COMPUTED_VALUE"""),46289.0)</f>
        <v>46289</v>
      </c>
      <c r="B118" s="200">
        <f>IFERROR(__xludf.DUMMYFUNCTION("""COMPUTED_VALUE"""),5.0)</f>
        <v>5</v>
      </c>
      <c r="C118" s="200"/>
      <c r="D118" s="200"/>
      <c r="E118" s="200"/>
      <c r="F118" s="204"/>
      <c r="G118" s="200"/>
      <c r="H118" s="200"/>
      <c r="I118" s="230">
        <f>IFERROR(__xludf.DUMMYFUNCTION("""COMPUTED_VALUE"""),50448.46)</f>
        <v>50448.46</v>
      </c>
      <c r="J118" s="200">
        <f>IFERROR(__xludf.DUMMYFUNCTION("""COMPUTED_VALUE"""),17840.0)</f>
        <v>17840</v>
      </c>
      <c r="K118" s="231">
        <f>IFERROR(__xludf.DUMMYFUNCTION("""COMPUTED_VALUE"""),9.000005264E8)</f>
        <v>900000526.4</v>
      </c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</row>
    <row r="119">
      <c r="A119" s="229">
        <f>IFERROR(__xludf.DUMMYFUNCTION("""COMPUTED_VALUE"""),46289.0)</f>
        <v>46289</v>
      </c>
      <c r="B119" s="200">
        <f>IFERROR(__xludf.DUMMYFUNCTION("""COMPUTED_VALUE"""),6.0)</f>
        <v>6</v>
      </c>
      <c r="C119" s="200"/>
      <c r="D119" s="200"/>
      <c r="E119" s="200"/>
      <c r="F119" s="204"/>
      <c r="G119" s="200"/>
      <c r="H119" s="200"/>
      <c r="I119" s="230">
        <f>IFERROR(__xludf.DUMMYFUNCTION("""COMPUTED_VALUE"""),89635.85)</f>
        <v>89635.85</v>
      </c>
      <c r="J119" s="200">
        <f>IFERROR(__xludf.DUMMYFUNCTION("""COMPUTED_VALUE"""),17850.0)</f>
        <v>17850</v>
      </c>
      <c r="K119" s="231">
        <f>IFERROR(__xludf.DUMMYFUNCTION("""COMPUTED_VALUE"""),1.5999999225E9)</f>
        <v>1599999923</v>
      </c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0"/>
    </row>
    <row r="120">
      <c r="A120" s="229">
        <f>IFERROR(__xludf.DUMMYFUNCTION("""COMPUTED_VALUE"""),46289.0)</f>
        <v>46289</v>
      </c>
      <c r="B120" s="200">
        <f>IFERROR(__xludf.DUMMYFUNCTION("""COMPUTED_VALUE"""),7.0)</f>
        <v>7</v>
      </c>
      <c r="C120" s="200"/>
      <c r="D120" s="200"/>
      <c r="E120" s="200"/>
      <c r="F120" s="204"/>
      <c r="G120" s="200"/>
      <c r="H120" s="200"/>
      <c r="I120" s="230">
        <f>IFERROR(__xludf.DUMMYFUNCTION("""COMPUTED_VALUE"""),35033.62)</f>
        <v>35033.62</v>
      </c>
      <c r="J120" s="200">
        <f>IFERROR(__xludf.DUMMYFUNCTION("""COMPUTED_VALUE"""),17840.0)</f>
        <v>17840</v>
      </c>
      <c r="K120" s="231">
        <f>IFERROR(__xludf.DUMMYFUNCTION("""COMPUTED_VALUE"""),6.249997808000001E8)</f>
        <v>624999780.8</v>
      </c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</row>
    <row r="121">
      <c r="A121" s="229">
        <f>IFERROR(__xludf.DUMMYFUNCTION("""COMPUTED_VALUE"""),46290.0)</f>
        <v>46290</v>
      </c>
      <c r="B121" s="200">
        <f>IFERROR(__xludf.DUMMYFUNCTION("""COMPUTED_VALUE"""),1.0)</f>
        <v>1</v>
      </c>
      <c r="C121" s="200"/>
      <c r="D121" s="200"/>
      <c r="E121" s="200"/>
      <c r="F121" s="204"/>
      <c r="G121" s="200"/>
      <c r="H121" s="200"/>
      <c r="I121" s="230">
        <f>IFERROR(__xludf.DUMMYFUNCTION("""COMPUTED_VALUE"""),117515.38)</f>
        <v>117515.38</v>
      </c>
      <c r="J121" s="200">
        <f>IFERROR(__xludf.DUMMYFUNCTION("""COMPUTED_VALUE"""),17870.0)</f>
        <v>17870</v>
      </c>
      <c r="K121" s="231">
        <f>IFERROR(__xludf.DUMMYFUNCTION("""COMPUTED_VALUE"""),2.0999998406000001E9)</f>
        <v>2099999841</v>
      </c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</row>
    <row r="122">
      <c r="A122" s="229">
        <f>IFERROR(__xludf.DUMMYFUNCTION("""COMPUTED_VALUE"""),46290.0)</f>
        <v>46290</v>
      </c>
      <c r="B122" s="200">
        <f>IFERROR(__xludf.DUMMYFUNCTION("""COMPUTED_VALUE"""),2.0)</f>
        <v>2</v>
      </c>
      <c r="C122" s="200"/>
      <c r="D122" s="200"/>
      <c r="E122" s="200"/>
      <c r="F122" s="204"/>
      <c r="G122" s="200"/>
      <c r="H122" s="200"/>
      <c r="I122" s="230">
        <f>IFERROR(__xludf.DUMMYFUNCTION("""COMPUTED_VALUE"""),258968.6)</f>
        <v>258968.6</v>
      </c>
      <c r="J122" s="200">
        <f>IFERROR(__xludf.DUMMYFUNCTION("""COMPUTED_VALUE"""),17840.0)</f>
        <v>17840</v>
      </c>
      <c r="K122" s="231">
        <f>IFERROR(__xludf.DUMMYFUNCTION("""COMPUTED_VALUE"""),4.619999824E9)</f>
        <v>4619999824</v>
      </c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</row>
    <row r="123">
      <c r="A123" s="229">
        <f>IFERROR(__xludf.DUMMYFUNCTION("""COMPUTED_VALUE"""),46290.0)</f>
        <v>46290</v>
      </c>
      <c r="B123" s="200">
        <f>IFERROR(__xludf.DUMMYFUNCTION("""COMPUTED_VALUE"""),3.0)</f>
        <v>3</v>
      </c>
      <c r="C123" s="200"/>
      <c r="D123" s="200"/>
      <c r="E123" s="200"/>
      <c r="F123" s="204"/>
      <c r="G123" s="200"/>
      <c r="H123" s="200"/>
      <c r="I123" s="230">
        <f>IFERROR(__xludf.DUMMYFUNCTION("""COMPUTED_VALUE"""),75865.5)</f>
        <v>75865.5</v>
      </c>
      <c r="J123" s="200">
        <f>IFERROR(__xludf.DUMMYFUNCTION("""COMPUTED_VALUE"""),17795.0)</f>
        <v>17795</v>
      </c>
      <c r="K123" s="231">
        <f>IFERROR(__xludf.DUMMYFUNCTION("""COMPUTED_VALUE"""),1.3500265725E9)</f>
        <v>1350026573</v>
      </c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  <c r="AA123" s="200"/>
    </row>
    <row r="124">
      <c r="A124" s="229">
        <f>IFERROR(__xludf.DUMMYFUNCTION("""COMPUTED_VALUE"""),46290.0)</f>
        <v>46290</v>
      </c>
      <c r="B124" s="200">
        <f>IFERROR(__xludf.DUMMYFUNCTION("""COMPUTED_VALUE"""),4.0)</f>
        <v>4</v>
      </c>
      <c r="C124" s="200"/>
      <c r="D124" s="200"/>
      <c r="E124" s="200"/>
      <c r="F124" s="204"/>
      <c r="G124" s="200"/>
      <c r="H124" s="200"/>
      <c r="I124" s="230">
        <f>IFERROR(__xludf.DUMMYFUNCTION("""COMPUTED_VALUE"""),78280.41)</f>
        <v>78280.41</v>
      </c>
      <c r="J124" s="200">
        <f>IFERROR(__xludf.DUMMYFUNCTION("""COMPUTED_VALUE"""),17795.0)</f>
        <v>17795</v>
      </c>
      <c r="K124" s="231">
        <f>IFERROR(__xludf.DUMMYFUNCTION("""COMPUTED_VALUE"""),1.39299989595E9)</f>
        <v>1392999896</v>
      </c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</row>
    <row r="125">
      <c r="A125" s="229">
        <f>IFERROR(__xludf.DUMMYFUNCTION("""COMPUTED_VALUE"""),46290.0)</f>
        <v>46290</v>
      </c>
      <c r="B125" s="200">
        <f>IFERROR(__xludf.DUMMYFUNCTION("""COMPUTED_VALUE"""),5.0)</f>
        <v>5</v>
      </c>
      <c r="C125" s="200"/>
      <c r="D125" s="200"/>
      <c r="E125" s="200"/>
      <c r="F125" s="204"/>
      <c r="G125" s="200"/>
      <c r="H125" s="200"/>
      <c r="I125" s="230">
        <f>IFERROR(__xludf.DUMMYFUNCTION("""COMPUTED_VALUE"""),34110.7)</f>
        <v>34110.7</v>
      </c>
      <c r="J125" s="200">
        <f>IFERROR(__xludf.DUMMYFUNCTION("""COMPUTED_VALUE"""),17795.0)</f>
        <v>17795</v>
      </c>
      <c r="K125" s="231">
        <f>IFERROR(__xludf.DUMMYFUNCTION("""COMPUTED_VALUE"""),6.069999065E8)</f>
        <v>606999906.5</v>
      </c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</row>
    <row r="126">
      <c r="A126" s="229">
        <f>IFERROR(__xludf.DUMMYFUNCTION("""COMPUTED_VALUE"""),46290.0)</f>
        <v>46290</v>
      </c>
      <c r="B126" s="200">
        <f>IFERROR(__xludf.DUMMYFUNCTION("""COMPUTED_VALUE"""),6.0)</f>
        <v>6</v>
      </c>
      <c r="C126" s="200"/>
      <c r="D126" s="200"/>
      <c r="E126" s="200"/>
      <c r="F126" s="204"/>
      <c r="G126" s="200"/>
      <c r="H126" s="200"/>
      <c r="I126" s="230">
        <f>IFERROR(__xludf.DUMMYFUNCTION("""COMPUTED_VALUE"""),28129.39)</f>
        <v>28129.39</v>
      </c>
      <c r="J126" s="200">
        <f>IFERROR(__xludf.DUMMYFUNCTION("""COMPUTED_VALUE"""),17775.0)</f>
        <v>17775</v>
      </c>
      <c r="K126" s="231">
        <f>IFERROR(__xludf.DUMMYFUNCTION("""COMPUTED_VALUE"""),4.9999990725E8)</f>
        <v>499999907.3</v>
      </c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</row>
    <row r="127">
      <c r="A127" s="229">
        <f>IFERROR(__xludf.DUMMYFUNCTION("""COMPUTED_VALUE"""),46290.0)</f>
        <v>46290</v>
      </c>
      <c r="B127" s="200">
        <f>IFERROR(__xludf.DUMMYFUNCTION("""COMPUTED_VALUE"""),7.0)</f>
        <v>7</v>
      </c>
      <c r="C127" s="200"/>
      <c r="D127" s="200"/>
      <c r="E127" s="200"/>
      <c r="F127" s="204"/>
      <c r="G127" s="200"/>
      <c r="H127" s="200"/>
      <c r="I127" s="230">
        <f>IFERROR(__xludf.DUMMYFUNCTION("""COMPUTED_VALUE"""),182841.06)</f>
        <v>182841.06</v>
      </c>
      <c r="J127" s="200">
        <f>IFERROR(__xludf.DUMMYFUNCTION("""COMPUTED_VALUE"""),17775.0)</f>
        <v>17775</v>
      </c>
      <c r="K127" s="231">
        <f>IFERROR(__xludf.DUMMYFUNCTION("""COMPUTED_VALUE"""),3.2499998415E9)</f>
        <v>3249999842</v>
      </c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</row>
    <row r="128">
      <c r="A128" s="229">
        <f>IFERROR(__xludf.DUMMYFUNCTION("""COMPUTED_VALUE"""),46291.0)</f>
        <v>46291</v>
      </c>
      <c r="B128" s="200">
        <f>IFERROR(__xludf.DUMMYFUNCTION("""COMPUTED_VALUE"""),1.0)</f>
        <v>1</v>
      </c>
      <c r="C128" s="200"/>
      <c r="D128" s="200"/>
      <c r="E128" s="200"/>
      <c r="F128" s="204"/>
      <c r="G128" s="200"/>
      <c r="H128" s="200"/>
      <c r="I128" s="230">
        <f>IFERROR(__xludf.DUMMYFUNCTION("""COMPUTED_VALUE"""),56274.62)</f>
        <v>56274.62</v>
      </c>
      <c r="J128" s="200">
        <f>IFERROR(__xludf.DUMMYFUNCTION("""COMPUTED_VALUE"""),17770.0)</f>
        <v>17770</v>
      </c>
      <c r="K128" s="231">
        <f>IFERROR(__xludf.DUMMYFUNCTION("""COMPUTED_VALUE"""),9.999999974000001E8)</f>
        <v>999999997.4</v>
      </c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0"/>
    </row>
    <row r="129">
      <c r="A129" s="229">
        <f>IFERROR(__xludf.DUMMYFUNCTION("""COMPUTED_VALUE"""),46291.0)</f>
        <v>46291</v>
      </c>
      <c r="B129" s="200">
        <f>IFERROR(__xludf.DUMMYFUNCTION("""COMPUTED_VALUE"""),2.0)</f>
        <v>2</v>
      </c>
      <c r="C129" s="200"/>
      <c r="D129" s="200"/>
      <c r="E129" s="200"/>
      <c r="F129" s="204"/>
      <c r="G129" s="200"/>
      <c r="H129" s="200"/>
      <c r="I129" s="230">
        <f>IFERROR(__xludf.DUMMYFUNCTION("""COMPUTED_VALUE"""),258717.66)</f>
        <v>258717.66</v>
      </c>
      <c r="J129" s="200">
        <f>IFERROR(__xludf.DUMMYFUNCTION("""COMPUTED_VALUE"""),17780.0)</f>
        <v>17780</v>
      </c>
      <c r="K129" s="231">
        <f>IFERROR(__xludf.DUMMYFUNCTION("""COMPUTED_VALUE"""),4.5999999948E9)</f>
        <v>4599999995</v>
      </c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  <c r="AA129" s="200"/>
    </row>
    <row r="130">
      <c r="A130" s="229">
        <f>IFERROR(__xludf.DUMMYFUNCTION("""COMPUTED_VALUE"""),46291.0)</f>
        <v>46291</v>
      </c>
      <c r="B130" s="200">
        <f>IFERROR(__xludf.DUMMYFUNCTION("""COMPUTED_VALUE"""),3.0)</f>
        <v>3</v>
      </c>
      <c r="C130" s="200"/>
      <c r="D130" s="200"/>
      <c r="E130" s="200"/>
      <c r="F130" s="204"/>
      <c r="G130" s="200"/>
      <c r="H130" s="200"/>
      <c r="I130" s="230">
        <f>IFERROR(__xludf.DUMMYFUNCTION("""COMPUTED_VALUE"""),149211.71)</f>
        <v>149211.71</v>
      </c>
      <c r="J130" s="200">
        <f>IFERROR(__xludf.DUMMYFUNCTION("""COMPUTED_VALUE"""),17760.0)</f>
        <v>17760</v>
      </c>
      <c r="K130" s="231">
        <f>IFERROR(__xludf.DUMMYFUNCTION("""COMPUTED_VALUE"""),2.6499999696E9)</f>
        <v>2649999970</v>
      </c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  <c r="AA130" s="200"/>
    </row>
    <row r="131">
      <c r="A131" s="229">
        <f>IFERROR(__xludf.DUMMYFUNCTION("""COMPUTED_VALUE"""),46291.0)</f>
        <v>46291</v>
      </c>
      <c r="B131" s="200">
        <f>IFERROR(__xludf.DUMMYFUNCTION("""COMPUTED_VALUE"""),4.0)</f>
        <v>4</v>
      </c>
      <c r="C131" s="200"/>
      <c r="D131" s="200"/>
      <c r="E131" s="200"/>
      <c r="F131" s="204"/>
      <c r="G131" s="200"/>
      <c r="H131" s="200"/>
      <c r="I131" s="230">
        <f>IFERROR(__xludf.DUMMYFUNCTION("""COMPUTED_VALUE"""),93186.93)</f>
        <v>93186.93</v>
      </c>
      <c r="J131" s="200">
        <f>IFERROR(__xludf.DUMMYFUNCTION("""COMPUTED_VALUE"""),17760.0)</f>
        <v>17760</v>
      </c>
      <c r="K131" s="231">
        <f>IFERROR(__xludf.DUMMYFUNCTION("""COMPUTED_VALUE"""),1.6549998768E9)</f>
        <v>1654999877</v>
      </c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  <c r="AA131" s="200"/>
    </row>
    <row r="132">
      <c r="A132" s="229">
        <f>IFERROR(__xludf.DUMMYFUNCTION("""COMPUTED_VALUE"""),46292.0)</f>
        <v>46292</v>
      </c>
      <c r="B132" s="200">
        <f>IFERROR(__xludf.DUMMYFUNCTION("""COMPUTED_VALUE"""),1.0)</f>
        <v>1</v>
      </c>
      <c r="C132" s="200"/>
      <c r="D132" s="200"/>
      <c r="E132" s="200"/>
      <c r="F132" s="204"/>
      <c r="G132" s="200"/>
      <c r="H132" s="200"/>
      <c r="I132" s="230">
        <f>IFERROR(__xludf.DUMMYFUNCTION("""COMPUTED_VALUE"""),151387.72)</f>
        <v>151387.72</v>
      </c>
      <c r="J132" s="200">
        <f>IFERROR(__xludf.DUMMYFUNCTION("""COMPUTED_VALUE"""),17835.0)</f>
        <v>17835</v>
      </c>
      <c r="K132" s="231">
        <f>IFERROR(__xludf.DUMMYFUNCTION("""COMPUTED_VALUE"""),2.6999999862E9)</f>
        <v>2699999986</v>
      </c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</row>
    <row r="133">
      <c r="A133" s="229">
        <f>IFERROR(__xludf.DUMMYFUNCTION("""COMPUTED_VALUE"""),46292.0)</f>
        <v>46292</v>
      </c>
      <c r="B133" s="200">
        <f>IFERROR(__xludf.DUMMYFUNCTION("""COMPUTED_VALUE"""),2.0)</f>
        <v>2</v>
      </c>
      <c r="C133" s="200"/>
      <c r="D133" s="200"/>
      <c r="E133" s="200"/>
      <c r="F133" s="204"/>
      <c r="G133" s="200"/>
      <c r="H133" s="200"/>
      <c r="I133" s="230">
        <f>IFERROR(__xludf.DUMMYFUNCTION("""COMPUTED_VALUE"""),109335.57)</f>
        <v>109335.57</v>
      </c>
      <c r="J133" s="200">
        <f>IFERROR(__xludf.DUMMYFUNCTION("""COMPUTED_VALUE"""),17835.0)</f>
        <v>17835</v>
      </c>
      <c r="K133" s="231">
        <f>IFERROR(__xludf.DUMMYFUNCTION("""COMPUTED_VALUE"""),1.94999989095E9)</f>
        <v>1949999891</v>
      </c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</row>
    <row r="134">
      <c r="A134" s="229">
        <f>IFERROR(__xludf.DUMMYFUNCTION("""COMPUTED_VALUE"""),46292.0)</f>
        <v>46292</v>
      </c>
      <c r="B134" s="200">
        <f>IFERROR(__xludf.DUMMYFUNCTION("""COMPUTED_VALUE"""),3.0)</f>
        <v>3</v>
      </c>
      <c r="C134" s="200"/>
      <c r="D134" s="200"/>
      <c r="E134" s="200"/>
      <c r="F134" s="204"/>
      <c r="G134" s="200"/>
      <c r="H134" s="200"/>
      <c r="I134" s="230">
        <f>IFERROR(__xludf.DUMMYFUNCTION("""COMPUTED_VALUE"""),61763.05)</f>
        <v>61763.05</v>
      </c>
      <c r="J134" s="200">
        <f>IFERROR(__xludf.DUMMYFUNCTION("""COMPUTED_VALUE"""),17810.0)</f>
        <v>17810</v>
      </c>
      <c r="K134" s="231">
        <f>IFERROR(__xludf.DUMMYFUNCTION("""COMPUTED_VALUE"""),1.0999999205E9)</f>
        <v>1099999921</v>
      </c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</row>
    <row r="135">
      <c r="A135" s="229">
        <f>IFERROR(__xludf.DUMMYFUNCTION("""COMPUTED_VALUE"""),46293.0)</f>
        <v>46293</v>
      </c>
      <c r="B135" s="200">
        <f>IFERROR(__xludf.DUMMYFUNCTION("""COMPUTED_VALUE"""),1.0)</f>
        <v>1</v>
      </c>
      <c r="C135" s="200"/>
      <c r="D135" s="200"/>
      <c r="E135" s="200"/>
      <c r="F135" s="204"/>
      <c r="G135" s="200"/>
      <c r="H135" s="200"/>
      <c r="I135" s="230">
        <f>IFERROR(__xludf.DUMMYFUNCTION("""COMPUTED_VALUE"""),55000.0)</f>
        <v>55000</v>
      </c>
      <c r="J135" s="200">
        <f>IFERROR(__xludf.DUMMYFUNCTION("""COMPUTED_VALUE"""),17875.0)</f>
        <v>17875</v>
      </c>
      <c r="K135" s="231">
        <f>IFERROR(__xludf.DUMMYFUNCTION("""COMPUTED_VALUE"""),9.83125E8)</f>
        <v>983125000</v>
      </c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  <c r="AA135" s="200"/>
    </row>
    <row r="136">
      <c r="A136" s="229">
        <f>IFERROR(__xludf.DUMMYFUNCTION("""COMPUTED_VALUE"""),46293.0)</f>
        <v>46293</v>
      </c>
      <c r="B136" s="200">
        <f>IFERROR(__xludf.DUMMYFUNCTION("""COMPUTED_VALUE"""),2.0)</f>
        <v>2</v>
      </c>
      <c r="C136" s="200"/>
      <c r="D136" s="200"/>
      <c r="E136" s="200"/>
      <c r="F136" s="204"/>
      <c r="G136" s="200"/>
      <c r="H136" s="200"/>
      <c r="I136" s="230">
        <f>IFERROR(__xludf.DUMMYFUNCTION("""COMPUTED_VALUE"""),88776.22)</f>
        <v>88776.22</v>
      </c>
      <c r="J136" s="200">
        <f>IFERROR(__xludf.DUMMYFUNCTION("""COMPUTED_VALUE"""),17875.0)</f>
        <v>17875</v>
      </c>
      <c r="K136" s="231">
        <f>IFERROR(__xludf.DUMMYFUNCTION("""COMPUTED_VALUE"""),1.5868749325E9)</f>
        <v>1586874933</v>
      </c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</row>
    <row r="137">
      <c r="A137" s="229">
        <f>IFERROR(__xludf.DUMMYFUNCTION("""COMPUTED_VALUE"""),46293.0)</f>
        <v>46293</v>
      </c>
      <c r="B137" s="200">
        <f>IFERROR(__xludf.DUMMYFUNCTION("""COMPUTED_VALUE"""),3.0)</f>
        <v>3</v>
      </c>
      <c r="C137" s="200"/>
      <c r="D137" s="200"/>
      <c r="E137" s="200"/>
      <c r="F137" s="204"/>
      <c r="G137" s="200"/>
      <c r="H137" s="200"/>
      <c r="I137" s="230">
        <f>IFERROR(__xludf.DUMMYFUNCTION("""COMPUTED_VALUE"""),83798.88)</f>
        <v>83798.88</v>
      </c>
      <c r="J137" s="200">
        <f>IFERROR(__xludf.DUMMYFUNCTION("""COMPUTED_VALUE"""),17900.0)</f>
        <v>17900</v>
      </c>
      <c r="K137" s="231">
        <f>IFERROR(__xludf.DUMMYFUNCTION("""COMPUTED_VALUE"""),1.499999952E9)</f>
        <v>1499999952</v>
      </c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</row>
    <row r="138">
      <c r="A138" s="229">
        <f>IFERROR(__xludf.DUMMYFUNCTION("""COMPUTED_VALUE"""),46293.0)</f>
        <v>46293</v>
      </c>
      <c r="B138" s="200">
        <f>IFERROR(__xludf.DUMMYFUNCTION("""COMPUTED_VALUE"""),4.0)</f>
        <v>4</v>
      </c>
      <c r="C138" s="200"/>
      <c r="D138" s="200"/>
      <c r="E138" s="200"/>
      <c r="F138" s="204"/>
      <c r="G138" s="200"/>
      <c r="H138" s="200"/>
      <c r="I138" s="230">
        <f>IFERROR(__xludf.DUMMYFUNCTION("""COMPUTED_VALUE"""),60731.23)</f>
        <v>60731.23</v>
      </c>
      <c r="J138" s="200">
        <f>IFERROR(__xludf.DUMMYFUNCTION("""COMPUTED_VALUE"""),17915.0)</f>
        <v>17915</v>
      </c>
      <c r="K138" s="231">
        <f>IFERROR(__xludf.DUMMYFUNCTION("""COMPUTED_VALUE"""),1.08799998545E9)</f>
        <v>1087999985</v>
      </c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0"/>
    </row>
    <row r="139">
      <c r="A139" s="229">
        <f>IFERROR(__xludf.DUMMYFUNCTION("""COMPUTED_VALUE"""),46293.0)</f>
        <v>46293</v>
      </c>
      <c r="B139" s="200">
        <f>IFERROR(__xludf.DUMMYFUNCTION("""COMPUTED_VALUE"""),5.0)</f>
        <v>5</v>
      </c>
      <c r="C139" s="200"/>
      <c r="D139" s="200"/>
      <c r="E139" s="200"/>
      <c r="F139" s="204"/>
      <c r="G139" s="200"/>
      <c r="H139" s="200"/>
      <c r="I139" s="230">
        <f>IFERROR(__xludf.DUMMYFUNCTION("""COMPUTED_VALUE"""),55819.14)</f>
        <v>55819.14</v>
      </c>
      <c r="J139" s="200">
        <f>IFERROR(__xludf.DUMMYFUNCTION("""COMPUTED_VALUE"""),17915.0)</f>
        <v>17915</v>
      </c>
      <c r="K139" s="231">
        <f>IFERROR(__xludf.DUMMYFUNCTION("""COMPUTED_VALUE"""),9.999998931E8)</f>
        <v>999999893.1</v>
      </c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</row>
    <row r="140">
      <c r="A140" s="229">
        <f>IFERROR(__xludf.DUMMYFUNCTION("""COMPUTED_VALUE"""),46293.0)</f>
        <v>46293</v>
      </c>
      <c r="B140" s="200">
        <f>IFERROR(__xludf.DUMMYFUNCTION("""COMPUTED_VALUE"""),6.0)</f>
        <v>6</v>
      </c>
      <c r="C140" s="200"/>
      <c r="D140" s="200"/>
      <c r="E140" s="200"/>
      <c r="F140" s="204"/>
      <c r="G140" s="200"/>
      <c r="H140" s="200"/>
      <c r="I140" s="230">
        <f>IFERROR(__xludf.DUMMYFUNCTION("""COMPUTED_VALUE"""),55772.44)</f>
        <v>55772.44</v>
      </c>
      <c r="J140" s="200">
        <f>IFERROR(__xludf.DUMMYFUNCTION("""COMPUTED_VALUE"""),17930.0)</f>
        <v>17930</v>
      </c>
      <c r="K140" s="231">
        <f>IFERROR(__xludf.DUMMYFUNCTION("""COMPUTED_VALUE"""),9.999998492E8)</f>
        <v>999999849.2</v>
      </c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</row>
    <row r="141">
      <c r="A141" s="229">
        <f>IFERROR(__xludf.DUMMYFUNCTION("""COMPUTED_VALUE"""),46294.0)</f>
        <v>46294</v>
      </c>
      <c r="B141" s="200">
        <f>IFERROR(__xludf.DUMMYFUNCTION("""COMPUTED_VALUE"""),1.0)</f>
        <v>1</v>
      </c>
      <c r="C141" s="200"/>
      <c r="D141" s="200"/>
      <c r="E141" s="200"/>
      <c r="F141" s="204"/>
      <c r="G141" s="200"/>
      <c r="H141" s="200"/>
      <c r="I141" s="230">
        <f>IFERROR(__xludf.DUMMYFUNCTION("""COMPUTED_VALUE"""),111420.61)</f>
        <v>111420.61</v>
      </c>
      <c r="J141" s="200">
        <f>IFERROR(__xludf.DUMMYFUNCTION("""COMPUTED_VALUE"""),17950.0)</f>
        <v>17950</v>
      </c>
      <c r="K141" s="231">
        <f>IFERROR(__xludf.DUMMYFUNCTION("""COMPUTED_VALUE"""),1.9999999495E9)</f>
        <v>1999999950</v>
      </c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  <c r="AA141" s="200"/>
    </row>
    <row r="142">
      <c r="A142" s="229">
        <f>IFERROR(__xludf.DUMMYFUNCTION("""COMPUTED_VALUE"""),46294.0)</f>
        <v>46294</v>
      </c>
      <c r="B142" s="200">
        <f>IFERROR(__xludf.DUMMYFUNCTION("""COMPUTED_VALUE"""),2.0)</f>
        <v>2</v>
      </c>
      <c r="C142" s="200"/>
      <c r="D142" s="200"/>
      <c r="E142" s="200"/>
      <c r="F142" s="204"/>
      <c r="G142" s="200"/>
      <c r="H142" s="200"/>
      <c r="I142" s="230">
        <f>IFERROR(__xludf.DUMMYFUNCTION("""COMPUTED_VALUE"""),292968.75)</f>
        <v>292968.75</v>
      </c>
      <c r="J142" s="200">
        <f>IFERROR(__xludf.DUMMYFUNCTION("""COMPUTED_VALUE"""),17920.0)</f>
        <v>17920</v>
      </c>
      <c r="K142" s="231">
        <f>IFERROR(__xludf.DUMMYFUNCTION("""COMPUTED_VALUE"""),5.25E9)</f>
        <v>5250000000</v>
      </c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  <c r="AA142" s="200"/>
    </row>
    <row r="143">
      <c r="A143" s="229">
        <f>IFERROR(__xludf.DUMMYFUNCTION("""COMPUTED_VALUE"""),46295.0)</f>
        <v>46295</v>
      </c>
      <c r="B143" s="200">
        <f>IFERROR(__xludf.DUMMYFUNCTION("""COMPUTED_VALUE"""),5.0)</f>
        <v>5</v>
      </c>
      <c r="C143" s="200"/>
      <c r="D143" s="200"/>
      <c r="E143" s="200"/>
      <c r="F143" s="204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  <c r="AA143" s="200"/>
    </row>
    <row r="144">
      <c r="A144" s="229">
        <f>IFERROR(__xludf.DUMMYFUNCTION("""COMPUTED_VALUE"""),46295.0)</f>
        <v>46295</v>
      </c>
      <c r="B144" s="200">
        <f>IFERROR(__xludf.DUMMYFUNCTION("""COMPUTED_VALUE"""),5.0)</f>
        <v>5</v>
      </c>
      <c r="C144" s="200"/>
      <c r="D144" s="200"/>
      <c r="E144" s="200"/>
      <c r="F144" s="204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0"/>
    </row>
    <row r="145">
      <c r="A145" s="229">
        <f>IFERROR(__xludf.DUMMYFUNCTION("""COMPUTED_VALUE"""),46294.0)</f>
        <v>46294</v>
      </c>
      <c r="B145" s="200">
        <f>IFERROR(__xludf.DUMMYFUNCTION("""COMPUTED_VALUE"""),5.0)</f>
        <v>5</v>
      </c>
      <c r="C145" s="200"/>
      <c r="D145" s="200"/>
      <c r="E145" s="200"/>
      <c r="F145" s="204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  <c r="AA145" s="200"/>
    </row>
    <row r="146">
      <c r="A146" s="229">
        <f>IFERROR(__xludf.DUMMYFUNCTION("""COMPUTED_VALUE"""),46295.0)</f>
        <v>46295</v>
      </c>
      <c r="B146" s="200">
        <f>IFERROR(__xludf.DUMMYFUNCTION("""COMPUTED_VALUE"""),5.0)</f>
        <v>5</v>
      </c>
      <c r="C146" s="200"/>
      <c r="D146" s="200"/>
      <c r="E146" s="200"/>
      <c r="F146" s="204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  <c r="AA146" s="200"/>
    </row>
    <row r="147">
      <c r="A147" s="229">
        <f>IFERROR(__xludf.DUMMYFUNCTION("""COMPUTED_VALUE"""),46295.0)</f>
        <v>46295</v>
      </c>
      <c r="B147" s="200">
        <f>IFERROR(__xludf.DUMMYFUNCTION("""COMPUTED_VALUE"""),5.0)</f>
        <v>5</v>
      </c>
      <c r="C147" s="200"/>
      <c r="D147" s="200"/>
      <c r="E147" s="200"/>
      <c r="F147" s="204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  <c r="AA147" s="200"/>
    </row>
    <row r="148">
      <c r="A148" s="229">
        <f>IFERROR(__xludf.DUMMYFUNCTION("""COMPUTED_VALUE"""),46294.0)</f>
        <v>46294</v>
      </c>
      <c r="B148" s="200">
        <f>IFERROR(__xludf.DUMMYFUNCTION("""COMPUTED_VALUE"""),5.0)</f>
        <v>5</v>
      </c>
      <c r="C148" s="200"/>
      <c r="D148" s="200"/>
      <c r="E148" s="200"/>
      <c r="F148" s="204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  <c r="AA148" s="200"/>
    </row>
    <row r="149">
      <c r="A149" s="229">
        <f>IFERROR(__xludf.DUMMYFUNCTION("""COMPUTED_VALUE"""),46295.0)</f>
        <v>46295</v>
      </c>
      <c r="B149" s="200">
        <f>IFERROR(__xludf.DUMMYFUNCTION("""COMPUTED_VALUE"""),5.0)</f>
        <v>5</v>
      </c>
      <c r="C149" s="200"/>
      <c r="D149" s="200"/>
      <c r="E149" s="200"/>
      <c r="F149" s="204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</row>
    <row r="150">
      <c r="A150" s="229">
        <f>IFERROR(__xludf.DUMMYFUNCTION("""COMPUTED_VALUE"""),46295.0)</f>
        <v>46295</v>
      </c>
      <c r="B150" s="200">
        <f>IFERROR(__xludf.DUMMYFUNCTION("""COMPUTED_VALUE"""),1.0)</f>
        <v>1</v>
      </c>
      <c r="C150" s="200"/>
      <c r="D150" s="200"/>
      <c r="E150" s="200"/>
      <c r="F150" s="204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</row>
    <row r="151">
      <c r="A151" s="229">
        <f>IFERROR(__xludf.DUMMYFUNCTION("""COMPUTED_VALUE"""),46295.0)</f>
        <v>46295</v>
      </c>
      <c r="B151" s="200">
        <f>IFERROR(__xludf.DUMMYFUNCTION("""COMPUTED_VALUE"""),2.0)</f>
        <v>2</v>
      </c>
      <c r="C151" s="200"/>
      <c r="D151" s="200"/>
      <c r="E151" s="200"/>
      <c r="F151" s="204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  <c r="AA151" s="200"/>
    </row>
    <row r="152">
      <c r="A152" s="229">
        <f>IFERROR(__xludf.DUMMYFUNCTION("""COMPUTED_VALUE"""),46295.0)</f>
        <v>46295</v>
      </c>
      <c r="B152" s="200">
        <f>IFERROR(__xludf.DUMMYFUNCTION("""COMPUTED_VALUE"""),3.0)</f>
        <v>3</v>
      </c>
      <c r="C152" s="200"/>
      <c r="D152" s="200"/>
      <c r="E152" s="200"/>
      <c r="F152" s="204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</row>
    <row r="153">
      <c r="A153" s="229">
        <f>IFERROR(__xludf.DUMMYFUNCTION("""COMPUTED_VALUE"""),46295.0)</f>
        <v>46295</v>
      </c>
      <c r="B153" s="200">
        <f>IFERROR(__xludf.DUMMYFUNCTION("""COMPUTED_VALUE"""),1.0)</f>
        <v>1</v>
      </c>
      <c r="C153" s="200"/>
      <c r="D153" s="200"/>
      <c r="E153" s="200"/>
      <c r="F153" s="204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</row>
    <row r="154">
      <c r="A154" s="229">
        <f>IFERROR(__xludf.DUMMYFUNCTION("""COMPUTED_VALUE"""),46295.0)</f>
        <v>46295</v>
      </c>
      <c r="B154" s="200">
        <f>IFERROR(__xludf.DUMMYFUNCTION("""COMPUTED_VALUE"""),2.0)</f>
        <v>2</v>
      </c>
      <c r="C154" s="200"/>
      <c r="D154" s="200"/>
      <c r="E154" s="200"/>
      <c r="F154" s="204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  <c r="AA154" s="200"/>
    </row>
    <row r="155">
      <c r="A155" s="229">
        <f>IFERROR(__xludf.DUMMYFUNCTION("""COMPUTED_VALUE"""),46295.0)</f>
        <v>46295</v>
      </c>
      <c r="B155" s="200">
        <f>IFERROR(__xludf.DUMMYFUNCTION("""COMPUTED_VALUE"""),1.0)</f>
        <v>1</v>
      </c>
      <c r="C155" s="200"/>
      <c r="D155" s="200"/>
      <c r="E155" s="200"/>
      <c r="F155" s="204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200"/>
    </row>
    <row r="156">
      <c r="A156" s="229">
        <f>IFERROR(__xludf.DUMMYFUNCTION("""COMPUTED_VALUE"""),46295.0)</f>
        <v>46295</v>
      </c>
      <c r="B156" s="200">
        <f>IFERROR(__xludf.DUMMYFUNCTION("""COMPUTED_VALUE"""),2.0)</f>
        <v>2</v>
      </c>
      <c r="C156" s="200"/>
      <c r="D156" s="200"/>
      <c r="E156" s="200"/>
      <c r="F156" s="204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  <c r="AA156" s="200"/>
    </row>
    <row r="157">
      <c r="A157" s="229">
        <f>IFERROR(__xludf.DUMMYFUNCTION("""COMPUTED_VALUE"""),46295.0)</f>
        <v>46295</v>
      </c>
      <c r="B157" s="200">
        <f>IFERROR(__xludf.DUMMYFUNCTION("""COMPUTED_VALUE"""),2.0)</f>
        <v>2</v>
      </c>
      <c r="C157" s="200"/>
      <c r="D157" s="200"/>
      <c r="E157" s="200"/>
      <c r="F157" s="204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  <c r="AA157" s="200"/>
    </row>
    <row r="158">
      <c r="A158" s="229">
        <f>IFERROR(__xludf.DUMMYFUNCTION("""COMPUTED_VALUE"""),46295.0)</f>
        <v>46295</v>
      </c>
      <c r="B158" s="200">
        <f>IFERROR(__xludf.DUMMYFUNCTION("""COMPUTED_VALUE"""),5.0)</f>
        <v>5</v>
      </c>
      <c r="C158" s="200"/>
      <c r="D158" s="200"/>
      <c r="E158" s="200"/>
      <c r="F158" s="204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  <c r="AA158" s="200"/>
    </row>
    <row r="159">
      <c r="A159" s="229">
        <f>IFERROR(__xludf.DUMMYFUNCTION("""COMPUTED_VALUE"""),46295.0)</f>
        <v>46295</v>
      </c>
      <c r="B159" s="200">
        <f>IFERROR(__xludf.DUMMYFUNCTION("""COMPUTED_VALUE"""),1.0)</f>
        <v>1</v>
      </c>
      <c r="C159" s="200"/>
      <c r="D159" s="200"/>
      <c r="E159" s="200"/>
      <c r="F159" s="204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  <c r="AA159" s="200"/>
    </row>
    <row r="160">
      <c r="A160" s="229">
        <f>IFERROR(__xludf.DUMMYFUNCTION("""COMPUTED_VALUE"""),46295.0)</f>
        <v>46295</v>
      </c>
      <c r="B160" s="200">
        <f>IFERROR(__xludf.DUMMYFUNCTION("""COMPUTED_VALUE"""),2.0)</f>
        <v>2</v>
      </c>
      <c r="C160" s="200"/>
      <c r="D160" s="200"/>
      <c r="E160" s="200"/>
      <c r="F160" s="204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  <c r="AA160" s="200"/>
    </row>
    <row r="161">
      <c r="A161" s="229">
        <f>IFERROR(__xludf.DUMMYFUNCTION("""COMPUTED_VALUE"""),46295.0)</f>
        <v>46295</v>
      </c>
      <c r="B161" s="200">
        <f>IFERROR(__xludf.DUMMYFUNCTION("""COMPUTED_VALUE"""),5.0)</f>
        <v>5</v>
      </c>
      <c r="C161" s="200"/>
      <c r="D161" s="200"/>
      <c r="E161" s="200"/>
      <c r="F161" s="204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  <c r="AA161" s="200"/>
    </row>
    <row r="162">
      <c r="A162" s="229">
        <f>IFERROR(__xludf.DUMMYFUNCTION("""COMPUTED_VALUE"""),46295.0)</f>
        <v>46295</v>
      </c>
      <c r="B162" s="200">
        <f>IFERROR(__xludf.DUMMYFUNCTION("""COMPUTED_VALUE"""),5.0)</f>
        <v>5</v>
      </c>
      <c r="C162" s="200"/>
      <c r="D162" s="200"/>
      <c r="E162" s="200"/>
      <c r="F162" s="204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  <c r="AA162" s="200"/>
    </row>
    <row r="163">
      <c r="A163" s="229">
        <f>IFERROR(__xludf.DUMMYFUNCTION("""COMPUTED_VALUE"""),46291.0)</f>
        <v>46291</v>
      </c>
      <c r="B163" s="200">
        <f>IFERROR(__xludf.DUMMYFUNCTION("""COMPUTED_VALUE"""),5.0)</f>
        <v>5</v>
      </c>
      <c r="C163" s="200"/>
      <c r="D163" s="200"/>
      <c r="E163" s="200"/>
      <c r="F163" s="204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  <c r="AA163" s="200"/>
    </row>
    <row r="164">
      <c r="A164" s="229">
        <f>IFERROR(__xludf.DUMMYFUNCTION("""COMPUTED_VALUE"""),46292.0)</f>
        <v>46292</v>
      </c>
      <c r="B164" s="200">
        <f>IFERROR(__xludf.DUMMYFUNCTION("""COMPUTED_VALUE"""),5.0)</f>
        <v>5</v>
      </c>
      <c r="C164" s="200"/>
      <c r="D164" s="200"/>
      <c r="E164" s="200"/>
      <c r="F164" s="204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  <c r="AA164" s="200"/>
    </row>
    <row r="165">
      <c r="A165" s="229">
        <f>IFERROR(__xludf.DUMMYFUNCTION("""COMPUTED_VALUE"""),46295.0)</f>
        <v>46295</v>
      </c>
      <c r="B165" s="200">
        <f>IFERROR(__xludf.DUMMYFUNCTION("""COMPUTED_VALUE"""),5.0)</f>
        <v>5</v>
      </c>
      <c r="C165" s="200"/>
      <c r="D165" s="200"/>
      <c r="E165" s="200"/>
      <c r="F165" s="204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</row>
    <row r="166">
      <c r="A166" s="229">
        <f>IFERROR(__xludf.DUMMYFUNCTION("""COMPUTED_VALUE"""),46294.0)</f>
        <v>46294</v>
      </c>
      <c r="B166" s="200">
        <f>IFERROR(__xludf.DUMMYFUNCTION("""COMPUTED_VALUE"""),5.0)</f>
        <v>5</v>
      </c>
      <c r="C166" s="200"/>
      <c r="D166" s="200"/>
      <c r="E166" s="200"/>
      <c r="F166" s="204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</row>
    <row r="167">
      <c r="A167" s="229">
        <f>IFERROR(__xludf.DUMMYFUNCTION("""COMPUTED_VALUE"""),46295.0)</f>
        <v>46295</v>
      </c>
      <c r="B167" s="200">
        <f>IFERROR(__xludf.DUMMYFUNCTION("""COMPUTED_VALUE"""),5.0)</f>
        <v>5</v>
      </c>
      <c r="C167" s="200"/>
      <c r="D167" s="200"/>
      <c r="E167" s="200"/>
      <c r="F167" s="204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  <c r="AA167" s="200"/>
    </row>
    <row r="168">
      <c r="A168" s="229">
        <f>IFERROR(__xludf.DUMMYFUNCTION("""COMPUTED_VALUE"""),46295.0)</f>
        <v>46295</v>
      </c>
      <c r="B168" s="200">
        <f>IFERROR(__xludf.DUMMYFUNCTION("""COMPUTED_VALUE"""),5.0)</f>
        <v>5</v>
      </c>
      <c r="C168" s="200"/>
      <c r="D168" s="200"/>
      <c r="E168" s="200"/>
      <c r="F168" s="204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  <c r="AA168" s="200"/>
    </row>
    <row r="169">
      <c r="A169" s="229">
        <f>IFERROR(__xludf.DUMMYFUNCTION("""COMPUTED_VALUE"""),46294.0)</f>
        <v>46294</v>
      </c>
      <c r="B169" s="200">
        <f>IFERROR(__xludf.DUMMYFUNCTION("""COMPUTED_VALUE"""),5.0)</f>
        <v>5</v>
      </c>
      <c r="C169" s="200"/>
      <c r="D169" s="200"/>
      <c r="E169" s="200"/>
      <c r="F169" s="204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  <c r="AA169" s="200"/>
    </row>
    <row r="170">
      <c r="A170" s="229">
        <f>IFERROR(__xludf.DUMMYFUNCTION("""COMPUTED_VALUE"""),46295.0)</f>
        <v>46295</v>
      </c>
      <c r="B170" s="200">
        <f>IFERROR(__xludf.DUMMYFUNCTION("""COMPUTED_VALUE"""),5.0)</f>
        <v>5</v>
      </c>
      <c r="C170" s="200"/>
      <c r="D170" s="200"/>
      <c r="E170" s="200"/>
      <c r="F170" s="204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  <c r="AA170" s="200"/>
    </row>
    <row r="171">
      <c r="A171" s="229">
        <f>IFERROR(__xludf.DUMMYFUNCTION("""COMPUTED_VALUE"""),46295.0)</f>
        <v>46295</v>
      </c>
      <c r="B171" s="200">
        <f>IFERROR(__xludf.DUMMYFUNCTION("""COMPUTED_VALUE"""),1.0)</f>
        <v>1</v>
      </c>
      <c r="C171" s="200"/>
      <c r="D171" s="200"/>
      <c r="E171" s="200"/>
      <c r="F171" s="204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  <c r="AA171" s="200"/>
    </row>
    <row r="172">
      <c r="A172" s="229">
        <f>IFERROR(__xludf.DUMMYFUNCTION("""COMPUTED_VALUE"""),46295.0)</f>
        <v>46295</v>
      </c>
      <c r="B172" s="200">
        <f>IFERROR(__xludf.DUMMYFUNCTION("""COMPUTED_VALUE"""),2.0)</f>
        <v>2</v>
      </c>
      <c r="C172" s="200"/>
      <c r="D172" s="200"/>
      <c r="E172" s="200"/>
      <c r="F172" s="204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  <c r="AA172" s="200"/>
    </row>
    <row r="173">
      <c r="A173" s="229">
        <f>IFERROR(__xludf.DUMMYFUNCTION("""COMPUTED_VALUE"""),46295.0)</f>
        <v>46295</v>
      </c>
      <c r="B173" s="200">
        <f>IFERROR(__xludf.DUMMYFUNCTION("""COMPUTED_VALUE"""),3.0)</f>
        <v>3</v>
      </c>
      <c r="C173" s="200"/>
      <c r="D173" s="200"/>
      <c r="E173" s="200"/>
      <c r="F173" s="204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  <c r="AA173" s="200"/>
    </row>
    <row r="174">
      <c r="A174" s="229">
        <f>IFERROR(__xludf.DUMMYFUNCTION("""COMPUTED_VALUE"""),46295.0)</f>
        <v>46295</v>
      </c>
      <c r="B174" s="200">
        <f>IFERROR(__xludf.DUMMYFUNCTION("""COMPUTED_VALUE"""),1.0)</f>
        <v>1</v>
      </c>
      <c r="C174" s="200"/>
      <c r="D174" s="200"/>
      <c r="E174" s="200"/>
      <c r="F174" s="204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  <c r="AA174" s="200"/>
    </row>
    <row r="175">
      <c r="A175" s="229">
        <f>IFERROR(__xludf.DUMMYFUNCTION("""COMPUTED_VALUE"""),46295.0)</f>
        <v>46295</v>
      </c>
      <c r="B175" s="200">
        <f>IFERROR(__xludf.DUMMYFUNCTION("""COMPUTED_VALUE"""),2.0)</f>
        <v>2</v>
      </c>
      <c r="C175" s="200"/>
      <c r="D175" s="200"/>
      <c r="E175" s="200"/>
      <c r="F175" s="204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  <c r="AA175" s="200"/>
    </row>
    <row r="176">
      <c r="A176" s="229">
        <f>IFERROR(__xludf.DUMMYFUNCTION("""COMPUTED_VALUE"""),46295.0)</f>
        <v>46295</v>
      </c>
      <c r="B176" s="200">
        <f>IFERROR(__xludf.DUMMYFUNCTION("""COMPUTED_VALUE"""),1.0)</f>
        <v>1</v>
      </c>
      <c r="C176" s="200"/>
      <c r="D176" s="200"/>
      <c r="E176" s="200"/>
      <c r="F176" s="204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  <c r="AA176" s="200"/>
    </row>
    <row r="177">
      <c r="A177" s="229">
        <f>IFERROR(__xludf.DUMMYFUNCTION("""COMPUTED_VALUE"""),46295.0)</f>
        <v>46295</v>
      </c>
      <c r="B177" s="200">
        <f>IFERROR(__xludf.DUMMYFUNCTION("""COMPUTED_VALUE"""),2.0)</f>
        <v>2</v>
      </c>
      <c r="C177" s="200"/>
      <c r="D177" s="200"/>
      <c r="E177" s="200"/>
      <c r="F177" s="204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</row>
    <row r="178">
      <c r="A178" s="200"/>
      <c r="B178" s="200"/>
      <c r="C178" s="200"/>
      <c r="D178" s="200"/>
      <c r="E178" s="200"/>
      <c r="F178" s="204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</row>
    <row r="179">
      <c r="A179" s="200"/>
      <c r="B179" s="200"/>
      <c r="C179" s="200"/>
      <c r="D179" s="200"/>
      <c r="E179" s="200"/>
      <c r="F179" s="204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  <c r="AA179" s="200"/>
    </row>
    <row r="180">
      <c r="A180" s="200"/>
      <c r="B180" s="200"/>
      <c r="C180" s="200"/>
      <c r="D180" s="200"/>
      <c r="E180" s="200"/>
      <c r="F180" s="204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  <c r="AA180" s="200"/>
    </row>
    <row r="181">
      <c r="A181" s="200"/>
      <c r="B181" s="200"/>
      <c r="C181" s="200"/>
      <c r="D181" s="200"/>
      <c r="E181" s="200"/>
      <c r="F181" s="204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  <c r="AA181" s="200"/>
    </row>
    <row r="182">
      <c r="A182" s="200"/>
      <c r="B182" s="200"/>
      <c r="C182" s="200"/>
      <c r="D182" s="200"/>
      <c r="E182" s="200"/>
      <c r="F182" s="204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  <c r="AA182" s="200"/>
    </row>
    <row r="183">
      <c r="A183" s="200"/>
      <c r="B183" s="200"/>
      <c r="C183" s="200"/>
      <c r="D183" s="200"/>
      <c r="E183" s="200"/>
      <c r="F183" s="204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  <c r="AA183" s="200"/>
    </row>
    <row r="184">
      <c r="A184" s="200"/>
      <c r="B184" s="200"/>
      <c r="C184" s="200"/>
      <c r="D184" s="200"/>
      <c r="E184" s="200"/>
      <c r="F184" s="204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  <c r="AA184" s="200"/>
    </row>
    <row r="185">
      <c r="A185" s="200"/>
      <c r="B185" s="200"/>
      <c r="C185" s="200"/>
      <c r="D185" s="200"/>
      <c r="E185" s="200"/>
      <c r="F185" s="204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  <c r="AA185" s="200"/>
    </row>
    <row r="186">
      <c r="A186" s="200"/>
      <c r="B186" s="200"/>
      <c r="C186" s="200"/>
      <c r="D186" s="200"/>
      <c r="E186" s="200"/>
      <c r="F186" s="204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200"/>
    </row>
    <row r="187">
      <c r="A187" s="200"/>
      <c r="B187" s="200"/>
      <c r="C187" s="200"/>
      <c r="D187" s="200"/>
      <c r="E187" s="200"/>
      <c r="F187" s="204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  <c r="AA187" s="200"/>
    </row>
    <row r="188">
      <c r="A188" s="200"/>
      <c r="B188" s="200"/>
      <c r="C188" s="200"/>
      <c r="D188" s="200"/>
      <c r="E188" s="200"/>
      <c r="F188" s="204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  <c r="AA188" s="200"/>
    </row>
    <row r="189">
      <c r="A189" s="200"/>
      <c r="B189" s="200"/>
      <c r="C189" s="200"/>
      <c r="D189" s="200"/>
      <c r="E189" s="200"/>
      <c r="F189" s="204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  <c r="AA189" s="200"/>
    </row>
    <row r="190">
      <c r="A190" s="200"/>
      <c r="B190" s="200"/>
      <c r="C190" s="200"/>
      <c r="D190" s="200"/>
      <c r="E190" s="200"/>
      <c r="F190" s="204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  <c r="AA190" s="200"/>
    </row>
    <row r="191">
      <c r="A191" s="200"/>
      <c r="B191" s="200"/>
      <c r="C191" s="200"/>
      <c r="D191" s="200"/>
      <c r="E191" s="200"/>
      <c r="F191" s="204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  <c r="AA191" s="200"/>
    </row>
    <row r="192">
      <c r="A192" s="200"/>
      <c r="B192" s="200"/>
      <c r="C192" s="200"/>
      <c r="D192" s="200"/>
      <c r="E192" s="200"/>
      <c r="F192" s="204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  <c r="AA192" s="200"/>
    </row>
    <row r="193">
      <c r="A193" s="200"/>
      <c r="B193" s="200"/>
      <c r="C193" s="200"/>
      <c r="D193" s="200"/>
      <c r="E193" s="200"/>
      <c r="F193" s="204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  <c r="AA193" s="200"/>
    </row>
    <row r="194">
      <c r="A194" s="200"/>
      <c r="B194" s="200"/>
      <c r="C194" s="200"/>
      <c r="D194" s="200"/>
      <c r="E194" s="200"/>
      <c r="F194" s="204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  <c r="AA194" s="200"/>
    </row>
    <row r="195">
      <c r="A195" s="200"/>
      <c r="B195" s="200"/>
      <c r="C195" s="200"/>
      <c r="D195" s="200"/>
      <c r="E195" s="200"/>
      <c r="F195" s="204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  <c r="AA195" s="200"/>
    </row>
    <row r="196">
      <c r="A196" s="200"/>
      <c r="B196" s="200"/>
      <c r="C196" s="200"/>
      <c r="D196" s="200"/>
      <c r="E196" s="200"/>
      <c r="F196" s="204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  <c r="AA196" s="200"/>
    </row>
    <row r="197">
      <c r="A197" s="200"/>
      <c r="B197" s="200"/>
      <c r="C197" s="200"/>
      <c r="D197" s="200"/>
      <c r="E197" s="200"/>
      <c r="F197" s="204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200"/>
    </row>
    <row r="198">
      <c r="A198" s="200"/>
      <c r="B198" s="200"/>
      <c r="C198" s="200"/>
      <c r="D198" s="200"/>
      <c r="E198" s="200"/>
      <c r="F198" s="204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200"/>
    </row>
    <row r="199">
      <c r="A199" s="200"/>
      <c r="B199" s="200"/>
      <c r="C199" s="200"/>
      <c r="D199" s="200"/>
      <c r="E199" s="200"/>
      <c r="F199" s="204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  <c r="AA199" s="200"/>
    </row>
    <row r="200">
      <c r="A200" s="200"/>
      <c r="B200" s="200"/>
      <c r="C200" s="200"/>
      <c r="D200" s="200"/>
      <c r="E200" s="200"/>
      <c r="F200" s="204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  <c r="AA200" s="200"/>
    </row>
    <row r="201">
      <c r="A201" s="200"/>
      <c r="B201" s="200"/>
      <c r="C201" s="200"/>
      <c r="D201" s="200"/>
      <c r="E201" s="200"/>
      <c r="F201" s="204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  <c r="AA201" s="200"/>
    </row>
    <row r="202">
      <c r="A202" s="200"/>
      <c r="B202" s="200"/>
      <c r="C202" s="200"/>
      <c r="D202" s="200"/>
      <c r="E202" s="200"/>
      <c r="F202" s="204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  <c r="AA202" s="200"/>
    </row>
    <row r="203">
      <c r="A203" s="200"/>
      <c r="B203" s="200"/>
      <c r="C203" s="200"/>
      <c r="D203" s="200"/>
      <c r="E203" s="200"/>
      <c r="F203" s="204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  <c r="AA203" s="200"/>
    </row>
    <row r="204">
      <c r="A204" s="200"/>
      <c r="B204" s="200"/>
      <c r="C204" s="200"/>
      <c r="D204" s="200"/>
      <c r="E204" s="200"/>
      <c r="F204" s="204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  <c r="AA204" s="200"/>
    </row>
    <row r="205">
      <c r="A205" s="200"/>
      <c r="B205" s="200"/>
      <c r="C205" s="200"/>
      <c r="D205" s="200"/>
      <c r="E205" s="200"/>
      <c r="F205" s="204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  <c r="AA205" s="200"/>
    </row>
    <row r="206">
      <c r="A206" s="200"/>
      <c r="B206" s="200"/>
      <c r="C206" s="200"/>
      <c r="D206" s="200"/>
      <c r="E206" s="200"/>
      <c r="F206" s="204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  <c r="AA206" s="200"/>
    </row>
    <row r="207">
      <c r="A207" s="200"/>
      <c r="B207" s="200"/>
      <c r="C207" s="200"/>
      <c r="D207" s="200"/>
      <c r="E207" s="200"/>
      <c r="F207" s="204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  <c r="AA207" s="200"/>
    </row>
    <row r="208">
      <c r="A208" s="200"/>
      <c r="B208" s="200"/>
      <c r="C208" s="200"/>
      <c r="D208" s="200"/>
      <c r="E208" s="200"/>
      <c r="F208" s="204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  <c r="AA208" s="200"/>
    </row>
    <row r="209">
      <c r="A209" s="200"/>
      <c r="B209" s="200"/>
      <c r="C209" s="200"/>
      <c r="D209" s="200"/>
      <c r="E209" s="200"/>
      <c r="F209" s="204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200"/>
    </row>
    <row r="210">
      <c r="A210" s="200"/>
      <c r="B210" s="200"/>
      <c r="C210" s="200"/>
      <c r="D210" s="200"/>
      <c r="E210" s="200"/>
      <c r="F210" s="204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  <c r="AA210" s="200"/>
    </row>
    <row r="211">
      <c r="A211" s="200"/>
      <c r="B211" s="200"/>
      <c r="C211" s="200"/>
      <c r="D211" s="200"/>
      <c r="E211" s="200"/>
      <c r="F211" s="204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200"/>
    </row>
    <row r="212">
      <c r="A212" s="200"/>
      <c r="B212" s="200"/>
      <c r="C212" s="200"/>
      <c r="D212" s="200"/>
      <c r="E212" s="200"/>
      <c r="F212" s="204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</row>
    <row r="213">
      <c r="A213" s="200"/>
      <c r="B213" s="200"/>
      <c r="C213" s="200"/>
      <c r="D213" s="200"/>
      <c r="E213" s="200"/>
      <c r="F213" s="204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</row>
    <row r="214">
      <c r="A214" s="200"/>
      <c r="B214" s="200"/>
      <c r="C214" s="200"/>
      <c r="D214" s="200"/>
      <c r="E214" s="200"/>
      <c r="F214" s="204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  <c r="AA214" s="200"/>
    </row>
    <row r="215">
      <c r="A215" s="200"/>
      <c r="B215" s="200"/>
      <c r="C215" s="200"/>
      <c r="D215" s="200"/>
      <c r="E215" s="200"/>
      <c r="F215" s="204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</row>
    <row r="216">
      <c r="A216" s="200"/>
      <c r="B216" s="200"/>
      <c r="C216" s="200"/>
      <c r="D216" s="200"/>
      <c r="E216" s="200"/>
      <c r="F216" s="204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</row>
    <row r="217">
      <c r="A217" s="200"/>
      <c r="B217" s="200"/>
      <c r="C217" s="200"/>
      <c r="D217" s="200"/>
      <c r="E217" s="200"/>
      <c r="F217" s="204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  <c r="AA217" s="200"/>
    </row>
    <row r="218">
      <c r="A218" s="200"/>
      <c r="B218" s="200"/>
      <c r="C218" s="200"/>
      <c r="D218" s="200"/>
      <c r="E218" s="200"/>
      <c r="F218" s="204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  <c r="AA218" s="200"/>
    </row>
    <row r="219">
      <c r="A219" s="200"/>
      <c r="B219" s="200"/>
      <c r="C219" s="200"/>
      <c r="D219" s="200"/>
      <c r="E219" s="200"/>
      <c r="F219" s="204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  <c r="AA219" s="200"/>
    </row>
    <row r="220">
      <c r="A220" s="200"/>
      <c r="B220" s="200"/>
      <c r="C220" s="200"/>
      <c r="D220" s="200"/>
      <c r="E220" s="200"/>
      <c r="F220" s="204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</row>
    <row r="221">
      <c r="A221" s="200"/>
      <c r="B221" s="200"/>
      <c r="C221" s="200"/>
      <c r="D221" s="200"/>
      <c r="E221" s="200"/>
      <c r="F221" s="204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  <c r="AA221" s="200"/>
    </row>
    <row r="222">
      <c r="A222" s="200"/>
      <c r="B222" s="200"/>
      <c r="C222" s="200"/>
      <c r="D222" s="200"/>
      <c r="E222" s="200"/>
      <c r="F222" s="204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  <c r="AA222" s="200"/>
    </row>
    <row r="223">
      <c r="A223" s="200"/>
      <c r="B223" s="200"/>
      <c r="C223" s="200"/>
      <c r="D223" s="200"/>
      <c r="E223" s="200"/>
      <c r="F223" s="204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</row>
    <row r="224">
      <c r="A224" s="200"/>
      <c r="B224" s="200"/>
      <c r="C224" s="200"/>
      <c r="D224" s="200"/>
      <c r="E224" s="200"/>
      <c r="F224" s="204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</row>
    <row r="225">
      <c r="A225" s="200"/>
      <c r="B225" s="200"/>
      <c r="C225" s="200"/>
      <c r="D225" s="200"/>
      <c r="E225" s="200"/>
      <c r="F225" s="204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  <c r="AA225" s="200"/>
    </row>
    <row r="226">
      <c r="A226" s="200"/>
      <c r="B226" s="200"/>
      <c r="C226" s="200"/>
      <c r="D226" s="200"/>
      <c r="E226" s="200"/>
      <c r="F226" s="204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</row>
    <row r="227">
      <c r="A227" s="200"/>
      <c r="B227" s="200"/>
      <c r="C227" s="200"/>
      <c r="D227" s="200"/>
      <c r="E227" s="200"/>
      <c r="F227" s="204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</row>
    <row r="228">
      <c r="A228" s="200"/>
      <c r="B228" s="200"/>
      <c r="C228" s="200"/>
      <c r="D228" s="200"/>
      <c r="E228" s="200"/>
      <c r="F228" s="204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  <c r="AA228" s="200"/>
    </row>
    <row r="229">
      <c r="A229" s="200"/>
      <c r="B229" s="200"/>
      <c r="C229" s="200"/>
      <c r="D229" s="200"/>
      <c r="E229" s="200"/>
      <c r="F229" s="204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  <c r="AA229" s="200"/>
    </row>
    <row r="230">
      <c r="A230" s="200"/>
      <c r="B230" s="200"/>
      <c r="C230" s="200"/>
      <c r="D230" s="200"/>
      <c r="E230" s="200"/>
      <c r="F230" s="204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  <c r="AA230" s="200"/>
    </row>
    <row r="231">
      <c r="A231" s="200"/>
      <c r="B231" s="200"/>
      <c r="C231" s="200"/>
      <c r="D231" s="200"/>
      <c r="E231" s="200"/>
      <c r="F231" s="204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  <c r="AA231" s="200"/>
    </row>
    <row r="232">
      <c r="A232" s="200"/>
      <c r="B232" s="200"/>
      <c r="C232" s="200"/>
      <c r="D232" s="200"/>
      <c r="E232" s="200"/>
      <c r="F232" s="204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  <c r="AA232" s="200"/>
    </row>
    <row r="233">
      <c r="A233" s="200"/>
      <c r="B233" s="200"/>
      <c r="C233" s="200"/>
      <c r="D233" s="200"/>
      <c r="E233" s="200"/>
      <c r="F233" s="204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  <c r="AA233" s="200"/>
    </row>
    <row r="234">
      <c r="A234" s="200"/>
      <c r="B234" s="200"/>
      <c r="C234" s="200"/>
      <c r="D234" s="200"/>
      <c r="E234" s="200"/>
      <c r="F234" s="204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  <c r="AA234" s="200"/>
    </row>
    <row r="235">
      <c r="A235" s="200"/>
      <c r="B235" s="200"/>
      <c r="C235" s="200"/>
      <c r="D235" s="200"/>
      <c r="E235" s="200"/>
      <c r="F235" s="204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  <c r="AA235" s="200"/>
    </row>
    <row r="236">
      <c r="A236" s="200"/>
      <c r="B236" s="200"/>
      <c r="C236" s="200"/>
      <c r="D236" s="200"/>
      <c r="E236" s="200"/>
      <c r="F236" s="204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  <c r="AA236" s="200"/>
    </row>
    <row r="237">
      <c r="A237" s="200"/>
      <c r="B237" s="200"/>
      <c r="C237" s="200"/>
      <c r="D237" s="200"/>
      <c r="E237" s="200"/>
      <c r="F237" s="204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  <c r="AA237" s="200"/>
    </row>
    <row r="238">
      <c r="A238" s="200"/>
      <c r="B238" s="200"/>
      <c r="C238" s="200"/>
      <c r="D238" s="200"/>
      <c r="E238" s="200"/>
      <c r="F238" s="204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  <c r="AA238" s="200"/>
    </row>
    <row r="239">
      <c r="A239" s="200"/>
      <c r="B239" s="200"/>
      <c r="C239" s="200"/>
      <c r="D239" s="200"/>
      <c r="E239" s="200"/>
      <c r="F239" s="204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</row>
    <row r="240">
      <c r="A240" s="200"/>
      <c r="B240" s="200"/>
      <c r="C240" s="200"/>
      <c r="D240" s="200"/>
      <c r="E240" s="200"/>
      <c r="F240" s="204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</row>
    <row r="241">
      <c r="A241" s="200"/>
      <c r="B241" s="200"/>
      <c r="C241" s="200"/>
      <c r="D241" s="200"/>
      <c r="E241" s="200"/>
      <c r="F241" s="204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  <c r="AA241" s="200"/>
    </row>
    <row r="242">
      <c r="A242" s="200"/>
      <c r="B242" s="200"/>
      <c r="C242" s="200"/>
      <c r="D242" s="200"/>
      <c r="E242" s="200"/>
      <c r="F242" s="204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  <c r="AA242" s="200"/>
    </row>
    <row r="243">
      <c r="A243" s="200"/>
      <c r="B243" s="200"/>
      <c r="C243" s="200"/>
      <c r="D243" s="200"/>
      <c r="E243" s="200"/>
      <c r="F243" s="204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  <c r="AA243" s="200"/>
    </row>
    <row r="244">
      <c r="A244" s="200"/>
      <c r="B244" s="200"/>
      <c r="C244" s="200"/>
      <c r="D244" s="200"/>
      <c r="E244" s="200"/>
      <c r="F244" s="204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  <c r="AA244" s="200"/>
    </row>
    <row r="245">
      <c r="A245" s="200"/>
      <c r="B245" s="200"/>
      <c r="C245" s="200"/>
      <c r="D245" s="200"/>
      <c r="E245" s="200"/>
      <c r="F245" s="204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  <c r="AA245" s="200"/>
    </row>
    <row r="246">
      <c r="A246" s="200"/>
      <c r="B246" s="200"/>
      <c r="C246" s="200"/>
      <c r="D246" s="200"/>
      <c r="E246" s="200"/>
      <c r="F246" s="204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  <c r="AA246" s="200"/>
    </row>
    <row r="247">
      <c r="A247" s="200"/>
      <c r="B247" s="200"/>
      <c r="C247" s="200"/>
      <c r="D247" s="200"/>
      <c r="E247" s="200"/>
      <c r="F247" s="204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  <c r="AA247" s="200"/>
    </row>
    <row r="248">
      <c r="A248" s="200"/>
      <c r="B248" s="200"/>
      <c r="C248" s="200"/>
      <c r="D248" s="200"/>
      <c r="E248" s="200"/>
      <c r="F248" s="204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</row>
    <row r="249">
      <c r="A249" s="200"/>
      <c r="B249" s="200"/>
      <c r="C249" s="200"/>
      <c r="D249" s="200"/>
      <c r="E249" s="200"/>
      <c r="F249" s="204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</row>
    <row r="250">
      <c r="A250" s="200"/>
      <c r="B250" s="200"/>
      <c r="C250" s="200"/>
      <c r="D250" s="200"/>
      <c r="E250" s="200"/>
      <c r="F250" s="204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</row>
    <row r="251">
      <c r="A251" s="200"/>
      <c r="B251" s="200"/>
      <c r="C251" s="200"/>
      <c r="D251" s="200"/>
      <c r="E251" s="200"/>
      <c r="F251" s="204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  <c r="AA251" s="200"/>
    </row>
    <row r="252">
      <c r="A252" s="200"/>
      <c r="B252" s="200"/>
      <c r="C252" s="200"/>
      <c r="D252" s="200"/>
      <c r="E252" s="200"/>
      <c r="F252" s="204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</row>
    <row r="253">
      <c r="A253" s="200"/>
      <c r="B253" s="200"/>
      <c r="C253" s="200"/>
      <c r="D253" s="200"/>
      <c r="E253" s="200"/>
      <c r="F253" s="204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</row>
    <row r="254">
      <c r="A254" s="200"/>
      <c r="B254" s="200"/>
      <c r="C254" s="200"/>
      <c r="D254" s="200"/>
      <c r="E254" s="200"/>
      <c r="F254" s="204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  <c r="AA254" s="200"/>
    </row>
    <row r="255">
      <c r="A255" s="200"/>
      <c r="B255" s="200"/>
      <c r="C255" s="200"/>
      <c r="D255" s="200"/>
      <c r="E255" s="200"/>
      <c r="F255" s="204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  <c r="AA255" s="200"/>
    </row>
    <row r="256">
      <c r="A256" s="200"/>
      <c r="B256" s="200"/>
      <c r="C256" s="200"/>
      <c r="D256" s="200"/>
      <c r="E256" s="200"/>
      <c r="F256" s="204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  <c r="AA256" s="200"/>
    </row>
    <row r="257">
      <c r="A257" s="200"/>
      <c r="B257" s="200"/>
      <c r="C257" s="200"/>
      <c r="D257" s="200"/>
      <c r="E257" s="200"/>
      <c r="F257" s="204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  <c r="AA257" s="200"/>
    </row>
    <row r="258">
      <c r="A258" s="200"/>
      <c r="B258" s="200"/>
      <c r="C258" s="200"/>
      <c r="D258" s="200"/>
      <c r="E258" s="200"/>
      <c r="F258" s="204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  <c r="AA258" s="200"/>
    </row>
    <row r="259">
      <c r="A259" s="200"/>
      <c r="B259" s="200"/>
      <c r="C259" s="200"/>
      <c r="D259" s="200"/>
      <c r="E259" s="200"/>
      <c r="F259" s="204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  <c r="AA259" s="200"/>
    </row>
    <row r="260">
      <c r="A260" s="200"/>
      <c r="B260" s="200"/>
      <c r="C260" s="200"/>
      <c r="D260" s="200"/>
      <c r="E260" s="200"/>
      <c r="F260" s="204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</row>
    <row r="261">
      <c r="A261" s="200"/>
      <c r="B261" s="200"/>
      <c r="C261" s="200"/>
      <c r="D261" s="200"/>
      <c r="E261" s="200"/>
      <c r="F261" s="204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</row>
    <row r="262">
      <c r="A262" s="200"/>
      <c r="B262" s="200"/>
      <c r="C262" s="200"/>
      <c r="D262" s="200"/>
      <c r="E262" s="200"/>
      <c r="F262" s="204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</row>
    <row r="263">
      <c r="A263" s="200"/>
      <c r="B263" s="200"/>
      <c r="C263" s="200"/>
      <c r="D263" s="200"/>
      <c r="E263" s="200"/>
      <c r="F263" s="204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</row>
    <row r="264">
      <c r="A264" s="200"/>
      <c r="B264" s="200"/>
      <c r="C264" s="200"/>
      <c r="D264" s="200"/>
      <c r="E264" s="200"/>
      <c r="F264" s="204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  <c r="AA264" s="200"/>
    </row>
    <row r="265">
      <c r="A265" s="200"/>
      <c r="B265" s="200"/>
      <c r="C265" s="200"/>
      <c r="D265" s="200"/>
      <c r="E265" s="200"/>
      <c r="F265" s="204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  <c r="AA265" s="200"/>
    </row>
    <row r="266">
      <c r="A266" s="200"/>
      <c r="B266" s="200"/>
      <c r="C266" s="200"/>
      <c r="D266" s="200"/>
      <c r="E266" s="200"/>
      <c r="F266" s="204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  <c r="AA266" s="200"/>
    </row>
    <row r="267">
      <c r="A267" s="200"/>
      <c r="B267" s="200"/>
      <c r="C267" s="200"/>
      <c r="D267" s="200"/>
      <c r="E267" s="200"/>
      <c r="F267" s="204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  <c r="AA267" s="200"/>
    </row>
    <row r="268">
      <c r="A268" s="200"/>
      <c r="B268" s="200"/>
      <c r="C268" s="200"/>
      <c r="D268" s="200"/>
      <c r="E268" s="200"/>
      <c r="F268" s="204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  <c r="AA268" s="200"/>
    </row>
    <row r="269">
      <c r="A269" s="200"/>
      <c r="B269" s="200"/>
      <c r="C269" s="200"/>
      <c r="D269" s="200"/>
      <c r="E269" s="200"/>
      <c r="F269" s="204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  <c r="AA269" s="200"/>
    </row>
    <row r="270">
      <c r="A270" s="200"/>
      <c r="B270" s="200"/>
      <c r="C270" s="200"/>
      <c r="D270" s="200"/>
      <c r="E270" s="200"/>
      <c r="F270" s="204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  <c r="AA270" s="200"/>
    </row>
    <row r="271">
      <c r="A271" s="200"/>
      <c r="B271" s="200"/>
      <c r="C271" s="200"/>
      <c r="D271" s="200"/>
      <c r="E271" s="200"/>
      <c r="F271" s="204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  <c r="AA271" s="200"/>
    </row>
    <row r="272">
      <c r="A272" s="200"/>
      <c r="B272" s="200"/>
      <c r="C272" s="200"/>
      <c r="D272" s="200"/>
      <c r="E272" s="200"/>
      <c r="F272" s="204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  <c r="AA272" s="200"/>
    </row>
    <row r="273">
      <c r="A273" s="200"/>
      <c r="B273" s="200"/>
      <c r="C273" s="200"/>
      <c r="D273" s="200"/>
      <c r="E273" s="200"/>
      <c r="F273" s="204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  <c r="AA273" s="200"/>
    </row>
    <row r="274">
      <c r="A274" s="200"/>
      <c r="B274" s="200"/>
      <c r="C274" s="200"/>
      <c r="D274" s="200"/>
      <c r="E274" s="200"/>
      <c r="F274" s="204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  <c r="AA274" s="200"/>
    </row>
    <row r="275">
      <c r="A275" s="200"/>
      <c r="B275" s="200"/>
      <c r="C275" s="200"/>
      <c r="D275" s="200"/>
      <c r="E275" s="200"/>
      <c r="F275" s="204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  <c r="AA275" s="200"/>
    </row>
    <row r="276">
      <c r="A276" s="200"/>
      <c r="B276" s="200"/>
      <c r="C276" s="200"/>
      <c r="D276" s="200"/>
      <c r="E276" s="200"/>
      <c r="F276" s="204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  <c r="AA276" s="200"/>
    </row>
    <row r="277">
      <c r="A277" s="200"/>
      <c r="B277" s="200"/>
      <c r="C277" s="200"/>
      <c r="D277" s="200"/>
      <c r="E277" s="200"/>
      <c r="F277" s="204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  <c r="AA277" s="200"/>
    </row>
    <row r="278">
      <c r="A278" s="200"/>
      <c r="B278" s="200"/>
      <c r="C278" s="200"/>
      <c r="D278" s="200"/>
      <c r="E278" s="200"/>
      <c r="F278" s="204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  <c r="AA278" s="200"/>
    </row>
    <row r="279">
      <c r="A279" s="200"/>
      <c r="B279" s="200"/>
      <c r="C279" s="200"/>
      <c r="D279" s="200"/>
      <c r="E279" s="200"/>
      <c r="F279" s="204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  <c r="AA279" s="200"/>
    </row>
    <row r="280">
      <c r="A280" s="200"/>
      <c r="B280" s="200"/>
      <c r="C280" s="200"/>
      <c r="D280" s="200"/>
      <c r="E280" s="200"/>
      <c r="F280" s="204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  <c r="AA280" s="200"/>
    </row>
    <row r="281">
      <c r="A281" s="200"/>
      <c r="B281" s="200"/>
      <c r="C281" s="200"/>
      <c r="D281" s="200"/>
      <c r="E281" s="200"/>
      <c r="F281" s="204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  <c r="AA281" s="200"/>
    </row>
    <row r="282">
      <c r="A282" s="200"/>
      <c r="B282" s="200"/>
      <c r="C282" s="200"/>
      <c r="D282" s="200"/>
      <c r="E282" s="200"/>
      <c r="F282" s="204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  <c r="AA282" s="200"/>
    </row>
    <row r="283">
      <c r="A283" s="200"/>
      <c r="B283" s="200"/>
      <c r="C283" s="200"/>
      <c r="D283" s="200"/>
      <c r="E283" s="200"/>
      <c r="F283" s="204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  <c r="AA283" s="200"/>
    </row>
    <row r="284">
      <c r="A284" s="200"/>
      <c r="B284" s="200"/>
      <c r="C284" s="200"/>
      <c r="D284" s="200"/>
      <c r="E284" s="200"/>
      <c r="F284" s="204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  <c r="AA284" s="200"/>
    </row>
    <row r="285">
      <c r="A285" s="200"/>
      <c r="B285" s="200"/>
      <c r="C285" s="200"/>
      <c r="D285" s="200"/>
      <c r="E285" s="200"/>
      <c r="F285" s="204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  <c r="AA285" s="200"/>
    </row>
    <row r="286">
      <c r="A286" s="200"/>
      <c r="B286" s="200"/>
      <c r="C286" s="200"/>
      <c r="D286" s="200"/>
      <c r="E286" s="200"/>
      <c r="F286" s="204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  <c r="AA286" s="200"/>
    </row>
    <row r="287">
      <c r="A287" s="200"/>
      <c r="B287" s="200"/>
      <c r="C287" s="200"/>
      <c r="D287" s="200"/>
      <c r="E287" s="200"/>
      <c r="F287" s="204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  <c r="AA287" s="200"/>
    </row>
    <row r="288">
      <c r="A288" s="200"/>
      <c r="B288" s="200"/>
      <c r="C288" s="200"/>
      <c r="D288" s="200"/>
      <c r="E288" s="200"/>
      <c r="F288" s="204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  <c r="AA288" s="200"/>
    </row>
    <row r="289">
      <c r="A289" s="200"/>
      <c r="B289" s="200"/>
      <c r="C289" s="200"/>
      <c r="D289" s="200"/>
      <c r="E289" s="200"/>
      <c r="F289" s="204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  <c r="AA289" s="200"/>
    </row>
    <row r="290">
      <c r="A290" s="200"/>
      <c r="B290" s="200"/>
      <c r="C290" s="200"/>
      <c r="D290" s="200"/>
      <c r="E290" s="200"/>
      <c r="F290" s="204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  <c r="AA290" s="200"/>
    </row>
    <row r="291">
      <c r="A291" s="200"/>
      <c r="B291" s="200"/>
      <c r="C291" s="200"/>
      <c r="D291" s="200"/>
      <c r="E291" s="200"/>
      <c r="F291" s="204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  <c r="AA291" s="200"/>
    </row>
    <row r="292">
      <c r="A292" s="200"/>
      <c r="B292" s="200"/>
      <c r="C292" s="200"/>
      <c r="D292" s="200"/>
      <c r="E292" s="200"/>
      <c r="F292" s="204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  <c r="AA292" s="200"/>
    </row>
    <row r="293">
      <c r="A293" s="200"/>
      <c r="B293" s="200"/>
      <c r="C293" s="200"/>
      <c r="D293" s="200"/>
      <c r="E293" s="200"/>
      <c r="F293" s="204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  <c r="AA293" s="200"/>
    </row>
    <row r="294">
      <c r="A294" s="200"/>
      <c r="B294" s="200"/>
      <c r="C294" s="200"/>
      <c r="D294" s="200"/>
      <c r="E294" s="200"/>
      <c r="F294" s="204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  <c r="AA294" s="200"/>
    </row>
    <row r="295">
      <c r="A295" s="200"/>
      <c r="B295" s="200"/>
      <c r="C295" s="200"/>
      <c r="D295" s="200"/>
      <c r="E295" s="200"/>
      <c r="F295" s="204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  <c r="AA295" s="200"/>
    </row>
    <row r="296">
      <c r="A296" s="200"/>
      <c r="B296" s="200"/>
      <c r="C296" s="200"/>
      <c r="D296" s="200"/>
      <c r="E296" s="200"/>
      <c r="F296" s="204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  <c r="AA296" s="200"/>
    </row>
    <row r="297">
      <c r="A297" s="200"/>
      <c r="B297" s="200"/>
      <c r="C297" s="200"/>
      <c r="D297" s="200"/>
      <c r="E297" s="200"/>
      <c r="F297" s="204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  <c r="AA297" s="200"/>
    </row>
    <row r="298">
      <c r="A298" s="200"/>
      <c r="B298" s="200"/>
      <c r="C298" s="200"/>
      <c r="D298" s="200"/>
      <c r="E298" s="200"/>
      <c r="F298" s="204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  <c r="AA298" s="200"/>
    </row>
    <row r="299">
      <c r="A299" s="200"/>
      <c r="B299" s="200"/>
      <c r="C299" s="200"/>
      <c r="D299" s="200"/>
      <c r="E299" s="200"/>
      <c r="F299" s="204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  <c r="AA299" s="200"/>
    </row>
    <row r="300">
      <c r="A300" s="200"/>
      <c r="B300" s="200"/>
      <c r="C300" s="200"/>
      <c r="D300" s="200"/>
      <c r="E300" s="200"/>
      <c r="F300" s="204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  <c r="AA300" s="200"/>
    </row>
    <row r="301">
      <c r="A301" s="200"/>
      <c r="B301" s="200"/>
      <c r="C301" s="200"/>
      <c r="D301" s="200"/>
      <c r="E301" s="200"/>
      <c r="F301" s="204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  <c r="AA301" s="200"/>
    </row>
    <row r="302">
      <c r="A302" s="200"/>
      <c r="B302" s="200"/>
      <c r="C302" s="200"/>
      <c r="D302" s="200"/>
      <c r="E302" s="200"/>
      <c r="F302" s="204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  <c r="AA302" s="200"/>
    </row>
    <row r="303">
      <c r="A303" s="200"/>
      <c r="B303" s="200"/>
      <c r="C303" s="200"/>
      <c r="D303" s="200"/>
      <c r="E303" s="200"/>
      <c r="F303" s="204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  <c r="AA303" s="200"/>
    </row>
    <row r="304">
      <c r="A304" s="200"/>
      <c r="B304" s="200"/>
      <c r="C304" s="200"/>
      <c r="D304" s="200"/>
      <c r="E304" s="200"/>
      <c r="F304" s="204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  <c r="AA304" s="200"/>
    </row>
    <row r="305">
      <c r="A305" s="200"/>
      <c r="B305" s="200"/>
      <c r="C305" s="200"/>
      <c r="D305" s="200"/>
      <c r="E305" s="200"/>
      <c r="F305" s="204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  <c r="AA305" s="200"/>
    </row>
    <row r="306">
      <c r="A306" s="200"/>
      <c r="B306" s="200"/>
      <c r="C306" s="200"/>
      <c r="D306" s="200"/>
      <c r="E306" s="200"/>
      <c r="F306" s="204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  <c r="AA306" s="200"/>
    </row>
    <row r="307">
      <c r="A307" s="200"/>
      <c r="B307" s="200"/>
      <c r="C307" s="200"/>
      <c r="D307" s="200"/>
      <c r="E307" s="200"/>
      <c r="F307" s="204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  <c r="AA307" s="200"/>
    </row>
    <row r="308">
      <c r="A308" s="200"/>
      <c r="B308" s="200"/>
      <c r="C308" s="200"/>
      <c r="D308" s="200"/>
      <c r="E308" s="200"/>
      <c r="F308" s="204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  <c r="AA308" s="200"/>
    </row>
    <row r="309">
      <c r="A309" s="200"/>
      <c r="B309" s="200"/>
      <c r="C309" s="200"/>
      <c r="D309" s="200"/>
      <c r="E309" s="200"/>
      <c r="F309" s="204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  <c r="AA309" s="200"/>
    </row>
    <row r="310">
      <c r="A310" s="200"/>
      <c r="B310" s="200"/>
      <c r="C310" s="200"/>
      <c r="D310" s="200"/>
      <c r="E310" s="200"/>
      <c r="F310" s="204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  <c r="AA310" s="200"/>
    </row>
    <row r="311">
      <c r="A311" s="200"/>
      <c r="B311" s="200"/>
      <c r="C311" s="200"/>
      <c r="D311" s="200"/>
      <c r="E311" s="200"/>
      <c r="F311" s="204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  <c r="AA311" s="200"/>
    </row>
    <row r="312">
      <c r="A312" s="200"/>
      <c r="B312" s="200"/>
      <c r="C312" s="200"/>
      <c r="D312" s="200"/>
      <c r="E312" s="200"/>
      <c r="F312" s="204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  <c r="AA312" s="200"/>
    </row>
    <row r="313">
      <c r="A313" s="200"/>
      <c r="B313" s="200"/>
      <c r="C313" s="200"/>
      <c r="D313" s="200"/>
      <c r="E313" s="200"/>
      <c r="F313" s="204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  <c r="AA313" s="200"/>
    </row>
    <row r="314">
      <c r="A314" s="200"/>
      <c r="B314" s="200"/>
      <c r="C314" s="200"/>
      <c r="D314" s="200"/>
      <c r="E314" s="200"/>
      <c r="F314" s="204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  <c r="AA314" s="200"/>
    </row>
    <row r="315">
      <c r="A315" s="200"/>
      <c r="B315" s="200"/>
      <c r="C315" s="200"/>
      <c r="D315" s="200"/>
      <c r="E315" s="200"/>
      <c r="F315" s="204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  <c r="AA315" s="200"/>
    </row>
    <row r="316">
      <c r="A316" s="200"/>
      <c r="B316" s="200"/>
      <c r="C316" s="200"/>
      <c r="D316" s="200"/>
      <c r="E316" s="200"/>
      <c r="F316" s="204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  <c r="AA316" s="200"/>
    </row>
    <row r="317">
      <c r="A317" s="200"/>
      <c r="B317" s="200"/>
      <c r="C317" s="200"/>
      <c r="D317" s="200"/>
      <c r="E317" s="200"/>
      <c r="F317" s="204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  <c r="AA317" s="200"/>
    </row>
    <row r="318">
      <c r="A318" s="200"/>
      <c r="B318" s="200"/>
      <c r="C318" s="200"/>
      <c r="D318" s="200"/>
      <c r="E318" s="200"/>
      <c r="F318" s="204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  <c r="AA318" s="200"/>
    </row>
    <row r="319">
      <c r="A319" s="200"/>
      <c r="B319" s="200"/>
      <c r="C319" s="200"/>
      <c r="D319" s="200"/>
      <c r="E319" s="200"/>
      <c r="F319" s="204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  <c r="AA319" s="200"/>
    </row>
    <row r="320">
      <c r="A320" s="200"/>
      <c r="B320" s="200"/>
      <c r="C320" s="200"/>
      <c r="D320" s="200"/>
      <c r="E320" s="200"/>
      <c r="F320" s="204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  <c r="AA320" s="200"/>
    </row>
    <row r="321">
      <c r="A321" s="200"/>
      <c r="B321" s="200"/>
      <c r="C321" s="200"/>
      <c r="D321" s="200"/>
      <c r="E321" s="200"/>
      <c r="F321" s="204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  <c r="AA321" s="200"/>
    </row>
    <row r="322">
      <c r="A322" s="200"/>
      <c r="B322" s="200"/>
      <c r="C322" s="200"/>
      <c r="D322" s="200"/>
      <c r="E322" s="200"/>
      <c r="F322" s="204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  <c r="AA322" s="200"/>
    </row>
    <row r="323">
      <c r="A323" s="200"/>
      <c r="B323" s="200"/>
      <c r="C323" s="200"/>
      <c r="D323" s="200"/>
      <c r="E323" s="200"/>
      <c r="F323" s="204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  <c r="AA323" s="200"/>
    </row>
    <row r="324">
      <c r="A324" s="200"/>
      <c r="B324" s="200"/>
      <c r="C324" s="200"/>
      <c r="D324" s="200"/>
      <c r="E324" s="200"/>
      <c r="F324" s="204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  <c r="AA324" s="200"/>
    </row>
    <row r="325">
      <c r="A325" s="200"/>
      <c r="B325" s="200"/>
      <c r="C325" s="200"/>
      <c r="D325" s="200"/>
      <c r="E325" s="200"/>
      <c r="F325" s="204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  <c r="AA325" s="200"/>
    </row>
    <row r="326">
      <c r="A326" s="200"/>
      <c r="B326" s="200"/>
      <c r="C326" s="200"/>
      <c r="D326" s="200"/>
      <c r="E326" s="200"/>
      <c r="F326" s="204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  <c r="AA326" s="200"/>
    </row>
    <row r="327">
      <c r="A327" s="200"/>
      <c r="B327" s="200"/>
      <c r="C327" s="200"/>
      <c r="D327" s="200"/>
      <c r="E327" s="200"/>
      <c r="F327" s="204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  <c r="AA327" s="200"/>
    </row>
    <row r="328">
      <c r="A328" s="200"/>
      <c r="B328" s="200"/>
      <c r="C328" s="200"/>
      <c r="D328" s="200"/>
      <c r="E328" s="200"/>
      <c r="F328" s="204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  <c r="AA328" s="200"/>
    </row>
    <row r="329">
      <c r="A329" s="200"/>
      <c r="B329" s="200"/>
      <c r="C329" s="200"/>
      <c r="D329" s="200"/>
      <c r="E329" s="200"/>
      <c r="F329" s="204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  <c r="AA329" s="200"/>
    </row>
    <row r="330">
      <c r="A330" s="200"/>
      <c r="B330" s="200"/>
      <c r="C330" s="200"/>
      <c r="D330" s="200"/>
      <c r="E330" s="200"/>
      <c r="F330" s="204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  <c r="AA330" s="200"/>
    </row>
    <row r="331">
      <c r="A331" s="200"/>
      <c r="B331" s="200"/>
      <c r="C331" s="200"/>
      <c r="D331" s="200"/>
      <c r="E331" s="200"/>
      <c r="F331" s="204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  <c r="AA331" s="200"/>
    </row>
    <row r="332">
      <c r="A332" s="200"/>
      <c r="B332" s="200"/>
      <c r="C332" s="200"/>
      <c r="D332" s="200"/>
      <c r="E332" s="200"/>
      <c r="F332" s="204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  <c r="AA332" s="200"/>
    </row>
    <row r="333">
      <c r="A333" s="200"/>
      <c r="B333" s="200"/>
      <c r="C333" s="200"/>
      <c r="D333" s="200"/>
      <c r="E333" s="200"/>
      <c r="F333" s="204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  <c r="AA333" s="200"/>
    </row>
    <row r="334">
      <c r="A334" s="200"/>
      <c r="B334" s="200"/>
      <c r="C334" s="200"/>
      <c r="D334" s="200"/>
      <c r="E334" s="200"/>
      <c r="F334" s="204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  <c r="AA334" s="200"/>
    </row>
    <row r="335">
      <c r="A335" s="200"/>
      <c r="B335" s="200"/>
      <c r="C335" s="200"/>
      <c r="D335" s="200"/>
      <c r="E335" s="200"/>
      <c r="F335" s="204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  <c r="AA335" s="200"/>
    </row>
    <row r="336">
      <c r="A336" s="200"/>
      <c r="B336" s="200"/>
      <c r="C336" s="200"/>
      <c r="D336" s="200"/>
      <c r="E336" s="200"/>
      <c r="F336" s="204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  <c r="AA336" s="200"/>
    </row>
    <row r="337">
      <c r="A337" s="200"/>
      <c r="B337" s="200"/>
      <c r="C337" s="200"/>
      <c r="D337" s="200"/>
      <c r="E337" s="200"/>
      <c r="F337" s="204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  <c r="AA337" s="200"/>
    </row>
    <row r="338">
      <c r="A338" s="200"/>
      <c r="B338" s="200"/>
      <c r="C338" s="200"/>
      <c r="D338" s="200"/>
      <c r="E338" s="200"/>
      <c r="F338" s="204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  <c r="AA338" s="200"/>
    </row>
    <row r="339">
      <c r="A339" s="200"/>
      <c r="B339" s="200"/>
      <c r="C339" s="200"/>
      <c r="D339" s="200"/>
      <c r="E339" s="200"/>
      <c r="F339" s="204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  <c r="AA339" s="200"/>
    </row>
    <row r="340">
      <c r="A340" s="200"/>
      <c r="B340" s="200"/>
      <c r="C340" s="200"/>
      <c r="D340" s="200"/>
      <c r="E340" s="200"/>
      <c r="F340" s="204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  <c r="AA340" s="200"/>
    </row>
    <row r="341">
      <c r="A341" s="200"/>
      <c r="B341" s="200"/>
      <c r="C341" s="200"/>
      <c r="D341" s="200"/>
      <c r="E341" s="200"/>
      <c r="F341" s="204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  <c r="AA341" s="200"/>
    </row>
    <row r="342">
      <c r="A342" s="200"/>
      <c r="B342" s="200"/>
      <c r="C342" s="200"/>
      <c r="D342" s="200"/>
      <c r="E342" s="200"/>
      <c r="F342" s="204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  <c r="AA342" s="200"/>
    </row>
    <row r="343">
      <c r="A343" s="200"/>
      <c r="B343" s="200"/>
      <c r="C343" s="200"/>
      <c r="D343" s="200"/>
      <c r="E343" s="200"/>
      <c r="F343" s="204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  <c r="AA343" s="200"/>
    </row>
    <row r="344">
      <c r="A344" s="200"/>
      <c r="B344" s="200"/>
      <c r="C344" s="200"/>
      <c r="D344" s="200"/>
      <c r="E344" s="200"/>
      <c r="F344" s="204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  <c r="AA344" s="200"/>
    </row>
    <row r="345">
      <c r="A345" s="200"/>
      <c r="B345" s="200"/>
      <c r="C345" s="200"/>
      <c r="D345" s="200"/>
      <c r="E345" s="200"/>
      <c r="F345" s="204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  <c r="AA345" s="200"/>
    </row>
    <row r="346">
      <c r="A346" s="200"/>
      <c r="B346" s="200"/>
      <c r="C346" s="200"/>
      <c r="D346" s="200"/>
      <c r="E346" s="200"/>
      <c r="F346" s="204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  <c r="AA346" s="200"/>
    </row>
    <row r="347">
      <c r="A347" s="200"/>
      <c r="B347" s="200"/>
      <c r="C347" s="200"/>
      <c r="D347" s="200"/>
      <c r="E347" s="200"/>
      <c r="F347" s="204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  <c r="AA347" s="200"/>
    </row>
    <row r="348">
      <c r="A348" s="200"/>
      <c r="B348" s="200"/>
      <c r="C348" s="200"/>
      <c r="D348" s="200"/>
      <c r="E348" s="200"/>
      <c r="F348" s="204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  <c r="AA348" s="200"/>
    </row>
    <row r="349">
      <c r="A349" s="200"/>
      <c r="B349" s="200"/>
      <c r="C349" s="200"/>
      <c r="D349" s="200"/>
      <c r="E349" s="200"/>
      <c r="F349" s="204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  <c r="AA349" s="200"/>
    </row>
    <row r="350">
      <c r="A350" s="200"/>
      <c r="B350" s="200"/>
      <c r="C350" s="200"/>
      <c r="D350" s="200"/>
      <c r="E350" s="200"/>
      <c r="F350" s="204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  <c r="AA350" s="200"/>
    </row>
    <row r="351">
      <c r="A351" s="200"/>
      <c r="B351" s="200"/>
      <c r="C351" s="200"/>
      <c r="D351" s="200"/>
      <c r="E351" s="200"/>
      <c r="F351" s="204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  <c r="AA351" s="200"/>
    </row>
    <row r="352">
      <c r="A352" s="200"/>
      <c r="B352" s="200"/>
      <c r="C352" s="200"/>
      <c r="D352" s="200"/>
      <c r="E352" s="200"/>
      <c r="F352" s="204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  <c r="AA352" s="200"/>
    </row>
    <row r="353">
      <c r="A353" s="200"/>
      <c r="B353" s="200"/>
      <c r="C353" s="200"/>
      <c r="D353" s="200"/>
      <c r="E353" s="200"/>
      <c r="F353" s="204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  <c r="AA353" s="200"/>
    </row>
    <row r="354">
      <c r="A354" s="200"/>
      <c r="B354" s="200"/>
      <c r="C354" s="200"/>
      <c r="D354" s="200"/>
      <c r="E354" s="200"/>
      <c r="F354" s="204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  <c r="AA354" s="200"/>
    </row>
    <row r="355">
      <c r="A355" s="200"/>
      <c r="B355" s="200"/>
      <c r="C355" s="200"/>
      <c r="D355" s="200"/>
      <c r="E355" s="200"/>
      <c r="F355" s="204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  <c r="AA355" s="200"/>
    </row>
    <row r="356">
      <c r="A356" s="200"/>
      <c r="B356" s="200"/>
      <c r="C356" s="200"/>
      <c r="D356" s="200"/>
      <c r="E356" s="200"/>
      <c r="F356" s="204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  <c r="AA356" s="200"/>
    </row>
    <row r="357">
      <c r="A357" s="200"/>
      <c r="B357" s="200"/>
      <c r="C357" s="200"/>
      <c r="D357" s="200"/>
      <c r="E357" s="200"/>
      <c r="F357" s="204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  <c r="AA357" s="200"/>
    </row>
    <row r="358">
      <c r="A358" s="200"/>
      <c r="B358" s="200"/>
      <c r="C358" s="200"/>
      <c r="D358" s="200"/>
      <c r="E358" s="200"/>
      <c r="F358" s="204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  <c r="AA358" s="200"/>
    </row>
    <row r="359">
      <c r="A359" s="200"/>
      <c r="B359" s="200"/>
      <c r="C359" s="200"/>
      <c r="D359" s="200"/>
      <c r="E359" s="200"/>
      <c r="F359" s="204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  <c r="AA359" s="200"/>
    </row>
    <row r="360">
      <c r="A360" s="200"/>
      <c r="B360" s="200"/>
      <c r="C360" s="200"/>
      <c r="D360" s="200"/>
      <c r="E360" s="200"/>
      <c r="F360" s="204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  <c r="AA360" s="200"/>
    </row>
    <row r="361">
      <c r="A361" s="200"/>
      <c r="B361" s="200"/>
      <c r="C361" s="200"/>
      <c r="D361" s="200"/>
      <c r="E361" s="200"/>
      <c r="F361" s="204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  <c r="AA361" s="200"/>
    </row>
    <row r="362">
      <c r="A362" s="200"/>
      <c r="B362" s="200"/>
      <c r="C362" s="200"/>
      <c r="D362" s="200"/>
      <c r="E362" s="200"/>
      <c r="F362" s="204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  <c r="AA362" s="200"/>
    </row>
    <row r="363">
      <c r="A363" s="200"/>
      <c r="B363" s="200"/>
      <c r="C363" s="200"/>
      <c r="D363" s="200"/>
      <c r="E363" s="200"/>
      <c r="F363" s="204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  <c r="AA363" s="200"/>
    </row>
    <row r="364">
      <c r="A364" s="200"/>
      <c r="B364" s="200"/>
      <c r="C364" s="200"/>
      <c r="D364" s="200"/>
      <c r="E364" s="200"/>
      <c r="F364" s="204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  <c r="AA364" s="200"/>
    </row>
    <row r="365">
      <c r="A365" s="200"/>
      <c r="B365" s="200"/>
      <c r="C365" s="200"/>
      <c r="D365" s="200"/>
      <c r="E365" s="200"/>
      <c r="F365" s="204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  <c r="AA365" s="200"/>
    </row>
    <row r="366">
      <c r="A366" s="200"/>
      <c r="B366" s="200"/>
      <c r="C366" s="200"/>
      <c r="D366" s="200"/>
      <c r="E366" s="200"/>
      <c r="F366" s="204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  <c r="AA366" s="200"/>
    </row>
    <row r="367">
      <c r="A367" s="200"/>
      <c r="B367" s="200"/>
      <c r="C367" s="200"/>
      <c r="D367" s="200"/>
      <c r="E367" s="200"/>
      <c r="F367" s="204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  <c r="AA367" s="200"/>
    </row>
    <row r="368">
      <c r="A368" s="200"/>
      <c r="B368" s="200"/>
      <c r="C368" s="200"/>
      <c r="D368" s="200"/>
      <c r="E368" s="200"/>
      <c r="F368" s="204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  <c r="AA368" s="200"/>
    </row>
    <row r="369">
      <c r="A369" s="200"/>
      <c r="B369" s="200"/>
      <c r="C369" s="200"/>
      <c r="D369" s="200"/>
      <c r="E369" s="200"/>
      <c r="F369" s="204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  <c r="AA369" s="200"/>
    </row>
    <row r="370">
      <c r="A370" s="200"/>
      <c r="B370" s="200"/>
      <c r="C370" s="200"/>
      <c r="D370" s="200"/>
      <c r="E370" s="200"/>
      <c r="F370" s="204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  <c r="AA370" s="200"/>
    </row>
    <row r="371">
      <c r="A371" s="200"/>
      <c r="B371" s="200"/>
      <c r="C371" s="200"/>
      <c r="D371" s="200"/>
      <c r="E371" s="200"/>
      <c r="F371" s="204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  <c r="AA371" s="200"/>
    </row>
    <row r="372">
      <c r="A372" s="200"/>
      <c r="B372" s="200"/>
      <c r="C372" s="200"/>
      <c r="D372" s="200"/>
      <c r="E372" s="200"/>
      <c r="F372" s="204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  <c r="AA372" s="200"/>
    </row>
    <row r="373">
      <c r="A373" s="200"/>
      <c r="B373" s="200"/>
      <c r="C373" s="200"/>
      <c r="D373" s="200"/>
      <c r="E373" s="200"/>
      <c r="F373" s="204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  <c r="AA373" s="200"/>
    </row>
    <row r="374">
      <c r="A374" s="200"/>
      <c r="B374" s="200"/>
      <c r="C374" s="200"/>
      <c r="D374" s="200"/>
      <c r="E374" s="200"/>
      <c r="F374" s="204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  <c r="AA374" s="200"/>
    </row>
    <row r="375">
      <c r="A375" s="200"/>
      <c r="B375" s="200"/>
      <c r="C375" s="200"/>
      <c r="D375" s="200"/>
      <c r="E375" s="200"/>
      <c r="F375" s="204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  <c r="AA375" s="200"/>
    </row>
    <row r="376">
      <c r="A376" s="200"/>
      <c r="B376" s="200"/>
      <c r="C376" s="200"/>
      <c r="D376" s="200"/>
      <c r="E376" s="200"/>
      <c r="F376" s="204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  <c r="AA376" s="200"/>
    </row>
    <row r="377">
      <c r="A377" s="200"/>
      <c r="B377" s="200"/>
      <c r="C377" s="200"/>
      <c r="D377" s="200"/>
      <c r="E377" s="200"/>
      <c r="F377" s="204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  <c r="AA377" s="200"/>
    </row>
    <row r="378">
      <c r="A378" s="200"/>
      <c r="B378" s="200"/>
      <c r="C378" s="200"/>
      <c r="D378" s="200"/>
      <c r="E378" s="200"/>
      <c r="F378" s="204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  <c r="AA378" s="200"/>
    </row>
    <row r="379">
      <c r="A379" s="200"/>
      <c r="B379" s="200"/>
      <c r="C379" s="200"/>
      <c r="D379" s="200"/>
      <c r="E379" s="200"/>
      <c r="F379" s="204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  <c r="AA379" s="200"/>
    </row>
    <row r="380">
      <c r="A380" s="200"/>
      <c r="B380" s="200"/>
      <c r="C380" s="200"/>
      <c r="D380" s="200"/>
      <c r="E380" s="200"/>
      <c r="F380" s="204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  <c r="AA380" s="200"/>
    </row>
    <row r="381">
      <c r="A381" s="200"/>
      <c r="B381" s="200"/>
      <c r="C381" s="200"/>
      <c r="D381" s="200"/>
      <c r="E381" s="200"/>
      <c r="F381" s="204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  <c r="AA381" s="200"/>
    </row>
    <row r="382">
      <c r="A382" s="200"/>
      <c r="B382" s="200"/>
      <c r="C382" s="200"/>
      <c r="D382" s="200"/>
      <c r="E382" s="200"/>
      <c r="F382" s="204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  <c r="AA382" s="200"/>
    </row>
    <row r="383">
      <c r="A383" s="200"/>
      <c r="B383" s="200"/>
      <c r="C383" s="200"/>
      <c r="D383" s="200"/>
      <c r="E383" s="200"/>
      <c r="F383" s="204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  <c r="AA383" s="200"/>
    </row>
    <row r="384">
      <c r="A384" s="200"/>
      <c r="B384" s="200"/>
      <c r="C384" s="200"/>
      <c r="D384" s="200"/>
      <c r="E384" s="200"/>
      <c r="F384" s="204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  <c r="AA384" s="200"/>
    </row>
    <row r="385">
      <c r="A385" s="200"/>
      <c r="B385" s="200"/>
      <c r="C385" s="200"/>
      <c r="D385" s="200"/>
      <c r="E385" s="200"/>
      <c r="F385" s="204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  <c r="AA385" s="200"/>
    </row>
    <row r="386">
      <c r="A386" s="200"/>
      <c r="B386" s="200"/>
      <c r="C386" s="200"/>
      <c r="D386" s="200"/>
      <c r="E386" s="200"/>
      <c r="F386" s="204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  <c r="AA386" s="200"/>
    </row>
    <row r="387">
      <c r="A387" s="200"/>
      <c r="B387" s="200"/>
      <c r="C387" s="200"/>
      <c r="D387" s="200"/>
      <c r="E387" s="200"/>
      <c r="F387" s="204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  <c r="AA387" s="200"/>
    </row>
    <row r="388">
      <c r="A388" s="200"/>
      <c r="B388" s="200"/>
      <c r="C388" s="200"/>
      <c r="D388" s="200"/>
      <c r="E388" s="200"/>
      <c r="F388" s="204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  <c r="AA388" s="200"/>
    </row>
    <row r="389">
      <c r="A389" s="200"/>
      <c r="B389" s="200"/>
      <c r="C389" s="200"/>
      <c r="D389" s="200"/>
      <c r="E389" s="200"/>
      <c r="F389" s="204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  <c r="AA389" s="200"/>
    </row>
    <row r="390">
      <c r="A390" s="200"/>
      <c r="B390" s="200"/>
      <c r="C390" s="200"/>
      <c r="D390" s="200"/>
      <c r="E390" s="200"/>
      <c r="F390" s="204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  <c r="AA390" s="200"/>
    </row>
    <row r="391">
      <c r="A391" s="200"/>
      <c r="B391" s="200"/>
      <c r="C391" s="200"/>
      <c r="D391" s="200"/>
      <c r="E391" s="200"/>
      <c r="F391" s="204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  <c r="AA391" s="200"/>
    </row>
    <row r="392">
      <c r="A392" s="200"/>
      <c r="B392" s="200"/>
      <c r="C392" s="200"/>
      <c r="D392" s="200"/>
      <c r="E392" s="200"/>
      <c r="F392" s="204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  <c r="AA392" s="200"/>
    </row>
    <row r="393">
      <c r="A393" s="200"/>
      <c r="B393" s="200"/>
      <c r="C393" s="200"/>
      <c r="D393" s="200"/>
      <c r="E393" s="200"/>
      <c r="F393" s="204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  <c r="AA393" s="200"/>
    </row>
    <row r="394">
      <c r="A394" s="200"/>
      <c r="B394" s="200"/>
      <c r="C394" s="200"/>
      <c r="D394" s="200"/>
      <c r="E394" s="200"/>
      <c r="F394" s="204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  <c r="AA394" s="200"/>
    </row>
    <row r="395">
      <c r="A395" s="200"/>
      <c r="B395" s="200"/>
      <c r="C395" s="200"/>
      <c r="D395" s="200"/>
      <c r="E395" s="200"/>
      <c r="F395" s="204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  <c r="AA395" s="200"/>
    </row>
    <row r="396">
      <c r="A396" s="200"/>
      <c r="B396" s="200"/>
      <c r="C396" s="200"/>
      <c r="D396" s="200"/>
      <c r="E396" s="200"/>
      <c r="F396" s="204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  <c r="AA396" s="200"/>
    </row>
    <row r="397">
      <c r="A397" s="200"/>
      <c r="B397" s="200"/>
      <c r="C397" s="200"/>
      <c r="D397" s="200"/>
      <c r="E397" s="200"/>
      <c r="F397" s="204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  <c r="AA397" s="200"/>
    </row>
    <row r="398">
      <c r="A398" s="200"/>
      <c r="B398" s="200"/>
      <c r="C398" s="200"/>
      <c r="D398" s="200"/>
      <c r="E398" s="200"/>
      <c r="F398" s="204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  <c r="AA398" s="200"/>
    </row>
    <row r="399">
      <c r="A399" s="200"/>
      <c r="B399" s="200"/>
      <c r="C399" s="200"/>
      <c r="D399" s="200"/>
      <c r="E399" s="200"/>
      <c r="F399" s="204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  <c r="AA399" s="200"/>
    </row>
    <row r="400">
      <c r="A400" s="200"/>
      <c r="B400" s="200"/>
      <c r="C400" s="200"/>
      <c r="D400" s="200"/>
      <c r="E400" s="200"/>
      <c r="F400" s="204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  <c r="AA400" s="200"/>
    </row>
    <row r="401">
      <c r="A401" s="200"/>
      <c r="B401" s="200"/>
      <c r="C401" s="200"/>
      <c r="D401" s="200"/>
      <c r="E401" s="200"/>
      <c r="F401" s="204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  <c r="AA401" s="200"/>
    </row>
    <row r="402">
      <c r="A402" s="200"/>
      <c r="B402" s="200"/>
      <c r="C402" s="200"/>
      <c r="D402" s="200"/>
      <c r="E402" s="200"/>
      <c r="F402" s="204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  <c r="AA402" s="200"/>
    </row>
    <row r="403">
      <c r="A403" s="200"/>
      <c r="B403" s="200"/>
      <c r="C403" s="200"/>
      <c r="D403" s="200"/>
      <c r="E403" s="200"/>
      <c r="F403" s="204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  <c r="AA403" s="200"/>
    </row>
    <row r="404">
      <c r="A404" s="200"/>
      <c r="B404" s="200"/>
      <c r="C404" s="200"/>
      <c r="D404" s="200"/>
      <c r="E404" s="200"/>
      <c r="F404" s="204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  <c r="AA404" s="200"/>
    </row>
    <row r="405">
      <c r="A405" s="200"/>
      <c r="B405" s="200"/>
      <c r="C405" s="200"/>
      <c r="D405" s="200"/>
      <c r="E405" s="200"/>
      <c r="F405" s="204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  <c r="AA405" s="200"/>
    </row>
    <row r="406">
      <c r="A406" s="200"/>
      <c r="B406" s="200"/>
      <c r="C406" s="200"/>
      <c r="D406" s="200"/>
      <c r="E406" s="200"/>
      <c r="F406" s="204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  <c r="AA406" s="200"/>
    </row>
    <row r="407">
      <c r="A407" s="200"/>
      <c r="B407" s="200"/>
      <c r="C407" s="200"/>
      <c r="D407" s="200"/>
      <c r="E407" s="200"/>
      <c r="F407" s="204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  <c r="AA407" s="200"/>
    </row>
    <row r="408">
      <c r="A408" s="200"/>
      <c r="B408" s="200"/>
      <c r="C408" s="200"/>
      <c r="D408" s="200"/>
      <c r="E408" s="200"/>
      <c r="F408" s="204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  <c r="AA408" s="200"/>
    </row>
    <row r="409">
      <c r="A409" s="200"/>
      <c r="B409" s="200"/>
      <c r="C409" s="200"/>
      <c r="D409" s="200"/>
      <c r="E409" s="200"/>
      <c r="F409" s="204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  <c r="AA409" s="200"/>
    </row>
    <row r="410">
      <c r="A410" s="200"/>
      <c r="B410" s="200"/>
      <c r="C410" s="200"/>
      <c r="D410" s="200"/>
      <c r="E410" s="200"/>
      <c r="F410" s="204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  <c r="AA410" s="200"/>
    </row>
    <row r="411">
      <c r="A411" s="200"/>
      <c r="B411" s="200"/>
      <c r="C411" s="200"/>
      <c r="D411" s="200"/>
      <c r="E411" s="200"/>
      <c r="F411" s="204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  <c r="AA411" s="200"/>
    </row>
    <row r="412">
      <c r="A412" s="200"/>
      <c r="B412" s="200"/>
      <c r="C412" s="200"/>
      <c r="D412" s="200"/>
      <c r="E412" s="200"/>
      <c r="F412" s="204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  <c r="AA412" s="200"/>
    </row>
    <row r="413">
      <c r="A413" s="200"/>
      <c r="B413" s="200"/>
      <c r="C413" s="200"/>
      <c r="D413" s="200"/>
      <c r="E413" s="200"/>
      <c r="F413" s="204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  <c r="AA413" s="200"/>
    </row>
    <row r="414">
      <c r="A414" s="200"/>
      <c r="B414" s="200"/>
      <c r="C414" s="200"/>
      <c r="D414" s="200"/>
      <c r="E414" s="200"/>
      <c r="F414" s="204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  <c r="AA414" s="200"/>
    </row>
    <row r="415">
      <c r="A415" s="200"/>
      <c r="B415" s="200"/>
      <c r="C415" s="200"/>
      <c r="D415" s="200"/>
      <c r="E415" s="200"/>
      <c r="F415" s="204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  <c r="AA415" s="200"/>
    </row>
    <row r="416">
      <c r="A416" s="200"/>
      <c r="B416" s="200"/>
      <c r="C416" s="200"/>
      <c r="D416" s="200"/>
      <c r="E416" s="200"/>
      <c r="F416" s="204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  <c r="AA416" s="200"/>
    </row>
    <row r="417">
      <c r="A417" s="200"/>
      <c r="B417" s="200"/>
      <c r="C417" s="200"/>
      <c r="D417" s="200"/>
      <c r="E417" s="200"/>
      <c r="F417" s="204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  <c r="AA417" s="200"/>
    </row>
    <row r="418">
      <c r="A418" s="200"/>
      <c r="B418" s="200"/>
      <c r="C418" s="200"/>
      <c r="D418" s="200"/>
      <c r="E418" s="200"/>
      <c r="F418" s="204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  <c r="AA418" s="200"/>
    </row>
    <row r="419">
      <c r="A419" s="200"/>
      <c r="B419" s="200"/>
      <c r="C419" s="200"/>
      <c r="D419" s="200"/>
      <c r="E419" s="200"/>
      <c r="F419" s="204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  <c r="AA419" s="200"/>
    </row>
    <row r="420">
      <c r="A420" s="200"/>
      <c r="B420" s="200"/>
      <c r="C420" s="200"/>
      <c r="D420" s="200"/>
      <c r="E420" s="200"/>
      <c r="F420" s="204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  <c r="AA420" s="200"/>
    </row>
    <row r="421">
      <c r="A421" s="200"/>
      <c r="B421" s="200"/>
      <c r="C421" s="200"/>
      <c r="D421" s="200"/>
      <c r="E421" s="200"/>
      <c r="F421" s="204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  <c r="AA421" s="200"/>
    </row>
    <row r="422">
      <c r="A422" s="200"/>
      <c r="B422" s="200"/>
      <c r="C422" s="200"/>
      <c r="D422" s="200"/>
      <c r="E422" s="200"/>
      <c r="F422" s="204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  <c r="AA422" s="200"/>
    </row>
    <row r="423">
      <c r="A423" s="200"/>
      <c r="B423" s="200"/>
      <c r="C423" s="200"/>
      <c r="D423" s="200"/>
      <c r="E423" s="200"/>
      <c r="F423" s="204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  <c r="AA423" s="200"/>
    </row>
    <row r="424">
      <c r="A424" s="200"/>
      <c r="B424" s="200"/>
      <c r="C424" s="200"/>
      <c r="D424" s="200"/>
      <c r="E424" s="200"/>
      <c r="F424" s="204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  <c r="AA424" s="200"/>
    </row>
    <row r="425">
      <c r="A425" s="200"/>
      <c r="B425" s="200"/>
      <c r="C425" s="200"/>
      <c r="D425" s="200"/>
      <c r="E425" s="200"/>
      <c r="F425" s="204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  <c r="AA425" s="200"/>
    </row>
    <row r="426">
      <c r="A426" s="200"/>
      <c r="B426" s="200"/>
      <c r="C426" s="200"/>
      <c r="D426" s="200"/>
      <c r="E426" s="200"/>
      <c r="F426" s="204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  <c r="AA426" s="200"/>
    </row>
    <row r="427">
      <c r="A427" s="200"/>
      <c r="B427" s="200"/>
      <c r="C427" s="200"/>
      <c r="D427" s="200"/>
      <c r="E427" s="200"/>
      <c r="F427" s="204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  <c r="AA427" s="200"/>
    </row>
    <row r="428">
      <c r="A428" s="200"/>
      <c r="B428" s="200"/>
      <c r="C428" s="200"/>
      <c r="D428" s="200"/>
      <c r="E428" s="200"/>
      <c r="F428" s="204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  <c r="AA428" s="200"/>
    </row>
    <row r="429">
      <c r="A429" s="200"/>
      <c r="B429" s="200"/>
      <c r="C429" s="200"/>
      <c r="D429" s="200"/>
      <c r="E429" s="200"/>
      <c r="F429" s="204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  <c r="AA429" s="200"/>
    </row>
    <row r="430">
      <c r="A430" s="200"/>
      <c r="B430" s="200"/>
      <c r="C430" s="200"/>
      <c r="D430" s="200"/>
      <c r="E430" s="200"/>
      <c r="F430" s="204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  <c r="AA430" s="200"/>
    </row>
    <row r="431">
      <c r="A431" s="200"/>
      <c r="B431" s="200"/>
      <c r="C431" s="200"/>
      <c r="D431" s="200"/>
      <c r="E431" s="200"/>
      <c r="F431" s="204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  <c r="AA431" s="200"/>
    </row>
    <row r="432">
      <c r="A432" s="200"/>
      <c r="B432" s="200"/>
      <c r="C432" s="200"/>
      <c r="D432" s="200"/>
      <c r="E432" s="200"/>
      <c r="F432" s="204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  <c r="AA432" s="200"/>
    </row>
    <row r="433">
      <c r="A433" s="200"/>
      <c r="B433" s="200"/>
      <c r="C433" s="200"/>
      <c r="D433" s="200"/>
      <c r="E433" s="200"/>
      <c r="F433" s="204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  <c r="AA433" s="200"/>
    </row>
    <row r="434">
      <c r="A434" s="200"/>
      <c r="B434" s="200"/>
      <c r="C434" s="200"/>
      <c r="D434" s="200"/>
      <c r="E434" s="200"/>
      <c r="F434" s="204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  <c r="AA434" s="200"/>
    </row>
    <row r="435">
      <c r="A435" s="200"/>
      <c r="B435" s="200"/>
      <c r="C435" s="200"/>
      <c r="D435" s="200"/>
      <c r="E435" s="200"/>
      <c r="F435" s="204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  <c r="AA435" s="200"/>
    </row>
    <row r="436">
      <c r="A436" s="200"/>
      <c r="B436" s="200"/>
      <c r="C436" s="200"/>
      <c r="D436" s="200"/>
      <c r="E436" s="200"/>
      <c r="F436" s="204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  <c r="AA436" s="200"/>
    </row>
    <row r="437">
      <c r="A437" s="200"/>
      <c r="B437" s="200"/>
      <c r="C437" s="200"/>
      <c r="D437" s="200"/>
      <c r="E437" s="200"/>
      <c r="F437" s="204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  <c r="AA437" s="200"/>
    </row>
    <row r="438">
      <c r="A438" s="200"/>
      <c r="B438" s="200"/>
      <c r="C438" s="200"/>
      <c r="D438" s="200"/>
      <c r="E438" s="200"/>
      <c r="F438" s="204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  <c r="AA438" s="200"/>
    </row>
    <row r="439">
      <c r="A439" s="200"/>
      <c r="B439" s="200"/>
      <c r="C439" s="200"/>
      <c r="D439" s="200"/>
      <c r="E439" s="200"/>
      <c r="F439" s="204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  <c r="AA439" s="200"/>
    </row>
    <row r="440">
      <c r="A440" s="200"/>
      <c r="B440" s="200"/>
      <c r="C440" s="200"/>
      <c r="D440" s="200"/>
      <c r="E440" s="200"/>
      <c r="F440" s="204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  <c r="AA440" s="200"/>
    </row>
    <row r="441">
      <c r="A441" s="200"/>
      <c r="B441" s="200"/>
      <c r="C441" s="200"/>
      <c r="D441" s="200"/>
      <c r="E441" s="200"/>
      <c r="F441" s="204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  <c r="AA441" s="200"/>
    </row>
    <row r="442">
      <c r="A442" s="200"/>
      <c r="B442" s="200"/>
      <c r="C442" s="200"/>
      <c r="D442" s="200"/>
      <c r="E442" s="200"/>
      <c r="F442" s="204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  <c r="AA442" s="200"/>
    </row>
    <row r="443">
      <c r="A443" s="200"/>
      <c r="B443" s="200"/>
      <c r="C443" s="200"/>
      <c r="D443" s="200"/>
      <c r="E443" s="200"/>
      <c r="F443" s="204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  <c r="AA443" s="200"/>
    </row>
    <row r="444">
      <c r="A444" s="200"/>
      <c r="B444" s="200"/>
      <c r="C444" s="200"/>
      <c r="D444" s="200"/>
      <c r="E444" s="200"/>
      <c r="F444" s="204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  <c r="AA444" s="200"/>
    </row>
    <row r="445">
      <c r="A445" s="200"/>
      <c r="B445" s="200"/>
      <c r="C445" s="200"/>
      <c r="D445" s="200"/>
      <c r="E445" s="200"/>
      <c r="F445" s="204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  <c r="AA445" s="200"/>
    </row>
    <row r="446">
      <c r="A446" s="200"/>
      <c r="B446" s="200"/>
      <c r="C446" s="200"/>
      <c r="D446" s="200"/>
      <c r="E446" s="200"/>
      <c r="F446" s="204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  <c r="AA446" s="200"/>
    </row>
    <row r="447">
      <c r="A447" s="200"/>
      <c r="B447" s="200"/>
      <c r="C447" s="200"/>
      <c r="D447" s="200"/>
      <c r="E447" s="200"/>
      <c r="F447" s="204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  <c r="AA447" s="200"/>
    </row>
    <row r="448">
      <c r="A448" s="200"/>
      <c r="B448" s="200"/>
      <c r="C448" s="200"/>
      <c r="D448" s="200"/>
      <c r="E448" s="200"/>
      <c r="F448" s="204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  <c r="AA448" s="200"/>
    </row>
    <row r="449">
      <c r="A449" s="200"/>
      <c r="B449" s="200"/>
      <c r="C449" s="200"/>
      <c r="D449" s="200"/>
      <c r="E449" s="200"/>
      <c r="F449" s="204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  <c r="AA449" s="200"/>
    </row>
    <row r="450">
      <c r="A450" s="200"/>
      <c r="B450" s="200"/>
      <c r="C450" s="200"/>
      <c r="D450" s="200"/>
      <c r="E450" s="200"/>
      <c r="F450" s="204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  <c r="AA450" s="200"/>
    </row>
    <row r="451">
      <c r="A451" s="200"/>
      <c r="B451" s="200"/>
      <c r="C451" s="200"/>
      <c r="D451" s="200"/>
      <c r="E451" s="200"/>
      <c r="F451" s="204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  <c r="AA451" s="200"/>
    </row>
    <row r="452">
      <c r="A452" s="200"/>
      <c r="B452" s="200"/>
      <c r="C452" s="200"/>
      <c r="D452" s="200"/>
      <c r="E452" s="200"/>
      <c r="F452" s="204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  <c r="AA452" s="200"/>
    </row>
    <row r="453">
      <c r="A453" s="200"/>
      <c r="B453" s="200"/>
      <c r="C453" s="200"/>
      <c r="D453" s="200"/>
      <c r="E453" s="200"/>
      <c r="F453" s="204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  <c r="AA453" s="200"/>
    </row>
    <row r="454">
      <c r="A454" s="200"/>
      <c r="B454" s="200"/>
      <c r="C454" s="200"/>
      <c r="D454" s="200"/>
      <c r="E454" s="200"/>
      <c r="F454" s="204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  <c r="AA454" s="200"/>
    </row>
    <row r="455">
      <c r="A455" s="200"/>
      <c r="B455" s="200"/>
      <c r="C455" s="200"/>
      <c r="D455" s="200"/>
      <c r="E455" s="200"/>
      <c r="F455" s="204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  <c r="AA455" s="200"/>
    </row>
    <row r="456">
      <c r="A456" s="200"/>
      <c r="B456" s="200"/>
      <c r="C456" s="200"/>
      <c r="D456" s="200"/>
      <c r="E456" s="200"/>
      <c r="F456" s="204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  <c r="AA456" s="200"/>
    </row>
    <row r="457">
      <c r="A457" s="200"/>
      <c r="B457" s="200"/>
      <c r="C457" s="200"/>
      <c r="D457" s="200"/>
      <c r="E457" s="200"/>
      <c r="F457" s="204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  <c r="AA457" s="200"/>
    </row>
    <row r="458">
      <c r="A458" s="200"/>
      <c r="B458" s="200"/>
      <c r="C458" s="200"/>
      <c r="D458" s="200"/>
      <c r="E458" s="200"/>
      <c r="F458" s="204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  <c r="AA458" s="200"/>
    </row>
    <row r="459">
      <c r="A459" s="200"/>
      <c r="B459" s="200"/>
      <c r="C459" s="200"/>
      <c r="D459" s="200"/>
      <c r="E459" s="200"/>
      <c r="F459" s="204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  <c r="AA459" s="200"/>
    </row>
    <row r="460">
      <c r="A460" s="200"/>
      <c r="B460" s="200"/>
      <c r="C460" s="200"/>
      <c r="D460" s="200"/>
      <c r="E460" s="200"/>
      <c r="F460" s="204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  <c r="AA460" s="200"/>
    </row>
    <row r="461">
      <c r="A461" s="200"/>
      <c r="B461" s="200"/>
      <c r="C461" s="200"/>
      <c r="D461" s="200"/>
      <c r="E461" s="200"/>
      <c r="F461" s="204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  <c r="AA461" s="200"/>
    </row>
    <row r="462">
      <c r="A462" s="200"/>
      <c r="B462" s="200"/>
      <c r="C462" s="200"/>
      <c r="D462" s="200"/>
      <c r="E462" s="200"/>
      <c r="F462" s="204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  <c r="AA462" s="200"/>
    </row>
    <row r="463">
      <c r="A463" s="200"/>
      <c r="B463" s="200"/>
      <c r="C463" s="200"/>
      <c r="D463" s="200"/>
      <c r="E463" s="200"/>
      <c r="F463" s="204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  <c r="AA463" s="200"/>
    </row>
    <row r="464">
      <c r="A464" s="200"/>
      <c r="B464" s="200"/>
      <c r="C464" s="200"/>
      <c r="D464" s="200"/>
      <c r="E464" s="200"/>
      <c r="F464" s="204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  <c r="AA464" s="200"/>
    </row>
    <row r="465">
      <c r="A465" s="200"/>
      <c r="B465" s="200"/>
      <c r="C465" s="200"/>
      <c r="D465" s="200"/>
      <c r="E465" s="200"/>
      <c r="F465" s="204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  <c r="AA465" s="200"/>
    </row>
    <row r="466">
      <c r="A466" s="200"/>
      <c r="B466" s="200"/>
      <c r="C466" s="200"/>
      <c r="D466" s="200"/>
      <c r="E466" s="200"/>
      <c r="F466" s="204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  <c r="AA466" s="200"/>
    </row>
    <row r="467">
      <c r="A467" s="200"/>
      <c r="B467" s="200"/>
      <c r="C467" s="200"/>
      <c r="D467" s="200"/>
      <c r="E467" s="200"/>
      <c r="F467" s="204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  <c r="AA467" s="200"/>
    </row>
    <row r="468">
      <c r="A468" s="200"/>
      <c r="B468" s="200"/>
      <c r="C468" s="200"/>
      <c r="D468" s="200"/>
      <c r="E468" s="200"/>
      <c r="F468" s="204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  <c r="AA468" s="200"/>
    </row>
    <row r="469">
      <c r="A469" s="200"/>
      <c r="B469" s="200"/>
      <c r="C469" s="200"/>
      <c r="D469" s="200"/>
      <c r="E469" s="200"/>
      <c r="F469" s="204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  <c r="AA469" s="200"/>
    </row>
    <row r="470">
      <c r="A470" s="200"/>
      <c r="B470" s="200"/>
      <c r="C470" s="200"/>
      <c r="D470" s="200"/>
      <c r="E470" s="200"/>
      <c r="F470" s="204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  <c r="AA470" s="200"/>
    </row>
    <row r="471">
      <c r="A471" s="200"/>
      <c r="B471" s="200"/>
      <c r="C471" s="200"/>
      <c r="D471" s="200"/>
      <c r="E471" s="200"/>
      <c r="F471" s="204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  <c r="AA471" s="200"/>
    </row>
    <row r="472">
      <c r="A472" s="200"/>
      <c r="B472" s="200"/>
      <c r="C472" s="200"/>
      <c r="D472" s="200"/>
      <c r="E472" s="200"/>
      <c r="F472" s="204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  <c r="AA472" s="200"/>
    </row>
    <row r="473">
      <c r="A473" s="200"/>
      <c r="B473" s="200"/>
      <c r="C473" s="200"/>
      <c r="D473" s="200"/>
      <c r="E473" s="200"/>
      <c r="F473" s="204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  <c r="AA473" s="200"/>
    </row>
    <row r="474">
      <c r="A474" s="200"/>
      <c r="B474" s="200"/>
      <c r="C474" s="200"/>
      <c r="D474" s="200"/>
      <c r="E474" s="200"/>
      <c r="F474" s="204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  <c r="AA474" s="200"/>
    </row>
    <row r="475">
      <c r="A475" s="200"/>
      <c r="B475" s="200"/>
      <c r="C475" s="200"/>
      <c r="D475" s="200"/>
      <c r="E475" s="200"/>
      <c r="F475" s="204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  <c r="AA475" s="200"/>
    </row>
    <row r="476">
      <c r="A476" s="200"/>
      <c r="B476" s="200"/>
      <c r="C476" s="200"/>
      <c r="D476" s="200"/>
      <c r="E476" s="200"/>
      <c r="F476" s="204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  <c r="AA476" s="200"/>
    </row>
    <row r="477">
      <c r="A477" s="200"/>
      <c r="B477" s="200"/>
      <c r="C477" s="200"/>
      <c r="D477" s="200"/>
      <c r="E477" s="200"/>
      <c r="F477" s="204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  <c r="AA477" s="200"/>
    </row>
    <row r="478">
      <c r="A478" s="200"/>
      <c r="B478" s="200"/>
      <c r="C478" s="200"/>
      <c r="D478" s="200"/>
      <c r="E478" s="200"/>
      <c r="F478" s="204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  <c r="AA478" s="200"/>
    </row>
    <row r="479">
      <c r="A479" s="200"/>
      <c r="B479" s="200"/>
      <c r="C479" s="200"/>
      <c r="D479" s="200"/>
      <c r="E479" s="200"/>
      <c r="F479" s="204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  <c r="AA479" s="200"/>
    </row>
    <row r="480">
      <c r="A480" s="200"/>
      <c r="B480" s="200"/>
      <c r="C480" s="200"/>
      <c r="D480" s="200"/>
      <c r="E480" s="200"/>
      <c r="F480" s="204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  <c r="AA480" s="200"/>
    </row>
    <row r="481">
      <c r="A481" s="200"/>
      <c r="B481" s="200"/>
      <c r="C481" s="200"/>
      <c r="D481" s="200"/>
      <c r="E481" s="200"/>
      <c r="F481" s="204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  <c r="AA481" s="200"/>
    </row>
    <row r="482">
      <c r="A482" s="200"/>
      <c r="B482" s="200"/>
      <c r="C482" s="200"/>
      <c r="D482" s="200"/>
      <c r="E482" s="200"/>
      <c r="F482" s="204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  <c r="AA482" s="200"/>
    </row>
    <row r="483">
      <c r="A483" s="200"/>
      <c r="B483" s="200"/>
      <c r="C483" s="200"/>
      <c r="D483" s="200"/>
      <c r="E483" s="200"/>
      <c r="F483" s="204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  <c r="AA483" s="200"/>
    </row>
    <row r="484">
      <c r="A484" s="200"/>
      <c r="B484" s="200"/>
      <c r="C484" s="200"/>
      <c r="D484" s="200"/>
      <c r="E484" s="200"/>
      <c r="F484" s="204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  <c r="AA484" s="200"/>
    </row>
    <row r="485">
      <c r="A485" s="200"/>
      <c r="B485" s="200"/>
      <c r="C485" s="200"/>
      <c r="D485" s="200"/>
      <c r="E485" s="200"/>
      <c r="F485" s="204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  <c r="AA485" s="200"/>
    </row>
    <row r="486">
      <c r="A486" s="200"/>
      <c r="B486" s="200"/>
      <c r="C486" s="200"/>
      <c r="D486" s="200"/>
      <c r="E486" s="200"/>
      <c r="F486" s="204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  <c r="AA486" s="200"/>
    </row>
    <row r="487">
      <c r="A487" s="200"/>
      <c r="B487" s="200"/>
      <c r="C487" s="200"/>
      <c r="D487" s="200"/>
      <c r="E487" s="200"/>
      <c r="F487" s="204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  <c r="AA487" s="200"/>
    </row>
    <row r="488">
      <c r="A488" s="200"/>
      <c r="B488" s="200"/>
      <c r="C488" s="200"/>
      <c r="D488" s="200"/>
      <c r="E488" s="200"/>
      <c r="F488" s="204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  <c r="AA488" s="200"/>
    </row>
    <row r="489">
      <c r="A489" s="200"/>
      <c r="B489" s="200"/>
      <c r="C489" s="200"/>
      <c r="D489" s="200"/>
      <c r="E489" s="200"/>
      <c r="F489" s="204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  <c r="AA489" s="200"/>
    </row>
    <row r="490">
      <c r="A490" s="200"/>
      <c r="B490" s="200"/>
      <c r="C490" s="200"/>
      <c r="D490" s="200"/>
      <c r="E490" s="200"/>
      <c r="F490" s="204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  <c r="AA490" s="200"/>
    </row>
    <row r="491">
      <c r="A491" s="200"/>
      <c r="B491" s="200"/>
      <c r="C491" s="200"/>
      <c r="D491" s="200"/>
      <c r="E491" s="200"/>
      <c r="F491" s="204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  <c r="AA491" s="200"/>
    </row>
    <row r="492">
      <c r="A492" s="200"/>
      <c r="B492" s="200"/>
      <c r="C492" s="200"/>
      <c r="D492" s="200"/>
      <c r="E492" s="200"/>
      <c r="F492" s="204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  <c r="AA492" s="200"/>
    </row>
    <row r="493">
      <c r="A493" s="200"/>
      <c r="B493" s="200"/>
      <c r="C493" s="200"/>
      <c r="D493" s="200"/>
      <c r="E493" s="200"/>
      <c r="F493" s="204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  <c r="AA493" s="200"/>
    </row>
    <row r="494">
      <c r="A494" s="200"/>
      <c r="B494" s="200"/>
      <c r="C494" s="200"/>
      <c r="D494" s="200"/>
      <c r="E494" s="200"/>
      <c r="F494" s="204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</row>
    <row r="495">
      <c r="A495" s="200"/>
      <c r="B495" s="200"/>
      <c r="C495" s="200"/>
      <c r="D495" s="200"/>
      <c r="E495" s="200"/>
      <c r="F495" s="204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  <c r="AA495" s="200"/>
    </row>
    <row r="496">
      <c r="A496" s="200"/>
      <c r="B496" s="200"/>
      <c r="C496" s="200"/>
      <c r="D496" s="200"/>
      <c r="E496" s="200"/>
      <c r="F496" s="204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  <c r="AA496" s="200"/>
    </row>
    <row r="497">
      <c r="A497" s="200"/>
      <c r="B497" s="200"/>
      <c r="C497" s="200"/>
      <c r="D497" s="200"/>
      <c r="E497" s="200"/>
      <c r="F497" s="204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  <c r="AA497" s="200"/>
    </row>
    <row r="498">
      <c r="A498" s="200"/>
      <c r="B498" s="200"/>
      <c r="C498" s="200"/>
      <c r="D498" s="200"/>
      <c r="E498" s="200"/>
      <c r="F498" s="204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  <c r="AA498" s="200"/>
    </row>
    <row r="499">
      <c r="A499" s="200"/>
      <c r="B499" s="200"/>
      <c r="C499" s="200"/>
      <c r="D499" s="200"/>
      <c r="E499" s="200"/>
      <c r="F499" s="204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  <c r="AA499" s="200"/>
    </row>
    <row r="500">
      <c r="A500" s="200"/>
      <c r="B500" s="200"/>
      <c r="C500" s="200"/>
      <c r="D500" s="200"/>
      <c r="E500" s="200"/>
      <c r="F500" s="204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  <c r="AA500" s="200"/>
    </row>
    <row r="501">
      <c r="A501" s="200"/>
      <c r="B501" s="200"/>
      <c r="C501" s="200"/>
      <c r="D501" s="200"/>
      <c r="E501" s="200"/>
      <c r="F501" s="204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  <c r="AA501" s="200"/>
    </row>
    <row r="502">
      <c r="A502" s="200"/>
      <c r="B502" s="200"/>
      <c r="C502" s="200"/>
      <c r="D502" s="200"/>
      <c r="E502" s="200"/>
      <c r="F502" s="204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  <c r="AA502" s="200"/>
    </row>
    <row r="503">
      <c r="A503" s="200"/>
      <c r="B503" s="200"/>
      <c r="C503" s="200"/>
      <c r="D503" s="200"/>
      <c r="E503" s="200"/>
      <c r="F503" s="204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  <c r="AA503" s="200"/>
    </row>
    <row r="504">
      <c r="A504" s="200"/>
      <c r="B504" s="200"/>
      <c r="C504" s="200"/>
      <c r="D504" s="200"/>
      <c r="E504" s="200"/>
      <c r="F504" s="204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  <c r="AA504" s="200"/>
    </row>
    <row r="505">
      <c r="A505" s="200"/>
      <c r="B505" s="200"/>
      <c r="C505" s="200"/>
      <c r="D505" s="200"/>
      <c r="E505" s="200"/>
      <c r="F505" s="204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  <c r="AA505" s="200"/>
    </row>
    <row r="506">
      <c r="A506" s="200"/>
      <c r="B506" s="200"/>
      <c r="C506" s="200"/>
      <c r="D506" s="200"/>
      <c r="E506" s="200"/>
      <c r="F506" s="204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  <c r="AA506" s="200"/>
    </row>
    <row r="507">
      <c r="A507" s="200"/>
      <c r="B507" s="200"/>
      <c r="C507" s="200"/>
      <c r="D507" s="200"/>
      <c r="E507" s="200"/>
      <c r="F507" s="204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  <c r="AA507" s="200"/>
    </row>
    <row r="508">
      <c r="A508" s="200"/>
      <c r="B508" s="200"/>
      <c r="C508" s="200"/>
      <c r="D508" s="200"/>
      <c r="E508" s="200"/>
      <c r="F508" s="204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  <c r="AA508" s="200"/>
    </row>
    <row r="509">
      <c r="A509" s="200"/>
      <c r="B509" s="200"/>
      <c r="C509" s="200"/>
      <c r="D509" s="200"/>
      <c r="E509" s="200"/>
      <c r="F509" s="204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  <c r="AA509" s="200"/>
    </row>
    <row r="510">
      <c r="A510" s="200"/>
      <c r="B510" s="200"/>
      <c r="C510" s="200"/>
      <c r="D510" s="200"/>
      <c r="E510" s="200"/>
      <c r="F510" s="204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  <c r="AA510" s="200"/>
    </row>
    <row r="511">
      <c r="A511" s="200"/>
      <c r="B511" s="200"/>
      <c r="C511" s="200"/>
      <c r="D511" s="200"/>
      <c r="E511" s="200"/>
      <c r="F511" s="204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  <c r="AA511" s="200"/>
    </row>
    <row r="512">
      <c r="A512" s="200"/>
      <c r="B512" s="200"/>
      <c r="C512" s="200"/>
      <c r="D512" s="200"/>
      <c r="E512" s="200"/>
      <c r="F512" s="204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  <c r="AA512" s="200"/>
    </row>
    <row r="513">
      <c r="A513" s="200"/>
      <c r="B513" s="200"/>
      <c r="C513" s="200"/>
      <c r="D513" s="200"/>
      <c r="E513" s="200"/>
      <c r="F513" s="204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  <c r="AA513" s="200"/>
    </row>
    <row r="514">
      <c r="A514" s="200"/>
      <c r="B514" s="200"/>
      <c r="C514" s="200"/>
      <c r="D514" s="200"/>
      <c r="E514" s="200"/>
      <c r="F514" s="204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  <c r="AA514" s="200"/>
    </row>
    <row r="515">
      <c r="A515" s="200"/>
      <c r="B515" s="200"/>
      <c r="C515" s="200"/>
      <c r="D515" s="200"/>
      <c r="E515" s="200"/>
      <c r="F515" s="204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  <c r="AA515" s="200"/>
    </row>
    <row r="516">
      <c r="A516" s="200"/>
      <c r="B516" s="200"/>
      <c r="C516" s="200"/>
      <c r="D516" s="200"/>
      <c r="E516" s="200"/>
      <c r="F516" s="204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  <c r="AA516" s="200"/>
    </row>
    <row r="517">
      <c r="A517" s="200"/>
      <c r="B517" s="200"/>
      <c r="C517" s="200"/>
      <c r="D517" s="200"/>
      <c r="E517" s="200"/>
      <c r="F517" s="204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</row>
    <row r="518">
      <c r="A518" s="200"/>
      <c r="B518" s="200"/>
      <c r="C518" s="200"/>
      <c r="D518" s="200"/>
      <c r="E518" s="200"/>
      <c r="F518" s="204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</row>
    <row r="519">
      <c r="A519" s="200"/>
      <c r="B519" s="200"/>
      <c r="C519" s="200"/>
      <c r="D519" s="200"/>
      <c r="E519" s="200"/>
      <c r="F519" s="204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</row>
    <row r="520">
      <c r="A520" s="200"/>
      <c r="B520" s="200"/>
      <c r="C520" s="200"/>
      <c r="D520" s="200"/>
      <c r="E520" s="200"/>
      <c r="F520" s="204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  <c r="AA520" s="200"/>
    </row>
    <row r="521">
      <c r="A521" s="200"/>
      <c r="B521" s="200"/>
      <c r="C521" s="200"/>
      <c r="D521" s="200"/>
      <c r="E521" s="200"/>
      <c r="F521" s="204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  <c r="AA521" s="200"/>
    </row>
    <row r="522">
      <c r="A522" s="200"/>
      <c r="B522" s="200"/>
      <c r="C522" s="200"/>
      <c r="D522" s="200"/>
      <c r="E522" s="200"/>
      <c r="F522" s="204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</row>
    <row r="523">
      <c r="A523" s="200"/>
      <c r="B523" s="200"/>
      <c r="C523" s="200"/>
      <c r="D523" s="200"/>
      <c r="E523" s="200"/>
      <c r="F523" s="204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  <c r="AA523" s="200"/>
    </row>
    <row r="524">
      <c r="A524" s="200"/>
      <c r="B524" s="200"/>
      <c r="C524" s="200"/>
      <c r="D524" s="200"/>
      <c r="E524" s="200"/>
      <c r="F524" s="204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  <c r="AA524" s="200"/>
    </row>
    <row r="525">
      <c r="A525" s="200"/>
      <c r="B525" s="200"/>
      <c r="C525" s="200"/>
      <c r="D525" s="200"/>
      <c r="E525" s="200"/>
      <c r="F525" s="204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  <c r="AA525" s="200"/>
    </row>
    <row r="526">
      <c r="A526" s="200"/>
      <c r="B526" s="200"/>
      <c r="C526" s="200"/>
      <c r="D526" s="200"/>
      <c r="E526" s="200"/>
      <c r="F526" s="204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  <c r="AA526" s="200"/>
    </row>
    <row r="527">
      <c r="A527" s="200"/>
      <c r="B527" s="200"/>
      <c r="C527" s="200"/>
      <c r="D527" s="200"/>
      <c r="E527" s="200"/>
      <c r="F527" s="204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  <c r="AA527" s="200"/>
    </row>
    <row r="528">
      <c r="A528" s="200"/>
      <c r="B528" s="200"/>
      <c r="C528" s="200"/>
      <c r="D528" s="200"/>
      <c r="E528" s="200"/>
      <c r="F528" s="204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  <c r="AA528" s="200"/>
    </row>
    <row r="529">
      <c r="A529" s="200"/>
      <c r="B529" s="200"/>
      <c r="C529" s="200"/>
      <c r="D529" s="200"/>
      <c r="E529" s="200"/>
      <c r="F529" s="204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  <c r="AA529" s="200"/>
    </row>
    <row r="530">
      <c r="A530" s="200"/>
      <c r="B530" s="200"/>
      <c r="C530" s="200"/>
      <c r="D530" s="200"/>
      <c r="E530" s="200"/>
      <c r="F530" s="204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  <c r="AA530" s="200"/>
    </row>
    <row r="531">
      <c r="A531" s="200"/>
      <c r="B531" s="200"/>
      <c r="C531" s="200"/>
      <c r="D531" s="200"/>
      <c r="E531" s="200"/>
      <c r="F531" s="204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  <c r="AA531" s="200"/>
    </row>
    <row r="532">
      <c r="A532" s="200"/>
      <c r="B532" s="200"/>
      <c r="C532" s="200"/>
      <c r="D532" s="200"/>
      <c r="E532" s="200"/>
      <c r="F532" s="204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  <c r="AA532" s="200"/>
    </row>
    <row r="533">
      <c r="A533" s="200"/>
      <c r="B533" s="200"/>
      <c r="C533" s="200"/>
      <c r="D533" s="200"/>
      <c r="E533" s="200"/>
      <c r="F533" s="204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  <c r="AA533" s="200"/>
    </row>
    <row r="534">
      <c r="A534" s="200"/>
      <c r="B534" s="200"/>
      <c r="C534" s="200"/>
      <c r="D534" s="200"/>
      <c r="E534" s="200"/>
      <c r="F534" s="204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  <c r="AA534" s="200"/>
    </row>
    <row r="535">
      <c r="A535" s="200"/>
      <c r="B535" s="200"/>
      <c r="C535" s="200"/>
      <c r="D535" s="200"/>
      <c r="E535" s="200"/>
      <c r="F535" s="204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  <c r="AA535" s="200"/>
    </row>
    <row r="536">
      <c r="A536" s="200"/>
      <c r="B536" s="200"/>
      <c r="C536" s="200"/>
      <c r="D536" s="200"/>
      <c r="E536" s="200"/>
      <c r="F536" s="204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  <c r="AA536" s="200"/>
    </row>
    <row r="537">
      <c r="A537" s="200"/>
      <c r="B537" s="200"/>
      <c r="C537" s="200"/>
      <c r="D537" s="200"/>
      <c r="E537" s="200"/>
      <c r="F537" s="204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  <c r="AA537" s="200"/>
    </row>
    <row r="538">
      <c r="A538" s="200"/>
      <c r="B538" s="200"/>
      <c r="C538" s="200"/>
      <c r="D538" s="200"/>
      <c r="E538" s="200"/>
      <c r="F538" s="204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  <c r="AA538" s="200"/>
    </row>
    <row r="539">
      <c r="A539" s="200"/>
      <c r="B539" s="200"/>
      <c r="C539" s="200"/>
      <c r="D539" s="200"/>
      <c r="E539" s="200"/>
      <c r="F539" s="204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  <c r="AA539" s="200"/>
    </row>
    <row r="540">
      <c r="A540" s="200"/>
      <c r="B540" s="200"/>
      <c r="C540" s="200"/>
      <c r="D540" s="200"/>
      <c r="E540" s="200"/>
      <c r="F540" s="204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  <c r="AA540" s="200"/>
    </row>
    <row r="541">
      <c r="A541" s="200"/>
      <c r="B541" s="200"/>
      <c r="C541" s="200"/>
      <c r="D541" s="200"/>
      <c r="E541" s="200"/>
      <c r="F541" s="204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  <c r="AA541" s="200"/>
    </row>
    <row r="542">
      <c r="A542" s="200"/>
      <c r="B542" s="200"/>
      <c r="C542" s="200"/>
      <c r="D542" s="200"/>
      <c r="E542" s="200"/>
      <c r="F542" s="204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  <c r="AA542" s="200"/>
    </row>
    <row r="543">
      <c r="A543" s="200"/>
      <c r="B543" s="200"/>
      <c r="C543" s="200"/>
      <c r="D543" s="200"/>
      <c r="E543" s="200"/>
      <c r="F543" s="204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  <c r="AA543" s="200"/>
    </row>
    <row r="544">
      <c r="A544" s="200"/>
      <c r="B544" s="200"/>
      <c r="C544" s="200"/>
      <c r="D544" s="200"/>
      <c r="E544" s="200"/>
      <c r="F544" s="204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  <c r="AA544" s="200"/>
    </row>
    <row r="545">
      <c r="A545" s="200"/>
      <c r="B545" s="200"/>
      <c r="C545" s="200"/>
      <c r="D545" s="200"/>
      <c r="E545" s="200"/>
      <c r="F545" s="204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  <c r="AA545" s="200"/>
    </row>
    <row r="546">
      <c r="A546" s="200"/>
      <c r="B546" s="200"/>
      <c r="C546" s="200"/>
      <c r="D546" s="200"/>
      <c r="E546" s="200"/>
      <c r="F546" s="204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</row>
    <row r="547">
      <c r="A547" s="200"/>
      <c r="B547" s="200"/>
      <c r="C547" s="200"/>
      <c r="D547" s="200"/>
      <c r="E547" s="200"/>
      <c r="F547" s="204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  <c r="AA547" s="200"/>
    </row>
    <row r="548">
      <c r="A548" s="200"/>
      <c r="B548" s="200"/>
      <c r="C548" s="200"/>
      <c r="D548" s="200"/>
      <c r="E548" s="200"/>
      <c r="F548" s="204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  <c r="AA548" s="200"/>
    </row>
    <row r="549">
      <c r="A549" s="200"/>
      <c r="B549" s="200"/>
      <c r="C549" s="200"/>
      <c r="D549" s="200"/>
      <c r="E549" s="200"/>
      <c r="F549" s="204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  <c r="AA549" s="200"/>
    </row>
    <row r="550">
      <c r="A550" s="200"/>
      <c r="B550" s="200"/>
      <c r="C550" s="200"/>
      <c r="D550" s="200"/>
      <c r="E550" s="200"/>
      <c r="F550" s="204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  <c r="AA550" s="200"/>
    </row>
    <row r="551">
      <c r="A551" s="200"/>
      <c r="B551" s="200"/>
      <c r="C551" s="200"/>
      <c r="D551" s="200"/>
      <c r="E551" s="200"/>
      <c r="F551" s="204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  <c r="AA551" s="200"/>
    </row>
    <row r="552">
      <c r="A552" s="200"/>
      <c r="B552" s="200"/>
      <c r="C552" s="200"/>
      <c r="D552" s="200"/>
      <c r="E552" s="200"/>
      <c r="F552" s="204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  <c r="AA552" s="200"/>
    </row>
    <row r="553">
      <c r="A553" s="200"/>
      <c r="B553" s="200"/>
      <c r="C553" s="200"/>
      <c r="D553" s="200"/>
      <c r="E553" s="200"/>
      <c r="F553" s="204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  <c r="AA553" s="200"/>
    </row>
    <row r="554">
      <c r="A554" s="200"/>
      <c r="B554" s="200"/>
      <c r="C554" s="200"/>
      <c r="D554" s="200"/>
      <c r="E554" s="200"/>
      <c r="F554" s="204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  <c r="AA554" s="200"/>
    </row>
    <row r="555">
      <c r="A555" s="200"/>
      <c r="B555" s="200"/>
      <c r="C555" s="200"/>
      <c r="D555" s="200"/>
      <c r="E555" s="200"/>
      <c r="F555" s="204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  <c r="AA555" s="200"/>
    </row>
    <row r="556">
      <c r="A556" s="200"/>
      <c r="B556" s="200"/>
      <c r="C556" s="200"/>
      <c r="D556" s="200"/>
      <c r="E556" s="200"/>
      <c r="F556" s="204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  <c r="AA556" s="200"/>
    </row>
    <row r="557">
      <c r="A557" s="200"/>
      <c r="B557" s="200"/>
      <c r="C557" s="200"/>
      <c r="D557" s="200"/>
      <c r="E557" s="200"/>
      <c r="F557" s="204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  <c r="AA557" s="200"/>
    </row>
    <row r="558">
      <c r="A558" s="200"/>
      <c r="B558" s="200"/>
      <c r="C558" s="200"/>
      <c r="D558" s="200"/>
      <c r="E558" s="200"/>
      <c r="F558" s="204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  <c r="AA558" s="200"/>
    </row>
    <row r="559">
      <c r="A559" s="200"/>
      <c r="B559" s="200"/>
      <c r="C559" s="200"/>
      <c r="D559" s="200"/>
      <c r="E559" s="200"/>
      <c r="F559" s="204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  <c r="AA559" s="200"/>
    </row>
    <row r="560">
      <c r="A560" s="200"/>
      <c r="B560" s="200"/>
      <c r="C560" s="200"/>
      <c r="D560" s="200"/>
      <c r="E560" s="200"/>
      <c r="F560" s="204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  <c r="AA560" s="200"/>
    </row>
    <row r="561">
      <c r="A561" s="200"/>
      <c r="B561" s="200"/>
      <c r="C561" s="200"/>
      <c r="D561" s="200"/>
      <c r="E561" s="200"/>
      <c r="F561" s="204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  <c r="AA561" s="200"/>
    </row>
    <row r="562">
      <c r="A562" s="200"/>
      <c r="B562" s="200"/>
      <c r="C562" s="200"/>
      <c r="D562" s="200"/>
      <c r="E562" s="200"/>
      <c r="F562" s="204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  <c r="AA562" s="200"/>
    </row>
    <row r="563">
      <c r="A563" s="200"/>
      <c r="B563" s="200"/>
      <c r="C563" s="200"/>
      <c r="D563" s="200"/>
      <c r="E563" s="200"/>
      <c r="F563" s="204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  <c r="AA563" s="200"/>
    </row>
    <row r="564">
      <c r="A564" s="200"/>
      <c r="B564" s="200"/>
      <c r="C564" s="200"/>
      <c r="D564" s="200"/>
      <c r="E564" s="200"/>
      <c r="F564" s="204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  <c r="AA564" s="200"/>
    </row>
    <row r="565">
      <c r="A565" s="200"/>
      <c r="B565" s="200"/>
      <c r="C565" s="200"/>
      <c r="D565" s="200"/>
      <c r="E565" s="200"/>
      <c r="F565" s="204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  <c r="AA565" s="200"/>
    </row>
    <row r="566">
      <c r="A566" s="200"/>
      <c r="B566" s="200"/>
      <c r="C566" s="200"/>
      <c r="D566" s="200"/>
      <c r="E566" s="200"/>
      <c r="F566" s="204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</row>
    <row r="567">
      <c r="A567" s="200"/>
      <c r="B567" s="200"/>
      <c r="C567" s="200"/>
      <c r="D567" s="200"/>
      <c r="E567" s="200"/>
      <c r="F567" s="204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  <c r="AA567" s="200"/>
    </row>
    <row r="568">
      <c r="A568" s="200"/>
      <c r="B568" s="200"/>
      <c r="C568" s="200"/>
      <c r="D568" s="200"/>
      <c r="E568" s="200"/>
      <c r="F568" s="204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  <c r="AA568" s="200"/>
    </row>
    <row r="569">
      <c r="A569" s="200"/>
      <c r="B569" s="200"/>
      <c r="C569" s="200"/>
      <c r="D569" s="200"/>
      <c r="E569" s="200"/>
      <c r="F569" s="204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  <c r="AA569" s="200"/>
    </row>
    <row r="570">
      <c r="A570" s="200"/>
      <c r="B570" s="200"/>
      <c r="C570" s="200"/>
      <c r="D570" s="200"/>
      <c r="E570" s="200"/>
      <c r="F570" s="204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  <c r="AA570" s="200"/>
    </row>
    <row r="571">
      <c r="A571" s="200"/>
      <c r="B571" s="200"/>
      <c r="C571" s="200"/>
      <c r="D571" s="200"/>
      <c r="E571" s="200"/>
      <c r="F571" s="204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  <c r="AA571" s="200"/>
    </row>
    <row r="572">
      <c r="A572" s="200"/>
      <c r="B572" s="200"/>
      <c r="C572" s="200"/>
      <c r="D572" s="200"/>
      <c r="E572" s="200"/>
      <c r="F572" s="204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  <c r="AA572" s="200"/>
    </row>
    <row r="573">
      <c r="A573" s="200"/>
      <c r="B573" s="200"/>
      <c r="C573" s="200"/>
      <c r="D573" s="200"/>
      <c r="E573" s="200"/>
      <c r="F573" s="204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  <c r="AA573" s="200"/>
    </row>
    <row r="574">
      <c r="A574" s="200"/>
      <c r="B574" s="200"/>
      <c r="C574" s="200"/>
      <c r="D574" s="200"/>
      <c r="E574" s="200"/>
      <c r="F574" s="204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  <c r="AA574" s="200"/>
    </row>
    <row r="575">
      <c r="A575" s="200"/>
      <c r="B575" s="200"/>
      <c r="C575" s="200"/>
      <c r="D575" s="200"/>
      <c r="E575" s="200"/>
      <c r="F575" s="204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  <c r="AA575" s="200"/>
    </row>
    <row r="576">
      <c r="A576" s="200"/>
      <c r="B576" s="200"/>
      <c r="C576" s="200"/>
      <c r="D576" s="200"/>
      <c r="E576" s="200"/>
      <c r="F576" s="204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  <c r="AA576" s="200"/>
    </row>
    <row r="577">
      <c r="A577" s="200"/>
      <c r="B577" s="200"/>
      <c r="C577" s="200"/>
      <c r="D577" s="200"/>
      <c r="E577" s="200"/>
      <c r="F577" s="204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  <c r="AA577" s="200"/>
    </row>
    <row r="578">
      <c r="A578" s="200"/>
      <c r="B578" s="200"/>
      <c r="C578" s="200"/>
      <c r="D578" s="200"/>
      <c r="E578" s="200"/>
      <c r="F578" s="204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  <c r="AA578" s="200"/>
    </row>
    <row r="579">
      <c r="A579" s="200"/>
      <c r="B579" s="200"/>
      <c r="C579" s="200"/>
      <c r="D579" s="200"/>
      <c r="E579" s="200"/>
      <c r="F579" s="204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  <c r="AA579" s="200"/>
    </row>
    <row r="580">
      <c r="A580" s="200"/>
      <c r="B580" s="200"/>
      <c r="C580" s="200"/>
      <c r="D580" s="200"/>
      <c r="E580" s="200"/>
      <c r="F580" s="204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</row>
    <row r="581">
      <c r="A581" s="200"/>
      <c r="B581" s="200"/>
      <c r="C581" s="200"/>
      <c r="D581" s="200"/>
      <c r="E581" s="200"/>
      <c r="F581" s="204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  <c r="AA581" s="200"/>
    </row>
    <row r="582">
      <c r="A582" s="200"/>
      <c r="B582" s="200"/>
      <c r="C582" s="200"/>
      <c r="D582" s="200"/>
      <c r="E582" s="200"/>
      <c r="F582" s="204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  <c r="AA582" s="200"/>
    </row>
    <row r="583">
      <c r="A583" s="200"/>
      <c r="B583" s="200"/>
      <c r="C583" s="200"/>
      <c r="D583" s="200"/>
      <c r="E583" s="200"/>
      <c r="F583" s="204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  <c r="AA583" s="200"/>
    </row>
    <row r="584">
      <c r="A584" s="200"/>
      <c r="B584" s="200"/>
      <c r="C584" s="200"/>
      <c r="D584" s="200"/>
      <c r="E584" s="200"/>
      <c r="F584" s="204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  <c r="AA584" s="200"/>
    </row>
    <row r="585">
      <c r="A585" s="200"/>
      <c r="B585" s="200"/>
      <c r="C585" s="200"/>
      <c r="D585" s="200"/>
      <c r="E585" s="200"/>
      <c r="F585" s="204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  <c r="AA585" s="200"/>
    </row>
    <row r="586">
      <c r="A586" s="200"/>
      <c r="B586" s="200"/>
      <c r="C586" s="200"/>
      <c r="D586" s="200"/>
      <c r="E586" s="200"/>
      <c r="F586" s="204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  <c r="AA586" s="200"/>
    </row>
    <row r="587">
      <c r="A587" s="200"/>
      <c r="B587" s="200"/>
      <c r="C587" s="200"/>
      <c r="D587" s="200"/>
      <c r="E587" s="200"/>
      <c r="F587" s="204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  <c r="AA587" s="200"/>
    </row>
    <row r="588">
      <c r="A588" s="200"/>
      <c r="B588" s="200"/>
      <c r="C588" s="200"/>
      <c r="D588" s="200"/>
      <c r="E588" s="200"/>
      <c r="F588" s="204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  <c r="AA588" s="200"/>
    </row>
    <row r="589">
      <c r="A589" s="200"/>
      <c r="B589" s="200"/>
      <c r="C589" s="200"/>
      <c r="D589" s="200"/>
      <c r="E589" s="200"/>
      <c r="F589" s="204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  <c r="AA589" s="200"/>
    </row>
    <row r="590">
      <c r="A590" s="200"/>
      <c r="B590" s="200"/>
      <c r="C590" s="200"/>
      <c r="D590" s="200"/>
      <c r="E590" s="200"/>
      <c r="F590" s="204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  <c r="AA590" s="200"/>
    </row>
    <row r="591">
      <c r="A591" s="200"/>
      <c r="B591" s="200"/>
      <c r="C591" s="200"/>
      <c r="D591" s="200"/>
      <c r="E591" s="200"/>
      <c r="F591" s="204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  <c r="AA591" s="200"/>
    </row>
    <row r="592">
      <c r="A592" s="200"/>
      <c r="B592" s="200"/>
      <c r="C592" s="200"/>
      <c r="D592" s="200"/>
      <c r="E592" s="200"/>
      <c r="F592" s="204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  <c r="AA592" s="200"/>
    </row>
    <row r="593">
      <c r="A593" s="200"/>
      <c r="B593" s="200"/>
      <c r="C593" s="200"/>
      <c r="D593" s="200"/>
      <c r="E593" s="200"/>
      <c r="F593" s="204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  <c r="AA593" s="200"/>
    </row>
    <row r="594">
      <c r="A594" s="200"/>
      <c r="B594" s="200"/>
      <c r="C594" s="200"/>
      <c r="D594" s="200"/>
      <c r="E594" s="200"/>
      <c r="F594" s="204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  <c r="AA594" s="200"/>
    </row>
    <row r="595">
      <c r="A595" s="200"/>
      <c r="B595" s="200"/>
      <c r="C595" s="200"/>
      <c r="D595" s="200"/>
      <c r="E595" s="200"/>
      <c r="F595" s="204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  <c r="AA595" s="200"/>
    </row>
    <row r="596">
      <c r="A596" s="200"/>
      <c r="B596" s="200"/>
      <c r="C596" s="200"/>
      <c r="D596" s="200"/>
      <c r="E596" s="200"/>
      <c r="F596" s="204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  <c r="AA596" s="200"/>
    </row>
    <row r="597">
      <c r="A597" s="200"/>
      <c r="B597" s="200"/>
      <c r="C597" s="200"/>
      <c r="D597" s="200"/>
      <c r="E597" s="200"/>
      <c r="F597" s="204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  <c r="AA597" s="200"/>
    </row>
    <row r="598">
      <c r="A598" s="200"/>
      <c r="B598" s="200"/>
      <c r="C598" s="200"/>
      <c r="D598" s="200"/>
      <c r="E598" s="200"/>
      <c r="F598" s="204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  <c r="AA598" s="200"/>
    </row>
    <row r="599">
      <c r="A599" s="200"/>
      <c r="B599" s="200"/>
      <c r="C599" s="200"/>
      <c r="D599" s="200"/>
      <c r="E599" s="200"/>
      <c r="F599" s="204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  <c r="AA599" s="200"/>
    </row>
    <row r="600">
      <c r="A600" s="200"/>
      <c r="B600" s="200"/>
      <c r="C600" s="200"/>
      <c r="D600" s="200"/>
      <c r="E600" s="200"/>
      <c r="F600" s="204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  <c r="AA600" s="200"/>
    </row>
    <row r="601">
      <c r="A601" s="200"/>
      <c r="B601" s="200"/>
      <c r="C601" s="200"/>
      <c r="D601" s="200"/>
      <c r="E601" s="200"/>
      <c r="F601" s="204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  <c r="AA601" s="200"/>
    </row>
    <row r="602">
      <c r="A602" s="200"/>
      <c r="B602" s="200"/>
      <c r="C602" s="200"/>
      <c r="D602" s="200"/>
      <c r="E602" s="200"/>
      <c r="F602" s="204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  <c r="AA602" s="200"/>
    </row>
    <row r="603">
      <c r="A603" s="200"/>
      <c r="B603" s="200"/>
      <c r="C603" s="200"/>
      <c r="D603" s="200"/>
      <c r="E603" s="200"/>
      <c r="F603" s="204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  <c r="AA603" s="200"/>
    </row>
    <row r="604">
      <c r="A604" s="200"/>
      <c r="B604" s="200"/>
      <c r="C604" s="200"/>
      <c r="D604" s="200"/>
      <c r="E604" s="200"/>
      <c r="F604" s="204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  <c r="AA604" s="200"/>
    </row>
    <row r="605">
      <c r="A605" s="200"/>
      <c r="B605" s="200"/>
      <c r="C605" s="200"/>
      <c r="D605" s="200"/>
      <c r="E605" s="200"/>
      <c r="F605" s="204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  <c r="AA605" s="200"/>
    </row>
    <row r="606">
      <c r="A606" s="200"/>
      <c r="B606" s="200"/>
      <c r="C606" s="200"/>
      <c r="D606" s="200"/>
      <c r="E606" s="200"/>
      <c r="F606" s="204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  <c r="AA606" s="200"/>
    </row>
    <row r="607">
      <c r="A607" s="200"/>
      <c r="B607" s="200"/>
      <c r="C607" s="200"/>
      <c r="D607" s="200"/>
      <c r="E607" s="200"/>
      <c r="F607" s="204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  <c r="AA607" s="200"/>
    </row>
    <row r="608">
      <c r="A608" s="200"/>
      <c r="B608" s="200"/>
      <c r="C608" s="200"/>
      <c r="D608" s="200"/>
      <c r="E608" s="200"/>
      <c r="F608" s="204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  <c r="AA608" s="200"/>
    </row>
    <row r="609">
      <c r="A609" s="200"/>
      <c r="B609" s="200"/>
      <c r="C609" s="200"/>
      <c r="D609" s="200"/>
      <c r="E609" s="200"/>
      <c r="F609" s="204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  <c r="AA609" s="200"/>
    </row>
    <row r="610">
      <c r="A610" s="200"/>
      <c r="B610" s="200"/>
      <c r="C610" s="200"/>
      <c r="D610" s="200"/>
      <c r="E610" s="200"/>
      <c r="F610" s="204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  <c r="AA610" s="200"/>
    </row>
    <row r="611">
      <c r="A611" s="200"/>
      <c r="B611" s="200"/>
      <c r="C611" s="200"/>
      <c r="D611" s="200"/>
      <c r="E611" s="200"/>
      <c r="F611" s="204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  <c r="AA611" s="200"/>
    </row>
    <row r="612">
      <c r="A612" s="200"/>
      <c r="B612" s="200"/>
      <c r="C612" s="200"/>
      <c r="D612" s="200"/>
      <c r="E612" s="200"/>
      <c r="F612" s="204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  <c r="AA612" s="200"/>
    </row>
    <row r="613">
      <c r="A613" s="200"/>
      <c r="B613" s="200"/>
      <c r="C613" s="200"/>
      <c r="D613" s="200"/>
      <c r="E613" s="200"/>
      <c r="F613" s="204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  <c r="AA613" s="200"/>
    </row>
    <row r="614">
      <c r="A614" s="200"/>
      <c r="B614" s="200"/>
      <c r="C614" s="200"/>
      <c r="D614" s="200"/>
      <c r="E614" s="200"/>
      <c r="F614" s="204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  <c r="AA614" s="200"/>
    </row>
    <row r="615">
      <c r="A615" s="200"/>
      <c r="B615" s="200"/>
      <c r="C615" s="200"/>
      <c r="D615" s="200"/>
      <c r="E615" s="200"/>
      <c r="F615" s="204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  <c r="AA615" s="200"/>
    </row>
    <row r="616">
      <c r="A616" s="200"/>
      <c r="B616" s="200"/>
      <c r="C616" s="200"/>
      <c r="D616" s="200"/>
      <c r="E616" s="200"/>
      <c r="F616" s="204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  <c r="AA616" s="200"/>
    </row>
    <row r="617">
      <c r="A617" s="200"/>
      <c r="B617" s="200"/>
      <c r="C617" s="200"/>
      <c r="D617" s="200"/>
      <c r="E617" s="200"/>
      <c r="F617" s="204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  <c r="AA617" s="200"/>
    </row>
    <row r="618">
      <c r="A618" s="200"/>
      <c r="B618" s="200"/>
      <c r="C618" s="200"/>
      <c r="D618" s="200"/>
      <c r="E618" s="200"/>
      <c r="F618" s="204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  <c r="AA618" s="200"/>
    </row>
    <row r="619">
      <c r="A619" s="200"/>
      <c r="B619" s="200"/>
      <c r="C619" s="200"/>
      <c r="D619" s="200"/>
      <c r="E619" s="200"/>
      <c r="F619" s="204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  <c r="AA619" s="200"/>
    </row>
    <row r="620">
      <c r="A620" s="200"/>
      <c r="B620" s="200"/>
      <c r="C620" s="200"/>
      <c r="D620" s="200"/>
      <c r="E620" s="200"/>
      <c r="F620" s="204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  <c r="AA620" s="200"/>
    </row>
    <row r="621">
      <c r="A621" s="200"/>
      <c r="B621" s="200"/>
      <c r="C621" s="200"/>
      <c r="D621" s="200"/>
      <c r="E621" s="200"/>
      <c r="F621" s="204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  <c r="AA621" s="200"/>
    </row>
    <row r="622">
      <c r="A622" s="200"/>
      <c r="B622" s="200"/>
      <c r="C622" s="200"/>
      <c r="D622" s="200"/>
      <c r="E622" s="200"/>
      <c r="F622" s="204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  <c r="AA622" s="200"/>
    </row>
    <row r="623">
      <c r="A623" s="200"/>
      <c r="B623" s="200"/>
      <c r="C623" s="200"/>
      <c r="D623" s="200"/>
      <c r="E623" s="200"/>
      <c r="F623" s="204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  <c r="AA623" s="200"/>
    </row>
    <row r="624">
      <c r="A624" s="200"/>
      <c r="B624" s="200"/>
      <c r="C624" s="200"/>
      <c r="D624" s="200"/>
      <c r="E624" s="200"/>
      <c r="F624" s="204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  <c r="AA624" s="200"/>
    </row>
    <row r="625">
      <c r="A625" s="200"/>
      <c r="B625" s="200"/>
      <c r="C625" s="200"/>
      <c r="D625" s="200"/>
      <c r="E625" s="200"/>
      <c r="F625" s="204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  <c r="AA625" s="200"/>
    </row>
    <row r="626">
      <c r="A626" s="200"/>
      <c r="B626" s="200"/>
      <c r="C626" s="200"/>
      <c r="D626" s="200"/>
      <c r="E626" s="200"/>
      <c r="F626" s="204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  <c r="AA626" s="200"/>
    </row>
    <row r="627">
      <c r="A627" s="200"/>
      <c r="B627" s="200"/>
      <c r="C627" s="200"/>
      <c r="D627" s="200"/>
      <c r="E627" s="200"/>
      <c r="F627" s="204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  <c r="AA627" s="200"/>
    </row>
    <row r="628">
      <c r="A628" s="200"/>
      <c r="B628" s="200"/>
      <c r="C628" s="200"/>
      <c r="D628" s="200"/>
      <c r="E628" s="200"/>
      <c r="F628" s="204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  <c r="AA628" s="200"/>
    </row>
    <row r="629">
      <c r="A629" s="200"/>
      <c r="B629" s="200"/>
      <c r="C629" s="200"/>
      <c r="D629" s="200"/>
      <c r="E629" s="200"/>
      <c r="F629" s="204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  <c r="AA629" s="200"/>
    </row>
    <row r="630">
      <c r="A630" s="200"/>
      <c r="B630" s="200"/>
      <c r="C630" s="200"/>
      <c r="D630" s="200"/>
      <c r="E630" s="200"/>
      <c r="F630" s="204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  <c r="AA630" s="200"/>
    </row>
    <row r="631">
      <c r="A631" s="200"/>
      <c r="B631" s="200"/>
      <c r="C631" s="200"/>
      <c r="D631" s="200"/>
      <c r="E631" s="200"/>
      <c r="F631" s="204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  <c r="AA631" s="200"/>
    </row>
    <row r="632">
      <c r="A632" s="200"/>
      <c r="B632" s="200"/>
      <c r="C632" s="200"/>
      <c r="D632" s="200"/>
      <c r="E632" s="200"/>
      <c r="F632" s="204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  <c r="AA632" s="200"/>
    </row>
    <row r="633">
      <c r="A633" s="200"/>
      <c r="B633" s="200"/>
      <c r="C633" s="200"/>
      <c r="D633" s="200"/>
      <c r="E633" s="200"/>
      <c r="F633" s="204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  <c r="AA633" s="200"/>
    </row>
    <row r="634">
      <c r="A634" s="200"/>
      <c r="B634" s="200"/>
      <c r="C634" s="200"/>
      <c r="D634" s="200"/>
      <c r="E634" s="200"/>
      <c r="F634" s="204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  <c r="AA634" s="200"/>
    </row>
    <row r="635">
      <c r="A635" s="200"/>
      <c r="B635" s="200"/>
      <c r="C635" s="200"/>
      <c r="D635" s="200"/>
      <c r="E635" s="200"/>
      <c r="F635" s="204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  <c r="AA635" s="200"/>
    </row>
    <row r="636">
      <c r="A636" s="200"/>
      <c r="B636" s="200"/>
      <c r="C636" s="200"/>
      <c r="D636" s="200"/>
      <c r="E636" s="200"/>
      <c r="F636" s="204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  <c r="AA636" s="200"/>
    </row>
    <row r="637">
      <c r="A637" s="200"/>
      <c r="B637" s="200"/>
      <c r="C637" s="200"/>
      <c r="D637" s="200"/>
      <c r="E637" s="200"/>
      <c r="F637" s="204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  <c r="AA637" s="200"/>
    </row>
    <row r="638">
      <c r="A638" s="200"/>
      <c r="B638" s="200"/>
      <c r="C638" s="200"/>
      <c r="D638" s="200"/>
      <c r="E638" s="200"/>
      <c r="F638" s="204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  <c r="AA638" s="200"/>
    </row>
    <row r="639">
      <c r="A639" s="200"/>
      <c r="B639" s="200"/>
      <c r="C639" s="200"/>
      <c r="D639" s="200"/>
      <c r="E639" s="200"/>
      <c r="F639" s="204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  <c r="AA639" s="200"/>
    </row>
    <row r="640">
      <c r="A640" s="200"/>
      <c r="B640" s="200"/>
      <c r="C640" s="200"/>
      <c r="D640" s="200"/>
      <c r="E640" s="200"/>
      <c r="F640" s="204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  <c r="AA640" s="200"/>
    </row>
    <row r="641">
      <c r="A641" s="200"/>
      <c r="B641" s="200"/>
      <c r="C641" s="200"/>
      <c r="D641" s="200"/>
      <c r="E641" s="200"/>
      <c r="F641" s="204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  <c r="AA641" s="200"/>
    </row>
    <row r="642">
      <c r="A642" s="200"/>
      <c r="B642" s="200"/>
      <c r="C642" s="200"/>
      <c r="D642" s="200"/>
      <c r="E642" s="200"/>
      <c r="F642" s="204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  <c r="AA642" s="200"/>
    </row>
    <row r="643">
      <c r="A643" s="200"/>
      <c r="B643" s="200"/>
      <c r="C643" s="200"/>
      <c r="D643" s="200"/>
      <c r="E643" s="200"/>
      <c r="F643" s="204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  <c r="AA643" s="200"/>
    </row>
    <row r="644">
      <c r="A644" s="200"/>
      <c r="B644" s="200"/>
      <c r="C644" s="200"/>
      <c r="D644" s="200"/>
      <c r="E644" s="200"/>
      <c r="F644" s="204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  <c r="AA644" s="200"/>
    </row>
    <row r="645">
      <c r="A645" s="200"/>
      <c r="B645" s="200"/>
      <c r="C645" s="200"/>
      <c r="D645" s="200"/>
      <c r="E645" s="200"/>
      <c r="F645" s="204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  <c r="AA645" s="200"/>
    </row>
    <row r="646">
      <c r="A646" s="200"/>
      <c r="B646" s="200"/>
      <c r="C646" s="200"/>
      <c r="D646" s="200"/>
      <c r="E646" s="200"/>
      <c r="F646" s="204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  <c r="AA646" s="200"/>
    </row>
    <row r="647">
      <c r="A647" s="200"/>
      <c r="B647" s="200"/>
      <c r="C647" s="200"/>
      <c r="D647" s="200"/>
      <c r="E647" s="200"/>
      <c r="F647" s="204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  <c r="AA647" s="200"/>
    </row>
    <row r="648">
      <c r="A648" s="200"/>
      <c r="B648" s="200"/>
      <c r="C648" s="200"/>
      <c r="D648" s="200"/>
      <c r="E648" s="200"/>
      <c r="F648" s="204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  <c r="AA648" s="200"/>
    </row>
    <row r="649">
      <c r="A649" s="200"/>
      <c r="B649" s="200"/>
      <c r="C649" s="200"/>
      <c r="D649" s="200"/>
      <c r="E649" s="200"/>
      <c r="F649" s="204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  <c r="AA649" s="200"/>
    </row>
    <row r="650">
      <c r="A650" s="200"/>
      <c r="B650" s="200"/>
      <c r="C650" s="200"/>
      <c r="D650" s="200"/>
      <c r="E650" s="200"/>
      <c r="F650" s="204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  <c r="AA650" s="200"/>
    </row>
    <row r="651">
      <c r="A651" s="200"/>
      <c r="B651" s="200"/>
      <c r="C651" s="200"/>
      <c r="D651" s="200"/>
      <c r="E651" s="200"/>
      <c r="F651" s="204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  <c r="AA651" s="200"/>
    </row>
    <row r="652">
      <c r="A652" s="200"/>
      <c r="B652" s="200"/>
      <c r="C652" s="200"/>
      <c r="D652" s="200"/>
      <c r="E652" s="200"/>
      <c r="F652" s="204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  <c r="AA652" s="200"/>
    </row>
    <row r="653">
      <c r="A653" s="200"/>
      <c r="B653" s="200"/>
      <c r="C653" s="200"/>
      <c r="D653" s="200"/>
      <c r="E653" s="200"/>
      <c r="F653" s="204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  <c r="AA653" s="200"/>
    </row>
    <row r="654">
      <c r="A654" s="200"/>
      <c r="B654" s="200"/>
      <c r="C654" s="200"/>
      <c r="D654" s="200"/>
      <c r="E654" s="200"/>
      <c r="F654" s="204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  <c r="AA654" s="200"/>
    </row>
    <row r="655">
      <c r="A655" s="200"/>
      <c r="B655" s="200"/>
      <c r="C655" s="200"/>
      <c r="D655" s="200"/>
      <c r="E655" s="200"/>
      <c r="F655" s="204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  <c r="AA655" s="200"/>
    </row>
    <row r="656">
      <c r="A656" s="200"/>
      <c r="B656" s="200"/>
      <c r="C656" s="200"/>
      <c r="D656" s="200"/>
      <c r="E656" s="200"/>
      <c r="F656" s="204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  <c r="AA656" s="200"/>
    </row>
    <row r="657">
      <c r="A657" s="200"/>
      <c r="B657" s="200"/>
      <c r="C657" s="200"/>
      <c r="D657" s="200"/>
      <c r="E657" s="200"/>
      <c r="F657" s="204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  <c r="AA657" s="200"/>
    </row>
    <row r="658">
      <c r="A658" s="200"/>
      <c r="B658" s="200"/>
      <c r="C658" s="200"/>
      <c r="D658" s="200"/>
      <c r="E658" s="200"/>
      <c r="F658" s="204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  <c r="AA658" s="200"/>
    </row>
    <row r="659">
      <c r="A659" s="200"/>
      <c r="B659" s="200"/>
      <c r="C659" s="200"/>
      <c r="D659" s="200"/>
      <c r="E659" s="200"/>
      <c r="F659" s="204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  <c r="AA659" s="200"/>
    </row>
    <row r="660">
      <c r="A660" s="200"/>
      <c r="B660" s="200"/>
      <c r="C660" s="200"/>
      <c r="D660" s="200"/>
      <c r="E660" s="200"/>
      <c r="F660" s="204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  <c r="AA660" s="200"/>
    </row>
    <row r="661">
      <c r="A661" s="200"/>
      <c r="B661" s="200"/>
      <c r="C661" s="200"/>
      <c r="D661" s="200"/>
      <c r="E661" s="200"/>
      <c r="F661" s="204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  <c r="AA661" s="200"/>
    </row>
    <row r="662">
      <c r="A662" s="200"/>
      <c r="B662" s="200"/>
      <c r="C662" s="200"/>
      <c r="D662" s="200"/>
      <c r="E662" s="200"/>
      <c r="F662" s="204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  <c r="AA662" s="200"/>
    </row>
    <row r="663">
      <c r="A663" s="200"/>
      <c r="B663" s="200"/>
      <c r="C663" s="200"/>
      <c r="D663" s="200"/>
      <c r="E663" s="200"/>
      <c r="F663" s="204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  <c r="AA663" s="200"/>
    </row>
    <row r="664">
      <c r="A664" s="200"/>
      <c r="B664" s="200"/>
      <c r="C664" s="200"/>
      <c r="D664" s="200"/>
      <c r="E664" s="200"/>
      <c r="F664" s="204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  <c r="AA664" s="200"/>
    </row>
    <row r="665">
      <c r="A665" s="200"/>
      <c r="B665" s="200"/>
      <c r="C665" s="200"/>
      <c r="D665" s="200"/>
      <c r="E665" s="200"/>
      <c r="F665" s="204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  <c r="AA665" s="200"/>
    </row>
    <row r="666">
      <c r="A666" s="200"/>
      <c r="B666" s="200"/>
      <c r="C666" s="200"/>
      <c r="D666" s="200"/>
      <c r="E666" s="200"/>
      <c r="F666" s="204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  <c r="AA666" s="200"/>
    </row>
    <row r="667">
      <c r="A667" s="200"/>
      <c r="B667" s="200"/>
      <c r="C667" s="200"/>
      <c r="D667" s="200"/>
      <c r="E667" s="200"/>
      <c r="F667" s="204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  <c r="AA667" s="200"/>
    </row>
    <row r="668">
      <c r="A668" s="200"/>
      <c r="B668" s="200"/>
      <c r="C668" s="200"/>
      <c r="D668" s="200"/>
      <c r="E668" s="200"/>
      <c r="F668" s="204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  <c r="AA668" s="200"/>
    </row>
    <row r="669">
      <c r="A669" s="200"/>
      <c r="B669" s="200"/>
      <c r="C669" s="200"/>
      <c r="D669" s="200"/>
      <c r="E669" s="200"/>
      <c r="F669" s="204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  <c r="AA669" s="200"/>
    </row>
    <row r="670">
      <c r="A670" s="200"/>
      <c r="B670" s="200"/>
      <c r="C670" s="200"/>
      <c r="D670" s="200"/>
      <c r="E670" s="200"/>
      <c r="F670" s="204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  <c r="AA670" s="200"/>
    </row>
    <row r="671">
      <c r="A671" s="200"/>
      <c r="B671" s="200"/>
      <c r="C671" s="200"/>
      <c r="D671" s="200"/>
      <c r="E671" s="200"/>
      <c r="F671" s="204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  <c r="AA671" s="200"/>
    </row>
    <row r="672">
      <c r="A672" s="200"/>
      <c r="B672" s="200"/>
      <c r="C672" s="200"/>
      <c r="D672" s="200"/>
      <c r="E672" s="200"/>
      <c r="F672" s="204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  <c r="AA672" s="200"/>
    </row>
    <row r="673">
      <c r="A673" s="200"/>
      <c r="B673" s="200"/>
      <c r="C673" s="200"/>
      <c r="D673" s="200"/>
      <c r="E673" s="200"/>
      <c r="F673" s="204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  <c r="AA673" s="200"/>
    </row>
    <row r="674">
      <c r="A674" s="200"/>
      <c r="B674" s="200"/>
      <c r="C674" s="200"/>
      <c r="D674" s="200"/>
      <c r="E674" s="200"/>
      <c r="F674" s="204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  <c r="AA674" s="200"/>
    </row>
    <row r="675">
      <c r="A675" s="200"/>
      <c r="B675" s="200"/>
      <c r="C675" s="200"/>
      <c r="D675" s="200"/>
      <c r="E675" s="200"/>
      <c r="F675" s="204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  <c r="AA675" s="200"/>
    </row>
    <row r="676">
      <c r="A676" s="200"/>
      <c r="B676" s="200"/>
      <c r="C676" s="200"/>
      <c r="D676" s="200"/>
      <c r="E676" s="200"/>
      <c r="F676" s="204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  <c r="AA676" s="200"/>
    </row>
    <row r="677">
      <c r="A677" s="200"/>
      <c r="B677" s="200"/>
      <c r="C677" s="200"/>
      <c r="D677" s="200"/>
      <c r="E677" s="200"/>
      <c r="F677" s="204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  <c r="AA677" s="200"/>
    </row>
    <row r="678">
      <c r="A678" s="200"/>
      <c r="B678" s="200"/>
      <c r="C678" s="200"/>
      <c r="D678" s="200"/>
      <c r="E678" s="200"/>
      <c r="F678" s="204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  <c r="AA678" s="200"/>
    </row>
    <row r="679">
      <c r="A679" s="200"/>
      <c r="B679" s="200"/>
      <c r="C679" s="200"/>
      <c r="D679" s="200"/>
      <c r="E679" s="200"/>
      <c r="F679" s="204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  <c r="AA679" s="200"/>
    </row>
    <row r="680">
      <c r="A680" s="200"/>
      <c r="B680" s="200"/>
      <c r="C680" s="200"/>
      <c r="D680" s="200"/>
      <c r="E680" s="200"/>
      <c r="F680" s="204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  <c r="AA680" s="200"/>
    </row>
    <row r="681">
      <c r="A681" s="200"/>
      <c r="B681" s="200"/>
      <c r="C681" s="200"/>
      <c r="D681" s="200"/>
      <c r="E681" s="200"/>
      <c r="F681" s="204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  <c r="AA681" s="200"/>
    </row>
    <row r="682">
      <c r="A682" s="200"/>
      <c r="B682" s="200"/>
      <c r="C682" s="200"/>
      <c r="D682" s="200"/>
      <c r="E682" s="200"/>
      <c r="F682" s="204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  <c r="AA682" s="200"/>
    </row>
    <row r="683">
      <c r="A683" s="200"/>
      <c r="B683" s="200"/>
      <c r="C683" s="200"/>
      <c r="D683" s="200"/>
      <c r="E683" s="200"/>
      <c r="F683" s="204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  <c r="AA683" s="200"/>
    </row>
    <row r="684">
      <c r="A684" s="200"/>
      <c r="B684" s="200"/>
      <c r="C684" s="200"/>
      <c r="D684" s="200"/>
      <c r="E684" s="200"/>
      <c r="F684" s="204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  <c r="AA684" s="200"/>
    </row>
    <row r="685">
      <c r="A685" s="200"/>
      <c r="B685" s="200"/>
      <c r="C685" s="200"/>
      <c r="D685" s="200"/>
      <c r="E685" s="200"/>
      <c r="F685" s="204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  <c r="AA685" s="200"/>
    </row>
    <row r="686">
      <c r="A686" s="200"/>
      <c r="B686" s="200"/>
      <c r="C686" s="200"/>
      <c r="D686" s="200"/>
      <c r="E686" s="200"/>
      <c r="F686" s="204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  <c r="AA686" s="200"/>
    </row>
    <row r="687">
      <c r="A687" s="200"/>
      <c r="B687" s="200"/>
      <c r="C687" s="200"/>
      <c r="D687" s="200"/>
      <c r="E687" s="200"/>
      <c r="F687" s="204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  <c r="AA687" s="200"/>
    </row>
    <row r="688">
      <c r="A688" s="200"/>
      <c r="B688" s="200"/>
      <c r="C688" s="200"/>
      <c r="D688" s="200"/>
      <c r="E688" s="200"/>
      <c r="F688" s="204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  <c r="AA688" s="200"/>
    </row>
    <row r="689">
      <c r="A689" s="200"/>
      <c r="B689" s="200"/>
      <c r="C689" s="200"/>
      <c r="D689" s="200"/>
      <c r="E689" s="200"/>
      <c r="F689" s="204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  <c r="AA689" s="200"/>
    </row>
    <row r="690">
      <c r="A690" s="200"/>
      <c r="B690" s="200"/>
      <c r="C690" s="200"/>
      <c r="D690" s="200"/>
      <c r="E690" s="200"/>
      <c r="F690" s="204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  <c r="AA690" s="200"/>
    </row>
    <row r="691">
      <c r="A691" s="200"/>
      <c r="B691" s="200"/>
      <c r="C691" s="200"/>
      <c r="D691" s="200"/>
      <c r="E691" s="200"/>
      <c r="F691" s="204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  <c r="AA691" s="200"/>
    </row>
    <row r="692">
      <c r="A692" s="200"/>
      <c r="B692" s="200"/>
      <c r="C692" s="200"/>
      <c r="D692" s="200"/>
      <c r="E692" s="200"/>
      <c r="F692" s="204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  <c r="AA692" s="200"/>
    </row>
    <row r="693">
      <c r="A693" s="200"/>
      <c r="B693" s="200"/>
      <c r="C693" s="200"/>
      <c r="D693" s="200"/>
      <c r="E693" s="200"/>
      <c r="F693" s="204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  <c r="AA693" s="200"/>
    </row>
    <row r="694">
      <c r="A694" s="200"/>
      <c r="B694" s="200"/>
      <c r="C694" s="200"/>
      <c r="D694" s="200"/>
      <c r="E694" s="200"/>
      <c r="F694" s="204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  <c r="AA694" s="200"/>
    </row>
    <row r="695">
      <c r="A695" s="200"/>
      <c r="B695" s="200"/>
      <c r="C695" s="200"/>
      <c r="D695" s="200"/>
      <c r="E695" s="200"/>
      <c r="F695" s="204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  <c r="AA695" s="200"/>
    </row>
    <row r="696">
      <c r="A696" s="200"/>
      <c r="B696" s="200"/>
      <c r="C696" s="200"/>
      <c r="D696" s="200"/>
      <c r="E696" s="200"/>
      <c r="F696" s="204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  <c r="AA696" s="200"/>
    </row>
    <row r="697">
      <c r="A697" s="200"/>
      <c r="B697" s="200"/>
      <c r="C697" s="200"/>
      <c r="D697" s="200"/>
      <c r="E697" s="200"/>
      <c r="F697" s="204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  <c r="AA697" s="200"/>
    </row>
    <row r="698">
      <c r="A698" s="200"/>
      <c r="B698" s="200"/>
      <c r="C698" s="200"/>
      <c r="D698" s="200"/>
      <c r="E698" s="200"/>
      <c r="F698" s="204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  <c r="AA698" s="200"/>
    </row>
    <row r="699">
      <c r="A699" s="200"/>
      <c r="B699" s="200"/>
      <c r="C699" s="200"/>
      <c r="D699" s="200"/>
      <c r="E699" s="200"/>
      <c r="F699" s="204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  <c r="AA699" s="200"/>
    </row>
    <row r="700">
      <c r="A700" s="200"/>
      <c r="B700" s="200"/>
      <c r="C700" s="200"/>
      <c r="D700" s="200"/>
      <c r="E700" s="200"/>
      <c r="F700" s="204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  <c r="AA700" s="200"/>
    </row>
    <row r="701">
      <c r="A701" s="200"/>
      <c r="B701" s="200"/>
      <c r="C701" s="200"/>
      <c r="D701" s="200"/>
      <c r="E701" s="200"/>
      <c r="F701" s="204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  <c r="AA701" s="200"/>
    </row>
    <row r="702">
      <c r="A702" s="200"/>
      <c r="B702" s="200"/>
      <c r="C702" s="200"/>
      <c r="D702" s="200"/>
      <c r="E702" s="200"/>
      <c r="F702" s="204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  <c r="AA702" s="200"/>
    </row>
    <row r="703">
      <c r="A703" s="200"/>
      <c r="B703" s="200"/>
      <c r="C703" s="200"/>
      <c r="D703" s="200"/>
      <c r="E703" s="200"/>
      <c r="F703" s="204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  <c r="AA703" s="200"/>
    </row>
    <row r="704">
      <c r="A704" s="200"/>
      <c r="B704" s="200"/>
      <c r="C704" s="200"/>
      <c r="D704" s="200"/>
      <c r="E704" s="200"/>
      <c r="F704" s="204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  <c r="AA704" s="200"/>
    </row>
    <row r="705">
      <c r="A705" s="200"/>
      <c r="B705" s="200"/>
      <c r="C705" s="200"/>
      <c r="D705" s="200"/>
      <c r="E705" s="200"/>
      <c r="F705" s="204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  <c r="AA705" s="200"/>
    </row>
    <row r="706">
      <c r="A706" s="200"/>
      <c r="B706" s="200"/>
      <c r="C706" s="200"/>
      <c r="D706" s="200"/>
      <c r="E706" s="200"/>
      <c r="F706" s="204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  <c r="AA706" s="200"/>
    </row>
    <row r="707">
      <c r="A707" s="200"/>
      <c r="B707" s="200"/>
      <c r="C707" s="200"/>
      <c r="D707" s="200"/>
      <c r="E707" s="200"/>
      <c r="F707" s="204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  <c r="AA707" s="200"/>
    </row>
    <row r="708">
      <c r="A708" s="200"/>
      <c r="B708" s="200"/>
      <c r="C708" s="200"/>
      <c r="D708" s="200"/>
      <c r="E708" s="200"/>
      <c r="F708" s="204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  <c r="AA708" s="200"/>
    </row>
    <row r="709">
      <c r="A709" s="200"/>
      <c r="B709" s="200"/>
      <c r="C709" s="200"/>
      <c r="D709" s="200"/>
      <c r="E709" s="200"/>
      <c r="F709" s="204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  <c r="AA709" s="200"/>
    </row>
    <row r="710">
      <c r="A710" s="200"/>
      <c r="B710" s="200"/>
      <c r="C710" s="200"/>
      <c r="D710" s="200"/>
      <c r="E710" s="200"/>
      <c r="F710" s="204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  <c r="AA710" s="200"/>
    </row>
    <row r="711">
      <c r="A711" s="200"/>
      <c r="B711" s="200"/>
      <c r="C711" s="200"/>
      <c r="D711" s="200"/>
      <c r="E711" s="200"/>
      <c r="F711" s="204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  <c r="AA711" s="200"/>
    </row>
    <row r="712">
      <c r="A712" s="200"/>
      <c r="B712" s="200"/>
      <c r="C712" s="200"/>
      <c r="D712" s="200"/>
      <c r="E712" s="200"/>
      <c r="F712" s="204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  <c r="AA712" s="200"/>
    </row>
    <row r="713">
      <c r="A713" s="200"/>
      <c r="B713" s="200"/>
      <c r="C713" s="200"/>
      <c r="D713" s="200"/>
      <c r="E713" s="200"/>
      <c r="F713" s="204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  <c r="AA713" s="200"/>
    </row>
    <row r="714">
      <c r="A714" s="200"/>
      <c r="B714" s="200"/>
      <c r="C714" s="200"/>
      <c r="D714" s="200"/>
      <c r="E714" s="200"/>
      <c r="F714" s="204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  <c r="AA714" s="200"/>
    </row>
    <row r="715">
      <c r="A715" s="200"/>
      <c r="B715" s="200"/>
      <c r="C715" s="200"/>
      <c r="D715" s="200"/>
      <c r="E715" s="200"/>
      <c r="F715" s="204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  <c r="AA715" s="200"/>
    </row>
    <row r="716">
      <c r="A716" s="200"/>
      <c r="B716" s="200"/>
      <c r="C716" s="200"/>
      <c r="D716" s="200"/>
      <c r="E716" s="200"/>
      <c r="F716" s="204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  <c r="AA716" s="200"/>
    </row>
    <row r="717">
      <c r="A717" s="200"/>
      <c r="B717" s="200"/>
      <c r="C717" s="200"/>
      <c r="D717" s="200"/>
      <c r="E717" s="200"/>
      <c r="F717" s="204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  <c r="AA717" s="200"/>
    </row>
    <row r="718">
      <c r="A718" s="200"/>
      <c r="B718" s="200"/>
      <c r="C718" s="200"/>
      <c r="D718" s="200"/>
      <c r="E718" s="200"/>
      <c r="F718" s="204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  <c r="AA718" s="200"/>
    </row>
    <row r="719">
      <c r="A719" s="200"/>
      <c r="B719" s="200"/>
      <c r="C719" s="200"/>
      <c r="D719" s="200"/>
      <c r="E719" s="200"/>
      <c r="F719" s="204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  <c r="AA719" s="200"/>
    </row>
    <row r="720">
      <c r="A720" s="200"/>
      <c r="B720" s="200"/>
      <c r="C720" s="200"/>
      <c r="D720" s="200"/>
      <c r="E720" s="200"/>
      <c r="F720" s="204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  <c r="AA720" s="200"/>
    </row>
    <row r="721">
      <c r="A721" s="200"/>
      <c r="B721" s="200"/>
      <c r="C721" s="200"/>
      <c r="D721" s="200"/>
      <c r="E721" s="200"/>
      <c r="F721" s="204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  <c r="AA721" s="200"/>
    </row>
    <row r="722">
      <c r="A722" s="200"/>
      <c r="B722" s="200"/>
      <c r="C722" s="200"/>
      <c r="D722" s="200"/>
      <c r="E722" s="200"/>
      <c r="F722" s="204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  <c r="AA722" s="200"/>
    </row>
    <row r="723">
      <c r="A723" s="200"/>
      <c r="B723" s="200"/>
      <c r="C723" s="200"/>
      <c r="D723" s="200"/>
      <c r="E723" s="200"/>
      <c r="F723" s="204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  <c r="AA723" s="200"/>
    </row>
    <row r="724">
      <c r="A724" s="200"/>
      <c r="B724" s="200"/>
      <c r="C724" s="200"/>
      <c r="D724" s="200"/>
      <c r="E724" s="200"/>
      <c r="F724" s="204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  <c r="AA724" s="200"/>
    </row>
    <row r="725">
      <c r="A725" s="200"/>
      <c r="B725" s="200"/>
      <c r="C725" s="200"/>
      <c r="D725" s="200"/>
      <c r="E725" s="200"/>
      <c r="F725" s="204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  <c r="AA725" s="200"/>
    </row>
    <row r="726">
      <c r="A726" s="200"/>
      <c r="B726" s="200"/>
      <c r="C726" s="200"/>
      <c r="D726" s="200"/>
      <c r="E726" s="200"/>
      <c r="F726" s="204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  <c r="AA726" s="200"/>
    </row>
    <row r="727">
      <c r="A727" s="200"/>
      <c r="B727" s="200"/>
      <c r="C727" s="200"/>
      <c r="D727" s="200"/>
      <c r="E727" s="200"/>
      <c r="F727" s="204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  <c r="AA727" s="200"/>
    </row>
    <row r="728">
      <c r="A728" s="200"/>
      <c r="B728" s="200"/>
      <c r="C728" s="200"/>
      <c r="D728" s="200"/>
      <c r="E728" s="200"/>
      <c r="F728" s="204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  <c r="AA728" s="200"/>
    </row>
    <row r="729">
      <c r="A729" s="200"/>
      <c r="B729" s="200"/>
      <c r="C729" s="200"/>
      <c r="D729" s="200"/>
      <c r="E729" s="200"/>
      <c r="F729" s="204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  <c r="AA729" s="200"/>
    </row>
    <row r="730">
      <c r="A730" s="200"/>
      <c r="B730" s="200"/>
      <c r="C730" s="200"/>
      <c r="D730" s="200"/>
      <c r="E730" s="200"/>
      <c r="F730" s="204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  <c r="AA730" s="200"/>
    </row>
    <row r="731">
      <c r="A731" s="200"/>
      <c r="B731" s="200"/>
      <c r="C731" s="200"/>
      <c r="D731" s="200"/>
      <c r="E731" s="200"/>
      <c r="F731" s="204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  <c r="AA731" s="200"/>
    </row>
    <row r="732">
      <c r="A732" s="200"/>
      <c r="B732" s="200"/>
      <c r="C732" s="200"/>
      <c r="D732" s="200"/>
      <c r="E732" s="200"/>
      <c r="F732" s="204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  <c r="AA732" s="200"/>
    </row>
    <row r="733">
      <c r="A733" s="200"/>
      <c r="B733" s="200"/>
      <c r="C733" s="200"/>
      <c r="D733" s="200"/>
      <c r="E733" s="200"/>
      <c r="F733" s="204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  <c r="AA733" s="200"/>
    </row>
    <row r="734">
      <c r="A734" s="200"/>
      <c r="B734" s="200"/>
      <c r="C734" s="200"/>
      <c r="D734" s="200"/>
      <c r="E734" s="200"/>
      <c r="F734" s="204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  <c r="AA734" s="200"/>
    </row>
    <row r="735">
      <c r="A735" s="200"/>
      <c r="B735" s="200"/>
      <c r="C735" s="200"/>
      <c r="D735" s="200"/>
      <c r="E735" s="200"/>
      <c r="F735" s="204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  <c r="AA735" s="200"/>
    </row>
    <row r="736">
      <c r="A736" s="200"/>
      <c r="B736" s="200"/>
      <c r="C736" s="200"/>
      <c r="D736" s="200"/>
      <c r="E736" s="200"/>
      <c r="F736" s="204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  <c r="AA736" s="200"/>
    </row>
    <row r="737">
      <c r="A737" s="200"/>
      <c r="B737" s="200"/>
      <c r="C737" s="200"/>
      <c r="D737" s="200"/>
      <c r="E737" s="200"/>
      <c r="F737" s="204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  <c r="AA737" s="200"/>
    </row>
    <row r="738">
      <c r="A738" s="200"/>
      <c r="B738" s="200"/>
      <c r="C738" s="200"/>
      <c r="D738" s="200"/>
      <c r="E738" s="200"/>
      <c r="F738" s="204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  <c r="AA738" s="200"/>
    </row>
    <row r="739">
      <c r="A739" s="200"/>
      <c r="B739" s="200"/>
      <c r="C739" s="200"/>
      <c r="D739" s="200"/>
      <c r="E739" s="200"/>
      <c r="F739" s="204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  <c r="AA739" s="200"/>
    </row>
    <row r="740">
      <c r="A740" s="200"/>
      <c r="B740" s="200"/>
      <c r="C740" s="200"/>
      <c r="D740" s="200"/>
      <c r="E740" s="200"/>
      <c r="F740" s="204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  <c r="AA740" s="200"/>
    </row>
    <row r="741">
      <c r="A741" s="200"/>
      <c r="B741" s="200"/>
      <c r="C741" s="200"/>
      <c r="D741" s="200"/>
      <c r="E741" s="200"/>
      <c r="F741" s="204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  <c r="AA741" s="200"/>
    </row>
    <row r="742">
      <c r="A742" s="200"/>
      <c r="B742" s="200"/>
      <c r="C742" s="200"/>
      <c r="D742" s="200"/>
      <c r="E742" s="200"/>
      <c r="F742" s="204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  <c r="AA742" s="200"/>
    </row>
    <row r="743">
      <c r="A743" s="200"/>
      <c r="B743" s="200"/>
      <c r="C743" s="200"/>
      <c r="D743" s="200"/>
      <c r="E743" s="200"/>
      <c r="F743" s="204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  <c r="AA743" s="200"/>
    </row>
    <row r="744">
      <c r="A744" s="200"/>
      <c r="B744" s="200"/>
      <c r="C744" s="200"/>
      <c r="D744" s="200"/>
      <c r="E744" s="200"/>
      <c r="F744" s="204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  <c r="AA744" s="200"/>
    </row>
    <row r="745">
      <c r="A745" s="200"/>
      <c r="B745" s="200"/>
      <c r="C745" s="200"/>
      <c r="D745" s="200"/>
      <c r="E745" s="200"/>
      <c r="F745" s="204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  <c r="AA745" s="200"/>
    </row>
    <row r="746">
      <c r="A746" s="200"/>
      <c r="B746" s="200"/>
      <c r="C746" s="200"/>
      <c r="D746" s="200"/>
      <c r="E746" s="200"/>
      <c r="F746" s="204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  <c r="AA746" s="200"/>
    </row>
    <row r="747">
      <c r="A747" s="200"/>
      <c r="B747" s="200"/>
      <c r="C747" s="200"/>
      <c r="D747" s="200"/>
      <c r="E747" s="200"/>
      <c r="F747" s="204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  <c r="AA747" s="200"/>
    </row>
    <row r="748">
      <c r="A748" s="200"/>
      <c r="B748" s="200"/>
      <c r="C748" s="200"/>
      <c r="D748" s="200"/>
      <c r="E748" s="200"/>
      <c r="F748" s="204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  <c r="AA748" s="200"/>
    </row>
    <row r="749">
      <c r="A749" s="200"/>
      <c r="B749" s="200"/>
      <c r="C749" s="200"/>
      <c r="D749" s="200"/>
      <c r="E749" s="200"/>
      <c r="F749" s="204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  <c r="AA749" s="200"/>
    </row>
    <row r="750">
      <c r="A750" s="200"/>
      <c r="B750" s="200"/>
      <c r="C750" s="200"/>
      <c r="D750" s="200"/>
      <c r="E750" s="200"/>
      <c r="F750" s="204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  <c r="AA750" s="200"/>
    </row>
    <row r="751">
      <c r="A751" s="200"/>
      <c r="B751" s="200"/>
      <c r="C751" s="200"/>
      <c r="D751" s="200"/>
      <c r="E751" s="200"/>
      <c r="F751" s="204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  <c r="AA751" s="200"/>
    </row>
    <row r="752">
      <c r="A752" s="200"/>
      <c r="B752" s="200"/>
      <c r="C752" s="200"/>
      <c r="D752" s="200"/>
      <c r="E752" s="200"/>
      <c r="F752" s="204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  <c r="AA752" s="200"/>
    </row>
    <row r="753">
      <c r="A753" s="200"/>
      <c r="B753" s="200"/>
      <c r="C753" s="200"/>
      <c r="D753" s="200"/>
      <c r="E753" s="200"/>
      <c r="F753" s="204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  <c r="AA753" s="200"/>
    </row>
    <row r="754">
      <c r="A754" s="200"/>
      <c r="B754" s="200"/>
      <c r="C754" s="200"/>
      <c r="D754" s="200"/>
      <c r="E754" s="200"/>
      <c r="F754" s="204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  <c r="AA754" s="200"/>
    </row>
    <row r="755">
      <c r="A755" s="200"/>
      <c r="B755" s="200"/>
      <c r="C755" s="200"/>
      <c r="D755" s="200"/>
      <c r="E755" s="200"/>
      <c r="F755" s="204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  <c r="AA755" s="200"/>
    </row>
    <row r="756">
      <c r="A756" s="200"/>
      <c r="B756" s="200"/>
      <c r="C756" s="200"/>
      <c r="D756" s="200"/>
      <c r="E756" s="200"/>
      <c r="F756" s="204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  <c r="AA756" s="200"/>
    </row>
    <row r="757">
      <c r="A757" s="200"/>
      <c r="B757" s="200"/>
      <c r="C757" s="200"/>
      <c r="D757" s="200"/>
      <c r="E757" s="200"/>
      <c r="F757" s="204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  <c r="AA757" s="200"/>
    </row>
    <row r="758">
      <c r="A758" s="200"/>
      <c r="B758" s="200"/>
      <c r="C758" s="200"/>
      <c r="D758" s="200"/>
      <c r="E758" s="200"/>
      <c r="F758" s="204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  <c r="AA758" s="200"/>
    </row>
    <row r="759">
      <c r="A759" s="200"/>
      <c r="B759" s="200"/>
      <c r="C759" s="200"/>
      <c r="D759" s="200"/>
      <c r="E759" s="200"/>
      <c r="F759" s="204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  <c r="AA759" s="200"/>
    </row>
    <row r="760">
      <c r="A760" s="200"/>
      <c r="B760" s="200"/>
      <c r="C760" s="200"/>
      <c r="D760" s="200"/>
      <c r="E760" s="200"/>
      <c r="F760" s="204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  <c r="AA760" s="200"/>
    </row>
    <row r="761">
      <c r="A761" s="200"/>
      <c r="B761" s="200"/>
      <c r="C761" s="200"/>
      <c r="D761" s="200"/>
      <c r="E761" s="200"/>
      <c r="F761" s="204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  <c r="AA761" s="200"/>
    </row>
    <row r="762">
      <c r="A762" s="200"/>
      <c r="B762" s="200"/>
      <c r="C762" s="200"/>
      <c r="D762" s="200"/>
      <c r="E762" s="200"/>
      <c r="F762" s="204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  <c r="AA762" s="200"/>
    </row>
    <row r="763">
      <c r="A763" s="200"/>
      <c r="B763" s="200"/>
      <c r="C763" s="200"/>
      <c r="D763" s="200"/>
      <c r="E763" s="200"/>
      <c r="F763" s="204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  <c r="AA763" s="200"/>
    </row>
    <row r="764">
      <c r="A764" s="200"/>
      <c r="B764" s="200"/>
      <c r="C764" s="200"/>
      <c r="D764" s="200"/>
      <c r="E764" s="200"/>
      <c r="F764" s="204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  <c r="AA764" s="200"/>
    </row>
    <row r="765">
      <c r="A765" s="200"/>
      <c r="B765" s="200"/>
      <c r="C765" s="200"/>
      <c r="D765" s="200"/>
      <c r="E765" s="200"/>
      <c r="F765" s="204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  <c r="AA765" s="200"/>
    </row>
    <row r="766">
      <c r="A766" s="200"/>
      <c r="B766" s="200"/>
      <c r="C766" s="200"/>
      <c r="D766" s="200"/>
      <c r="E766" s="200"/>
      <c r="F766" s="204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  <c r="AA766" s="200"/>
    </row>
    <row r="767">
      <c r="A767" s="200"/>
      <c r="B767" s="200"/>
      <c r="C767" s="200"/>
      <c r="D767" s="200"/>
      <c r="E767" s="200"/>
      <c r="F767" s="204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  <c r="AA767" s="200"/>
    </row>
    <row r="768">
      <c r="A768" s="200"/>
      <c r="B768" s="200"/>
      <c r="C768" s="200"/>
      <c r="D768" s="200"/>
      <c r="E768" s="200"/>
      <c r="F768" s="204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  <c r="AA768" s="200"/>
    </row>
    <row r="769">
      <c r="A769" s="200"/>
      <c r="B769" s="200"/>
      <c r="C769" s="200"/>
      <c r="D769" s="200"/>
      <c r="E769" s="200"/>
      <c r="F769" s="204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  <c r="AA769" s="200"/>
    </row>
    <row r="770">
      <c r="A770" s="200"/>
      <c r="B770" s="200"/>
      <c r="C770" s="200"/>
      <c r="D770" s="200"/>
      <c r="E770" s="200"/>
      <c r="F770" s="204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  <c r="AA770" s="200"/>
    </row>
    <row r="771">
      <c r="A771" s="200"/>
      <c r="B771" s="200"/>
      <c r="C771" s="200"/>
      <c r="D771" s="200"/>
      <c r="E771" s="200"/>
      <c r="F771" s="204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  <c r="AA771" s="200"/>
    </row>
    <row r="772">
      <c r="A772" s="200"/>
      <c r="B772" s="200"/>
      <c r="C772" s="200"/>
      <c r="D772" s="200"/>
      <c r="E772" s="200"/>
      <c r="F772" s="204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  <c r="AA772" s="200"/>
    </row>
    <row r="773">
      <c r="A773" s="200"/>
      <c r="B773" s="200"/>
      <c r="C773" s="200"/>
      <c r="D773" s="200"/>
      <c r="E773" s="200"/>
      <c r="F773" s="204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  <c r="AA773" s="200"/>
    </row>
    <row r="774">
      <c r="A774" s="200"/>
      <c r="B774" s="200"/>
      <c r="C774" s="200"/>
      <c r="D774" s="200"/>
      <c r="E774" s="200"/>
      <c r="F774" s="204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  <c r="AA774" s="200"/>
    </row>
    <row r="775">
      <c r="A775" s="200"/>
      <c r="B775" s="200"/>
      <c r="C775" s="200"/>
      <c r="D775" s="200"/>
      <c r="E775" s="200"/>
      <c r="F775" s="204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  <c r="AA775" s="200"/>
    </row>
    <row r="776">
      <c r="A776" s="200"/>
      <c r="B776" s="200"/>
      <c r="C776" s="200"/>
      <c r="D776" s="200"/>
      <c r="E776" s="200"/>
      <c r="F776" s="204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  <c r="AA776" s="200"/>
    </row>
    <row r="777">
      <c r="A777" s="200"/>
      <c r="B777" s="200"/>
      <c r="C777" s="200"/>
      <c r="D777" s="200"/>
      <c r="E777" s="200"/>
      <c r="F777" s="204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  <c r="AA777" s="200"/>
    </row>
    <row r="778">
      <c r="A778" s="200"/>
      <c r="B778" s="200"/>
      <c r="C778" s="200"/>
      <c r="D778" s="200"/>
      <c r="E778" s="200"/>
      <c r="F778" s="204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  <c r="AA778" s="200"/>
    </row>
    <row r="779">
      <c r="A779" s="200"/>
      <c r="B779" s="200"/>
      <c r="C779" s="200"/>
      <c r="D779" s="200"/>
      <c r="E779" s="200"/>
      <c r="F779" s="204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  <c r="AA779" s="200"/>
    </row>
    <row r="780">
      <c r="A780" s="200"/>
      <c r="B780" s="200"/>
      <c r="C780" s="200"/>
      <c r="D780" s="200"/>
      <c r="E780" s="200"/>
      <c r="F780" s="204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  <c r="AA780" s="200"/>
    </row>
    <row r="781">
      <c r="A781" s="200"/>
      <c r="B781" s="200"/>
      <c r="C781" s="200"/>
      <c r="D781" s="200"/>
      <c r="E781" s="200"/>
      <c r="F781" s="204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  <c r="AA781" s="200"/>
    </row>
    <row r="782">
      <c r="A782" s="200"/>
      <c r="B782" s="200"/>
      <c r="C782" s="200"/>
      <c r="D782" s="200"/>
      <c r="E782" s="200"/>
      <c r="F782" s="204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  <c r="AA782" s="200"/>
    </row>
    <row r="783">
      <c r="A783" s="200"/>
      <c r="B783" s="200"/>
      <c r="C783" s="200"/>
      <c r="D783" s="200"/>
      <c r="E783" s="200"/>
      <c r="F783" s="204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  <c r="AA783" s="200"/>
    </row>
    <row r="784">
      <c r="A784" s="200"/>
      <c r="B784" s="200"/>
      <c r="C784" s="200"/>
      <c r="D784" s="200"/>
      <c r="E784" s="200"/>
      <c r="F784" s="204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  <c r="AA784" s="200"/>
    </row>
    <row r="785">
      <c r="A785" s="200"/>
      <c r="B785" s="200"/>
      <c r="C785" s="200"/>
      <c r="D785" s="200"/>
      <c r="E785" s="200"/>
      <c r="F785" s="204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  <c r="AA785" s="200"/>
    </row>
    <row r="786">
      <c r="A786" s="200"/>
      <c r="B786" s="200"/>
      <c r="C786" s="200"/>
      <c r="D786" s="200"/>
      <c r="E786" s="200"/>
      <c r="F786" s="204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  <c r="AA786" s="200"/>
    </row>
    <row r="787">
      <c r="A787" s="200"/>
      <c r="B787" s="200"/>
      <c r="C787" s="200"/>
      <c r="D787" s="200"/>
      <c r="E787" s="200"/>
      <c r="F787" s="204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  <c r="AA787" s="200"/>
    </row>
    <row r="788">
      <c r="A788" s="200"/>
      <c r="B788" s="200"/>
      <c r="C788" s="200"/>
      <c r="D788" s="200"/>
      <c r="E788" s="200"/>
      <c r="F788" s="204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  <c r="AA788" s="200"/>
    </row>
    <row r="789">
      <c r="A789" s="200"/>
      <c r="B789" s="200"/>
      <c r="C789" s="200"/>
      <c r="D789" s="200"/>
      <c r="E789" s="200"/>
      <c r="F789" s="204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  <c r="AA789" s="200"/>
    </row>
    <row r="790">
      <c r="A790" s="200"/>
      <c r="B790" s="200"/>
      <c r="C790" s="200"/>
      <c r="D790" s="200"/>
      <c r="E790" s="200"/>
      <c r="F790" s="204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  <c r="AA790" s="200"/>
    </row>
    <row r="791">
      <c r="A791" s="200"/>
      <c r="B791" s="200"/>
      <c r="C791" s="200"/>
      <c r="D791" s="200"/>
      <c r="E791" s="200"/>
      <c r="F791" s="204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  <c r="AA791" s="200"/>
    </row>
    <row r="792">
      <c r="A792" s="200"/>
      <c r="B792" s="200"/>
      <c r="C792" s="200"/>
      <c r="D792" s="200"/>
      <c r="E792" s="200"/>
      <c r="F792" s="204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  <c r="AA792" s="200"/>
    </row>
    <row r="793">
      <c r="A793" s="200"/>
      <c r="B793" s="200"/>
      <c r="C793" s="200"/>
      <c r="D793" s="200"/>
      <c r="E793" s="200"/>
      <c r="F793" s="204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  <c r="AA793" s="200"/>
    </row>
    <row r="794">
      <c r="A794" s="200"/>
      <c r="B794" s="200"/>
      <c r="C794" s="200"/>
      <c r="D794" s="200"/>
      <c r="E794" s="200"/>
      <c r="F794" s="204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  <c r="AA794" s="200"/>
    </row>
    <row r="795">
      <c r="A795" s="200"/>
      <c r="B795" s="200"/>
      <c r="C795" s="200"/>
      <c r="D795" s="200"/>
      <c r="E795" s="200"/>
      <c r="F795" s="204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  <c r="AA795" s="200"/>
    </row>
    <row r="796">
      <c r="A796" s="200"/>
      <c r="B796" s="200"/>
      <c r="C796" s="200"/>
      <c r="D796" s="200"/>
      <c r="E796" s="200"/>
      <c r="F796" s="204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  <c r="AA796" s="200"/>
    </row>
    <row r="797">
      <c r="A797" s="200"/>
      <c r="B797" s="200"/>
      <c r="C797" s="200"/>
      <c r="D797" s="200"/>
      <c r="E797" s="200"/>
      <c r="F797" s="204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  <c r="AA797" s="200"/>
    </row>
    <row r="798">
      <c r="A798" s="200"/>
      <c r="B798" s="200"/>
      <c r="C798" s="200"/>
      <c r="D798" s="200"/>
      <c r="E798" s="200"/>
      <c r="F798" s="204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  <c r="AA798" s="200"/>
    </row>
    <row r="799">
      <c r="A799" s="200"/>
      <c r="B799" s="200"/>
      <c r="C799" s="200"/>
      <c r="D799" s="200"/>
      <c r="E799" s="200"/>
      <c r="F799" s="204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  <c r="AA799" s="200"/>
    </row>
    <row r="800">
      <c r="A800" s="200"/>
      <c r="B800" s="200"/>
      <c r="C800" s="200"/>
      <c r="D800" s="200"/>
      <c r="E800" s="200"/>
      <c r="F800" s="204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  <c r="AA800" s="200"/>
    </row>
    <row r="801">
      <c r="A801" s="200"/>
      <c r="B801" s="200"/>
      <c r="C801" s="200"/>
      <c r="D801" s="200"/>
      <c r="E801" s="200"/>
      <c r="F801" s="204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  <c r="AA801" s="200"/>
    </row>
    <row r="802">
      <c r="A802" s="200"/>
      <c r="B802" s="200"/>
      <c r="C802" s="200"/>
      <c r="D802" s="200"/>
      <c r="E802" s="200"/>
      <c r="F802" s="204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  <c r="AA802" s="200"/>
    </row>
    <row r="803">
      <c r="A803" s="200"/>
      <c r="B803" s="200"/>
      <c r="C803" s="200"/>
      <c r="D803" s="200"/>
      <c r="E803" s="200"/>
      <c r="F803" s="204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  <c r="AA803" s="200"/>
    </row>
    <row r="804">
      <c r="A804" s="200"/>
      <c r="B804" s="200"/>
      <c r="C804" s="200"/>
      <c r="D804" s="200"/>
      <c r="E804" s="200"/>
      <c r="F804" s="204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  <c r="AA804" s="200"/>
    </row>
    <row r="805">
      <c r="A805" s="200"/>
      <c r="B805" s="200"/>
      <c r="C805" s="200"/>
      <c r="D805" s="200"/>
      <c r="E805" s="200"/>
      <c r="F805" s="204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  <c r="AA805" s="200"/>
    </row>
    <row r="806">
      <c r="A806" s="200"/>
      <c r="B806" s="200"/>
      <c r="C806" s="200"/>
      <c r="D806" s="200"/>
      <c r="E806" s="200"/>
      <c r="F806" s="204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  <c r="AA806" s="200"/>
    </row>
    <row r="807">
      <c r="A807" s="200"/>
      <c r="B807" s="200"/>
      <c r="C807" s="200"/>
      <c r="D807" s="200"/>
      <c r="E807" s="200"/>
      <c r="F807" s="204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  <c r="AA807" s="200"/>
    </row>
    <row r="808">
      <c r="A808" s="200"/>
      <c r="B808" s="200"/>
      <c r="C808" s="200"/>
      <c r="D808" s="200"/>
      <c r="E808" s="200"/>
      <c r="F808" s="204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  <c r="AA808" s="200"/>
    </row>
    <row r="809">
      <c r="A809" s="200"/>
      <c r="B809" s="200"/>
      <c r="C809" s="200"/>
      <c r="D809" s="200"/>
      <c r="E809" s="200"/>
      <c r="F809" s="204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  <c r="AA809" s="200"/>
    </row>
    <row r="810">
      <c r="A810" s="200"/>
      <c r="B810" s="200"/>
      <c r="C810" s="200"/>
      <c r="D810" s="200"/>
      <c r="E810" s="200"/>
      <c r="F810" s="204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  <c r="AA810" s="200"/>
    </row>
    <row r="811">
      <c r="A811" s="200"/>
      <c r="B811" s="200"/>
      <c r="C811" s="200"/>
      <c r="D811" s="200"/>
      <c r="E811" s="200"/>
      <c r="F811" s="204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  <c r="AA811" s="200"/>
    </row>
    <row r="812">
      <c r="A812" s="200"/>
      <c r="B812" s="200"/>
      <c r="C812" s="200"/>
      <c r="D812" s="200"/>
      <c r="E812" s="200"/>
      <c r="F812" s="204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  <c r="AA812" s="200"/>
    </row>
    <row r="813">
      <c r="A813" s="200"/>
      <c r="B813" s="200"/>
      <c r="C813" s="200"/>
      <c r="D813" s="200"/>
      <c r="E813" s="200"/>
      <c r="F813" s="204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  <c r="AA813" s="200"/>
    </row>
    <row r="814">
      <c r="A814" s="200"/>
      <c r="B814" s="200"/>
      <c r="C814" s="200"/>
      <c r="D814" s="200"/>
      <c r="E814" s="200"/>
      <c r="F814" s="204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  <c r="AA814" s="200"/>
    </row>
    <row r="815">
      <c r="A815" s="200"/>
      <c r="B815" s="200"/>
      <c r="C815" s="200"/>
      <c r="D815" s="200"/>
      <c r="E815" s="200"/>
      <c r="F815" s="204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  <c r="AA815" s="200"/>
    </row>
    <row r="816">
      <c r="A816" s="200"/>
      <c r="B816" s="200"/>
      <c r="C816" s="200"/>
      <c r="D816" s="200"/>
      <c r="E816" s="200"/>
      <c r="F816" s="204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  <c r="AA816" s="200"/>
    </row>
    <row r="817">
      <c r="A817" s="200"/>
      <c r="B817" s="200"/>
      <c r="C817" s="200"/>
      <c r="D817" s="200"/>
      <c r="E817" s="200"/>
      <c r="F817" s="204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  <c r="AA817" s="200"/>
    </row>
    <row r="818">
      <c r="A818" s="200"/>
      <c r="B818" s="200"/>
      <c r="C818" s="200"/>
      <c r="D818" s="200"/>
      <c r="E818" s="200"/>
      <c r="F818" s="204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  <c r="AA818" s="200"/>
    </row>
    <row r="819">
      <c r="A819" s="200"/>
      <c r="B819" s="200"/>
      <c r="C819" s="200"/>
      <c r="D819" s="200"/>
      <c r="E819" s="200"/>
      <c r="F819" s="204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  <c r="AA819" s="200"/>
    </row>
    <row r="820">
      <c r="A820" s="200"/>
      <c r="B820" s="200"/>
      <c r="C820" s="200"/>
      <c r="D820" s="200"/>
      <c r="E820" s="200"/>
      <c r="F820" s="204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  <c r="AA820" s="200"/>
    </row>
    <row r="821">
      <c r="A821" s="200"/>
      <c r="B821" s="200"/>
      <c r="C821" s="200"/>
      <c r="D821" s="200"/>
      <c r="E821" s="200"/>
      <c r="F821" s="204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  <c r="AA821" s="200"/>
    </row>
    <row r="822">
      <c r="A822" s="200"/>
      <c r="B822" s="200"/>
      <c r="C822" s="200"/>
      <c r="D822" s="200"/>
      <c r="E822" s="200"/>
      <c r="F822" s="204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  <c r="AA822" s="200"/>
    </row>
    <row r="823">
      <c r="A823" s="200"/>
      <c r="B823" s="200"/>
      <c r="C823" s="200"/>
      <c r="D823" s="200"/>
      <c r="E823" s="200"/>
      <c r="F823" s="204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  <c r="AA823" s="200"/>
    </row>
    <row r="824">
      <c r="A824" s="200"/>
      <c r="B824" s="200"/>
      <c r="C824" s="200"/>
      <c r="D824" s="200"/>
      <c r="E824" s="200"/>
      <c r="F824" s="204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  <c r="AA824" s="200"/>
    </row>
    <row r="825">
      <c r="A825" s="200"/>
      <c r="B825" s="200"/>
      <c r="C825" s="200"/>
      <c r="D825" s="200"/>
      <c r="E825" s="200"/>
      <c r="F825" s="204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  <c r="AA825" s="200"/>
    </row>
    <row r="826">
      <c r="A826" s="200"/>
      <c r="B826" s="200"/>
      <c r="C826" s="200"/>
      <c r="D826" s="200"/>
      <c r="E826" s="200"/>
      <c r="F826" s="204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  <c r="AA826" s="200"/>
    </row>
    <row r="827">
      <c r="A827" s="200"/>
      <c r="B827" s="200"/>
      <c r="C827" s="200"/>
      <c r="D827" s="200"/>
      <c r="E827" s="200"/>
      <c r="F827" s="204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  <c r="AA827" s="200"/>
    </row>
    <row r="828">
      <c r="A828" s="200"/>
      <c r="B828" s="200"/>
      <c r="C828" s="200"/>
      <c r="D828" s="200"/>
      <c r="E828" s="200"/>
      <c r="F828" s="204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  <c r="AA828" s="200"/>
    </row>
    <row r="829">
      <c r="A829" s="200"/>
      <c r="B829" s="200"/>
      <c r="C829" s="200"/>
      <c r="D829" s="200"/>
      <c r="E829" s="200"/>
      <c r="F829" s="204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  <c r="AA829" s="200"/>
    </row>
    <row r="830">
      <c r="A830" s="200"/>
      <c r="B830" s="200"/>
      <c r="C830" s="200"/>
      <c r="D830" s="200"/>
      <c r="E830" s="200"/>
      <c r="F830" s="204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  <c r="AA830" s="200"/>
    </row>
    <row r="831">
      <c r="A831" s="200"/>
      <c r="B831" s="200"/>
      <c r="C831" s="200"/>
      <c r="D831" s="200"/>
      <c r="E831" s="200"/>
      <c r="F831" s="204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  <c r="AA831" s="200"/>
    </row>
    <row r="832">
      <c r="A832" s="200"/>
      <c r="B832" s="200"/>
      <c r="C832" s="200"/>
      <c r="D832" s="200"/>
      <c r="E832" s="200"/>
      <c r="F832" s="204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  <c r="AA832" s="200"/>
    </row>
    <row r="833">
      <c r="A833" s="200"/>
      <c r="B833" s="200"/>
      <c r="C833" s="200"/>
      <c r="D833" s="200"/>
      <c r="E833" s="200"/>
      <c r="F833" s="204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  <c r="AA833" s="200"/>
    </row>
    <row r="834">
      <c r="A834" s="200"/>
      <c r="B834" s="200"/>
      <c r="C834" s="200"/>
      <c r="D834" s="200"/>
      <c r="E834" s="200"/>
      <c r="F834" s="204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  <c r="AA834" s="200"/>
    </row>
    <row r="835">
      <c r="A835" s="200"/>
      <c r="B835" s="200"/>
      <c r="C835" s="200"/>
      <c r="D835" s="200"/>
      <c r="E835" s="200"/>
      <c r="F835" s="204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  <c r="AA835" s="200"/>
    </row>
    <row r="836">
      <c r="A836" s="200"/>
      <c r="B836" s="200"/>
      <c r="C836" s="200"/>
      <c r="D836" s="200"/>
      <c r="E836" s="200"/>
      <c r="F836" s="204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  <c r="AA836" s="200"/>
    </row>
    <row r="837">
      <c r="A837" s="200"/>
      <c r="B837" s="200"/>
      <c r="C837" s="200"/>
      <c r="D837" s="200"/>
      <c r="E837" s="200"/>
      <c r="F837" s="204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  <c r="AA837" s="200"/>
    </row>
    <row r="838">
      <c r="A838" s="200"/>
      <c r="B838" s="200"/>
      <c r="C838" s="200"/>
      <c r="D838" s="200"/>
      <c r="E838" s="200"/>
      <c r="F838" s="204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  <c r="AA838" s="200"/>
    </row>
    <row r="839">
      <c r="A839" s="200"/>
      <c r="B839" s="200"/>
      <c r="C839" s="200"/>
      <c r="D839" s="200"/>
      <c r="E839" s="200"/>
      <c r="F839" s="204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  <c r="AA839" s="200"/>
    </row>
    <row r="840">
      <c r="A840" s="200"/>
      <c r="B840" s="200"/>
      <c r="C840" s="200"/>
      <c r="D840" s="200"/>
      <c r="E840" s="200"/>
      <c r="F840" s="204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  <c r="AA840" s="200"/>
    </row>
    <row r="841">
      <c r="A841" s="200"/>
      <c r="B841" s="200"/>
      <c r="C841" s="200"/>
      <c r="D841" s="200"/>
      <c r="E841" s="200"/>
      <c r="F841" s="204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  <c r="AA841" s="200"/>
    </row>
    <row r="842">
      <c r="A842" s="200"/>
      <c r="B842" s="200"/>
      <c r="C842" s="200"/>
      <c r="D842" s="200"/>
      <c r="E842" s="200"/>
      <c r="F842" s="204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  <c r="AA842" s="200"/>
    </row>
    <row r="843">
      <c r="A843" s="200"/>
      <c r="B843" s="200"/>
      <c r="C843" s="200"/>
      <c r="D843" s="200"/>
      <c r="E843" s="200"/>
      <c r="F843" s="204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  <c r="AA843" s="200"/>
    </row>
    <row r="844">
      <c r="A844" s="200"/>
      <c r="B844" s="200"/>
      <c r="C844" s="200"/>
      <c r="D844" s="200"/>
      <c r="E844" s="200"/>
      <c r="F844" s="204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  <c r="AA844" s="200"/>
    </row>
    <row r="845">
      <c r="A845" s="200"/>
      <c r="B845" s="200"/>
      <c r="C845" s="200"/>
      <c r="D845" s="200"/>
      <c r="E845" s="200"/>
      <c r="F845" s="204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  <c r="AA845" s="200"/>
    </row>
    <row r="846">
      <c r="A846" s="200"/>
      <c r="B846" s="200"/>
      <c r="C846" s="200"/>
      <c r="D846" s="200"/>
      <c r="E846" s="200"/>
      <c r="F846" s="204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  <c r="AA846" s="200"/>
    </row>
    <row r="847">
      <c r="A847" s="200"/>
      <c r="B847" s="200"/>
      <c r="C847" s="200"/>
      <c r="D847" s="200"/>
      <c r="E847" s="200"/>
      <c r="F847" s="204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  <c r="AA847" s="200"/>
    </row>
    <row r="848">
      <c r="A848" s="200"/>
      <c r="B848" s="200"/>
      <c r="C848" s="200"/>
      <c r="D848" s="200"/>
      <c r="E848" s="200"/>
      <c r="F848" s="204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  <c r="AA848" s="200"/>
    </row>
    <row r="849">
      <c r="A849" s="200"/>
      <c r="B849" s="200"/>
      <c r="C849" s="200"/>
      <c r="D849" s="200"/>
      <c r="E849" s="200"/>
      <c r="F849" s="204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  <c r="AA849" s="200"/>
    </row>
    <row r="850">
      <c r="A850" s="200"/>
      <c r="B850" s="200"/>
      <c r="C850" s="200"/>
      <c r="D850" s="200"/>
      <c r="E850" s="200"/>
      <c r="F850" s="204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  <c r="AA850" s="200"/>
    </row>
    <row r="851">
      <c r="A851" s="200"/>
      <c r="B851" s="200"/>
      <c r="C851" s="200"/>
      <c r="D851" s="200"/>
      <c r="E851" s="200"/>
      <c r="F851" s="204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  <c r="AA851" s="200"/>
    </row>
    <row r="852">
      <c r="A852" s="200"/>
      <c r="B852" s="200"/>
      <c r="C852" s="200"/>
      <c r="D852" s="200"/>
      <c r="E852" s="200"/>
      <c r="F852" s="204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  <c r="AA852" s="200"/>
    </row>
    <row r="853">
      <c r="A853" s="200"/>
      <c r="B853" s="200"/>
      <c r="C853" s="200"/>
      <c r="D853" s="200"/>
      <c r="E853" s="200"/>
      <c r="F853" s="204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  <c r="AA853" s="200"/>
    </row>
    <row r="854">
      <c r="A854" s="200"/>
      <c r="B854" s="200"/>
      <c r="C854" s="200"/>
      <c r="D854" s="200"/>
      <c r="E854" s="200"/>
      <c r="F854" s="204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  <c r="AA854" s="200"/>
    </row>
    <row r="855">
      <c r="A855" s="200"/>
      <c r="B855" s="200"/>
      <c r="C855" s="200"/>
      <c r="D855" s="200"/>
      <c r="E855" s="200"/>
      <c r="F855" s="204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  <c r="AA855" s="200"/>
    </row>
    <row r="856">
      <c r="A856" s="200"/>
      <c r="B856" s="200"/>
      <c r="C856" s="200"/>
      <c r="D856" s="200"/>
      <c r="E856" s="200"/>
      <c r="F856" s="204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  <c r="AA856" s="200"/>
    </row>
    <row r="857">
      <c r="A857" s="200"/>
      <c r="B857" s="200"/>
      <c r="C857" s="200"/>
      <c r="D857" s="200"/>
      <c r="E857" s="200"/>
      <c r="F857" s="204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  <c r="AA857" s="200"/>
    </row>
    <row r="858">
      <c r="A858" s="200"/>
      <c r="B858" s="200"/>
      <c r="C858" s="200"/>
      <c r="D858" s="200"/>
      <c r="E858" s="200"/>
      <c r="F858" s="204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  <c r="AA858" s="200"/>
    </row>
    <row r="859">
      <c r="A859" s="200"/>
      <c r="B859" s="200"/>
      <c r="C859" s="200"/>
      <c r="D859" s="200"/>
      <c r="E859" s="200"/>
      <c r="F859" s="204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  <c r="AA859" s="200"/>
    </row>
    <row r="860">
      <c r="A860" s="200"/>
      <c r="B860" s="200"/>
      <c r="C860" s="200"/>
      <c r="D860" s="200"/>
      <c r="E860" s="200"/>
      <c r="F860" s="204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  <c r="AA860" s="200"/>
    </row>
    <row r="861">
      <c r="A861" s="200"/>
      <c r="B861" s="200"/>
      <c r="C861" s="200"/>
      <c r="D861" s="200"/>
      <c r="E861" s="200"/>
      <c r="F861" s="204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  <c r="AA861" s="200"/>
    </row>
    <row r="862">
      <c r="A862" s="200"/>
      <c r="B862" s="200"/>
      <c r="C862" s="200"/>
      <c r="D862" s="200"/>
      <c r="E862" s="200"/>
      <c r="F862" s="204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  <c r="AA862" s="200"/>
    </row>
    <row r="863">
      <c r="A863" s="200"/>
      <c r="B863" s="200"/>
      <c r="C863" s="200"/>
      <c r="D863" s="200"/>
      <c r="E863" s="200"/>
      <c r="F863" s="204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  <c r="AA863" s="200"/>
    </row>
    <row r="864">
      <c r="A864" s="200"/>
      <c r="B864" s="200"/>
      <c r="C864" s="200"/>
      <c r="D864" s="200"/>
      <c r="E864" s="200"/>
      <c r="F864" s="204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  <c r="AA864" s="200"/>
    </row>
    <row r="865">
      <c r="A865" s="200"/>
      <c r="B865" s="200"/>
      <c r="C865" s="200"/>
      <c r="D865" s="200"/>
      <c r="E865" s="200"/>
      <c r="F865" s="204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  <c r="AA865" s="200"/>
    </row>
    <row r="866">
      <c r="A866" s="200"/>
      <c r="B866" s="200"/>
      <c r="C866" s="200"/>
      <c r="D866" s="200"/>
      <c r="E866" s="200"/>
      <c r="F866" s="204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  <c r="AA866" s="200"/>
    </row>
    <row r="867">
      <c r="A867" s="200"/>
      <c r="B867" s="200"/>
      <c r="C867" s="200"/>
      <c r="D867" s="200"/>
      <c r="E867" s="200"/>
      <c r="F867" s="204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  <c r="AA867" s="200"/>
    </row>
    <row r="868">
      <c r="A868" s="200"/>
      <c r="B868" s="200"/>
      <c r="C868" s="200"/>
      <c r="D868" s="200"/>
      <c r="E868" s="200"/>
      <c r="F868" s="204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  <c r="AA868" s="200"/>
    </row>
    <row r="869">
      <c r="A869" s="200"/>
      <c r="B869" s="200"/>
      <c r="C869" s="200"/>
      <c r="D869" s="200"/>
      <c r="E869" s="200"/>
      <c r="F869" s="204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  <c r="AA869" s="200"/>
    </row>
    <row r="870">
      <c r="A870" s="200"/>
      <c r="B870" s="200"/>
      <c r="C870" s="200"/>
      <c r="D870" s="200"/>
      <c r="E870" s="200"/>
      <c r="F870" s="204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  <c r="AA870" s="200"/>
    </row>
    <row r="871">
      <c r="A871" s="200"/>
      <c r="B871" s="200"/>
      <c r="C871" s="200"/>
      <c r="D871" s="200"/>
      <c r="E871" s="200"/>
      <c r="F871" s="204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  <c r="AA871" s="200"/>
    </row>
    <row r="872">
      <c r="A872" s="200"/>
      <c r="B872" s="200"/>
      <c r="C872" s="200"/>
      <c r="D872" s="200"/>
      <c r="E872" s="200"/>
      <c r="F872" s="204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  <c r="AA872" s="200"/>
    </row>
    <row r="873">
      <c r="A873" s="200"/>
      <c r="B873" s="200"/>
      <c r="C873" s="200"/>
      <c r="D873" s="200"/>
      <c r="E873" s="200"/>
      <c r="F873" s="204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  <c r="AA873" s="200"/>
    </row>
    <row r="874">
      <c r="A874" s="200"/>
      <c r="B874" s="200"/>
      <c r="C874" s="200"/>
      <c r="D874" s="200"/>
      <c r="E874" s="200"/>
      <c r="F874" s="204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  <c r="AA874" s="200"/>
    </row>
    <row r="875">
      <c r="A875" s="200"/>
      <c r="B875" s="200"/>
      <c r="C875" s="200"/>
      <c r="D875" s="200"/>
      <c r="E875" s="200"/>
      <c r="F875" s="204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  <c r="AA875" s="200"/>
    </row>
    <row r="876">
      <c r="A876" s="200"/>
      <c r="B876" s="200"/>
      <c r="C876" s="200"/>
      <c r="D876" s="200"/>
      <c r="E876" s="200"/>
      <c r="F876" s="204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  <c r="AA876" s="200"/>
    </row>
    <row r="877">
      <c r="A877" s="200"/>
      <c r="B877" s="200"/>
      <c r="C877" s="200"/>
      <c r="D877" s="200"/>
      <c r="E877" s="200"/>
      <c r="F877" s="204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  <c r="AA877" s="200"/>
    </row>
    <row r="878">
      <c r="A878" s="200"/>
      <c r="B878" s="200"/>
      <c r="C878" s="200"/>
      <c r="D878" s="200"/>
      <c r="E878" s="200"/>
      <c r="F878" s="204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  <c r="AA878" s="200"/>
    </row>
    <row r="879">
      <c r="A879" s="200"/>
      <c r="B879" s="200"/>
      <c r="C879" s="200"/>
      <c r="D879" s="200"/>
      <c r="E879" s="200"/>
      <c r="F879" s="204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  <c r="AA879" s="200"/>
    </row>
    <row r="880">
      <c r="A880" s="200"/>
      <c r="B880" s="200"/>
      <c r="C880" s="200"/>
      <c r="D880" s="200"/>
      <c r="E880" s="200"/>
      <c r="F880" s="204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  <c r="AA880" s="200"/>
    </row>
    <row r="881">
      <c r="A881" s="200"/>
      <c r="B881" s="200"/>
      <c r="C881" s="200"/>
      <c r="D881" s="200"/>
      <c r="E881" s="200"/>
      <c r="F881" s="204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  <c r="AA881" s="200"/>
    </row>
    <row r="882">
      <c r="A882" s="200"/>
      <c r="B882" s="200"/>
      <c r="C882" s="200"/>
      <c r="D882" s="200"/>
      <c r="E882" s="200"/>
      <c r="F882" s="204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  <c r="AA882" s="200"/>
    </row>
    <row r="883">
      <c r="A883" s="200"/>
      <c r="B883" s="200"/>
      <c r="C883" s="200"/>
      <c r="D883" s="200"/>
      <c r="E883" s="200"/>
      <c r="F883" s="204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  <c r="AA883" s="200"/>
    </row>
    <row r="884">
      <c r="A884" s="200"/>
      <c r="B884" s="200"/>
      <c r="C884" s="200"/>
      <c r="D884" s="200"/>
      <c r="E884" s="200"/>
      <c r="F884" s="204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  <c r="AA884" s="200"/>
    </row>
    <row r="885">
      <c r="A885" s="200"/>
      <c r="B885" s="200"/>
      <c r="C885" s="200"/>
      <c r="D885" s="200"/>
      <c r="E885" s="200"/>
      <c r="F885" s="204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  <c r="AA885" s="200"/>
    </row>
    <row r="886">
      <c r="A886" s="200"/>
      <c r="B886" s="200"/>
      <c r="C886" s="200"/>
      <c r="D886" s="200"/>
      <c r="E886" s="200"/>
      <c r="F886" s="204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  <c r="AA886" s="200"/>
    </row>
    <row r="887">
      <c r="A887" s="200"/>
      <c r="B887" s="200"/>
      <c r="C887" s="200"/>
      <c r="D887" s="200"/>
      <c r="E887" s="200"/>
      <c r="F887" s="204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  <c r="AA887" s="200"/>
    </row>
    <row r="888">
      <c r="A888" s="200"/>
      <c r="B888" s="200"/>
      <c r="C888" s="200"/>
      <c r="D888" s="200"/>
      <c r="E888" s="200"/>
      <c r="F888" s="204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  <c r="AA888" s="200"/>
    </row>
    <row r="889">
      <c r="A889" s="200"/>
      <c r="B889" s="200"/>
      <c r="C889" s="200"/>
      <c r="D889" s="200"/>
      <c r="E889" s="200"/>
      <c r="F889" s="204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  <c r="AA889" s="200"/>
    </row>
    <row r="890">
      <c r="A890" s="200"/>
      <c r="B890" s="200"/>
      <c r="C890" s="200"/>
      <c r="D890" s="200"/>
      <c r="E890" s="200"/>
      <c r="F890" s="204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  <c r="AA890" s="200"/>
    </row>
    <row r="891">
      <c r="A891" s="200"/>
      <c r="B891" s="200"/>
      <c r="C891" s="200"/>
      <c r="D891" s="200"/>
      <c r="E891" s="200"/>
      <c r="F891" s="204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  <c r="AA891" s="200"/>
    </row>
    <row r="892">
      <c r="A892" s="200"/>
      <c r="B892" s="200"/>
      <c r="C892" s="200"/>
      <c r="D892" s="200"/>
      <c r="E892" s="200"/>
      <c r="F892" s="204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  <c r="AA892" s="200"/>
    </row>
    <row r="893">
      <c r="A893" s="200"/>
      <c r="B893" s="200"/>
      <c r="C893" s="200"/>
      <c r="D893" s="200"/>
      <c r="E893" s="200"/>
      <c r="F893" s="204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  <c r="AA893" s="200"/>
    </row>
    <row r="894">
      <c r="A894" s="200"/>
      <c r="B894" s="200"/>
      <c r="C894" s="200"/>
      <c r="D894" s="200"/>
      <c r="E894" s="200"/>
      <c r="F894" s="204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  <c r="AA894" s="200"/>
    </row>
    <row r="895">
      <c r="A895" s="200"/>
      <c r="B895" s="200"/>
      <c r="C895" s="200"/>
      <c r="D895" s="200"/>
      <c r="E895" s="200"/>
      <c r="F895" s="204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  <c r="AA895" s="200"/>
    </row>
    <row r="896">
      <c r="A896" s="200"/>
      <c r="B896" s="200"/>
      <c r="C896" s="200"/>
      <c r="D896" s="200"/>
      <c r="E896" s="200"/>
      <c r="F896" s="204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  <c r="AA896" s="200"/>
    </row>
    <row r="897">
      <c r="A897" s="200"/>
      <c r="B897" s="200"/>
      <c r="C897" s="200"/>
      <c r="D897" s="200"/>
      <c r="E897" s="200"/>
      <c r="F897" s="204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  <c r="AA897" s="200"/>
    </row>
    <row r="898">
      <c r="A898" s="200"/>
      <c r="B898" s="200"/>
      <c r="C898" s="200"/>
      <c r="D898" s="200"/>
      <c r="E898" s="200"/>
      <c r="F898" s="204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  <c r="AA898" s="200"/>
    </row>
    <row r="899">
      <c r="A899" s="200"/>
      <c r="B899" s="200"/>
      <c r="C899" s="200"/>
      <c r="D899" s="200"/>
      <c r="E899" s="200"/>
      <c r="F899" s="204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  <c r="AA899" s="200"/>
    </row>
    <row r="900">
      <c r="A900" s="200"/>
      <c r="B900" s="200"/>
      <c r="C900" s="200"/>
      <c r="D900" s="200"/>
      <c r="E900" s="200"/>
      <c r="F900" s="204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  <c r="AA900" s="200"/>
    </row>
    <row r="901">
      <c r="A901" s="200"/>
      <c r="B901" s="200"/>
      <c r="C901" s="200"/>
      <c r="D901" s="200"/>
      <c r="E901" s="200"/>
      <c r="F901" s="204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  <c r="AA901" s="200"/>
    </row>
    <row r="902">
      <c r="A902" s="200"/>
      <c r="B902" s="200"/>
      <c r="C902" s="200"/>
      <c r="D902" s="200"/>
      <c r="E902" s="200"/>
      <c r="F902" s="204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  <c r="AA902" s="200"/>
    </row>
    <row r="903">
      <c r="A903" s="200"/>
      <c r="B903" s="200"/>
      <c r="C903" s="200"/>
      <c r="D903" s="200"/>
      <c r="E903" s="200"/>
      <c r="F903" s="204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  <c r="AA903" s="200"/>
    </row>
    <row r="904">
      <c r="A904" s="200"/>
      <c r="B904" s="200"/>
      <c r="C904" s="200"/>
      <c r="D904" s="200"/>
      <c r="E904" s="200"/>
      <c r="F904" s="204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  <c r="AA904" s="200"/>
    </row>
    <row r="905">
      <c r="A905" s="200"/>
      <c r="B905" s="200"/>
      <c r="C905" s="200"/>
      <c r="D905" s="200"/>
      <c r="E905" s="200"/>
      <c r="F905" s="204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  <c r="AA905" s="200"/>
    </row>
    <row r="906">
      <c r="A906" s="200"/>
      <c r="B906" s="200"/>
      <c r="C906" s="200"/>
      <c r="D906" s="200"/>
      <c r="E906" s="200"/>
      <c r="F906" s="204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  <c r="AA906" s="200"/>
    </row>
    <row r="907">
      <c r="A907" s="200"/>
      <c r="B907" s="200"/>
      <c r="C907" s="200"/>
      <c r="D907" s="200"/>
      <c r="E907" s="200"/>
      <c r="F907" s="204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  <c r="AA907" s="200"/>
    </row>
    <row r="908">
      <c r="A908" s="200"/>
      <c r="B908" s="200"/>
      <c r="C908" s="200"/>
      <c r="D908" s="200"/>
      <c r="E908" s="200"/>
      <c r="F908" s="204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  <c r="AA908" s="200"/>
    </row>
    <row r="909">
      <c r="A909" s="200"/>
      <c r="B909" s="200"/>
      <c r="C909" s="200"/>
      <c r="D909" s="200"/>
      <c r="E909" s="200"/>
      <c r="F909" s="204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  <c r="AA909" s="200"/>
    </row>
    <row r="910">
      <c r="A910" s="200"/>
      <c r="B910" s="200"/>
      <c r="C910" s="200"/>
      <c r="D910" s="200"/>
      <c r="E910" s="200"/>
      <c r="F910" s="204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  <c r="AA910" s="200"/>
    </row>
    <row r="911">
      <c r="A911" s="200"/>
      <c r="B911" s="200"/>
      <c r="C911" s="200"/>
      <c r="D911" s="200"/>
      <c r="E911" s="200"/>
      <c r="F911" s="204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  <c r="AA911" s="200"/>
    </row>
    <row r="912">
      <c r="A912" s="200"/>
      <c r="B912" s="200"/>
      <c r="C912" s="200"/>
      <c r="D912" s="200"/>
      <c r="E912" s="200"/>
      <c r="F912" s="204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  <c r="AA912" s="200"/>
    </row>
    <row r="913">
      <c r="A913" s="200"/>
      <c r="B913" s="200"/>
      <c r="C913" s="200"/>
      <c r="D913" s="200"/>
      <c r="E913" s="200"/>
      <c r="F913" s="204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  <c r="AA913" s="200"/>
    </row>
    <row r="914">
      <c r="A914" s="200"/>
      <c r="B914" s="200"/>
      <c r="C914" s="200"/>
      <c r="D914" s="200"/>
      <c r="E914" s="200"/>
      <c r="F914" s="204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  <c r="AA914" s="200"/>
    </row>
    <row r="915">
      <c r="A915" s="200"/>
      <c r="B915" s="200"/>
      <c r="C915" s="200"/>
      <c r="D915" s="200"/>
      <c r="E915" s="200"/>
      <c r="F915" s="204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  <c r="AA915" s="200"/>
    </row>
    <row r="916">
      <c r="A916" s="200"/>
      <c r="B916" s="200"/>
      <c r="C916" s="200"/>
      <c r="D916" s="200"/>
      <c r="E916" s="200"/>
      <c r="F916" s="204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  <c r="AA916" s="200"/>
    </row>
    <row r="917">
      <c r="A917" s="200"/>
      <c r="B917" s="200"/>
      <c r="C917" s="200"/>
      <c r="D917" s="200"/>
      <c r="E917" s="200"/>
      <c r="F917" s="204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  <c r="AA917" s="200"/>
    </row>
    <row r="918">
      <c r="A918" s="200"/>
      <c r="B918" s="200"/>
      <c r="C918" s="200"/>
      <c r="D918" s="200"/>
      <c r="E918" s="200"/>
      <c r="F918" s="204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  <c r="AA918" s="200"/>
    </row>
    <row r="919">
      <c r="A919" s="200"/>
      <c r="B919" s="200"/>
      <c r="C919" s="200"/>
      <c r="D919" s="200"/>
      <c r="E919" s="200"/>
      <c r="F919" s="204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  <c r="AA919" s="200"/>
    </row>
    <row r="920">
      <c r="A920" s="200"/>
      <c r="B920" s="200"/>
      <c r="C920" s="200"/>
      <c r="D920" s="200"/>
      <c r="E920" s="200"/>
      <c r="F920" s="204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  <c r="AA920" s="200"/>
    </row>
    <row r="921">
      <c r="A921" s="200"/>
      <c r="B921" s="200"/>
      <c r="C921" s="200"/>
      <c r="D921" s="200"/>
      <c r="E921" s="200"/>
      <c r="F921" s="204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  <c r="AA921" s="200"/>
    </row>
    <row r="922">
      <c r="A922" s="200"/>
      <c r="B922" s="200"/>
      <c r="C922" s="200"/>
      <c r="D922" s="200"/>
      <c r="E922" s="200"/>
      <c r="F922" s="204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  <c r="AA922" s="200"/>
    </row>
    <row r="923">
      <c r="A923" s="200"/>
      <c r="B923" s="200"/>
      <c r="C923" s="200"/>
      <c r="D923" s="200"/>
      <c r="E923" s="200"/>
      <c r="F923" s="204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  <c r="AA923" s="200"/>
    </row>
    <row r="924">
      <c r="A924" s="200"/>
      <c r="B924" s="200"/>
      <c r="C924" s="200"/>
      <c r="D924" s="200"/>
      <c r="E924" s="200"/>
      <c r="F924" s="204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  <c r="AA924" s="200"/>
    </row>
    <row r="925">
      <c r="A925" s="200"/>
      <c r="B925" s="200"/>
      <c r="C925" s="200"/>
      <c r="D925" s="200"/>
      <c r="E925" s="200"/>
      <c r="F925" s="204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  <c r="AA925" s="200"/>
    </row>
    <row r="926">
      <c r="A926" s="200"/>
      <c r="B926" s="200"/>
      <c r="C926" s="200"/>
      <c r="D926" s="200"/>
      <c r="E926" s="200"/>
      <c r="F926" s="204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  <c r="AA926" s="200"/>
    </row>
    <row r="927">
      <c r="A927" s="200"/>
      <c r="B927" s="200"/>
      <c r="C927" s="200"/>
      <c r="D927" s="200"/>
      <c r="E927" s="200"/>
      <c r="F927" s="204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  <c r="AA927" s="200"/>
    </row>
    <row r="928">
      <c r="A928" s="200"/>
      <c r="B928" s="200"/>
      <c r="C928" s="200"/>
      <c r="D928" s="200"/>
      <c r="E928" s="200"/>
      <c r="F928" s="204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  <c r="AA928" s="200"/>
    </row>
    <row r="929">
      <c r="A929" s="200"/>
      <c r="B929" s="200"/>
      <c r="C929" s="200"/>
      <c r="D929" s="200"/>
      <c r="E929" s="200"/>
      <c r="F929" s="204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  <c r="AA929" s="200"/>
    </row>
    <row r="930">
      <c r="A930" s="200"/>
      <c r="B930" s="200"/>
      <c r="C930" s="200"/>
      <c r="D930" s="200"/>
      <c r="E930" s="200"/>
      <c r="F930" s="204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  <c r="AA930" s="200"/>
    </row>
    <row r="931">
      <c r="A931" s="200"/>
      <c r="B931" s="200"/>
      <c r="C931" s="200"/>
      <c r="D931" s="200"/>
      <c r="E931" s="200"/>
      <c r="F931" s="204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  <c r="AA931" s="200"/>
    </row>
    <row r="932">
      <c r="A932" s="200"/>
      <c r="B932" s="200"/>
      <c r="C932" s="200"/>
      <c r="D932" s="200"/>
      <c r="E932" s="200"/>
      <c r="F932" s="204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  <c r="AA932" s="200"/>
    </row>
    <row r="933">
      <c r="A933" s="200"/>
      <c r="B933" s="200"/>
      <c r="C933" s="200"/>
      <c r="D933" s="200"/>
      <c r="E933" s="200"/>
      <c r="F933" s="204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  <c r="AA933" s="200"/>
    </row>
    <row r="934">
      <c r="A934" s="200"/>
      <c r="B934" s="200"/>
      <c r="C934" s="200"/>
      <c r="D934" s="200"/>
      <c r="E934" s="200"/>
      <c r="F934" s="204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  <c r="AA934" s="200"/>
    </row>
    <row r="935">
      <c r="A935" s="200"/>
      <c r="B935" s="200"/>
      <c r="C935" s="200"/>
      <c r="D935" s="200"/>
      <c r="E935" s="200"/>
      <c r="F935" s="204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  <c r="AA935" s="200"/>
    </row>
    <row r="936">
      <c r="A936" s="200"/>
      <c r="B936" s="200"/>
      <c r="C936" s="200"/>
      <c r="D936" s="200"/>
      <c r="E936" s="200"/>
      <c r="F936" s="204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  <c r="AA936" s="200"/>
    </row>
    <row r="937">
      <c r="A937" s="200"/>
      <c r="B937" s="200"/>
      <c r="C937" s="200"/>
      <c r="D937" s="200"/>
      <c r="E937" s="200"/>
      <c r="F937" s="204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  <c r="AA937" s="200"/>
    </row>
    <row r="938">
      <c r="A938" s="200"/>
      <c r="B938" s="200"/>
      <c r="C938" s="200"/>
      <c r="D938" s="200"/>
      <c r="E938" s="200"/>
      <c r="F938" s="204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  <c r="AA938" s="200"/>
    </row>
    <row r="939">
      <c r="A939" s="200"/>
      <c r="B939" s="200"/>
      <c r="C939" s="200"/>
      <c r="D939" s="200"/>
      <c r="E939" s="200"/>
      <c r="F939" s="204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  <c r="AA939" s="200"/>
    </row>
    <row r="940">
      <c r="A940" s="200"/>
      <c r="B940" s="200"/>
      <c r="C940" s="200"/>
      <c r="D940" s="200"/>
      <c r="E940" s="200"/>
      <c r="F940" s="204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  <c r="AA940" s="200"/>
    </row>
    <row r="941">
      <c r="A941" s="200"/>
      <c r="B941" s="200"/>
      <c r="C941" s="200"/>
      <c r="D941" s="200"/>
      <c r="E941" s="200"/>
      <c r="F941" s="204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  <c r="AA941" s="200"/>
    </row>
    <row r="942">
      <c r="A942" s="200"/>
      <c r="B942" s="200"/>
      <c r="C942" s="200"/>
      <c r="D942" s="200"/>
      <c r="E942" s="200"/>
      <c r="F942" s="204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  <c r="AA942" s="200"/>
    </row>
    <row r="943">
      <c r="A943" s="200"/>
      <c r="B943" s="200"/>
      <c r="C943" s="200"/>
      <c r="D943" s="200"/>
      <c r="E943" s="200"/>
      <c r="F943" s="204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  <c r="AA943" s="200"/>
    </row>
    <row r="944">
      <c r="A944" s="200"/>
      <c r="B944" s="200"/>
      <c r="C944" s="200"/>
      <c r="D944" s="200"/>
      <c r="E944" s="200"/>
      <c r="F944" s="204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  <c r="AA944" s="200"/>
    </row>
    <row r="945">
      <c r="A945" s="200"/>
      <c r="B945" s="200"/>
      <c r="C945" s="200"/>
      <c r="D945" s="200"/>
      <c r="E945" s="200"/>
      <c r="F945" s="204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  <c r="AA945" s="200"/>
    </row>
    <row r="946">
      <c r="A946" s="200"/>
      <c r="B946" s="200"/>
      <c r="C946" s="200"/>
      <c r="D946" s="200"/>
      <c r="E946" s="200"/>
      <c r="F946" s="204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  <c r="AA946" s="200"/>
    </row>
    <row r="947">
      <c r="A947" s="200"/>
      <c r="B947" s="200"/>
      <c r="C947" s="200"/>
      <c r="D947" s="200"/>
      <c r="E947" s="200"/>
      <c r="F947" s="204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  <c r="AA947" s="200"/>
    </row>
    <row r="948">
      <c r="A948" s="200"/>
      <c r="B948" s="200"/>
      <c r="C948" s="200"/>
      <c r="D948" s="200"/>
      <c r="E948" s="200"/>
      <c r="F948" s="204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  <c r="AA948" s="200"/>
    </row>
    <row r="949">
      <c r="A949" s="200"/>
      <c r="B949" s="200"/>
      <c r="C949" s="200"/>
      <c r="D949" s="200"/>
      <c r="E949" s="200"/>
      <c r="F949" s="204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  <c r="AA949" s="200"/>
    </row>
    <row r="950">
      <c r="A950" s="200"/>
      <c r="B950" s="200"/>
      <c r="C950" s="200"/>
      <c r="D950" s="200"/>
      <c r="E950" s="200"/>
      <c r="F950" s="204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  <c r="AA950" s="200"/>
    </row>
    <row r="951">
      <c r="A951" s="200"/>
      <c r="B951" s="200"/>
      <c r="C951" s="200"/>
      <c r="D951" s="200"/>
      <c r="E951" s="200"/>
      <c r="F951" s="204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  <c r="AA951" s="200"/>
    </row>
    <row r="952">
      <c r="A952" s="200"/>
      <c r="B952" s="200"/>
      <c r="C952" s="200"/>
      <c r="D952" s="200"/>
      <c r="E952" s="200"/>
      <c r="F952" s="204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  <c r="AA952" s="200"/>
    </row>
    <row r="953">
      <c r="A953" s="200"/>
      <c r="B953" s="200"/>
      <c r="C953" s="200"/>
      <c r="D953" s="200"/>
      <c r="E953" s="200"/>
      <c r="F953" s="204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  <c r="AA953" s="200"/>
    </row>
    <row r="954">
      <c r="A954" s="200"/>
      <c r="B954" s="200"/>
      <c r="C954" s="200"/>
      <c r="D954" s="200"/>
      <c r="E954" s="200"/>
      <c r="F954" s="204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  <c r="AA954" s="200"/>
    </row>
    <row r="955">
      <c r="A955" s="200"/>
      <c r="B955" s="200"/>
      <c r="C955" s="200"/>
      <c r="D955" s="200"/>
      <c r="E955" s="200"/>
      <c r="F955" s="204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  <c r="AA955" s="200"/>
    </row>
    <row r="956">
      <c r="A956" s="200"/>
      <c r="B956" s="200"/>
      <c r="C956" s="200"/>
      <c r="D956" s="200"/>
      <c r="E956" s="200"/>
      <c r="F956" s="204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  <c r="AA956" s="200"/>
    </row>
    <row r="957">
      <c r="A957" s="200"/>
      <c r="B957" s="200"/>
      <c r="C957" s="200"/>
      <c r="D957" s="200"/>
      <c r="E957" s="200"/>
      <c r="F957" s="204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  <c r="AA957" s="200"/>
    </row>
    <row r="958">
      <c r="A958" s="200"/>
      <c r="B958" s="200"/>
      <c r="C958" s="200"/>
      <c r="D958" s="200"/>
      <c r="E958" s="200"/>
      <c r="F958" s="204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  <c r="AA958" s="200"/>
    </row>
    <row r="959">
      <c r="A959" s="200"/>
      <c r="B959" s="200"/>
      <c r="C959" s="200"/>
      <c r="D959" s="200"/>
      <c r="E959" s="200"/>
      <c r="F959" s="204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  <c r="AA959" s="200"/>
    </row>
    <row r="960">
      <c r="A960" s="200"/>
      <c r="B960" s="200"/>
      <c r="C960" s="200"/>
      <c r="D960" s="200"/>
      <c r="E960" s="200"/>
      <c r="F960" s="204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  <c r="AA960" s="200"/>
    </row>
    <row r="961">
      <c r="A961" s="200"/>
      <c r="B961" s="200"/>
      <c r="C961" s="200"/>
      <c r="D961" s="200"/>
      <c r="E961" s="200"/>
      <c r="F961" s="204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  <c r="AA961" s="200"/>
    </row>
    <row r="962">
      <c r="A962" s="200"/>
      <c r="B962" s="200"/>
      <c r="C962" s="200"/>
      <c r="D962" s="200"/>
      <c r="E962" s="200"/>
      <c r="F962" s="204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  <c r="AA962" s="200"/>
    </row>
    <row r="963">
      <c r="A963" s="200"/>
      <c r="B963" s="200"/>
      <c r="C963" s="200"/>
      <c r="D963" s="200"/>
      <c r="E963" s="200"/>
      <c r="F963" s="204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  <c r="AA963" s="200"/>
    </row>
    <row r="964">
      <c r="A964" s="200"/>
      <c r="B964" s="200"/>
      <c r="C964" s="200"/>
      <c r="D964" s="200"/>
      <c r="E964" s="200"/>
      <c r="F964" s="204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  <c r="AA964" s="200"/>
    </row>
    <row r="965">
      <c r="A965" s="200"/>
      <c r="B965" s="200"/>
      <c r="C965" s="200"/>
      <c r="D965" s="200"/>
      <c r="E965" s="200"/>
      <c r="F965" s="204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  <c r="AA965" s="200"/>
    </row>
    <row r="966">
      <c r="A966" s="200"/>
      <c r="B966" s="200"/>
      <c r="C966" s="200"/>
      <c r="D966" s="200"/>
      <c r="E966" s="200"/>
      <c r="F966" s="204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  <c r="AA966" s="200"/>
    </row>
    <row r="967">
      <c r="A967" s="200"/>
      <c r="B967" s="200"/>
      <c r="C967" s="200"/>
      <c r="D967" s="200"/>
      <c r="E967" s="200"/>
      <c r="F967" s="204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  <c r="AA967" s="200"/>
    </row>
    <row r="968">
      <c r="A968" s="200"/>
      <c r="B968" s="200"/>
      <c r="C968" s="200"/>
      <c r="D968" s="200"/>
      <c r="E968" s="200"/>
      <c r="F968" s="204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  <c r="AA968" s="200"/>
    </row>
    <row r="969">
      <c r="A969" s="200"/>
      <c r="B969" s="200"/>
      <c r="C969" s="200"/>
      <c r="D969" s="200"/>
      <c r="E969" s="200"/>
      <c r="F969" s="204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  <c r="AA969" s="200"/>
    </row>
    <row r="970">
      <c r="A970" s="200"/>
      <c r="B970" s="200"/>
      <c r="C970" s="200"/>
      <c r="D970" s="200"/>
      <c r="E970" s="200"/>
      <c r="F970" s="204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  <c r="AA970" s="200"/>
    </row>
    <row r="971">
      <c r="A971" s="200"/>
      <c r="B971" s="200"/>
      <c r="C971" s="200"/>
      <c r="D971" s="200"/>
      <c r="E971" s="200"/>
      <c r="F971" s="204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  <c r="AA971" s="200"/>
    </row>
    <row r="972">
      <c r="A972" s="200"/>
      <c r="B972" s="200"/>
      <c r="C972" s="200"/>
      <c r="D972" s="200"/>
      <c r="E972" s="200"/>
      <c r="F972" s="204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  <c r="AA972" s="200"/>
    </row>
    <row r="973">
      <c r="A973" s="200"/>
      <c r="B973" s="200"/>
      <c r="C973" s="200"/>
      <c r="D973" s="200"/>
      <c r="E973" s="200"/>
      <c r="F973" s="204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  <c r="AA973" s="200"/>
    </row>
    <row r="974">
      <c r="A974" s="200"/>
      <c r="B974" s="200"/>
      <c r="C974" s="200"/>
      <c r="D974" s="200"/>
      <c r="E974" s="200"/>
      <c r="F974" s="204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  <c r="AA974" s="200"/>
    </row>
    <row r="975">
      <c r="A975" s="200"/>
      <c r="B975" s="200"/>
      <c r="C975" s="200"/>
      <c r="D975" s="200"/>
      <c r="E975" s="200"/>
      <c r="F975" s="204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  <c r="AA975" s="200"/>
    </row>
    <row r="976">
      <c r="A976" s="200"/>
      <c r="B976" s="200"/>
      <c r="C976" s="200"/>
      <c r="D976" s="200"/>
      <c r="E976" s="200"/>
      <c r="F976" s="204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  <c r="AA976" s="200"/>
    </row>
    <row r="977">
      <c r="A977" s="200"/>
      <c r="B977" s="200"/>
      <c r="C977" s="200"/>
      <c r="D977" s="200"/>
      <c r="E977" s="200"/>
      <c r="F977" s="204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  <c r="AA977" s="200"/>
    </row>
    <row r="978">
      <c r="A978" s="200"/>
      <c r="B978" s="200"/>
      <c r="C978" s="200"/>
      <c r="D978" s="200"/>
      <c r="E978" s="200"/>
      <c r="F978" s="204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  <c r="AA978" s="200"/>
    </row>
    <row r="979">
      <c r="A979" s="200"/>
      <c r="B979" s="200"/>
      <c r="C979" s="200"/>
      <c r="D979" s="200"/>
      <c r="E979" s="200"/>
      <c r="F979" s="204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  <c r="AA979" s="200"/>
    </row>
    <row r="980">
      <c r="A980" s="200"/>
      <c r="B980" s="200"/>
      <c r="C980" s="200"/>
      <c r="D980" s="200"/>
      <c r="E980" s="200"/>
      <c r="F980" s="204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  <c r="AA980" s="200"/>
    </row>
    <row r="981">
      <c r="A981" s="200"/>
      <c r="B981" s="200"/>
      <c r="C981" s="200"/>
      <c r="D981" s="200"/>
      <c r="E981" s="200"/>
      <c r="F981" s="204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  <c r="AA981" s="200"/>
    </row>
    <row r="982">
      <c r="A982" s="200"/>
      <c r="B982" s="200"/>
      <c r="C982" s="200"/>
      <c r="D982" s="200"/>
      <c r="E982" s="200"/>
      <c r="F982" s="204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  <c r="AA982" s="200"/>
    </row>
    <row r="983">
      <c r="A983" s="200"/>
      <c r="B983" s="200"/>
      <c r="C983" s="200"/>
      <c r="D983" s="200"/>
      <c r="E983" s="200"/>
      <c r="F983" s="204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  <c r="AA983" s="200"/>
    </row>
    <row r="984">
      <c r="A984" s="200"/>
      <c r="B984" s="200"/>
      <c r="C984" s="200"/>
      <c r="D984" s="200"/>
      <c r="E984" s="200"/>
      <c r="F984" s="204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  <c r="AA984" s="200"/>
    </row>
    <row r="985">
      <c r="A985" s="200"/>
      <c r="B985" s="200"/>
      <c r="C985" s="200"/>
      <c r="D985" s="200"/>
      <c r="E985" s="200"/>
      <c r="F985" s="204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  <c r="AA985" s="200"/>
    </row>
    <row r="986">
      <c r="A986" s="200"/>
      <c r="B986" s="200"/>
      <c r="C986" s="200"/>
      <c r="D986" s="200"/>
      <c r="E986" s="200"/>
      <c r="F986" s="204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  <c r="AA986" s="200"/>
    </row>
    <row r="987">
      <c r="A987" s="200"/>
      <c r="B987" s="200"/>
      <c r="C987" s="200"/>
      <c r="D987" s="200"/>
      <c r="E987" s="200"/>
      <c r="F987" s="204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  <c r="AA987" s="200"/>
    </row>
    <row r="988">
      <c r="A988" s="200"/>
      <c r="B988" s="200"/>
      <c r="C988" s="200"/>
      <c r="D988" s="200"/>
      <c r="E988" s="200"/>
      <c r="F988" s="204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  <c r="AA988" s="200"/>
    </row>
    <row r="989">
      <c r="A989" s="200"/>
      <c r="B989" s="200"/>
      <c r="C989" s="200"/>
      <c r="D989" s="200"/>
      <c r="E989" s="200"/>
      <c r="F989" s="204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  <c r="AA989" s="200"/>
    </row>
    <row r="990">
      <c r="A990" s="200"/>
      <c r="B990" s="200"/>
      <c r="C990" s="200"/>
      <c r="D990" s="200"/>
      <c r="E990" s="200"/>
      <c r="F990" s="204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  <c r="AA990" s="200"/>
    </row>
    <row r="991">
      <c r="A991" s="200"/>
      <c r="B991" s="200"/>
      <c r="C991" s="200"/>
      <c r="D991" s="200"/>
      <c r="E991" s="200"/>
      <c r="F991" s="204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  <c r="AA991" s="200"/>
    </row>
    <row r="992">
      <c r="A992" s="200"/>
      <c r="B992" s="200"/>
      <c r="C992" s="200"/>
      <c r="D992" s="200"/>
      <c r="E992" s="200"/>
      <c r="F992" s="204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  <c r="AA992" s="200"/>
    </row>
    <row r="993">
      <c r="A993" s="200"/>
      <c r="B993" s="200"/>
      <c r="C993" s="200"/>
      <c r="D993" s="200"/>
      <c r="E993" s="200"/>
      <c r="F993" s="204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  <c r="AA993" s="200"/>
    </row>
    <row r="994">
      <c r="A994" s="200"/>
      <c r="B994" s="200"/>
      <c r="C994" s="200"/>
      <c r="D994" s="200"/>
      <c r="E994" s="200"/>
      <c r="F994" s="204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  <c r="AA994" s="200"/>
    </row>
    <row r="995">
      <c r="A995" s="200"/>
      <c r="B995" s="200"/>
      <c r="C995" s="200"/>
      <c r="D995" s="200"/>
      <c r="E995" s="200"/>
      <c r="F995" s="204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  <c r="AA995" s="200"/>
    </row>
    <row r="996">
      <c r="A996" s="200"/>
      <c r="B996" s="200"/>
      <c r="C996" s="200"/>
      <c r="D996" s="200"/>
      <c r="E996" s="200"/>
      <c r="F996" s="204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  <c r="AA996" s="200"/>
    </row>
    <row r="997">
      <c r="A997" s="200"/>
      <c r="B997" s="200"/>
      <c r="C997" s="200"/>
      <c r="D997" s="200"/>
      <c r="E997" s="200"/>
      <c r="F997" s="204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  <c r="AA997" s="200"/>
    </row>
    <row r="998">
      <c r="A998" s="200"/>
      <c r="B998" s="200"/>
      <c r="C998" s="200"/>
      <c r="D998" s="200"/>
      <c r="E998" s="200"/>
      <c r="F998" s="204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  <c r="AA998" s="200"/>
    </row>
    <row r="999">
      <c r="A999" s="200"/>
      <c r="B999" s="200"/>
      <c r="C999" s="200"/>
      <c r="D999" s="200"/>
      <c r="E999" s="200"/>
      <c r="F999" s="204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  <c r="AA999" s="200"/>
    </row>
    <row r="1000">
      <c r="A1000" s="200"/>
      <c r="B1000" s="200"/>
      <c r="C1000" s="200"/>
      <c r="D1000" s="200"/>
      <c r="E1000" s="200"/>
      <c r="F1000" s="204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  <c r="AA1000" s="200"/>
    </row>
  </sheetData>
  <conditionalFormatting sqref="E2:E109">
    <cfRule type="notContainsBlanks" dxfId="5" priority="1">
      <formula>LEN(TRIM(E2))&gt;0</formula>
    </cfRule>
  </conditionalFormatting>
  <dataValidations>
    <dataValidation type="list" allowBlank="1" showErrorMessage="1" sqref="E2:E110">
      <formula1>LEGEND!$E$2:$E$100</formula1>
    </dataValidation>
    <dataValidation type="list" allowBlank="1" showErrorMessage="1" sqref="H2:H109">
      <formula1>LEGEND!$F$2:$F$13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20.38"/>
    <col customWidth="1" min="6" max="6" width="25.75"/>
    <col customWidth="1" min="8" max="8" width="16.88"/>
    <col customWidth="1" min="10" max="10" width="19.75"/>
    <col customWidth="1" min="11" max="11" width="25.38"/>
    <col customWidth="1" min="12" max="12" width="15.5"/>
    <col customWidth="1" min="13" max="13" width="18.75"/>
    <col customWidth="1" min="14" max="14" width="18.88"/>
    <col customWidth="1" min="15" max="15" width="20.63"/>
    <col customWidth="1" min="16" max="16" width="24.75"/>
    <col customWidth="1" min="17" max="17" width="19.38"/>
    <col customWidth="1" min="18" max="19" width="14.25"/>
    <col customWidth="1" min="20" max="20" width="15.88"/>
    <col customWidth="1" min="21" max="21" width="15.75"/>
    <col customWidth="1" min="22" max="22" width="24.88"/>
  </cols>
  <sheetData>
    <row r="1">
      <c r="A1" s="80" t="s">
        <v>2</v>
      </c>
      <c r="B1" s="80" t="s">
        <v>4</v>
      </c>
      <c r="C1" s="80" t="s">
        <v>42</v>
      </c>
      <c r="D1" s="81" t="s">
        <v>43</v>
      </c>
      <c r="E1" s="81" t="s">
        <v>44</v>
      </c>
      <c r="F1" s="81" t="s">
        <v>45</v>
      </c>
      <c r="G1" s="2" t="s">
        <v>46</v>
      </c>
      <c r="H1" s="82" t="s">
        <v>4</v>
      </c>
      <c r="I1" s="82" t="s">
        <v>42</v>
      </c>
      <c r="J1" s="84" t="s">
        <v>43</v>
      </c>
      <c r="K1" s="84" t="s">
        <v>45</v>
      </c>
      <c r="L1" s="84" t="s">
        <v>33</v>
      </c>
      <c r="M1" s="85" t="s">
        <v>47</v>
      </c>
      <c r="N1" s="82" t="s">
        <v>4</v>
      </c>
      <c r="O1" s="84" t="s">
        <v>43</v>
      </c>
      <c r="P1" s="84" t="s">
        <v>45</v>
      </c>
      <c r="Q1" s="84" t="s">
        <v>48</v>
      </c>
      <c r="R1" s="84" t="s">
        <v>62</v>
      </c>
      <c r="S1" s="84" t="s">
        <v>50</v>
      </c>
      <c r="T1" s="84" t="s">
        <v>51</v>
      </c>
      <c r="U1" s="84" t="s">
        <v>52</v>
      </c>
      <c r="V1" s="84" t="s">
        <v>53</v>
      </c>
    </row>
    <row r="2">
      <c r="A2" s="74" t="str">
        <f t="shared" ref="A2:A464" si="1">IF(ISBLANK(B2),"",TEXT(B2,"dddd"))</f>
        <v>Friday</v>
      </c>
      <c r="B2" s="49">
        <v>46297.0</v>
      </c>
      <c r="C2" s="142">
        <v>1.0</v>
      </c>
      <c r="D2" s="143">
        <v>112051.57</v>
      </c>
      <c r="E2" s="144">
        <v>17840.0</v>
      </c>
      <c r="F2" s="88">
        <f t="shared" ref="F2:F464" si="2">D2*E2</f>
        <v>1999000009</v>
      </c>
      <c r="H2" s="91">
        <f t="array" ref="H2:H32">INDEX(UNIQUE(B2:C1110), , 1)
</f>
        <v>46297</v>
      </c>
      <c r="I2" s="92">
        <f t="array" ref="I2:I32">INDEX(UNIQUE(B2:C1110), , 2)
</f>
        <v>1</v>
      </c>
      <c r="J2" s="93">
        <f t="shared" ref="J2:J200" si="3">SUMIFS($D$2:$D1110, $B$2:$B1110, H2, $C$2:$C1110, I2)</f>
        <v>112051.57</v>
      </c>
      <c r="K2" s="94">
        <f t="shared" ref="K2:K200" si="4">SUMIFS($F$2:$F1110, $B$2:$B1110, H2, $C$2:$C1110, I2)</f>
        <v>1999000009</v>
      </c>
      <c r="L2" s="95">
        <f t="shared" ref="L2:L200" si="5">IFERROR(K2/J2, 0)</f>
        <v>17840</v>
      </c>
      <c r="N2" s="96">
        <f t="array" ref="N2:N23">UNIQUE(H2:H1118)</f>
        <v>46297</v>
      </c>
      <c r="O2" s="97">
        <f t="shared" ref="O2:O41" si="6">SUMIF($H$2:$H1110, N2, $J$2:$J1110)</f>
        <v>474666.3</v>
      </c>
      <c r="P2" s="98">
        <f t="shared" ref="P2:P41" si="7">SUMIF($H$2:$H1110, N2, $K$2:$K1110)</f>
        <v>8450477836</v>
      </c>
      <c r="Q2" s="99">
        <f t="shared" ref="Q2:Q41" si="8">IF(N2="", "", IFERROR(P2/O2, "-"))
</f>
        <v>17802.98672</v>
      </c>
      <c r="R2" s="100">
        <v>0.0</v>
      </c>
      <c r="S2" s="101">
        <f t="shared" ref="S2:S41" si="9">O2*$R2%</f>
        <v>0</v>
      </c>
      <c r="T2" s="101">
        <f t="shared" ref="T2:T41" si="10">O2-S2</f>
        <v>474666.3</v>
      </c>
      <c r="U2" s="101">
        <f>IFERROR(ROUND(ABS(VALUE(T2)-VALUE(SUMMARY!C70)), 2), "-")</f>
        <v>474666.3</v>
      </c>
      <c r="V2" s="98">
        <f t="shared" ref="V2:V41" si="11">IFERROR(ROUND(VALUE(U2)*VALUE(Q2), 2), "-")</f>
        <v>8450477836</v>
      </c>
    </row>
    <row r="3">
      <c r="A3" s="74" t="str">
        <f t="shared" si="1"/>
        <v>Friday</v>
      </c>
      <c r="B3" s="49">
        <v>46297.0</v>
      </c>
      <c r="C3" s="142">
        <v>2.0</v>
      </c>
      <c r="D3" s="143">
        <v>15924.63</v>
      </c>
      <c r="E3" s="144">
        <v>17790.0</v>
      </c>
      <c r="F3" s="88">
        <f t="shared" si="2"/>
        <v>283299167.7</v>
      </c>
      <c r="G3" s="104"/>
      <c r="H3" s="91">
        <v>46297.0</v>
      </c>
      <c r="I3" s="105">
        <v>2.0</v>
      </c>
      <c r="J3" s="93">
        <f t="shared" si="3"/>
        <v>306436.73</v>
      </c>
      <c r="K3" s="94">
        <f t="shared" si="4"/>
        <v>5451509427</v>
      </c>
      <c r="L3" s="95">
        <f t="shared" si="5"/>
        <v>17790</v>
      </c>
      <c r="N3" s="96">
        <v>46298.0</v>
      </c>
      <c r="O3" s="97">
        <f t="shared" si="6"/>
        <v>13604</v>
      </c>
      <c r="P3" s="98">
        <f t="shared" si="7"/>
        <v>242219220</v>
      </c>
      <c r="Q3" s="99">
        <f t="shared" si="8"/>
        <v>17805</v>
      </c>
      <c r="R3" s="100">
        <v>0.0</v>
      </c>
      <c r="S3" s="101">
        <f t="shared" si="9"/>
        <v>0</v>
      </c>
      <c r="T3" s="101">
        <f t="shared" si="10"/>
        <v>13604</v>
      </c>
      <c r="U3" s="101">
        <f>IFERROR(ROUND(ABS(VALUE(T3)-VALUE(SUMMARY!C71)), 2), "-")</f>
        <v>13604</v>
      </c>
      <c r="V3" s="98">
        <f t="shared" si="11"/>
        <v>242219220</v>
      </c>
    </row>
    <row r="4">
      <c r="A4" s="74" t="str">
        <f t="shared" si="1"/>
        <v>Friday</v>
      </c>
      <c r="B4" s="49">
        <v>46297.0</v>
      </c>
      <c r="C4" s="148">
        <v>2.0</v>
      </c>
      <c r="D4" s="143">
        <v>290512.1</v>
      </c>
      <c r="E4" s="144">
        <v>17790.0</v>
      </c>
      <c r="F4" s="88">
        <f t="shared" si="2"/>
        <v>5168210259</v>
      </c>
      <c r="H4" s="91">
        <v>46297.0</v>
      </c>
      <c r="I4" s="105">
        <v>3.0</v>
      </c>
      <c r="J4" s="93">
        <f t="shared" si="3"/>
        <v>56178</v>
      </c>
      <c r="K4" s="94">
        <f t="shared" si="4"/>
        <v>999968400</v>
      </c>
      <c r="L4" s="95">
        <f t="shared" si="5"/>
        <v>17800</v>
      </c>
      <c r="N4" s="96">
        <v>46299.0</v>
      </c>
      <c r="O4" s="97">
        <f t="shared" si="6"/>
        <v>165729.7</v>
      </c>
      <c r="P4" s="98">
        <f t="shared" si="7"/>
        <v>2953749744</v>
      </c>
      <c r="Q4" s="99">
        <f t="shared" si="8"/>
        <v>17822.69408</v>
      </c>
      <c r="R4" s="100">
        <v>0.0</v>
      </c>
      <c r="S4" s="101">
        <f t="shared" si="9"/>
        <v>0</v>
      </c>
      <c r="T4" s="101">
        <f t="shared" si="10"/>
        <v>165729.7</v>
      </c>
      <c r="U4" s="101">
        <f>IFERROR(ROUND(ABS(VALUE(T4)-VALUE(SUMMARY!C72)), 2), "-")</f>
        <v>165729.7</v>
      </c>
      <c r="V4" s="98">
        <f t="shared" si="11"/>
        <v>2953749744</v>
      </c>
    </row>
    <row r="5">
      <c r="A5" s="74" t="str">
        <f t="shared" si="1"/>
        <v>Friday</v>
      </c>
      <c r="B5" s="49">
        <v>46297.0</v>
      </c>
      <c r="C5" s="148">
        <v>3.0</v>
      </c>
      <c r="D5" s="143">
        <v>56178.0</v>
      </c>
      <c r="E5" s="144">
        <v>17800.0</v>
      </c>
      <c r="F5" s="88">
        <f t="shared" si="2"/>
        <v>999968400</v>
      </c>
      <c r="H5" s="91">
        <v>46298.0</v>
      </c>
      <c r="I5" s="105">
        <v>1.0</v>
      </c>
      <c r="J5" s="93">
        <f t="shared" si="3"/>
        <v>13604</v>
      </c>
      <c r="K5" s="94">
        <f t="shared" si="4"/>
        <v>242219220</v>
      </c>
      <c r="L5" s="95">
        <f t="shared" si="5"/>
        <v>17805</v>
      </c>
      <c r="N5" s="96">
        <v>46300.0</v>
      </c>
      <c r="O5" s="97">
        <f t="shared" si="6"/>
        <v>538814.46</v>
      </c>
      <c r="P5" s="98">
        <f t="shared" si="7"/>
        <v>9612383851</v>
      </c>
      <c r="Q5" s="99">
        <f t="shared" si="8"/>
        <v>17839.8773</v>
      </c>
      <c r="R5" s="100">
        <v>0.0</v>
      </c>
      <c r="S5" s="101">
        <f t="shared" si="9"/>
        <v>0</v>
      </c>
      <c r="T5" s="101">
        <f t="shared" si="10"/>
        <v>538814.46</v>
      </c>
      <c r="U5" s="101">
        <f>IFERROR(ROUND(ABS(VALUE(T5)-VALUE(SUMMARY!C73)), 2), "-")</f>
        <v>538814.46</v>
      </c>
      <c r="V5" s="98">
        <f t="shared" si="11"/>
        <v>9612383851</v>
      </c>
    </row>
    <row r="6">
      <c r="A6" s="74" t="str">
        <f t="shared" si="1"/>
        <v>Saturday</v>
      </c>
      <c r="B6" s="49">
        <v>46298.0</v>
      </c>
      <c r="C6" s="148">
        <v>1.0</v>
      </c>
      <c r="D6" s="143">
        <v>13604.0</v>
      </c>
      <c r="E6" s="144">
        <v>17805.0</v>
      </c>
      <c r="F6" s="88">
        <f t="shared" si="2"/>
        <v>242219220</v>
      </c>
      <c r="H6" s="91">
        <v>46299.0</v>
      </c>
      <c r="I6" s="105">
        <v>1.0</v>
      </c>
      <c r="J6" s="93">
        <f t="shared" si="3"/>
        <v>140252.45</v>
      </c>
      <c r="K6" s="94">
        <f t="shared" si="4"/>
        <v>2499999921</v>
      </c>
      <c r="L6" s="95">
        <f t="shared" si="5"/>
        <v>17825</v>
      </c>
      <c r="N6" s="96">
        <v>46310.0</v>
      </c>
      <c r="O6" s="97">
        <f t="shared" si="6"/>
        <v>0</v>
      </c>
      <c r="P6" s="98">
        <f t="shared" si="7"/>
        <v>0</v>
      </c>
      <c r="Q6" s="99" t="str">
        <f t="shared" si="8"/>
        <v>-</v>
      </c>
      <c r="R6" s="100">
        <v>0.0</v>
      </c>
      <c r="S6" s="101">
        <f t="shared" si="9"/>
        <v>0</v>
      </c>
      <c r="T6" s="101">
        <f t="shared" si="10"/>
        <v>0</v>
      </c>
      <c r="U6" s="101">
        <f>IFERROR(ROUND(ABS(VALUE(T6)-VALUE(SUMMARY!C101)), 2), "-")</f>
        <v>0</v>
      </c>
      <c r="V6" s="98" t="str">
        <f t="shared" si="11"/>
        <v>-</v>
      </c>
    </row>
    <row r="7">
      <c r="A7" s="74" t="str">
        <f t="shared" si="1"/>
        <v>Sunday</v>
      </c>
      <c r="B7" s="49">
        <v>46299.0</v>
      </c>
      <c r="C7" s="148">
        <v>1.0</v>
      </c>
      <c r="D7" s="143">
        <v>140252.45</v>
      </c>
      <c r="E7" s="144">
        <v>17825.0</v>
      </c>
      <c r="F7" s="88">
        <f t="shared" si="2"/>
        <v>2499999921</v>
      </c>
      <c r="H7" s="91">
        <v>46299.0</v>
      </c>
      <c r="I7" s="105">
        <v>2.0</v>
      </c>
      <c r="J7" s="93">
        <f t="shared" si="3"/>
        <v>25477.25</v>
      </c>
      <c r="K7" s="94">
        <f t="shared" si="4"/>
        <v>453749822.5</v>
      </c>
      <c r="L7" s="95">
        <f t="shared" si="5"/>
        <v>17810</v>
      </c>
      <c r="N7" s="96">
        <v>46311.0</v>
      </c>
      <c r="O7" s="97">
        <f t="shared" si="6"/>
        <v>0</v>
      </c>
      <c r="P7" s="98">
        <f t="shared" si="7"/>
        <v>0</v>
      </c>
      <c r="Q7" s="99" t="str">
        <f t="shared" si="8"/>
        <v>-</v>
      </c>
      <c r="R7" s="100">
        <v>0.0</v>
      </c>
      <c r="S7" s="101">
        <f t="shared" si="9"/>
        <v>0</v>
      </c>
      <c r="T7" s="101">
        <f t="shared" si="10"/>
        <v>0</v>
      </c>
      <c r="U7" s="101">
        <f>IFERROR(ROUND(ABS(VALUE(T7)-VALUE(SUMMARY!C102)), 2), "-")</f>
        <v>0</v>
      </c>
      <c r="V7" s="98" t="str">
        <f t="shared" si="11"/>
        <v>-</v>
      </c>
    </row>
    <row r="8">
      <c r="A8" s="74" t="str">
        <f t="shared" si="1"/>
        <v>Sunday</v>
      </c>
      <c r="B8" s="49">
        <v>46299.0</v>
      </c>
      <c r="C8" s="148">
        <v>2.0</v>
      </c>
      <c r="D8" s="143">
        <v>25477.25</v>
      </c>
      <c r="E8" s="144">
        <v>17810.0</v>
      </c>
      <c r="F8" s="88">
        <f t="shared" si="2"/>
        <v>453749822.5</v>
      </c>
      <c r="H8" s="91">
        <v>46300.0</v>
      </c>
      <c r="I8" s="105">
        <v>1.0</v>
      </c>
      <c r="J8" s="93">
        <f t="shared" si="3"/>
        <v>101249.65</v>
      </c>
      <c r="K8" s="94">
        <f t="shared" si="4"/>
        <v>1806800004</v>
      </c>
      <c r="L8" s="95">
        <f t="shared" si="5"/>
        <v>17845</v>
      </c>
      <c r="N8" s="96">
        <v>46312.0</v>
      </c>
      <c r="O8" s="97">
        <f t="shared" si="6"/>
        <v>0</v>
      </c>
      <c r="P8" s="98">
        <f t="shared" si="7"/>
        <v>0</v>
      </c>
      <c r="Q8" s="99" t="str">
        <f t="shared" si="8"/>
        <v>-</v>
      </c>
      <c r="R8" s="100">
        <v>0.0</v>
      </c>
      <c r="S8" s="101">
        <f t="shared" si="9"/>
        <v>0</v>
      </c>
      <c r="T8" s="101">
        <f t="shared" si="10"/>
        <v>0</v>
      </c>
      <c r="U8" s="101">
        <f>IFERROR(ROUND(ABS(VALUE(T8)-VALUE(SUMMARY!C103)), 2), "-")</f>
        <v>0</v>
      </c>
      <c r="V8" s="98" t="str">
        <f t="shared" si="11"/>
        <v>-</v>
      </c>
    </row>
    <row r="9">
      <c r="A9" s="74" t="str">
        <f t="shared" si="1"/>
        <v>Monday</v>
      </c>
      <c r="B9" s="49">
        <v>46300.0</v>
      </c>
      <c r="C9" s="148">
        <v>1.0</v>
      </c>
      <c r="D9" s="143">
        <v>101249.65</v>
      </c>
      <c r="E9" s="144">
        <v>17845.0</v>
      </c>
      <c r="F9" s="88">
        <f t="shared" si="2"/>
        <v>1806800004</v>
      </c>
      <c r="H9" s="91">
        <v>46300.0</v>
      </c>
      <c r="I9" s="105">
        <v>2.0</v>
      </c>
      <c r="J9" s="93">
        <f t="shared" si="3"/>
        <v>22032.5</v>
      </c>
      <c r="K9" s="94">
        <f t="shared" si="4"/>
        <v>393500450</v>
      </c>
      <c r="L9" s="95">
        <f t="shared" si="5"/>
        <v>17860</v>
      </c>
      <c r="N9" s="96">
        <v>46313.0</v>
      </c>
      <c r="O9" s="97">
        <f t="shared" si="6"/>
        <v>0</v>
      </c>
      <c r="P9" s="98">
        <f t="shared" si="7"/>
        <v>0</v>
      </c>
      <c r="Q9" s="99" t="str">
        <f t="shared" si="8"/>
        <v>-</v>
      </c>
      <c r="R9" s="100">
        <v>0.0</v>
      </c>
      <c r="S9" s="101">
        <f t="shared" si="9"/>
        <v>0</v>
      </c>
      <c r="T9" s="101">
        <f t="shared" si="10"/>
        <v>0</v>
      </c>
      <c r="U9" s="101">
        <f>IFERROR(ROUND(ABS(VALUE(T9)-VALUE(SUMMARY!C104)), 2), "-")</f>
        <v>0</v>
      </c>
      <c r="V9" s="98" t="str">
        <f t="shared" si="11"/>
        <v>-</v>
      </c>
    </row>
    <row r="10">
      <c r="A10" s="74" t="str">
        <f t="shared" si="1"/>
        <v>Monday</v>
      </c>
      <c r="B10" s="49">
        <v>46300.0</v>
      </c>
      <c r="C10" s="148">
        <v>2.0</v>
      </c>
      <c r="D10" s="143">
        <v>22032.5</v>
      </c>
      <c r="E10" s="144">
        <v>17860.0</v>
      </c>
      <c r="F10" s="88">
        <f t="shared" si="2"/>
        <v>393500450</v>
      </c>
      <c r="H10" s="91">
        <v>46300.0</v>
      </c>
      <c r="I10" s="105">
        <v>3.0</v>
      </c>
      <c r="J10" s="93">
        <f t="shared" si="3"/>
        <v>126597.3</v>
      </c>
      <c r="K10" s="94">
        <f t="shared" si="4"/>
        <v>2257229859</v>
      </c>
      <c r="L10" s="95">
        <f t="shared" si="5"/>
        <v>17830</v>
      </c>
      <c r="N10" s="96">
        <v>46314.0</v>
      </c>
      <c r="O10" s="97">
        <f t="shared" si="6"/>
        <v>0</v>
      </c>
      <c r="P10" s="98">
        <f t="shared" si="7"/>
        <v>0</v>
      </c>
      <c r="Q10" s="99" t="str">
        <f t="shared" si="8"/>
        <v>-</v>
      </c>
      <c r="R10" s="100">
        <v>0.0</v>
      </c>
      <c r="S10" s="101">
        <f t="shared" si="9"/>
        <v>0</v>
      </c>
      <c r="T10" s="101">
        <f t="shared" si="10"/>
        <v>0</v>
      </c>
      <c r="U10" s="101">
        <f>IFERROR(ROUND(ABS(VALUE(T10)-VALUE(SUMMARY!C105)), 2), "-")</f>
        <v>0</v>
      </c>
      <c r="V10" s="98" t="str">
        <f t="shared" si="11"/>
        <v>-</v>
      </c>
    </row>
    <row r="11">
      <c r="A11" s="74" t="str">
        <f t="shared" si="1"/>
        <v>Monday</v>
      </c>
      <c r="B11" s="49">
        <v>46300.0</v>
      </c>
      <c r="C11" s="148">
        <v>3.0</v>
      </c>
      <c r="D11" s="143">
        <v>126597.3</v>
      </c>
      <c r="E11" s="144">
        <v>17830.0</v>
      </c>
      <c r="F11" s="88">
        <f t="shared" si="2"/>
        <v>2257229859</v>
      </c>
      <c r="H11" s="91">
        <v>46300.0</v>
      </c>
      <c r="I11" s="105">
        <v>4.0</v>
      </c>
      <c r="J11" s="93">
        <f t="shared" si="3"/>
        <v>127558.12</v>
      </c>
      <c r="K11" s="94">
        <f t="shared" si="4"/>
        <v>2274999070</v>
      </c>
      <c r="L11" s="95">
        <f t="shared" si="5"/>
        <v>17835</v>
      </c>
      <c r="N11" s="96">
        <v>46315.0</v>
      </c>
      <c r="O11" s="97">
        <f t="shared" si="6"/>
        <v>0</v>
      </c>
      <c r="P11" s="98">
        <f t="shared" si="7"/>
        <v>0</v>
      </c>
      <c r="Q11" s="99" t="str">
        <f t="shared" si="8"/>
        <v>-</v>
      </c>
      <c r="R11" s="100">
        <v>0.0</v>
      </c>
      <c r="S11" s="101">
        <f t="shared" si="9"/>
        <v>0</v>
      </c>
      <c r="T11" s="101">
        <f t="shared" si="10"/>
        <v>0</v>
      </c>
      <c r="U11" s="101">
        <f>IFERROR(ROUND(ABS(VALUE(T11)-VALUE(SUMMARY!C106)), 2), "-")</f>
        <v>0</v>
      </c>
      <c r="V11" s="98" t="str">
        <f t="shared" si="11"/>
        <v>-</v>
      </c>
    </row>
    <row r="12">
      <c r="A12" s="74" t="str">
        <f t="shared" si="1"/>
        <v>Monday</v>
      </c>
      <c r="B12" s="49">
        <v>46300.0</v>
      </c>
      <c r="C12" s="148">
        <v>4.0</v>
      </c>
      <c r="D12" s="143">
        <v>127558.12</v>
      </c>
      <c r="E12" s="144">
        <v>17835.0</v>
      </c>
      <c r="F12" s="88">
        <f t="shared" si="2"/>
        <v>2274999070</v>
      </c>
      <c r="H12" s="91">
        <v>46300.0</v>
      </c>
      <c r="I12" s="105">
        <v>5.0</v>
      </c>
      <c r="J12" s="93">
        <f t="shared" si="3"/>
        <v>27486.25</v>
      </c>
      <c r="K12" s="94">
        <f t="shared" si="4"/>
        <v>490354700</v>
      </c>
      <c r="L12" s="95">
        <f t="shared" si="5"/>
        <v>17840</v>
      </c>
      <c r="N12" s="96">
        <v>46316.0</v>
      </c>
      <c r="O12" s="97">
        <f t="shared" si="6"/>
        <v>0</v>
      </c>
      <c r="P12" s="98">
        <f t="shared" si="7"/>
        <v>0</v>
      </c>
      <c r="Q12" s="99" t="str">
        <f t="shared" si="8"/>
        <v>-</v>
      </c>
      <c r="R12" s="100">
        <v>0.0</v>
      </c>
      <c r="S12" s="101">
        <f t="shared" si="9"/>
        <v>0</v>
      </c>
      <c r="T12" s="101">
        <f t="shared" si="10"/>
        <v>0</v>
      </c>
      <c r="U12" s="101">
        <f>IFERROR(ROUND(ABS(VALUE(T12)-VALUE(SUMMARY!C107)), 2), "-")</f>
        <v>0</v>
      </c>
      <c r="V12" s="98" t="str">
        <f t="shared" si="11"/>
        <v>-</v>
      </c>
    </row>
    <row r="13">
      <c r="A13" s="74" t="str">
        <f t="shared" si="1"/>
        <v>Monday</v>
      </c>
      <c r="B13" s="49">
        <v>46300.0</v>
      </c>
      <c r="C13" s="148">
        <v>5.0</v>
      </c>
      <c r="D13" s="143">
        <v>27486.25</v>
      </c>
      <c r="E13" s="144">
        <v>17840.0</v>
      </c>
      <c r="F13" s="88">
        <f t="shared" si="2"/>
        <v>490354700</v>
      </c>
      <c r="H13" s="91">
        <v>46300.0</v>
      </c>
      <c r="I13" s="105">
        <v>6.0</v>
      </c>
      <c r="J13" s="93">
        <f t="shared" si="3"/>
        <v>56019.5</v>
      </c>
      <c r="K13" s="94">
        <f t="shared" si="4"/>
        <v>999499919</v>
      </c>
      <c r="L13" s="95">
        <f t="shared" si="5"/>
        <v>17842</v>
      </c>
      <c r="N13" s="96">
        <v>46317.0</v>
      </c>
      <c r="O13" s="97">
        <f t="shared" si="6"/>
        <v>0</v>
      </c>
      <c r="P13" s="98">
        <f t="shared" si="7"/>
        <v>0</v>
      </c>
      <c r="Q13" s="99" t="str">
        <f t="shared" si="8"/>
        <v>-</v>
      </c>
      <c r="R13" s="100">
        <v>0.0</v>
      </c>
      <c r="S13" s="101">
        <f t="shared" si="9"/>
        <v>0</v>
      </c>
      <c r="T13" s="101">
        <f t="shared" si="10"/>
        <v>0</v>
      </c>
      <c r="U13" s="101">
        <f>IFERROR(ROUND(ABS(VALUE(T13)-VALUE(SUMMARY!C108)), 2), "-")</f>
        <v>0</v>
      </c>
      <c r="V13" s="98" t="str">
        <f t="shared" si="11"/>
        <v>-</v>
      </c>
    </row>
    <row r="14">
      <c r="A14" s="74" t="str">
        <f t="shared" si="1"/>
        <v>Monday</v>
      </c>
      <c r="B14" s="49">
        <v>46300.0</v>
      </c>
      <c r="C14" s="148">
        <v>6.0</v>
      </c>
      <c r="D14" s="143">
        <v>56019.5</v>
      </c>
      <c r="E14" s="144">
        <v>17842.0</v>
      </c>
      <c r="F14" s="88">
        <f t="shared" si="2"/>
        <v>999499919</v>
      </c>
      <c r="H14" s="91">
        <v>46300.0</v>
      </c>
      <c r="I14" s="105">
        <v>7.0</v>
      </c>
      <c r="J14" s="93">
        <f t="shared" si="3"/>
        <v>77871.14</v>
      </c>
      <c r="K14" s="94">
        <f t="shared" si="4"/>
        <v>1389999849</v>
      </c>
      <c r="L14" s="95">
        <f t="shared" si="5"/>
        <v>17850</v>
      </c>
      <c r="N14" s="96">
        <v>46318.0</v>
      </c>
      <c r="O14" s="97">
        <f t="shared" si="6"/>
        <v>0</v>
      </c>
      <c r="P14" s="98">
        <f t="shared" si="7"/>
        <v>0</v>
      </c>
      <c r="Q14" s="99" t="str">
        <f t="shared" si="8"/>
        <v>-</v>
      </c>
      <c r="R14" s="100">
        <v>0.0</v>
      </c>
      <c r="S14" s="101">
        <f t="shared" si="9"/>
        <v>0</v>
      </c>
      <c r="T14" s="101">
        <f t="shared" si="10"/>
        <v>0</v>
      </c>
      <c r="U14" s="101">
        <f>IFERROR(ROUND(ABS(VALUE(T14)-VALUE(SUMMARY!C109)), 2), "-")</f>
        <v>0</v>
      </c>
      <c r="V14" s="98" t="str">
        <f t="shared" si="11"/>
        <v>-</v>
      </c>
    </row>
    <row r="15">
      <c r="A15" s="74" t="str">
        <f t="shared" si="1"/>
        <v>Monday</v>
      </c>
      <c r="B15" s="49">
        <v>46300.0</v>
      </c>
      <c r="C15" s="148">
        <v>7.0</v>
      </c>
      <c r="D15" s="143">
        <v>77871.14</v>
      </c>
      <c r="E15" s="144">
        <v>17850.0</v>
      </c>
      <c r="F15" s="88">
        <f t="shared" si="2"/>
        <v>1389999849</v>
      </c>
      <c r="H15" s="91">
        <v>46310.0</v>
      </c>
      <c r="I15" s="105"/>
      <c r="J15" s="93">
        <f t="shared" si="3"/>
        <v>0</v>
      </c>
      <c r="K15" s="94">
        <f t="shared" si="4"/>
        <v>0</v>
      </c>
      <c r="L15" s="95">
        <f t="shared" si="5"/>
        <v>0</v>
      </c>
      <c r="N15" s="96">
        <v>46319.0</v>
      </c>
      <c r="O15" s="97">
        <f t="shared" si="6"/>
        <v>0</v>
      </c>
      <c r="P15" s="98">
        <f t="shared" si="7"/>
        <v>0</v>
      </c>
      <c r="Q15" s="99" t="str">
        <f t="shared" si="8"/>
        <v>-</v>
      </c>
      <c r="R15" s="100">
        <v>0.0</v>
      </c>
      <c r="S15" s="101">
        <f t="shared" si="9"/>
        <v>0</v>
      </c>
      <c r="T15" s="101">
        <f t="shared" si="10"/>
        <v>0</v>
      </c>
      <c r="U15" s="101">
        <f>IFERROR(ROUND(ABS(VALUE(T15)-VALUE(SUMMARY!C110)), 2), "-")</f>
        <v>0</v>
      </c>
      <c r="V15" s="98" t="str">
        <f t="shared" si="11"/>
        <v>-</v>
      </c>
    </row>
    <row r="16">
      <c r="A16" s="74" t="str">
        <f t="shared" si="1"/>
        <v>Thursday</v>
      </c>
      <c r="B16" s="49">
        <v>46310.0</v>
      </c>
      <c r="C16" s="148"/>
      <c r="D16" s="143"/>
      <c r="E16" s="144"/>
      <c r="F16" s="88">
        <f t="shared" si="2"/>
        <v>0</v>
      </c>
      <c r="H16" s="91">
        <v>46311.0</v>
      </c>
      <c r="I16" s="105"/>
      <c r="J16" s="93">
        <f t="shared" si="3"/>
        <v>0</v>
      </c>
      <c r="K16" s="94">
        <f t="shared" si="4"/>
        <v>0</v>
      </c>
      <c r="L16" s="95">
        <f t="shared" si="5"/>
        <v>0</v>
      </c>
      <c r="N16" s="96">
        <v>46320.0</v>
      </c>
      <c r="O16" s="97">
        <f t="shared" si="6"/>
        <v>0</v>
      </c>
      <c r="P16" s="98">
        <f t="shared" si="7"/>
        <v>0</v>
      </c>
      <c r="Q16" s="99" t="str">
        <f t="shared" si="8"/>
        <v>-</v>
      </c>
      <c r="R16" s="100">
        <v>0.0</v>
      </c>
      <c r="S16" s="101">
        <f t="shared" si="9"/>
        <v>0</v>
      </c>
      <c r="T16" s="101">
        <f t="shared" si="10"/>
        <v>0</v>
      </c>
      <c r="U16" s="101">
        <f>IFERROR(ROUND(ABS(VALUE(T16)-VALUE(SUMMARY!C111)), 2), "-")</f>
        <v>0</v>
      </c>
      <c r="V16" s="98" t="str">
        <f t="shared" si="11"/>
        <v>-</v>
      </c>
    </row>
    <row r="17">
      <c r="A17" s="74" t="str">
        <f t="shared" si="1"/>
        <v>Friday</v>
      </c>
      <c r="B17" s="49">
        <v>46311.0</v>
      </c>
      <c r="C17" s="148"/>
      <c r="D17" s="143"/>
      <c r="E17" s="144"/>
      <c r="F17" s="88">
        <f t="shared" si="2"/>
        <v>0</v>
      </c>
      <c r="H17" s="91">
        <v>46312.0</v>
      </c>
      <c r="I17" s="105"/>
      <c r="J17" s="93">
        <f t="shared" si="3"/>
        <v>0</v>
      </c>
      <c r="K17" s="94">
        <f t="shared" si="4"/>
        <v>0</v>
      </c>
      <c r="L17" s="95">
        <f t="shared" si="5"/>
        <v>0</v>
      </c>
      <c r="N17" s="96">
        <v>46321.0</v>
      </c>
      <c r="O17" s="97">
        <f t="shared" si="6"/>
        <v>0</v>
      </c>
      <c r="P17" s="98">
        <f t="shared" si="7"/>
        <v>0</v>
      </c>
      <c r="Q17" s="99" t="str">
        <f t="shared" si="8"/>
        <v>-</v>
      </c>
      <c r="R17" s="100">
        <v>0.0</v>
      </c>
      <c r="S17" s="101">
        <f t="shared" si="9"/>
        <v>0</v>
      </c>
      <c r="T17" s="101">
        <f t="shared" si="10"/>
        <v>0</v>
      </c>
      <c r="U17" s="101">
        <f>IFERROR(ROUND(ABS(VALUE(T17)-VALUE(SUMMARY!C112)), 2), "-")</f>
        <v>0</v>
      </c>
      <c r="V17" s="98" t="str">
        <f t="shared" si="11"/>
        <v>-</v>
      </c>
    </row>
    <row r="18">
      <c r="A18" s="74" t="str">
        <f t="shared" si="1"/>
        <v>Saturday</v>
      </c>
      <c r="B18" s="49">
        <v>46312.0</v>
      </c>
      <c r="C18" s="148"/>
      <c r="D18" s="143"/>
      <c r="E18" s="144"/>
      <c r="F18" s="88">
        <f t="shared" si="2"/>
        <v>0</v>
      </c>
      <c r="H18" s="91">
        <v>46313.0</v>
      </c>
      <c r="I18" s="105"/>
      <c r="J18" s="93">
        <f t="shared" si="3"/>
        <v>0</v>
      </c>
      <c r="K18" s="94">
        <f t="shared" si="4"/>
        <v>0</v>
      </c>
      <c r="L18" s="95">
        <f t="shared" si="5"/>
        <v>0</v>
      </c>
      <c r="N18" s="96">
        <v>46322.0</v>
      </c>
      <c r="O18" s="97">
        <f t="shared" si="6"/>
        <v>0</v>
      </c>
      <c r="P18" s="98">
        <f t="shared" si="7"/>
        <v>0</v>
      </c>
      <c r="Q18" s="99" t="str">
        <f t="shared" si="8"/>
        <v>-</v>
      </c>
      <c r="R18" s="100">
        <v>0.0</v>
      </c>
      <c r="S18" s="101">
        <f t="shared" si="9"/>
        <v>0</v>
      </c>
      <c r="T18" s="101">
        <f t="shared" si="10"/>
        <v>0</v>
      </c>
      <c r="U18" s="101">
        <f>IFERROR(ROUND(ABS(VALUE(T18)-VALUE(SUMMARY!C113)), 2), "-")</f>
        <v>0</v>
      </c>
      <c r="V18" s="98" t="str">
        <f t="shared" si="11"/>
        <v>-</v>
      </c>
    </row>
    <row r="19">
      <c r="A19" s="74" t="str">
        <f t="shared" si="1"/>
        <v>Sunday</v>
      </c>
      <c r="B19" s="49">
        <v>46313.0</v>
      </c>
      <c r="C19" s="148"/>
      <c r="D19" s="143"/>
      <c r="E19" s="144"/>
      <c r="F19" s="88">
        <f t="shared" si="2"/>
        <v>0</v>
      </c>
      <c r="H19" s="91">
        <v>46314.0</v>
      </c>
      <c r="I19" s="105"/>
      <c r="J19" s="93">
        <f t="shared" si="3"/>
        <v>0</v>
      </c>
      <c r="K19" s="94">
        <f t="shared" si="4"/>
        <v>0</v>
      </c>
      <c r="L19" s="95">
        <f t="shared" si="5"/>
        <v>0</v>
      </c>
      <c r="N19" s="96">
        <v>46323.0</v>
      </c>
      <c r="O19" s="97">
        <f t="shared" si="6"/>
        <v>0</v>
      </c>
      <c r="P19" s="98">
        <f t="shared" si="7"/>
        <v>0</v>
      </c>
      <c r="Q19" s="99" t="str">
        <f t="shared" si="8"/>
        <v>-</v>
      </c>
      <c r="R19" s="100">
        <v>0.0</v>
      </c>
      <c r="S19" s="101">
        <f t="shared" si="9"/>
        <v>0</v>
      </c>
      <c r="T19" s="101">
        <f t="shared" si="10"/>
        <v>0</v>
      </c>
      <c r="U19" s="101">
        <f>IFERROR(ROUND(ABS(VALUE(T19)-VALUE(SUMMARY!C114)), 2), "-")</f>
        <v>0</v>
      </c>
      <c r="V19" s="98" t="str">
        <f t="shared" si="11"/>
        <v>-</v>
      </c>
    </row>
    <row r="20">
      <c r="A20" s="74" t="str">
        <f t="shared" si="1"/>
        <v>Monday</v>
      </c>
      <c r="B20" s="49">
        <v>46314.0</v>
      </c>
      <c r="C20" s="148"/>
      <c r="D20" s="143"/>
      <c r="E20" s="144"/>
      <c r="F20" s="88">
        <f t="shared" si="2"/>
        <v>0</v>
      </c>
      <c r="H20" s="91">
        <v>46315.0</v>
      </c>
      <c r="I20" s="105"/>
      <c r="J20" s="93">
        <f t="shared" si="3"/>
        <v>0</v>
      </c>
      <c r="K20" s="94">
        <f t="shared" si="4"/>
        <v>0</v>
      </c>
      <c r="L20" s="95">
        <f t="shared" si="5"/>
        <v>0</v>
      </c>
      <c r="N20" s="96">
        <v>46324.0</v>
      </c>
      <c r="O20" s="97">
        <f t="shared" si="6"/>
        <v>0</v>
      </c>
      <c r="P20" s="98">
        <f t="shared" si="7"/>
        <v>0</v>
      </c>
      <c r="Q20" s="99" t="str">
        <f t="shared" si="8"/>
        <v>-</v>
      </c>
      <c r="R20" s="100">
        <v>0.0</v>
      </c>
      <c r="S20" s="101">
        <f t="shared" si="9"/>
        <v>0</v>
      </c>
      <c r="T20" s="101">
        <f t="shared" si="10"/>
        <v>0</v>
      </c>
      <c r="U20" s="101">
        <f>IFERROR(ROUND(ABS(VALUE(T20)-VALUE(SUMMARY!C115)), 2), "-")</f>
        <v>0</v>
      </c>
      <c r="V20" s="98" t="str">
        <f t="shared" si="11"/>
        <v>-</v>
      </c>
    </row>
    <row r="21">
      <c r="A21" s="74" t="str">
        <f t="shared" si="1"/>
        <v>Tuesday</v>
      </c>
      <c r="B21" s="49">
        <v>46315.0</v>
      </c>
      <c r="C21" s="148"/>
      <c r="D21" s="143"/>
      <c r="E21" s="144"/>
      <c r="F21" s="88">
        <f t="shared" si="2"/>
        <v>0</v>
      </c>
      <c r="H21" s="91">
        <v>46316.0</v>
      </c>
      <c r="I21" s="105"/>
      <c r="J21" s="93">
        <f t="shared" si="3"/>
        <v>0</v>
      </c>
      <c r="K21" s="94">
        <f t="shared" si="4"/>
        <v>0</v>
      </c>
      <c r="L21" s="95">
        <f t="shared" si="5"/>
        <v>0</v>
      </c>
      <c r="N21" s="96">
        <v>46325.0</v>
      </c>
      <c r="O21" s="97">
        <f t="shared" si="6"/>
        <v>0</v>
      </c>
      <c r="P21" s="98">
        <f t="shared" si="7"/>
        <v>0</v>
      </c>
      <c r="Q21" s="99" t="str">
        <f t="shared" si="8"/>
        <v>-</v>
      </c>
      <c r="R21" s="100">
        <v>0.0</v>
      </c>
      <c r="S21" s="101">
        <f t="shared" si="9"/>
        <v>0</v>
      </c>
      <c r="T21" s="101">
        <f t="shared" si="10"/>
        <v>0</v>
      </c>
      <c r="U21" s="101">
        <f>IFERROR(ROUND(ABS(VALUE(T21)-VALUE(SUMMARY!C116)), 2), "-")</f>
        <v>0</v>
      </c>
      <c r="V21" s="98" t="str">
        <f t="shared" si="11"/>
        <v>-</v>
      </c>
    </row>
    <row r="22">
      <c r="A22" s="74" t="str">
        <f t="shared" si="1"/>
        <v>Wednesday</v>
      </c>
      <c r="B22" s="49">
        <v>46316.0</v>
      </c>
      <c r="C22" s="148"/>
      <c r="D22" s="143"/>
      <c r="E22" s="144"/>
      <c r="F22" s="88">
        <f t="shared" si="2"/>
        <v>0</v>
      </c>
      <c r="H22" s="91">
        <v>46317.0</v>
      </c>
      <c r="I22" s="105"/>
      <c r="J22" s="93">
        <f t="shared" si="3"/>
        <v>0</v>
      </c>
      <c r="K22" s="94">
        <f t="shared" si="4"/>
        <v>0</v>
      </c>
      <c r="L22" s="95">
        <f t="shared" si="5"/>
        <v>0</v>
      </c>
      <c r="N22" s="96">
        <v>46326.0</v>
      </c>
      <c r="O22" s="97">
        <f t="shared" si="6"/>
        <v>0</v>
      </c>
      <c r="P22" s="98">
        <f t="shared" si="7"/>
        <v>0</v>
      </c>
      <c r="Q22" s="99" t="str">
        <f t="shared" si="8"/>
        <v>-</v>
      </c>
      <c r="R22" s="100">
        <v>0.0</v>
      </c>
      <c r="S22" s="101">
        <f t="shared" si="9"/>
        <v>0</v>
      </c>
      <c r="T22" s="101">
        <f t="shared" si="10"/>
        <v>0</v>
      </c>
      <c r="U22" s="101">
        <f>IFERROR(ROUND(ABS(VALUE(T22)-VALUE(SUMMARY!C117)), 2), "-")</f>
        <v>0</v>
      </c>
      <c r="V22" s="98" t="str">
        <f t="shared" si="11"/>
        <v>-</v>
      </c>
    </row>
    <row r="23">
      <c r="A23" s="74" t="str">
        <f t="shared" si="1"/>
        <v>Thursday</v>
      </c>
      <c r="B23" s="49">
        <v>46317.0</v>
      </c>
      <c r="C23" s="148"/>
      <c r="D23" s="143"/>
      <c r="E23" s="144"/>
      <c r="F23" s="88">
        <f t="shared" si="2"/>
        <v>0</v>
      </c>
      <c r="H23" s="91">
        <v>46318.0</v>
      </c>
      <c r="I23" s="105"/>
      <c r="J23" s="93">
        <f t="shared" si="3"/>
        <v>0</v>
      </c>
      <c r="K23" s="94">
        <f t="shared" si="4"/>
        <v>0</v>
      </c>
      <c r="L23" s="95">
        <f t="shared" si="5"/>
        <v>0</v>
      </c>
      <c r="N23" s="96"/>
      <c r="O23" s="97">
        <f t="shared" si="6"/>
        <v>0</v>
      </c>
      <c r="P23" s="98">
        <f t="shared" si="7"/>
        <v>0</v>
      </c>
      <c r="Q23" s="99" t="str">
        <f t="shared" si="8"/>
        <v/>
      </c>
      <c r="R23" s="100">
        <v>0.0</v>
      </c>
      <c r="S23" s="101">
        <f t="shared" si="9"/>
        <v>0</v>
      </c>
      <c r="T23" s="101">
        <f t="shared" si="10"/>
        <v>0</v>
      </c>
      <c r="U23" s="101">
        <f>IFERROR(ROUND(ABS(VALUE(T23)-VALUE(SUMMARY!C118)), 2), "-")</f>
        <v>0</v>
      </c>
      <c r="V23" s="98">
        <f t="shared" si="11"/>
        <v>0</v>
      </c>
    </row>
    <row r="24">
      <c r="A24" s="74" t="str">
        <f t="shared" si="1"/>
        <v>Friday</v>
      </c>
      <c r="B24" s="49">
        <v>46318.0</v>
      </c>
      <c r="C24" s="148"/>
      <c r="D24" s="143"/>
      <c r="E24" s="144"/>
      <c r="F24" s="88">
        <f t="shared" si="2"/>
        <v>0</v>
      </c>
      <c r="H24" s="91">
        <v>46319.0</v>
      </c>
      <c r="I24" s="105"/>
      <c r="J24" s="93">
        <f t="shared" si="3"/>
        <v>0</v>
      </c>
      <c r="K24" s="94">
        <f t="shared" si="4"/>
        <v>0</v>
      </c>
      <c r="L24" s="95">
        <f t="shared" si="5"/>
        <v>0</v>
      </c>
      <c r="N24" s="108"/>
      <c r="O24" s="97">
        <f t="shared" si="6"/>
        <v>0</v>
      </c>
      <c r="P24" s="98">
        <f t="shared" si="7"/>
        <v>0</v>
      </c>
      <c r="Q24" s="99" t="str">
        <f t="shared" si="8"/>
        <v/>
      </c>
      <c r="R24" s="100">
        <v>0.0</v>
      </c>
      <c r="S24" s="101">
        <f t="shared" si="9"/>
        <v>0</v>
      </c>
      <c r="T24" s="101">
        <f t="shared" si="10"/>
        <v>0</v>
      </c>
      <c r="U24" s="101"/>
      <c r="V24" s="98">
        <f t="shared" si="11"/>
        <v>0</v>
      </c>
    </row>
    <row r="25">
      <c r="A25" s="74" t="str">
        <f t="shared" si="1"/>
        <v>Saturday</v>
      </c>
      <c r="B25" s="49">
        <v>46319.0</v>
      </c>
      <c r="C25" s="148"/>
      <c r="D25" s="143"/>
      <c r="E25" s="144"/>
      <c r="F25" s="88">
        <f t="shared" si="2"/>
        <v>0</v>
      </c>
      <c r="H25" s="91">
        <v>46320.0</v>
      </c>
      <c r="I25" s="105"/>
      <c r="J25" s="93">
        <f t="shared" si="3"/>
        <v>0</v>
      </c>
      <c r="K25" s="94">
        <f t="shared" si="4"/>
        <v>0</v>
      </c>
      <c r="L25" s="95">
        <f t="shared" si="5"/>
        <v>0</v>
      </c>
      <c r="N25" s="108"/>
      <c r="O25" s="97">
        <f t="shared" si="6"/>
        <v>0</v>
      </c>
      <c r="P25" s="98">
        <f t="shared" si="7"/>
        <v>0</v>
      </c>
      <c r="Q25" s="99" t="str">
        <f t="shared" si="8"/>
        <v/>
      </c>
      <c r="R25" s="100">
        <v>0.0</v>
      </c>
      <c r="S25" s="101">
        <f t="shared" si="9"/>
        <v>0</v>
      </c>
      <c r="T25" s="101">
        <f t="shared" si="10"/>
        <v>0</v>
      </c>
      <c r="U25" s="101"/>
      <c r="V25" s="98">
        <f t="shared" si="11"/>
        <v>0</v>
      </c>
    </row>
    <row r="26">
      <c r="A26" s="74" t="str">
        <f t="shared" si="1"/>
        <v>Sunday</v>
      </c>
      <c r="B26" s="49">
        <v>46320.0</v>
      </c>
      <c r="C26" s="148"/>
      <c r="D26" s="143"/>
      <c r="E26" s="144"/>
      <c r="F26" s="88">
        <f t="shared" si="2"/>
        <v>0</v>
      </c>
      <c r="H26" s="91">
        <v>46321.0</v>
      </c>
      <c r="I26" s="105"/>
      <c r="J26" s="93">
        <f t="shared" si="3"/>
        <v>0</v>
      </c>
      <c r="K26" s="94">
        <f t="shared" si="4"/>
        <v>0</v>
      </c>
      <c r="L26" s="95">
        <f t="shared" si="5"/>
        <v>0</v>
      </c>
      <c r="N26" s="108"/>
      <c r="O26" s="97">
        <f t="shared" si="6"/>
        <v>0</v>
      </c>
      <c r="P26" s="98">
        <f t="shared" si="7"/>
        <v>0</v>
      </c>
      <c r="Q26" s="99" t="str">
        <f t="shared" si="8"/>
        <v/>
      </c>
      <c r="R26" s="100">
        <v>0.0</v>
      </c>
      <c r="S26" s="101">
        <f t="shared" si="9"/>
        <v>0</v>
      </c>
      <c r="T26" s="101">
        <f t="shared" si="10"/>
        <v>0</v>
      </c>
      <c r="U26" s="101"/>
      <c r="V26" s="98">
        <f t="shared" si="11"/>
        <v>0</v>
      </c>
    </row>
    <row r="27">
      <c r="A27" s="74" t="str">
        <f t="shared" si="1"/>
        <v>Monday</v>
      </c>
      <c r="B27" s="49">
        <v>46321.0</v>
      </c>
      <c r="C27" s="148"/>
      <c r="D27" s="143"/>
      <c r="E27" s="144"/>
      <c r="F27" s="88">
        <f t="shared" si="2"/>
        <v>0</v>
      </c>
      <c r="H27" s="91">
        <v>46322.0</v>
      </c>
      <c r="I27" s="105"/>
      <c r="J27" s="93">
        <f t="shared" si="3"/>
        <v>0</v>
      </c>
      <c r="K27" s="94">
        <f t="shared" si="4"/>
        <v>0</v>
      </c>
      <c r="L27" s="95">
        <f t="shared" si="5"/>
        <v>0</v>
      </c>
      <c r="N27" s="108"/>
      <c r="O27" s="97">
        <f t="shared" si="6"/>
        <v>0</v>
      </c>
      <c r="P27" s="98">
        <f t="shared" si="7"/>
        <v>0</v>
      </c>
      <c r="Q27" s="99" t="str">
        <f t="shared" si="8"/>
        <v/>
      </c>
      <c r="R27" s="100">
        <v>0.0</v>
      </c>
      <c r="S27" s="101">
        <f t="shared" si="9"/>
        <v>0</v>
      </c>
      <c r="T27" s="101">
        <f t="shared" si="10"/>
        <v>0</v>
      </c>
      <c r="U27" s="101"/>
      <c r="V27" s="98">
        <f t="shared" si="11"/>
        <v>0</v>
      </c>
    </row>
    <row r="28">
      <c r="A28" s="74" t="str">
        <f t="shared" si="1"/>
        <v>Tuesday</v>
      </c>
      <c r="B28" s="49">
        <v>46322.0</v>
      </c>
      <c r="C28" s="148"/>
      <c r="D28" s="143"/>
      <c r="E28" s="144"/>
      <c r="F28" s="88">
        <f t="shared" si="2"/>
        <v>0</v>
      </c>
      <c r="H28" s="91">
        <v>46323.0</v>
      </c>
      <c r="I28" s="105"/>
      <c r="J28" s="93">
        <f t="shared" si="3"/>
        <v>0</v>
      </c>
      <c r="K28" s="94">
        <f t="shared" si="4"/>
        <v>0</v>
      </c>
      <c r="L28" s="95">
        <f t="shared" si="5"/>
        <v>0</v>
      </c>
      <c r="N28" s="108"/>
      <c r="O28" s="97">
        <f t="shared" si="6"/>
        <v>0</v>
      </c>
      <c r="P28" s="98">
        <f t="shared" si="7"/>
        <v>0</v>
      </c>
      <c r="Q28" s="99" t="str">
        <f t="shared" si="8"/>
        <v/>
      </c>
      <c r="R28" s="100">
        <v>0.0</v>
      </c>
      <c r="S28" s="101">
        <f t="shared" si="9"/>
        <v>0</v>
      </c>
      <c r="T28" s="101">
        <f t="shared" si="10"/>
        <v>0</v>
      </c>
      <c r="U28" s="101"/>
      <c r="V28" s="98">
        <f t="shared" si="11"/>
        <v>0</v>
      </c>
    </row>
    <row r="29">
      <c r="A29" s="74" t="str">
        <f t="shared" si="1"/>
        <v>Wednesday</v>
      </c>
      <c r="B29" s="49">
        <v>46323.0</v>
      </c>
      <c r="C29" s="148"/>
      <c r="D29" s="166"/>
      <c r="E29" s="168"/>
      <c r="F29" s="88">
        <f t="shared" si="2"/>
        <v>0</v>
      </c>
      <c r="H29" s="91">
        <v>46324.0</v>
      </c>
      <c r="I29" s="105"/>
      <c r="J29" s="93">
        <f t="shared" si="3"/>
        <v>0</v>
      </c>
      <c r="K29" s="94">
        <f t="shared" si="4"/>
        <v>0</v>
      </c>
      <c r="L29" s="95">
        <f t="shared" si="5"/>
        <v>0</v>
      </c>
      <c r="N29" s="108"/>
      <c r="O29" s="97">
        <f t="shared" si="6"/>
        <v>0</v>
      </c>
      <c r="P29" s="98">
        <f t="shared" si="7"/>
        <v>0</v>
      </c>
      <c r="Q29" s="99" t="str">
        <f t="shared" si="8"/>
        <v/>
      </c>
      <c r="R29" s="100">
        <v>0.0</v>
      </c>
      <c r="S29" s="101">
        <f t="shared" si="9"/>
        <v>0</v>
      </c>
      <c r="T29" s="101">
        <f t="shared" si="10"/>
        <v>0</v>
      </c>
      <c r="U29" s="101"/>
      <c r="V29" s="98">
        <f t="shared" si="11"/>
        <v>0</v>
      </c>
    </row>
    <row r="30">
      <c r="A30" s="74" t="str">
        <f t="shared" si="1"/>
        <v>Thursday</v>
      </c>
      <c r="B30" s="49">
        <v>46324.0</v>
      </c>
      <c r="C30" s="148"/>
      <c r="D30" s="166"/>
      <c r="E30" s="168"/>
      <c r="F30" s="88">
        <f t="shared" si="2"/>
        <v>0</v>
      </c>
      <c r="H30" s="91">
        <v>46325.0</v>
      </c>
      <c r="I30" s="105"/>
      <c r="J30" s="93">
        <f t="shared" si="3"/>
        <v>0</v>
      </c>
      <c r="K30" s="94">
        <f t="shared" si="4"/>
        <v>0</v>
      </c>
      <c r="L30" s="95">
        <f t="shared" si="5"/>
        <v>0</v>
      </c>
      <c r="N30" s="108"/>
      <c r="O30" s="97">
        <f t="shared" si="6"/>
        <v>0</v>
      </c>
      <c r="P30" s="98">
        <f t="shared" si="7"/>
        <v>0</v>
      </c>
      <c r="Q30" s="99" t="str">
        <f t="shared" si="8"/>
        <v/>
      </c>
      <c r="R30" s="100">
        <v>0.0</v>
      </c>
      <c r="S30" s="101">
        <f t="shared" si="9"/>
        <v>0</v>
      </c>
      <c r="T30" s="101">
        <f t="shared" si="10"/>
        <v>0</v>
      </c>
      <c r="U30" s="101"/>
      <c r="V30" s="98">
        <f t="shared" si="11"/>
        <v>0</v>
      </c>
    </row>
    <row r="31">
      <c r="A31" s="74" t="str">
        <f t="shared" si="1"/>
        <v>Friday</v>
      </c>
      <c r="B31" s="49">
        <v>46325.0</v>
      </c>
      <c r="C31" s="148"/>
      <c r="D31" s="166"/>
      <c r="E31" s="168"/>
      <c r="F31" s="88">
        <f t="shared" si="2"/>
        <v>0</v>
      </c>
      <c r="H31" s="91">
        <v>46326.0</v>
      </c>
      <c r="I31" s="105"/>
      <c r="J31" s="93">
        <f t="shared" si="3"/>
        <v>0</v>
      </c>
      <c r="K31" s="94">
        <f t="shared" si="4"/>
        <v>0</v>
      </c>
      <c r="L31" s="95">
        <f t="shared" si="5"/>
        <v>0</v>
      </c>
      <c r="N31" s="108"/>
      <c r="O31" s="97">
        <f t="shared" si="6"/>
        <v>0</v>
      </c>
      <c r="P31" s="98">
        <f t="shared" si="7"/>
        <v>0</v>
      </c>
      <c r="Q31" s="99" t="str">
        <f t="shared" si="8"/>
        <v/>
      </c>
      <c r="R31" s="100">
        <v>0.0</v>
      </c>
      <c r="S31" s="101">
        <f t="shared" si="9"/>
        <v>0</v>
      </c>
      <c r="T31" s="101">
        <f t="shared" si="10"/>
        <v>0</v>
      </c>
      <c r="U31" s="101"/>
      <c r="V31" s="98">
        <f t="shared" si="11"/>
        <v>0</v>
      </c>
    </row>
    <row r="32">
      <c r="A32" s="74" t="str">
        <f t="shared" si="1"/>
        <v>Saturday</v>
      </c>
      <c r="B32" s="49">
        <v>46326.0</v>
      </c>
      <c r="C32" s="148"/>
      <c r="D32" s="166"/>
      <c r="E32" s="168"/>
      <c r="F32" s="88">
        <f t="shared" si="2"/>
        <v>0</v>
      </c>
      <c r="H32" s="91"/>
      <c r="I32" s="105"/>
      <c r="J32" s="93">
        <f t="shared" si="3"/>
        <v>0</v>
      </c>
      <c r="K32" s="94">
        <f t="shared" si="4"/>
        <v>0</v>
      </c>
      <c r="L32" s="95">
        <f t="shared" si="5"/>
        <v>0</v>
      </c>
      <c r="N32" s="108"/>
      <c r="O32" s="97">
        <f t="shared" si="6"/>
        <v>0</v>
      </c>
      <c r="P32" s="98">
        <f t="shared" si="7"/>
        <v>0</v>
      </c>
      <c r="Q32" s="99" t="str">
        <f t="shared" si="8"/>
        <v/>
      </c>
      <c r="R32" s="100">
        <v>0.0</v>
      </c>
      <c r="S32" s="101">
        <f t="shared" si="9"/>
        <v>0</v>
      </c>
      <c r="T32" s="101">
        <f t="shared" si="10"/>
        <v>0</v>
      </c>
      <c r="U32" s="101"/>
      <c r="V32" s="98">
        <f t="shared" si="11"/>
        <v>0</v>
      </c>
    </row>
    <row r="33">
      <c r="A33" s="74" t="str">
        <f t="shared" si="1"/>
        <v/>
      </c>
      <c r="B33" s="49"/>
      <c r="C33" s="148"/>
      <c r="D33" s="166"/>
      <c r="E33" s="168"/>
      <c r="F33" s="88">
        <f t="shared" si="2"/>
        <v>0</v>
      </c>
      <c r="H33" s="91"/>
      <c r="I33" s="105"/>
      <c r="J33" s="93">
        <f t="shared" si="3"/>
        <v>0</v>
      </c>
      <c r="K33" s="94">
        <f t="shared" si="4"/>
        <v>0</v>
      </c>
      <c r="L33" s="95">
        <f t="shared" si="5"/>
        <v>0</v>
      </c>
      <c r="N33" s="108"/>
      <c r="O33" s="97">
        <f t="shared" si="6"/>
        <v>0</v>
      </c>
      <c r="P33" s="98">
        <f t="shared" si="7"/>
        <v>0</v>
      </c>
      <c r="Q33" s="99" t="str">
        <f t="shared" si="8"/>
        <v/>
      </c>
      <c r="R33" s="100">
        <v>0.0</v>
      </c>
      <c r="S33" s="101">
        <f t="shared" si="9"/>
        <v>0</v>
      </c>
      <c r="T33" s="101">
        <f t="shared" si="10"/>
        <v>0</v>
      </c>
      <c r="U33" s="101"/>
      <c r="V33" s="98">
        <f t="shared" si="11"/>
        <v>0</v>
      </c>
    </row>
    <row r="34">
      <c r="A34" s="74" t="str">
        <f t="shared" si="1"/>
        <v/>
      </c>
      <c r="B34" s="49"/>
      <c r="C34" s="148"/>
      <c r="D34" s="166"/>
      <c r="E34" s="168"/>
      <c r="F34" s="88">
        <f t="shared" si="2"/>
        <v>0</v>
      </c>
      <c r="H34" s="91"/>
      <c r="I34" s="105"/>
      <c r="J34" s="93">
        <f t="shared" si="3"/>
        <v>0</v>
      </c>
      <c r="K34" s="94">
        <f t="shared" si="4"/>
        <v>0</v>
      </c>
      <c r="L34" s="95">
        <f t="shared" si="5"/>
        <v>0</v>
      </c>
      <c r="N34" s="108"/>
      <c r="O34" s="97">
        <f t="shared" si="6"/>
        <v>0</v>
      </c>
      <c r="P34" s="98">
        <f t="shared" si="7"/>
        <v>0</v>
      </c>
      <c r="Q34" s="99" t="str">
        <f t="shared" si="8"/>
        <v/>
      </c>
      <c r="R34" s="100">
        <v>0.0</v>
      </c>
      <c r="S34" s="101">
        <f t="shared" si="9"/>
        <v>0</v>
      </c>
      <c r="T34" s="101">
        <f t="shared" si="10"/>
        <v>0</v>
      </c>
      <c r="U34" s="101"/>
      <c r="V34" s="98">
        <f t="shared" si="11"/>
        <v>0</v>
      </c>
    </row>
    <row r="35">
      <c r="A35" s="74" t="str">
        <f t="shared" si="1"/>
        <v/>
      </c>
      <c r="B35" s="49"/>
      <c r="C35" s="148"/>
      <c r="D35" s="166"/>
      <c r="E35" s="168"/>
      <c r="F35" s="88">
        <f t="shared" si="2"/>
        <v>0</v>
      </c>
      <c r="H35" s="91"/>
      <c r="I35" s="105"/>
      <c r="J35" s="93">
        <f t="shared" si="3"/>
        <v>0</v>
      </c>
      <c r="K35" s="94">
        <f t="shared" si="4"/>
        <v>0</v>
      </c>
      <c r="L35" s="95">
        <f t="shared" si="5"/>
        <v>0</v>
      </c>
      <c r="N35" s="108"/>
      <c r="O35" s="97">
        <f t="shared" si="6"/>
        <v>0</v>
      </c>
      <c r="P35" s="98">
        <f t="shared" si="7"/>
        <v>0</v>
      </c>
      <c r="Q35" s="99" t="str">
        <f t="shared" si="8"/>
        <v/>
      </c>
      <c r="R35" s="100">
        <v>0.0</v>
      </c>
      <c r="S35" s="101">
        <f t="shared" si="9"/>
        <v>0</v>
      </c>
      <c r="T35" s="101">
        <f t="shared" si="10"/>
        <v>0</v>
      </c>
      <c r="U35" s="101"/>
      <c r="V35" s="98">
        <f t="shared" si="11"/>
        <v>0</v>
      </c>
    </row>
    <row r="36">
      <c r="A36" s="74" t="str">
        <f t="shared" si="1"/>
        <v/>
      </c>
      <c r="B36" s="49"/>
      <c r="C36" s="148"/>
      <c r="D36" s="166"/>
      <c r="E36" s="168"/>
      <c r="F36" s="88">
        <f t="shared" si="2"/>
        <v>0</v>
      </c>
      <c r="H36" s="91"/>
      <c r="I36" s="105"/>
      <c r="J36" s="93">
        <f t="shared" si="3"/>
        <v>0</v>
      </c>
      <c r="K36" s="94">
        <f t="shared" si="4"/>
        <v>0</v>
      </c>
      <c r="L36" s="95">
        <f t="shared" si="5"/>
        <v>0</v>
      </c>
      <c r="N36" s="108"/>
      <c r="O36" s="97">
        <f t="shared" si="6"/>
        <v>0</v>
      </c>
      <c r="P36" s="98">
        <f t="shared" si="7"/>
        <v>0</v>
      </c>
      <c r="Q36" s="99" t="str">
        <f t="shared" si="8"/>
        <v/>
      </c>
      <c r="R36" s="100">
        <v>0.0</v>
      </c>
      <c r="S36" s="101">
        <f t="shared" si="9"/>
        <v>0</v>
      </c>
      <c r="T36" s="101">
        <f t="shared" si="10"/>
        <v>0</v>
      </c>
      <c r="U36" s="101"/>
      <c r="V36" s="98">
        <f t="shared" si="11"/>
        <v>0</v>
      </c>
    </row>
    <row r="37">
      <c r="A37" s="74" t="str">
        <f t="shared" si="1"/>
        <v/>
      </c>
      <c r="B37" s="49"/>
      <c r="C37" s="148"/>
      <c r="D37" s="166"/>
      <c r="E37" s="168"/>
      <c r="F37" s="88">
        <f t="shared" si="2"/>
        <v>0</v>
      </c>
      <c r="H37" s="91"/>
      <c r="I37" s="105"/>
      <c r="J37" s="93">
        <f t="shared" si="3"/>
        <v>0</v>
      </c>
      <c r="K37" s="94">
        <f t="shared" si="4"/>
        <v>0</v>
      </c>
      <c r="L37" s="95">
        <f t="shared" si="5"/>
        <v>0</v>
      </c>
      <c r="N37" s="108"/>
      <c r="O37" s="97">
        <f t="shared" si="6"/>
        <v>0</v>
      </c>
      <c r="P37" s="98">
        <f t="shared" si="7"/>
        <v>0</v>
      </c>
      <c r="Q37" s="99" t="str">
        <f t="shared" si="8"/>
        <v/>
      </c>
      <c r="R37" s="100">
        <v>0.0</v>
      </c>
      <c r="S37" s="101">
        <f t="shared" si="9"/>
        <v>0</v>
      </c>
      <c r="T37" s="101">
        <f t="shared" si="10"/>
        <v>0</v>
      </c>
      <c r="U37" s="101"/>
      <c r="V37" s="98">
        <f t="shared" si="11"/>
        <v>0</v>
      </c>
    </row>
    <row r="38">
      <c r="A38" s="74" t="str">
        <f t="shared" si="1"/>
        <v/>
      </c>
      <c r="B38" s="49"/>
      <c r="C38" s="148"/>
      <c r="D38" s="166"/>
      <c r="E38" s="168"/>
      <c r="F38" s="88">
        <f t="shared" si="2"/>
        <v>0</v>
      </c>
      <c r="H38" s="91"/>
      <c r="I38" s="105"/>
      <c r="J38" s="93">
        <f t="shared" si="3"/>
        <v>0</v>
      </c>
      <c r="K38" s="94">
        <f t="shared" si="4"/>
        <v>0</v>
      </c>
      <c r="L38" s="95">
        <f t="shared" si="5"/>
        <v>0</v>
      </c>
      <c r="N38" s="108"/>
      <c r="O38" s="97">
        <f t="shared" si="6"/>
        <v>0</v>
      </c>
      <c r="P38" s="98">
        <f t="shared" si="7"/>
        <v>0</v>
      </c>
      <c r="Q38" s="99" t="str">
        <f t="shared" si="8"/>
        <v/>
      </c>
      <c r="R38" s="100">
        <v>0.0</v>
      </c>
      <c r="S38" s="101">
        <f t="shared" si="9"/>
        <v>0</v>
      </c>
      <c r="T38" s="101">
        <f t="shared" si="10"/>
        <v>0</v>
      </c>
      <c r="U38" s="101"/>
      <c r="V38" s="98">
        <f t="shared" si="11"/>
        <v>0</v>
      </c>
    </row>
    <row r="39">
      <c r="A39" s="74" t="str">
        <f t="shared" si="1"/>
        <v/>
      </c>
      <c r="B39" s="49"/>
      <c r="C39" s="148"/>
      <c r="D39" s="166"/>
      <c r="E39" s="168"/>
      <c r="F39" s="88">
        <f t="shared" si="2"/>
        <v>0</v>
      </c>
      <c r="H39" s="91"/>
      <c r="I39" s="105"/>
      <c r="J39" s="93">
        <f t="shared" si="3"/>
        <v>0</v>
      </c>
      <c r="K39" s="94">
        <f t="shared" si="4"/>
        <v>0</v>
      </c>
      <c r="L39" s="95">
        <f t="shared" si="5"/>
        <v>0</v>
      </c>
      <c r="N39" s="108"/>
      <c r="O39" s="97">
        <f t="shared" si="6"/>
        <v>0</v>
      </c>
      <c r="P39" s="98">
        <f t="shared" si="7"/>
        <v>0</v>
      </c>
      <c r="Q39" s="99" t="str">
        <f t="shared" si="8"/>
        <v/>
      </c>
      <c r="R39" s="100">
        <v>0.0</v>
      </c>
      <c r="S39" s="101">
        <f t="shared" si="9"/>
        <v>0</v>
      </c>
      <c r="T39" s="101">
        <f t="shared" si="10"/>
        <v>0</v>
      </c>
      <c r="U39" s="101"/>
      <c r="V39" s="98">
        <f t="shared" si="11"/>
        <v>0</v>
      </c>
    </row>
    <row r="40">
      <c r="A40" s="74" t="str">
        <f t="shared" si="1"/>
        <v/>
      </c>
      <c r="B40" s="49"/>
      <c r="C40" s="148"/>
      <c r="D40" s="166"/>
      <c r="E40" s="168"/>
      <c r="F40" s="88">
        <f t="shared" si="2"/>
        <v>0</v>
      </c>
      <c r="H40" s="91"/>
      <c r="I40" s="105"/>
      <c r="J40" s="93">
        <f t="shared" si="3"/>
        <v>0</v>
      </c>
      <c r="K40" s="94">
        <f t="shared" si="4"/>
        <v>0</v>
      </c>
      <c r="L40" s="95">
        <f t="shared" si="5"/>
        <v>0</v>
      </c>
      <c r="N40" s="108"/>
      <c r="O40" s="97">
        <f t="shared" si="6"/>
        <v>0</v>
      </c>
      <c r="P40" s="98">
        <f t="shared" si="7"/>
        <v>0</v>
      </c>
      <c r="Q40" s="99" t="str">
        <f t="shared" si="8"/>
        <v/>
      </c>
      <c r="R40" s="100">
        <v>0.0</v>
      </c>
      <c r="S40" s="101">
        <f t="shared" si="9"/>
        <v>0</v>
      </c>
      <c r="T40" s="101">
        <f t="shared" si="10"/>
        <v>0</v>
      </c>
      <c r="U40" s="101"/>
      <c r="V40" s="98">
        <f t="shared" si="11"/>
        <v>0</v>
      </c>
    </row>
    <row r="41">
      <c r="A41" s="74" t="str">
        <f t="shared" si="1"/>
        <v/>
      </c>
      <c r="B41" s="49"/>
      <c r="C41" s="148"/>
      <c r="D41" s="166"/>
      <c r="E41" s="168"/>
      <c r="F41" s="88">
        <f t="shared" si="2"/>
        <v>0</v>
      </c>
      <c r="H41" s="91"/>
      <c r="I41" s="105"/>
      <c r="J41" s="93">
        <f t="shared" si="3"/>
        <v>0</v>
      </c>
      <c r="K41" s="94">
        <f t="shared" si="4"/>
        <v>0</v>
      </c>
      <c r="L41" s="95">
        <f t="shared" si="5"/>
        <v>0</v>
      </c>
      <c r="N41" s="108"/>
      <c r="O41" s="97">
        <f t="shared" si="6"/>
        <v>0</v>
      </c>
      <c r="P41" s="98">
        <f t="shared" si="7"/>
        <v>0</v>
      </c>
      <c r="Q41" s="99" t="str">
        <f t="shared" si="8"/>
        <v/>
      </c>
      <c r="R41" s="100">
        <v>0.0</v>
      </c>
      <c r="S41" s="101">
        <f t="shared" si="9"/>
        <v>0</v>
      </c>
      <c r="T41" s="101">
        <f t="shared" si="10"/>
        <v>0</v>
      </c>
      <c r="U41" s="101"/>
      <c r="V41" s="98">
        <f t="shared" si="11"/>
        <v>0</v>
      </c>
    </row>
    <row r="42">
      <c r="A42" s="74" t="str">
        <f t="shared" si="1"/>
        <v/>
      </c>
      <c r="B42" s="49"/>
      <c r="C42" s="148"/>
      <c r="D42" s="166"/>
      <c r="E42" s="168"/>
      <c r="F42" s="88">
        <f t="shared" si="2"/>
        <v>0</v>
      </c>
      <c r="H42" s="91"/>
      <c r="I42" s="171"/>
      <c r="J42" s="93">
        <f t="shared" si="3"/>
        <v>0</v>
      </c>
      <c r="K42" s="94">
        <f t="shared" si="4"/>
        <v>0</v>
      </c>
      <c r="L42" s="95">
        <f t="shared" si="5"/>
        <v>0</v>
      </c>
    </row>
    <row r="43">
      <c r="A43" s="74" t="str">
        <f t="shared" si="1"/>
        <v/>
      </c>
      <c r="B43" s="49"/>
      <c r="C43" s="148"/>
      <c r="D43" s="166"/>
      <c r="E43" s="168"/>
      <c r="F43" s="88">
        <f t="shared" si="2"/>
        <v>0</v>
      </c>
      <c r="H43" s="91"/>
      <c r="I43" s="171"/>
      <c r="J43" s="93">
        <f t="shared" si="3"/>
        <v>0</v>
      </c>
      <c r="K43" s="94">
        <f t="shared" si="4"/>
        <v>0</v>
      </c>
      <c r="L43" s="95">
        <f t="shared" si="5"/>
        <v>0</v>
      </c>
    </row>
    <row r="44">
      <c r="A44" s="74" t="str">
        <f t="shared" si="1"/>
        <v/>
      </c>
      <c r="B44" s="49"/>
      <c r="C44" s="148"/>
      <c r="D44" s="166"/>
      <c r="E44" s="168"/>
      <c r="F44" s="88">
        <f t="shared" si="2"/>
        <v>0</v>
      </c>
      <c r="H44" s="91"/>
      <c r="I44" s="171"/>
      <c r="J44" s="93">
        <f t="shared" si="3"/>
        <v>0</v>
      </c>
      <c r="K44" s="94">
        <f t="shared" si="4"/>
        <v>0</v>
      </c>
      <c r="L44" s="95">
        <f t="shared" si="5"/>
        <v>0</v>
      </c>
    </row>
    <row r="45">
      <c r="A45" s="74" t="str">
        <f t="shared" si="1"/>
        <v/>
      </c>
      <c r="B45" s="49"/>
      <c r="C45" s="148"/>
      <c r="D45" s="166"/>
      <c r="E45" s="168"/>
      <c r="F45" s="88">
        <f t="shared" si="2"/>
        <v>0</v>
      </c>
      <c r="H45" s="91"/>
      <c r="I45" s="171"/>
      <c r="J45" s="93">
        <f t="shared" si="3"/>
        <v>0</v>
      </c>
      <c r="K45" s="94">
        <f t="shared" si="4"/>
        <v>0</v>
      </c>
      <c r="L45" s="95">
        <f t="shared" si="5"/>
        <v>0</v>
      </c>
    </row>
    <row r="46">
      <c r="A46" s="74" t="str">
        <f t="shared" si="1"/>
        <v/>
      </c>
      <c r="B46" s="49"/>
      <c r="C46" s="148"/>
      <c r="D46" s="166"/>
      <c r="E46" s="168"/>
      <c r="F46" s="88">
        <f t="shared" si="2"/>
        <v>0</v>
      </c>
      <c r="H46" s="91"/>
      <c r="I46" s="171"/>
      <c r="J46" s="93">
        <f t="shared" si="3"/>
        <v>0</v>
      </c>
      <c r="K46" s="94">
        <f t="shared" si="4"/>
        <v>0</v>
      </c>
      <c r="L46" s="95">
        <f t="shared" si="5"/>
        <v>0</v>
      </c>
    </row>
    <row r="47">
      <c r="A47" s="74" t="str">
        <f t="shared" si="1"/>
        <v/>
      </c>
      <c r="B47" s="49"/>
      <c r="C47" s="148"/>
      <c r="D47" s="166"/>
      <c r="E47" s="168"/>
      <c r="F47" s="88">
        <f t="shared" si="2"/>
        <v>0</v>
      </c>
      <c r="H47" s="91"/>
      <c r="I47" s="171"/>
      <c r="J47" s="93">
        <f t="shared" si="3"/>
        <v>0</v>
      </c>
      <c r="K47" s="94">
        <f t="shared" si="4"/>
        <v>0</v>
      </c>
      <c r="L47" s="95">
        <f t="shared" si="5"/>
        <v>0</v>
      </c>
    </row>
    <row r="48">
      <c r="A48" s="74" t="str">
        <f t="shared" si="1"/>
        <v/>
      </c>
      <c r="B48" s="49"/>
      <c r="C48" s="148"/>
      <c r="D48" s="166"/>
      <c r="E48" s="168"/>
      <c r="F48" s="88">
        <f t="shared" si="2"/>
        <v>0</v>
      </c>
      <c r="H48" s="91"/>
      <c r="I48" s="171"/>
      <c r="J48" s="93">
        <f t="shared" si="3"/>
        <v>0</v>
      </c>
      <c r="K48" s="94">
        <f t="shared" si="4"/>
        <v>0</v>
      </c>
      <c r="L48" s="95">
        <f t="shared" si="5"/>
        <v>0</v>
      </c>
    </row>
    <row r="49">
      <c r="A49" s="74" t="str">
        <f t="shared" si="1"/>
        <v/>
      </c>
      <c r="B49" s="49"/>
      <c r="C49" s="148"/>
      <c r="D49" s="166"/>
      <c r="E49" s="168"/>
      <c r="F49" s="88">
        <f t="shared" si="2"/>
        <v>0</v>
      </c>
      <c r="H49" s="91"/>
      <c r="I49" s="171"/>
      <c r="J49" s="93">
        <f t="shared" si="3"/>
        <v>0</v>
      </c>
      <c r="K49" s="94">
        <f t="shared" si="4"/>
        <v>0</v>
      </c>
      <c r="L49" s="95">
        <f t="shared" si="5"/>
        <v>0</v>
      </c>
    </row>
    <row r="50">
      <c r="A50" s="74" t="str">
        <f t="shared" si="1"/>
        <v/>
      </c>
      <c r="B50" s="49"/>
      <c r="C50" s="148"/>
      <c r="D50" s="166"/>
      <c r="E50" s="168"/>
      <c r="F50" s="88">
        <f t="shared" si="2"/>
        <v>0</v>
      </c>
      <c r="H50" s="91"/>
      <c r="I50" s="171"/>
      <c r="J50" s="93">
        <f t="shared" si="3"/>
        <v>0</v>
      </c>
      <c r="K50" s="94">
        <f t="shared" si="4"/>
        <v>0</v>
      </c>
      <c r="L50" s="95">
        <f t="shared" si="5"/>
        <v>0</v>
      </c>
    </row>
    <row r="51">
      <c r="A51" s="74" t="str">
        <f t="shared" si="1"/>
        <v/>
      </c>
      <c r="B51" s="49"/>
      <c r="C51" s="148"/>
      <c r="D51" s="166"/>
      <c r="E51" s="168"/>
      <c r="F51" s="88">
        <f t="shared" si="2"/>
        <v>0</v>
      </c>
      <c r="H51" s="91"/>
      <c r="I51" s="171"/>
      <c r="J51" s="93">
        <f t="shared" si="3"/>
        <v>0</v>
      </c>
      <c r="K51" s="94">
        <f t="shared" si="4"/>
        <v>0</v>
      </c>
      <c r="L51" s="95">
        <f t="shared" si="5"/>
        <v>0</v>
      </c>
    </row>
    <row r="52">
      <c r="A52" s="74" t="str">
        <f t="shared" si="1"/>
        <v/>
      </c>
      <c r="B52" s="49"/>
      <c r="C52" s="148"/>
      <c r="D52" s="166"/>
      <c r="E52" s="168"/>
      <c r="F52" s="88">
        <f t="shared" si="2"/>
        <v>0</v>
      </c>
      <c r="H52" s="91"/>
      <c r="I52" s="171"/>
      <c r="J52" s="93">
        <f t="shared" si="3"/>
        <v>0</v>
      </c>
      <c r="K52" s="94">
        <f t="shared" si="4"/>
        <v>0</v>
      </c>
      <c r="L52" s="95">
        <f t="shared" si="5"/>
        <v>0</v>
      </c>
    </row>
    <row r="53">
      <c r="A53" s="74" t="str">
        <f t="shared" si="1"/>
        <v/>
      </c>
      <c r="B53" s="49"/>
      <c r="C53" s="148"/>
      <c r="D53" s="166"/>
      <c r="E53" s="168"/>
      <c r="F53" s="88">
        <f t="shared" si="2"/>
        <v>0</v>
      </c>
      <c r="H53" s="91"/>
      <c r="I53" s="171"/>
      <c r="J53" s="93">
        <f t="shared" si="3"/>
        <v>0</v>
      </c>
      <c r="K53" s="94">
        <f t="shared" si="4"/>
        <v>0</v>
      </c>
      <c r="L53" s="95">
        <f t="shared" si="5"/>
        <v>0</v>
      </c>
    </row>
    <row r="54">
      <c r="A54" s="74" t="str">
        <f t="shared" si="1"/>
        <v/>
      </c>
      <c r="B54" s="49"/>
      <c r="C54" s="148"/>
      <c r="D54" s="166"/>
      <c r="E54" s="168"/>
      <c r="F54" s="88">
        <f t="shared" si="2"/>
        <v>0</v>
      </c>
      <c r="H54" s="91"/>
      <c r="I54" s="171"/>
      <c r="J54" s="93">
        <f t="shared" si="3"/>
        <v>0</v>
      </c>
      <c r="K54" s="94">
        <f t="shared" si="4"/>
        <v>0</v>
      </c>
      <c r="L54" s="95">
        <f t="shared" si="5"/>
        <v>0</v>
      </c>
    </row>
    <row r="55">
      <c r="A55" s="74" t="str">
        <f t="shared" si="1"/>
        <v/>
      </c>
      <c r="B55" s="49"/>
      <c r="C55" s="148"/>
      <c r="D55" s="166"/>
      <c r="E55" s="168"/>
      <c r="F55" s="88">
        <f t="shared" si="2"/>
        <v>0</v>
      </c>
      <c r="H55" s="91"/>
      <c r="I55" s="171"/>
      <c r="J55" s="93">
        <f t="shared" si="3"/>
        <v>0</v>
      </c>
      <c r="K55" s="94">
        <f t="shared" si="4"/>
        <v>0</v>
      </c>
      <c r="L55" s="95">
        <f t="shared" si="5"/>
        <v>0</v>
      </c>
    </row>
    <row r="56">
      <c r="A56" s="74" t="str">
        <f t="shared" si="1"/>
        <v/>
      </c>
      <c r="B56" s="49"/>
      <c r="C56" s="148"/>
      <c r="D56" s="166"/>
      <c r="E56" s="168"/>
      <c r="F56" s="88">
        <f t="shared" si="2"/>
        <v>0</v>
      </c>
      <c r="H56" s="91"/>
      <c r="I56" s="171"/>
      <c r="J56" s="93">
        <f t="shared" si="3"/>
        <v>0</v>
      </c>
      <c r="K56" s="94">
        <f t="shared" si="4"/>
        <v>0</v>
      </c>
      <c r="L56" s="95">
        <f t="shared" si="5"/>
        <v>0</v>
      </c>
    </row>
    <row r="57">
      <c r="A57" s="74" t="str">
        <f t="shared" si="1"/>
        <v/>
      </c>
      <c r="B57" s="49"/>
      <c r="C57" s="148"/>
      <c r="D57" s="166"/>
      <c r="E57" s="168"/>
      <c r="F57" s="88">
        <f t="shared" si="2"/>
        <v>0</v>
      </c>
      <c r="H57" s="91"/>
      <c r="I57" s="171"/>
      <c r="J57" s="93">
        <f t="shared" si="3"/>
        <v>0</v>
      </c>
      <c r="K57" s="94">
        <f t="shared" si="4"/>
        <v>0</v>
      </c>
      <c r="L57" s="95">
        <f t="shared" si="5"/>
        <v>0</v>
      </c>
    </row>
    <row r="58">
      <c r="A58" s="74" t="str">
        <f t="shared" si="1"/>
        <v/>
      </c>
      <c r="B58" s="49"/>
      <c r="C58" s="148"/>
      <c r="D58" s="166"/>
      <c r="E58" s="168"/>
      <c r="F58" s="88">
        <f t="shared" si="2"/>
        <v>0</v>
      </c>
      <c r="H58" s="91"/>
      <c r="I58" s="171"/>
      <c r="J58" s="93">
        <f t="shared" si="3"/>
        <v>0</v>
      </c>
      <c r="K58" s="94">
        <f t="shared" si="4"/>
        <v>0</v>
      </c>
      <c r="L58" s="95">
        <f t="shared" si="5"/>
        <v>0</v>
      </c>
    </row>
    <row r="59">
      <c r="A59" s="74" t="str">
        <f t="shared" si="1"/>
        <v/>
      </c>
      <c r="B59" s="49"/>
      <c r="C59" s="148"/>
      <c r="D59" s="166"/>
      <c r="E59" s="168"/>
      <c r="F59" s="88">
        <f t="shared" si="2"/>
        <v>0</v>
      </c>
      <c r="H59" s="91"/>
      <c r="I59" s="171"/>
      <c r="J59" s="93">
        <f t="shared" si="3"/>
        <v>0</v>
      </c>
      <c r="K59" s="94">
        <f t="shared" si="4"/>
        <v>0</v>
      </c>
      <c r="L59" s="95">
        <f t="shared" si="5"/>
        <v>0</v>
      </c>
    </row>
    <row r="60">
      <c r="A60" s="74" t="str">
        <f t="shared" si="1"/>
        <v/>
      </c>
      <c r="B60" s="49"/>
      <c r="C60" s="148"/>
      <c r="D60" s="166"/>
      <c r="E60" s="168"/>
      <c r="F60" s="88">
        <f t="shared" si="2"/>
        <v>0</v>
      </c>
      <c r="H60" s="91"/>
      <c r="I60" s="171"/>
      <c r="J60" s="93">
        <f t="shared" si="3"/>
        <v>0</v>
      </c>
      <c r="K60" s="94">
        <f t="shared" si="4"/>
        <v>0</v>
      </c>
      <c r="L60" s="95">
        <f t="shared" si="5"/>
        <v>0</v>
      </c>
    </row>
    <row r="61">
      <c r="A61" s="74" t="str">
        <f t="shared" si="1"/>
        <v/>
      </c>
      <c r="B61" s="49"/>
      <c r="C61" s="148"/>
      <c r="D61" s="166"/>
      <c r="E61" s="168"/>
      <c r="F61" s="88">
        <f t="shared" si="2"/>
        <v>0</v>
      </c>
      <c r="H61" s="91"/>
      <c r="I61" s="171"/>
      <c r="J61" s="93">
        <f t="shared" si="3"/>
        <v>0</v>
      </c>
      <c r="K61" s="94">
        <f t="shared" si="4"/>
        <v>0</v>
      </c>
      <c r="L61" s="95">
        <f t="shared" si="5"/>
        <v>0</v>
      </c>
    </row>
    <row r="62">
      <c r="A62" s="74" t="str">
        <f t="shared" si="1"/>
        <v/>
      </c>
      <c r="B62" s="49"/>
      <c r="C62" s="148"/>
      <c r="D62" s="166"/>
      <c r="E62" s="168"/>
      <c r="F62" s="88">
        <f t="shared" si="2"/>
        <v>0</v>
      </c>
      <c r="H62" s="91"/>
      <c r="I62" s="171"/>
      <c r="J62" s="93">
        <f t="shared" si="3"/>
        <v>0</v>
      </c>
      <c r="K62" s="94">
        <f t="shared" si="4"/>
        <v>0</v>
      </c>
      <c r="L62" s="95">
        <f t="shared" si="5"/>
        <v>0</v>
      </c>
    </row>
    <row r="63">
      <c r="A63" s="74" t="str">
        <f t="shared" si="1"/>
        <v/>
      </c>
      <c r="B63" s="49"/>
      <c r="C63" s="148"/>
      <c r="D63" s="166"/>
      <c r="E63" s="168"/>
      <c r="F63" s="88">
        <f t="shared" si="2"/>
        <v>0</v>
      </c>
      <c r="H63" s="91"/>
      <c r="I63" s="171"/>
      <c r="J63" s="93">
        <f t="shared" si="3"/>
        <v>0</v>
      </c>
      <c r="K63" s="94">
        <f t="shared" si="4"/>
        <v>0</v>
      </c>
      <c r="L63" s="95">
        <f t="shared" si="5"/>
        <v>0</v>
      </c>
    </row>
    <row r="64">
      <c r="A64" s="74" t="str">
        <f t="shared" si="1"/>
        <v/>
      </c>
      <c r="B64" s="49"/>
      <c r="C64" s="148"/>
      <c r="D64" s="166"/>
      <c r="E64" s="168"/>
      <c r="F64" s="88">
        <f t="shared" si="2"/>
        <v>0</v>
      </c>
      <c r="H64" s="91"/>
      <c r="I64" s="171"/>
      <c r="J64" s="93">
        <f t="shared" si="3"/>
        <v>0</v>
      </c>
      <c r="K64" s="94">
        <f t="shared" si="4"/>
        <v>0</v>
      </c>
      <c r="L64" s="95">
        <f t="shared" si="5"/>
        <v>0</v>
      </c>
    </row>
    <row r="65">
      <c r="A65" s="74" t="str">
        <f t="shared" si="1"/>
        <v/>
      </c>
      <c r="B65" s="49"/>
      <c r="C65" s="148"/>
      <c r="D65" s="166"/>
      <c r="E65" s="168"/>
      <c r="F65" s="88">
        <f t="shared" si="2"/>
        <v>0</v>
      </c>
      <c r="H65" s="91"/>
      <c r="I65" s="171"/>
      <c r="J65" s="93">
        <f t="shared" si="3"/>
        <v>0</v>
      </c>
      <c r="K65" s="94">
        <f t="shared" si="4"/>
        <v>0</v>
      </c>
      <c r="L65" s="95">
        <f t="shared" si="5"/>
        <v>0</v>
      </c>
    </row>
    <row r="66">
      <c r="A66" s="74" t="str">
        <f t="shared" si="1"/>
        <v/>
      </c>
      <c r="B66" s="49"/>
      <c r="C66" s="148"/>
      <c r="D66" s="166"/>
      <c r="E66" s="168"/>
      <c r="F66" s="88">
        <f t="shared" si="2"/>
        <v>0</v>
      </c>
      <c r="H66" s="91"/>
      <c r="I66" s="171"/>
      <c r="J66" s="93">
        <f t="shared" si="3"/>
        <v>0</v>
      </c>
      <c r="K66" s="94">
        <f t="shared" si="4"/>
        <v>0</v>
      </c>
      <c r="L66" s="95">
        <f t="shared" si="5"/>
        <v>0</v>
      </c>
    </row>
    <row r="67">
      <c r="A67" s="74" t="str">
        <f t="shared" si="1"/>
        <v/>
      </c>
      <c r="B67" s="49"/>
      <c r="C67" s="148"/>
      <c r="D67" s="166"/>
      <c r="E67" s="168"/>
      <c r="F67" s="88">
        <f t="shared" si="2"/>
        <v>0</v>
      </c>
      <c r="H67" s="91"/>
      <c r="I67" s="171"/>
      <c r="J67" s="93">
        <f t="shared" si="3"/>
        <v>0</v>
      </c>
      <c r="K67" s="94">
        <f t="shared" si="4"/>
        <v>0</v>
      </c>
      <c r="L67" s="95">
        <f t="shared" si="5"/>
        <v>0</v>
      </c>
    </row>
    <row r="68">
      <c r="A68" s="74" t="str">
        <f t="shared" si="1"/>
        <v/>
      </c>
      <c r="B68" s="49"/>
      <c r="C68" s="148"/>
      <c r="D68" s="166"/>
      <c r="E68" s="168"/>
      <c r="F68" s="88">
        <f t="shared" si="2"/>
        <v>0</v>
      </c>
      <c r="H68" s="91"/>
      <c r="I68" s="171"/>
      <c r="J68" s="93">
        <f t="shared" si="3"/>
        <v>0</v>
      </c>
      <c r="K68" s="94">
        <f t="shared" si="4"/>
        <v>0</v>
      </c>
      <c r="L68" s="95">
        <f t="shared" si="5"/>
        <v>0</v>
      </c>
    </row>
    <row r="69">
      <c r="A69" s="74" t="str">
        <f t="shared" si="1"/>
        <v/>
      </c>
      <c r="B69" s="49"/>
      <c r="C69" s="148"/>
      <c r="D69" s="166"/>
      <c r="E69" s="168"/>
      <c r="F69" s="88">
        <f t="shared" si="2"/>
        <v>0</v>
      </c>
      <c r="H69" s="91"/>
      <c r="I69" s="171"/>
      <c r="J69" s="93">
        <f t="shared" si="3"/>
        <v>0</v>
      </c>
      <c r="K69" s="94">
        <f t="shared" si="4"/>
        <v>0</v>
      </c>
      <c r="L69" s="95">
        <f t="shared" si="5"/>
        <v>0</v>
      </c>
    </row>
    <row r="70">
      <c r="A70" s="74" t="str">
        <f t="shared" si="1"/>
        <v/>
      </c>
      <c r="B70" s="49"/>
      <c r="C70" s="148"/>
      <c r="D70" s="166"/>
      <c r="E70" s="168"/>
      <c r="F70" s="88">
        <f t="shared" si="2"/>
        <v>0</v>
      </c>
      <c r="H70" s="91"/>
      <c r="I70" s="171"/>
      <c r="J70" s="93">
        <f t="shared" si="3"/>
        <v>0</v>
      </c>
      <c r="K70" s="94">
        <f t="shared" si="4"/>
        <v>0</v>
      </c>
      <c r="L70" s="95">
        <f t="shared" si="5"/>
        <v>0</v>
      </c>
    </row>
    <row r="71">
      <c r="A71" s="74" t="str">
        <f t="shared" si="1"/>
        <v/>
      </c>
      <c r="B71" s="49"/>
      <c r="C71" s="148"/>
      <c r="D71" s="166"/>
      <c r="E71" s="168"/>
      <c r="F71" s="88">
        <f t="shared" si="2"/>
        <v>0</v>
      </c>
      <c r="H71" s="91"/>
      <c r="I71" s="171"/>
      <c r="J71" s="93">
        <f t="shared" si="3"/>
        <v>0</v>
      </c>
      <c r="K71" s="94">
        <f t="shared" si="4"/>
        <v>0</v>
      </c>
      <c r="L71" s="95">
        <f t="shared" si="5"/>
        <v>0</v>
      </c>
    </row>
    <row r="72">
      <c r="A72" s="74" t="str">
        <f t="shared" si="1"/>
        <v/>
      </c>
      <c r="B72" s="49"/>
      <c r="C72" s="148"/>
      <c r="D72" s="166"/>
      <c r="E72" s="168"/>
      <c r="F72" s="88">
        <f t="shared" si="2"/>
        <v>0</v>
      </c>
      <c r="H72" s="91"/>
      <c r="I72" s="171"/>
      <c r="J72" s="93">
        <f t="shared" si="3"/>
        <v>0</v>
      </c>
      <c r="K72" s="94">
        <f t="shared" si="4"/>
        <v>0</v>
      </c>
      <c r="L72" s="95">
        <f t="shared" si="5"/>
        <v>0</v>
      </c>
    </row>
    <row r="73">
      <c r="A73" s="74" t="str">
        <f t="shared" si="1"/>
        <v/>
      </c>
      <c r="B73" s="49"/>
      <c r="C73" s="148"/>
      <c r="D73" s="166"/>
      <c r="E73" s="168"/>
      <c r="F73" s="88">
        <f t="shared" si="2"/>
        <v>0</v>
      </c>
      <c r="H73" s="91"/>
      <c r="I73" s="171"/>
      <c r="J73" s="93">
        <f t="shared" si="3"/>
        <v>0</v>
      </c>
      <c r="K73" s="94">
        <f t="shared" si="4"/>
        <v>0</v>
      </c>
      <c r="L73" s="95">
        <f t="shared" si="5"/>
        <v>0</v>
      </c>
    </row>
    <row r="74">
      <c r="A74" s="74" t="str">
        <f t="shared" si="1"/>
        <v/>
      </c>
      <c r="B74" s="49"/>
      <c r="C74" s="148"/>
      <c r="D74" s="166"/>
      <c r="E74" s="168"/>
      <c r="F74" s="88">
        <f t="shared" si="2"/>
        <v>0</v>
      </c>
      <c r="H74" s="91"/>
      <c r="I74" s="171"/>
      <c r="J74" s="93">
        <f t="shared" si="3"/>
        <v>0</v>
      </c>
      <c r="K74" s="94">
        <f t="shared" si="4"/>
        <v>0</v>
      </c>
      <c r="L74" s="95">
        <f t="shared" si="5"/>
        <v>0</v>
      </c>
    </row>
    <row r="75">
      <c r="A75" s="74" t="str">
        <f t="shared" si="1"/>
        <v/>
      </c>
      <c r="B75" s="49"/>
      <c r="C75" s="148"/>
      <c r="D75" s="166"/>
      <c r="E75" s="168"/>
      <c r="F75" s="88">
        <f t="shared" si="2"/>
        <v>0</v>
      </c>
      <c r="H75" s="91"/>
      <c r="I75" s="171"/>
      <c r="J75" s="93">
        <f t="shared" si="3"/>
        <v>0</v>
      </c>
      <c r="K75" s="94">
        <f t="shared" si="4"/>
        <v>0</v>
      </c>
      <c r="L75" s="95">
        <f t="shared" si="5"/>
        <v>0</v>
      </c>
    </row>
    <row r="76">
      <c r="A76" s="74" t="str">
        <f t="shared" si="1"/>
        <v/>
      </c>
      <c r="B76" s="49"/>
      <c r="C76" s="148"/>
      <c r="D76" s="166"/>
      <c r="E76" s="168"/>
      <c r="F76" s="88">
        <f t="shared" si="2"/>
        <v>0</v>
      </c>
      <c r="H76" s="91"/>
      <c r="I76" s="171"/>
      <c r="J76" s="93">
        <f t="shared" si="3"/>
        <v>0</v>
      </c>
      <c r="K76" s="94">
        <f t="shared" si="4"/>
        <v>0</v>
      </c>
      <c r="L76" s="95">
        <f t="shared" si="5"/>
        <v>0</v>
      </c>
    </row>
    <row r="77">
      <c r="A77" s="74" t="str">
        <f t="shared" si="1"/>
        <v/>
      </c>
      <c r="B77" s="49"/>
      <c r="C77" s="148"/>
      <c r="D77" s="166"/>
      <c r="E77" s="168"/>
      <c r="F77" s="88">
        <f t="shared" si="2"/>
        <v>0</v>
      </c>
      <c r="H77" s="91"/>
      <c r="I77" s="171"/>
      <c r="J77" s="93">
        <f t="shared" si="3"/>
        <v>0</v>
      </c>
      <c r="K77" s="94">
        <f t="shared" si="4"/>
        <v>0</v>
      </c>
      <c r="L77" s="95">
        <f t="shared" si="5"/>
        <v>0</v>
      </c>
    </row>
    <row r="78">
      <c r="A78" s="74" t="str">
        <f t="shared" si="1"/>
        <v/>
      </c>
      <c r="B78" s="49"/>
      <c r="C78" s="148"/>
      <c r="D78" s="166"/>
      <c r="E78" s="168"/>
      <c r="F78" s="88">
        <f t="shared" si="2"/>
        <v>0</v>
      </c>
      <c r="H78" s="91"/>
      <c r="I78" s="171"/>
      <c r="J78" s="93">
        <f t="shared" si="3"/>
        <v>0</v>
      </c>
      <c r="K78" s="94">
        <f t="shared" si="4"/>
        <v>0</v>
      </c>
      <c r="L78" s="95">
        <f t="shared" si="5"/>
        <v>0</v>
      </c>
    </row>
    <row r="79">
      <c r="A79" s="74" t="str">
        <f t="shared" si="1"/>
        <v/>
      </c>
      <c r="B79" s="49"/>
      <c r="C79" s="148"/>
      <c r="D79" s="166"/>
      <c r="E79" s="168"/>
      <c r="F79" s="88">
        <f t="shared" si="2"/>
        <v>0</v>
      </c>
      <c r="H79" s="91"/>
      <c r="I79" s="171"/>
      <c r="J79" s="93">
        <f t="shared" si="3"/>
        <v>0</v>
      </c>
      <c r="K79" s="94">
        <f t="shared" si="4"/>
        <v>0</v>
      </c>
      <c r="L79" s="95">
        <f t="shared" si="5"/>
        <v>0</v>
      </c>
    </row>
    <row r="80">
      <c r="A80" s="74" t="str">
        <f t="shared" si="1"/>
        <v/>
      </c>
      <c r="B80" s="49"/>
      <c r="C80" s="148"/>
      <c r="D80" s="166"/>
      <c r="E80" s="168"/>
      <c r="F80" s="88">
        <f t="shared" si="2"/>
        <v>0</v>
      </c>
      <c r="H80" s="91"/>
      <c r="I80" s="171"/>
      <c r="J80" s="93">
        <f t="shared" si="3"/>
        <v>0</v>
      </c>
      <c r="K80" s="94">
        <f t="shared" si="4"/>
        <v>0</v>
      </c>
      <c r="L80" s="95">
        <f t="shared" si="5"/>
        <v>0</v>
      </c>
    </row>
    <row r="81">
      <c r="A81" s="74" t="str">
        <f t="shared" si="1"/>
        <v/>
      </c>
      <c r="B81" s="49"/>
      <c r="C81" s="148"/>
      <c r="D81" s="166"/>
      <c r="E81" s="168"/>
      <c r="F81" s="88">
        <f t="shared" si="2"/>
        <v>0</v>
      </c>
      <c r="H81" s="91"/>
      <c r="I81" s="171"/>
      <c r="J81" s="93">
        <f t="shared" si="3"/>
        <v>0</v>
      </c>
      <c r="K81" s="94">
        <f t="shared" si="4"/>
        <v>0</v>
      </c>
      <c r="L81" s="95">
        <f t="shared" si="5"/>
        <v>0</v>
      </c>
    </row>
    <row r="82">
      <c r="A82" s="74" t="str">
        <f t="shared" si="1"/>
        <v/>
      </c>
      <c r="B82" s="49"/>
      <c r="C82" s="148"/>
      <c r="D82" s="166"/>
      <c r="E82" s="168"/>
      <c r="F82" s="88">
        <f t="shared" si="2"/>
        <v>0</v>
      </c>
      <c r="H82" s="91"/>
      <c r="I82" s="171"/>
      <c r="J82" s="93">
        <f t="shared" si="3"/>
        <v>0</v>
      </c>
      <c r="K82" s="94">
        <f t="shared" si="4"/>
        <v>0</v>
      </c>
      <c r="L82" s="95">
        <f t="shared" si="5"/>
        <v>0</v>
      </c>
    </row>
    <row r="83">
      <c r="A83" s="74" t="str">
        <f t="shared" si="1"/>
        <v/>
      </c>
      <c r="B83" s="49"/>
      <c r="C83" s="148"/>
      <c r="D83" s="166"/>
      <c r="E83" s="168"/>
      <c r="F83" s="88">
        <f t="shared" si="2"/>
        <v>0</v>
      </c>
      <c r="H83" s="91"/>
      <c r="I83" s="171"/>
      <c r="J83" s="93">
        <f t="shared" si="3"/>
        <v>0</v>
      </c>
      <c r="K83" s="94">
        <f t="shared" si="4"/>
        <v>0</v>
      </c>
      <c r="L83" s="95">
        <f t="shared" si="5"/>
        <v>0</v>
      </c>
    </row>
    <row r="84">
      <c r="A84" s="74" t="str">
        <f t="shared" si="1"/>
        <v/>
      </c>
      <c r="B84" s="49"/>
      <c r="C84" s="148"/>
      <c r="D84" s="166"/>
      <c r="E84" s="168"/>
      <c r="F84" s="88">
        <f t="shared" si="2"/>
        <v>0</v>
      </c>
      <c r="H84" s="91"/>
      <c r="I84" s="171"/>
      <c r="J84" s="93">
        <f t="shared" si="3"/>
        <v>0</v>
      </c>
      <c r="K84" s="94">
        <f t="shared" si="4"/>
        <v>0</v>
      </c>
      <c r="L84" s="95">
        <f t="shared" si="5"/>
        <v>0</v>
      </c>
    </row>
    <row r="85">
      <c r="A85" s="74" t="str">
        <f t="shared" si="1"/>
        <v/>
      </c>
      <c r="B85" s="49"/>
      <c r="C85" s="148"/>
      <c r="D85" s="166"/>
      <c r="E85" s="168"/>
      <c r="F85" s="88">
        <f t="shared" si="2"/>
        <v>0</v>
      </c>
      <c r="H85" s="91"/>
      <c r="I85" s="171"/>
      <c r="J85" s="93">
        <f t="shared" si="3"/>
        <v>0</v>
      </c>
      <c r="K85" s="94">
        <f t="shared" si="4"/>
        <v>0</v>
      </c>
      <c r="L85" s="95">
        <f t="shared" si="5"/>
        <v>0</v>
      </c>
    </row>
    <row r="86">
      <c r="A86" s="74" t="str">
        <f t="shared" si="1"/>
        <v/>
      </c>
      <c r="B86" s="49"/>
      <c r="C86" s="148"/>
      <c r="D86" s="166"/>
      <c r="E86" s="168"/>
      <c r="F86" s="88">
        <f t="shared" si="2"/>
        <v>0</v>
      </c>
      <c r="H86" s="91"/>
      <c r="I86" s="171"/>
      <c r="J86" s="93">
        <f t="shared" si="3"/>
        <v>0</v>
      </c>
      <c r="K86" s="94">
        <f t="shared" si="4"/>
        <v>0</v>
      </c>
      <c r="L86" s="95">
        <f t="shared" si="5"/>
        <v>0</v>
      </c>
    </row>
    <row r="87">
      <c r="A87" s="74" t="str">
        <f t="shared" si="1"/>
        <v/>
      </c>
      <c r="B87" s="49"/>
      <c r="C87" s="148"/>
      <c r="D87" s="166"/>
      <c r="E87" s="168"/>
      <c r="F87" s="88">
        <f t="shared" si="2"/>
        <v>0</v>
      </c>
      <c r="H87" s="91"/>
      <c r="I87" s="171"/>
      <c r="J87" s="93">
        <f t="shared" si="3"/>
        <v>0</v>
      </c>
      <c r="K87" s="94">
        <f t="shared" si="4"/>
        <v>0</v>
      </c>
      <c r="L87" s="95">
        <f t="shared" si="5"/>
        <v>0</v>
      </c>
    </row>
    <row r="88">
      <c r="A88" s="74" t="str">
        <f t="shared" si="1"/>
        <v/>
      </c>
      <c r="B88" s="49"/>
      <c r="C88" s="148"/>
      <c r="D88" s="166"/>
      <c r="E88" s="168"/>
      <c r="F88" s="88">
        <f t="shared" si="2"/>
        <v>0</v>
      </c>
      <c r="H88" s="91"/>
      <c r="I88" s="171"/>
      <c r="J88" s="93">
        <f t="shared" si="3"/>
        <v>0</v>
      </c>
      <c r="K88" s="94">
        <f t="shared" si="4"/>
        <v>0</v>
      </c>
      <c r="L88" s="95">
        <f t="shared" si="5"/>
        <v>0</v>
      </c>
    </row>
    <row r="89">
      <c r="A89" s="74" t="str">
        <f t="shared" si="1"/>
        <v/>
      </c>
      <c r="B89" s="49"/>
      <c r="C89" s="148"/>
      <c r="D89" s="166"/>
      <c r="E89" s="168"/>
      <c r="F89" s="88">
        <f t="shared" si="2"/>
        <v>0</v>
      </c>
      <c r="H89" s="91"/>
      <c r="I89" s="171"/>
      <c r="J89" s="93">
        <f t="shared" si="3"/>
        <v>0</v>
      </c>
      <c r="K89" s="94">
        <f t="shared" si="4"/>
        <v>0</v>
      </c>
      <c r="L89" s="95">
        <f t="shared" si="5"/>
        <v>0</v>
      </c>
    </row>
    <row r="90">
      <c r="A90" s="74" t="str">
        <f t="shared" si="1"/>
        <v/>
      </c>
      <c r="B90" s="49"/>
      <c r="C90" s="148"/>
      <c r="D90" s="166"/>
      <c r="E90" s="168"/>
      <c r="F90" s="88">
        <f t="shared" si="2"/>
        <v>0</v>
      </c>
      <c r="H90" s="91"/>
      <c r="I90" s="171"/>
      <c r="J90" s="93">
        <f t="shared" si="3"/>
        <v>0</v>
      </c>
      <c r="K90" s="94">
        <f t="shared" si="4"/>
        <v>0</v>
      </c>
      <c r="L90" s="95">
        <f t="shared" si="5"/>
        <v>0</v>
      </c>
    </row>
    <row r="91">
      <c r="A91" s="74" t="str">
        <f t="shared" si="1"/>
        <v/>
      </c>
      <c r="B91" s="49"/>
      <c r="C91" s="148"/>
      <c r="D91" s="166"/>
      <c r="E91" s="168"/>
      <c r="F91" s="88">
        <f t="shared" si="2"/>
        <v>0</v>
      </c>
      <c r="H91" s="91"/>
      <c r="I91" s="171"/>
      <c r="J91" s="93">
        <f t="shared" si="3"/>
        <v>0</v>
      </c>
      <c r="K91" s="94">
        <f t="shared" si="4"/>
        <v>0</v>
      </c>
      <c r="L91" s="95">
        <f t="shared" si="5"/>
        <v>0</v>
      </c>
    </row>
    <row r="92">
      <c r="A92" s="74" t="str">
        <f t="shared" si="1"/>
        <v/>
      </c>
      <c r="B92" s="49"/>
      <c r="C92" s="148"/>
      <c r="D92" s="166"/>
      <c r="E92" s="168"/>
      <c r="F92" s="88">
        <f t="shared" si="2"/>
        <v>0</v>
      </c>
      <c r="H92" s="91"/>
      <c r="I92" s="171"/>
      <c r="J92" s="93">
        <f t="shared" si="3"/>
        <v>0</v>
      </c>
      <c r="K92" s="94">
        <f t="shared" si="4"/>
        <v>0</v>
      </c>
      <c r="L92" s="95">
        <f t="shared" si="5"/>
        <v>0</v>
      </c>
    </row>
    <row r="93">
      <c r="A93" s="74" t="str">
        <f t="shared" si="1"/>
        <v/>
      </c>
      <c r="B93" s="49"/>
      <c r="C93" s="148"/>
      <c r="D93" s="166"/>
      <c r="E93" s="168"/>
      <c r="F93" s="88">
        <f t="shared" si="2"/>
        <v>0</v>
      </c>
      <c r="H93" s="91"/>
      <c r="I93" s="171"/>
      <c r="J93" s="93">
        <f t="shared" si="3"/>
        <v>0</v>
      </c>
      <c r="K93" s="94">
        <f t="shared" si="4"/>
        <v>0</v>
      </c>
      <c r="L93" s="95">
        <f t="shared" si="5"/>
        <v>0</v>
      </c>
    </row>
    <row r="94">
      <c r="A94" s="74" t="str">
        <f t="shared" si="1"/>
        <v/>
      </c>
      <c r="B94" s="49"/>
      <c r="C94" s="148"/>
      <c r="D94" s="166"/>
      <c r="E94" s="168"/>
      <c r="F94" s="88">
        <f t="shared" si="2"/>
        <v>0</v>
      </c>
      <c r="H94" s="91"/>
      <c r="I94" s="171"/>
      <c r="J94" s="93">
        <f t="shared" si="3"/>
        <v>0</v>
      </c>
      <c r="K94" s="94">
        <f t="shared" si="4"/>
        <v>0</v>
      </c>
      <c r="L94" s="95">
        <f t="shared" si="5"/>
        <v>0</v>
      </c>
    </row>
    <row r="95">
      <c r="A95" s="74" t="str">
        <f t="shared" si="1"/>
        <v/>
      </c>
      <c r="B95" s="49"/>
      <c r="C95" s="148"/>
      <c r="D95" s="166"/>
      <c r="E95" s="168"/>
      <c r="F95" s="88">
        <f t="shared" si="2"/>
        <v>0</v>
      </c>
      <c r="H95" s="91"/>
      <c r="I95" s="171"/>
      <c r="J95" s="93">
        <f t="shared" si="3"/>
        <v>0</v>
      </c>
      <c r="K95" s="94">
        <f t="shared" si="4"/>
        <v>0</v>
      </c>
      <c r="L95" s="95">
        <f t="shared" si="5"/>
        <v>0</v>
      </c>
    </row>
    <row r="96">
      <c r="A96" s="74" t="str">
        <f t="shared" si="1"/>
        <v/>
      </c>
      <c r="B96" s="49"/>
      <c r="C96" s="148"/>
      <c r="D96" s="166"/>
      <c r="E96" s="168"/>
      <c r="F96" s="88">
        <f t="shared" si="2"/>
        <v>0</v>
      </c>
      <c r="H96" s="91"/>
      <c r="I96" s="171"/>
      <c r="J96" s="93">
        <f t="shared" si="3"/>
        <v>0</v>
      </c>
      <c r="K96" s="94">
        <f t="shared" si="4"/>
        <v>0</v>
      </c>
      <c r="L96" s="95">
        <f t="shared" si="5"/>
        <v>0</v>
      </c>
    </row>
    <row r="97">
      <c r="A97" s="74" t="str">
        <f t="shared" si="1"/>
        <v/>
      </c>
      <c r="B97" s="49"/>
      <c r="C97" s="148"/>
      <c r="D97" s="166"/>
      <c r="E97" s="168"/>
      <c r="F97" s="88">
        <f t="shared" si="2"/>
        <v>0</v>
      </c>
      <c r="H97" s="91"/>
      <c r="I97" s="171"/>
      <c r="J97" s="93">
        <f t="shared" si="3"/>
        <v>0</v>
      </c>
      <c r="K97" s="94">
        <f t="shared" si="4"/>
        <v>0</v>
      </c>
      <c r="L97" s="95">
        <f t="shared" si="5"/>
        <v>0</v>
      </c>
    </row>
    <row r="98">
      <c r="A98" s="74" t="str">
        <f t="shared" si="1"/>
        <v/>
      </c>
      <c r="B98" s="49"/>
      <c r="C98" s="148"/>
      <c r="D98" s="166"/>
      <c r="E98" s="168"/>
      <c r="F98" s="88">
        <f t="shared" si="2"/>
        <v>0</v>
      </c>
      <c r="H98" s="91"/>
      <c r="I98" s="171"/>
      <c r="J98" s="93">
        <f t="shared" si="3"/>
        <v>0</v>
      </c>
      <c r="K98" s="94">
        <f t="shared" si="4"/>
        <v>0</v>
      </c>
      <c r="L98" s="95">
        <f t="shared" si="5"/>
        <v>0</v>
      </c>
    </row>
    <row r="99">
      <c r="A99" s="74" t="str">
        <f t="shared" si="1"/>
        <v/>
      </c>
      <c r="B99" s="49"/>
      <c r="C99" s="148"/>
      <c r="D99" s="166"/>
      <c r="E99" s="168"/>
      <c r="F99" s="88">
        <f t="shared" si="2"/>
        <v>0</v>
      </c>
      <c r="H99" s="91"/>
      <c r="I99" s="171"/>
      <c r="J99" s="93">
        <f t="shared" si="3"/>
        <v>0</v>
      </c>
      <c r="K99" s="94">
        <f t="shared" si="4"/>
        <v>0</v>
      </c>
      <c r="L99" s="95">
        <f t="shared" si="5"/>
        <v>0</v>
      </c>
    </row>
    <row r="100">
      <c r="A100" s="74" t="str">
        <f t="shared" si="1"/>
        <v/>
      </c>
      <c r="B100" s="49"/>
      <c r="C100" s="148"/>
      <c r="D100" s="166"/>
      <c r="E100" s="168"/>
      <c r="F100" s="88">
        <f t="shared" si="2"/>
        <v>0</v>
      </c>
      <c r="H100" s="91"/>
      <c r="I100" s="171"/>
      <c r="J100" s="93">
        <f t="shared" si="3"/>
        <v>0</v>
      </c>
      <c r="K100" s="94">
        <f t="shared" si="4"/>
        <v>0</v>
      </c>
      <c r="L100" s="95">
        <f t="shared" si="5"/>
        <v>0</v>
      </c>
    </row>
    <row r="101">
      <c r="A101" s="74" t="str">
        <f t="shared" si="1"/>
        <v/>
      </c>
      <c r="B101" s="49"/>
      <c r="C101" s="148"/>
      <c r="D101" s="166"/>
      <c r="E101" s="168"/>
      <c r="F101" s="88">
        <f t="shared" si="2"/>
        <v>0</v>
      </c>
      <c r="H101" s="91"/>
      <c r="I101" s="171"/>
      <c r="J101" s="93">
        <f t="shared" si="3"/>
        <v>0</v>
      </c>
      <c r="K101" s="94">
        <f t="shared" si="4"/>
        <v>0</v>
      </c>
      <c r="L101" s="95">
        <f t="shared" si="5"/>
        <v>0</v>
      </c>
    </row>
    <row r="102">
      <c r="A102" s="74" t="str">
        <f t="shared" si="1"/>
        <v/>
      </c>
      <c r="B102" s="49"/>
      <c r="C102" s="148"/>
      <c r="D102" s="166"/>
      <c r="E102" s="168"/>
      <c r="F102" s="88">
        <f t="shared" si="2"/>
        <v>0</v>
      </c>
      <c r="H102" s="91"/>
      <c r="I102" s="171"/>
      <c r="J102" s="93">
        <f t="shared" si="3"/>
        <v>0</v>
      </c>
      <c r="K102" s="94">
        <f t="shared" si="4"/>
        <v>0</v>
      </c>
      <c r="L102" s="95">
        <f t="shared" si="5"/>
        <v>0</v>
      </c>
    </row>
    <row r="103">
      <c r="A103" s="74" t="str">
        <f t="shared" si="1"/>
        <v/>
      </c>
      <c r="B103" s="49"/>
      <c r="C103" s="148"/>
      <c r="D103" s="166"/>
      <c r="E103" s="168"/>
      <c r="F103" s="88">
        <f t="shared" si="2"/>
        <v>0</v>
      </c>
      <c r="H103" s="91"/>
      <c r="I103" s="171"/>
      <c r="J103" s="93">
        <f t="shared" si="3"/>
        <v>0</v>
      </c>
      <c r="K103" s="94">
        <f t="shared" si="4"/>
        <v>0</v>
      </c>
      <c r="L103" s="95">
        <f t="shared" si="5"/>
        <v>0</v>
      </c>
    </row>
    <row r="104">
      <c r="A104" s="74" t="str">
        <f t="shared" si="1"/>
        <v/>
      </c>
      <c r="B104" s="49"/>
      <c r="C104" s="148"/>
      <c r="D104" s="166"/>
      <c r="E104" s="168"/>
      <c r="F104" s="88">
        <f t="shared" si="2"/>
        <v>0</v>
      </c>
      <c r="H104" s="91"/>
      <c r="I104" s="171"/>
      <c r="J104" s="93">
        <f t="shared" si="3"/>
        <v>0</v>
      </c>
      <c r="K104" s="94">
        <f t="shared" si="4"/>
        <v>0</v>
      </c>
      <c r="L104" s="95">
        <f t="shared" si="5"/>
        <v>0</v>
      </c>
    </row>
    <row r="105">
      <c r="A105" s="74" t="str">
        <f t="shared" si="1"/>
        <v/>
      </c>
      <c r="B105" s="49"/>
      <c r="C105" s="148"/>
      <c r="D105" s="166"/>
      <c r="E105" s="168"/>
      <c r="F105" s="88">
        <f t="shared" si="2"/>
        <v>0</v>
      </c>
      <c r="H105" s="91"/>
      <c r="I105" s="171"/>
      <c r="J105" s="93">
        <f t="shared" si="3"/>
        <v>0</v>
      </c>
      <c r="K105" s="94">
        <f t="shared" si="4"/>
        <v>0</v>
      </c>
      <c r="L105" s="95">
        <f t="shared" si="5"/>
        <v>0</v>
      </c>
    </row>
    <row r="106">
      <c r="A106" s="74" t="str">
        <f t="shared" si="1"/>
        <v/>
      </c>
      <c r="B106" s="49"/>
      <c r="C106" s="148"/>
      <c r="D106" s="166"/>
      <c r="E106" s="168"/>
      <c r="F106" s="88">
        <f t="shared" si="2"/>
        <v>0</v>
      </c>
      <c r="H106" s="91"/>
      <c r="I106" s="171"/>
      <c r="J106" s="93">
        <f t="shared" si="3"/>
        <v>0</v>
      </c>
      <c r="K106" s="94">
        <f t="shared" si="4"/>
        <v>0</v>
      </c>
      <c r="L106" s="95">
        <f t="shared" si="5"/>
        <v>0</v>
      </c>
    </row>
    <row r="107">
      <c r="A107" s="74" t="str">
        <f t="shared" si="1"/>
        <v/>
      </c>
      <c r="B107" s="49"/>
      <c r="C107" s="148"/>
      <c r="D107" s="166"/>
      <c r="E107" s="168"/>
      <c r="F107" s="88">
        <f t="shared" si="2"/>
        <v>0</v>
      </c>
      <c r="H107" s="91"/>
      <c r="I107" s="171"/>
      <c r="J107" s="93">
        <f t="shared" si="3"/>
        <v>0</v>
      </c>
      <c r="K107" s="94">
        <f t="shared" si="4"/>
        <v>0</v>
      </c>
      <c r="L107" s="95">
        <f t="shared" si="5"/>
        <v>0</v>
      </c>
    </row>
    <row r="108">
      <c r="A108" s="74" t="str">
        <f t="shared" si="1"/>
        <v/>
      </c>
      <c r="B108" s="49"/>
      <c r="C108" s="148"/>
      <c r="D108" s="166"/>
      <c r="E108" s="168"/>
      <c r="F108" s="88">
        <f t="shared" si="2"/>
        <v>0</v>
      </c>
      <c r="H108" s="91"/>
      <c r="I108" s="171"/>
      <c r="J108" s="93">
        <f t="shared" si="3"/>
        <v>0</v>
      </c>
      <c r="K108" s="94">
        <f t="shared" si="4"/>
        <v>0</v>
      </c>
      <c r="L108" s="95">
        <f t="shared" si="5"/>
        <v>0</v>
      </c>
    </row>
    <row r="109">
      <c r="A109" s="74" t="str">
        <f t="shared" si="1"/>
        <v/>
      </c>
      <c r="B109" s="49"/>
      <c r="C109" s="148"/>
      <c r="D109" s="166"/>
      <c r="E109" s="168"/>
      <c r="F109" s="88">
        <f t="shared" si="2"/>
        <v>0</v>
      </c>
      <c r="H109" s="91"/>
      <c r="I109" s="171"/>
      <c r="J109" s="93">
        <f t="shared" si="3"/>
        <v>0</v>
      </c>
      <c r="K109" s="94">
        <f t="shared" si="4"/>
        <v>0</v>
      </c>
      <c r="L109" s="95">
        <f t="shared" si="5"/>
        <v>0</v>
      </c>
    </row>
    <row r="110">
      <c r="A110" s="74" t="str">
        <f t="shared" si="1"/>
        <v/>
      </c>
      <c r="B110" s="49"/>
      <c r="C110" s="148"/>
      <c r="D110" s="166"/>
      <c r="E110" s="168"/>
      <c r="F110" s="88">
        <f t="shared" si="2"/>
        <v>0</v>
      </c>
      <c r="H110" s="91"/>
      <c r="I110" s="171"/>
      <c r="J110" s="93">
        <f t="shared" si="3"/>
        <v>0</v>
      </c>
      <c r="K110" s="94">
        <f t="shared" si="4"/>
        <v>0</v>
      </c>
      <c r="L110" s="95">
        <f t="shared" si="5"/>
        <v>0</v>
      </c>
    </row>
    <row r="111">
      <c r="A111" s="74" t="str">
        <f t="shared" si="1"/>
        <v/>
      </c>
      <c r="B111" s="49"/>
      <c r="C111" s="148"/>
      <c r="D111" s="166"/>
      <c r="E111" s="168"/>
      <c r="F111" s="88">
        <f t="shared" si="2"/>
        <v>0</v>
      </c>
      <c r="H111" s="91"/>
      <c r="I111" s="171"/>
      <c r="J111" s="93">
        <f t="shared" si="3"/>
        <v>0</v>
      </c>
      <c r="K111" s="94">
        <f t="shared" si="4"/>
        <v>0</v>
      </c>
      <c r="L111" s="95">
        <f t="shared" si="5"/>
        <v>0</v>
      </c>
    </row>
    <row r="112">
      <c r="A112" s="74" t="str">
        <f t="shared" si="1"/>
        <v/>
      </c>
      <c r="B112" s="49"/>
      <c r="C112" s="148"/>
      <c r="D112" s="166"/>
      <c r="E112" s="168"/>
      <c r="F112" s="88">
        <f t="shared" si="2"/>
        <v>0</v>
      </c>
      <c r="H112" s="91"/>
      <c r="I112" s="171"/>
      <c r="J112" s="93">
        <f t="shared" si="3"/>
        <v>0</v>
      </c>
      <c r="K112" s="94">
        <f t="shared" si="4"/>
        <v>0</v>
      </c>
      <c r="L112" s="95">
        <f t="shared" si="5"/>
        <v>0</v>
      </c>
    </row>
    <row r="113">
      <c r="A113" s="74" t="str">
        <f t="shared" si="1"/>
        <v/>
      </c>
      <c r="B113" s="49"/>
      <c r="C113" s="148"/>
      <c r="D113" s="166"/>
      <c r="E113" s="168"/>
      <c r="F113" s="88">
        <f t="shared" si="2"/>
        <v>0</v>
      </c>
      <c r="H113" s="91"/>
      <c r="I113" s="171"/>
      <c r="J113" s="93">
        <f t="shared" si="3"/>
        <v>0</v>
      </c>
      <c r="K113" s="94">
        <f t="shared" si="4"/>
        <v>0</v>
      </c>
      <c r="L113" s="95">
        <f t="shared" si="5"/>
        <v>0</v>
      </c>
    </row>
    <row r="114">
      <c r="A114" s="74" t="str">
        <f t="shared" si="1"/>
        <v/>
      </c>
      <c r="B114" s="49"/>
      <c r="C114" s="148"/>
      <c r="D114" s="166"/>
      <c r="E114" s="168"/>
      <c r="F114" s="88">
        <f t="shared" si="2"/>
        <v>0</v>
      </c>
      <c r="H114" s="91"/>
      <c r="I114" s="171"/>
      <c r="J114" s="93">
        <f t="shared" si="3"/>
        <v>0</v>
      </c>
      <c r="K114" s="94">
        <f t="shared" si="4"/>
        <v>0</v>
      </c>
      <c r="L114" s="95">
        <f t="shared" si="5"/>
        <v>0</v>
      </c>
    </row>
    <row r="115">
      <c r="A115" s="74" t="str">
        <f t="shared" si="1"/>
        <v/>
      </c>
      <c r="B115" s="49"/>
      <c r="C115" s="148"/>
      <c r="D115" s="166"/>
      <c r="E115" s="168"/>
      <c r="F115" s="88">
        <f t="shared" si="2"/>
        <v>0</v>
      </c>
      <c r="H115" s="91"/>
      <c r="I115" s="171"/>
      <c r="J115" s="93">
        <f t="shared" si="3"/>
        <v>0</v>
      </c>
      <c r="K115" s="94">
        <f t="shared" si="4"/>
        <v>0</v>
      </c>
      <c r="L115" s="95">
        <f t="shared" si="5"/>
        <v>0</v>
      </c>
    </row>
    <row r="116">
      <c r="A116" s="74" t="str">
        <f t="shared" si="1"/>
        <v/>
      </c>
      <c r="B116" s="49"/>
      <c r="C116" s="148"/>
      <c r="D116" s="166"/>
      <c r="E116" s="168"/>
      <c r="F116" s="88">
        <f t="shared" si="2"/>
        <v>0</v>
      </c>
      <c r="H116" s="91"/>
      <c r="I116" s="171"/>
      <c r="J116" s="93">
        <f t="shared" si="3"/>
        <v>0</v>
      </c>
      <c r="K116" s="94">
        <f t="shared" si="4"/>
        <v>0</v>
      </c>
      <c r="L116" s="95">
        <f t="shared" si="5"/>
        <v>0</v>
      </c>
    </row>
    <row r="117">
      <c r="A117" s="74" t="str">
        <f t="shared" si="1"/>
        <v/>
      </c>
      <c r="B117" s="49"/>
      <c r="C117" s="148"/>
      <c r="D117" s="166"/>
      <c r="E117" s="168"/>
      <c r="F117" s="88">
        <f t="shared" si="2"/>
        <v>0</v>
      </c>
      <c r="H117" s="91"/>
      <c r="I117" s="171"/>
      <c r="J117" s="93">
        <f t="shared" si="3"/>
        <v>0</v>
      </c>
      <c r="K117" s="94">
        <f t="shared" si="4"/>
        <v>0</v>
      </c>
      <c r="L117" s="95">
        <f t="shared" si="5"/>
        <v>0</v>
      </c>
    </row>
    <row r="118">
      <c r="A118" s="74" t="str">
        <f t="shared" si="1"/>
        <v/>
      </c>
      <c r="B118" s="49"/>
      <c r="C118" s="148"/>
      <c r="D118" s="166"/>
      <c r="E118" s="168"/>
      <c r="F118" s="88">
        <f t="shared" si="2"/>
        <v>0</v>
      </c>
      <c r="H118" s="91"/>
      <c r="I118" s="171"/>
      <c r="J118" s="93">
        <f t="shared" si="3"/>
        <v>0</v>
      </c>
      <c r="K118" s="94">
        <f t="shared" si="4"/>
        <v>0</v>
      </c>
      <c r="L118" s="95">
        <f t="shared" si="5"/>
        <v>0</v>
      </c>
    </row>
    <row r="119">
      <c r="A119" s="74" t="str">
        <f t="shared" si="1"/>
        <v/>
      </c>
      <c r="B119" s="49"/>
      <c r="C119" s="148"/>
      <c r="D119" s="166"/>
      <c r="E119" s="168"/>
      <c r="F119" s="88">
        <f t="shared" si="2"/>
        <v>0</v>
      </c>
      <c r="H119" s="91"/>
      <c r="I119" s="171"/>
      <c r="J119" s="93">
        <f t="shared" si="3"/>
        <v>0</v>
      </c>
      <c r="K119" s="94">
        <f t="shared" si="4"/>
        <v>0</v>
      </c>
      <c r="L119" s="95">
        <f t="shared" si="5"/>
        <v>0</v>
      </c>
    </row>
    <row r="120">
      <c r="A120" s="74" t="str">
        <f t="shared" si="1"/>
        <v/>
      </c>
      <c r="B120" s="49"/>
      <c r="C120" s="148"/>
      <c r="D120" s="166"/>
      <c r="E120" s="168"/>
      <c r="F120" s="88">
        <f t="shared" si="2"/>
        <v>0</v>
      </c>
      <c r="H120" s="91"/>
      <c r="I120" s="171"/>
      <c r="J120" s="93">
        <f t="shared" si="3"/>
        <v>0</v>
      </c>
      <c r="K120" s="94">
        <f t="shared" si="4"/>
        <v>0</v>
      </c>
      <c r="L120" s="95">
        <f t="shared" si="5"/>
        <v>0</v>
      </c>
    </row>
    <row r="121">
      <c r="A121" s="74" t="str">
        <f t="shared" si="1"/>
        <v/>
      </c>
      <c r="B121" s="49"/>
      <c r="C121" s="148"/>
      <c r="D121" s="166"/>
      <c r="E121" s="168"/>
      <c r="F121" s="88">
        <f t="shared" si="2"/>
        <v>0</v>
      </c>
      <c r="H121" s="91"/>
      <c r="I121" s="171"/>
      <c r="J121" s="93">
        <f t="shared" si="3"/>
        <v>0</v>
      </c>
      <c r="K121" s="94">
        <f t="shared" si="4"/>
        <v>0</v>
      </c>
      <c r="L121" s="95">
        <f t="shared" si="5"/>
        <v>0</v>
      </c>
    </row>
    <row r="122">
      <c r="A122" s="74" t="str">
        <f t="shared" si="1"/>
        <v/>
      </c>
      <c r="B122" s="49"/>
      <c r="C122" s="148"/>
      <c r="D122" s="166"/>
      <c r="E122" s="168"/>
      <c r="F122" s="88">
        <f t="shared" si="2"/>
        <v>0</v>
      </c>
      <c r="H122" s="91"/>
      <c r="I122" s="171"/>
      <c r="J122" s="93">
        <f t="shared" si="3"/>
        <v>0</v>
      </c>
      <c r="K122" s="94">
        <f t="shared" si="4"/>
        <v>0</v>
      </c>
      <c r="L122" s="95">
        <f t="shared" si="5"/>
        <v>0</v>
      </c>
    </row>
    <row r="123">
      <c r="A123" s="74" t="str">
        <f t="shared" si="1"/>
        <v/>
      </c>
      <c r="B123" s="49"/>
      <c r="C123" s="148"/>
      <c r="D123" s="166"/>
      <c r="E123" s="168"/>
      <c r="F123" s="88">
        <f t="shared" si="2"/>
        <v>0</v>
      </c>
      <c r="H123" s="91"/>
      <c r="I123" s="171"/>
      <c r="J123" s="93">
        <f t="shared" si="3"/>
        <v>0</v>
      </c>
      <c r="K123" s="94">
        <f t="shared" si="4"/>
        <v>0</v>
      </c>
      <c r="L123" s="95">
        <f t="shared" si="5"/>
        <v>0</v>
      </c>
    </row>
    <row r="124">
      <c r="A124" s="74" t="str">
        <f t="shared" si="1"/>
        <v/>
      </c>
      <c r="B124" s="49"/>
      <c r="C124" s="148"/>
      <c r="D124" s="166"/>
      <c r="E124" s="168"/>
      <c r="F124" s="88">
        <f t="shared" si="2"/>
        <v>0</v>
      </c>
      <c r="H124" s="91"/>
      <c r="I124" s="171"/>
      <c r="J124" s="93">
        <f t="shared" si="3"/>
        <v>0</v>
      </c>
      <c r="K124" s="94">
        <f t="shared" si="4"/>
        <v>0</v>
      </c>
      <c r="L124" s="95">
        <f t="shared" si="5"/>
        <v>0</v>
      </c>
    </row>
    <row r="125">
      <c r="A125" s="74" t="str">
        <f t="shared" si="1"/>
        <v/>
      </c>
      <c r="B125" s="49"/>
      <c r="C125" s="148"/>
      <c r="D125" s="166"/>
      <c r="E125" s="168"/>
      <c r="F125" s="88">
        <f t="shared" si="2"/>
        <v>0</v>
      </c>
      <c r="H125" s="91"/>
      <c r="I125" s="171"/>
      <c r="J125" s="93">
        <f t="shared" si="3"/>
        <v>0</v>
      </c>
      <c r="K125" s="94">
        <f t="shared" si="4"/>
        <v>0</v>
      </c>
      <c r="L125" s="95">
        <f t="shared" si="5"/>
        <v>0</v>
      </c>
    </row>
    <row r="126">
      <c r="A126" s="74" t="str">
        <f t="shared" si="1"/>
        <v/>
      </c>
      <c r="B126" s="49"/>
      <c r="C126" s="148"/>
      <c r="D126" s="166"/>
      <c r="E126" s="168"/>
      <c r="F126" s="88">
        <f t="shared" si="2"/>
        <v>0</v>
      </c>
      <c r="H126" s="91"/>
      <c r="I126" s="171"/>
      <c r="J126" s="93">
        <f t="shared" si="3"/>
        <v>0</v>
      </c>
      <c r="K126" s="94">
        <f t="shared" si="4"/>
        <v>0</v>
      </c>
      <c r="L126" s="95">
        <f t="shared" si="5"/>
        <v>0</v>
      </c>
    </row>
    <row r="127">
      <c r="A127" s="74" t="str">
        <f t="shared" si="1"/>
        <v/>
      </c>
      <c r="B127" s="49"/>
      <c r="C127" s="148"/>
      <c r="D127" s="166"/>
      <c r="E127" s="168"/>
      <c r="F127" s="88">
        <f t="shared" si="2"/>
        <v>0</v>
      </c>
      <c r="H127" s="91"/>
      <c r="I127" s="171"/>
      <c r="J127" s="93">
        <f t="shared" si="3"/>
        <v>0</v>
      </c>
      <c r="K127" s="94">
        <f t="shared" si="4"/>
        <v>0</v>
      </c>
      <c r="L127" s="95">
        <f t="shared" si="5"/>
        <v>0</v>
      </c>
    </row>
    <row r="128">
      <c r="A128" s="74" t="str">
        <f t="shared" si="1"/>
        <v/>
      </c>
      <c r="B128" s="49"/>
      <c r="C128" s="148"/>
      <c r="D128" s="166"/>
      <c r="E128" s="168"/>
      <c r="F128" s="88">
        <f t="shared" si="2"/>
        <v>0</v>
      </c>
      <c r="H128" s="91"/>
      <c r="I128" s="171"/>
      <c r="J128" s="93">
        <f t="shared" si="3"/>
        <v>0</v>
      </c>
      <c r="K128" s="94">
        <f t="shared" si="4"/>
        <v>0</v>
      </c>
      <c r="L128" s="95">
        <f t="shared" si="5"/>
        <v>0</v>
      </c>
    </row>
    <row r="129">
      <c r="A129" s="74" t="str">
        <f t="shared" si="1"/>
        <v/>
      </c>
      <c r="B129" s="49"/>
      <c r="C129" s="148"/>
      <c r="D129" s="166"/>
      <c r="E129" s="168"/>
      <c r="F129" s="88">
        <f t="shared" si="2"/>
        <v>0</v>
      </c>
      <c r="H129" s="91"/>
      <c r="I129" s="171"/>
      <c r="J129" s="93">
        <f t="shared" si="3"/>
        <v>0</v>
      </c>
      <c r="K129" s="94">
        <f t="shared" si="4"/>
        <v>0</v>
      </c>
      <c r="L129" s="95">
        <f t="shared" si="5"/>
        <v>0</v>
      </c>
    </row>
    <row r="130">
      <c r="A130" s="74" t="str">
        <f t="shared" si="1"/>
        <v/>
      </c>
      <c r="B130" s="49"/>
      <c r="C130" s="148"/>
      <c r="D130" s="166"/>
      <c r="E130" s="168"/>
      <c r="F130" s="88">
        <f t="shared" si="2"/>
        <v>0</v>
      </c>
      <c r="H130" s="91"/>
      <c r="I130" s="171"/>
      <c r="J130" s="93">
        <f t="shared" si="3"/>
        <v>0</v>
      </c>
      <c r="K130" s="94">
        <f t="shared" si="4"/>
        <v>0</v>
      </c>
      <c r="L130" s="95">
        <f t="shared" si="5"/>
        <v>0</v>
      </c>
    </row>
    <row r="131">
      <c r="A131" s="74" t="str">
        <f t="shared" si="1"/>
        <v/>
      </c>
      <c r="B131" s="49"/>
      <c r="C131" s="148"/>
      <c r="D131" s="166"/>
      <c r="E131" s="168"/>
      <c r="F131" s="88">
        <f t="shared" si="2"/>
        <v>0</v>
      </c>
      <c r="H131" s="91"/>
      <c r="I131" s="171"/>
      <c r="J131" s="93">
        <f t="shared" si="3"/>
        <v>0</v>
      </c>
      <c r="K131" s="94">
        <f t="shared" si="4"/>
        <v>0</v>
      </c>
      <c r="L131" s="95">
        <f t="shared" si="5"/>
        <v>0</v>
      </c>
    </row>
    <row r="132">
      <c r="A132" s="74" t="str">
        <f t="shared" si="1"/>
        <v/>
      </c>
      <c r="B132" s="49"/>
      <c r="C132" s="148"/>
      <c r="D132" s="166"/>
      <c r="E132" s="168"/>
      <c r="F132" s="88">
        <f t="shared" si="2"/>
        <v>0</v>
      </c>
      <c r="H132" s="91"/>
      <c r="I132" s="171"/>
      <c r="J132" s="93">
        <f t="shared" si="3"/>
        <v>0</v>
      </c>
      <c r="K132" s="94">
        <f t="shared" si="4"/>
        <v>0</v>
      </c>
      <c r="L132" s="95">
        <f t="shared" si="5"/>
        <v>0</v>
      </c>
    </row>
    <row r="133">
      <c r="A133" s="74" t="str">
        <f t="shared" si="1"/>
        <v/>
      </c>
      <c r="B133" s="49"/>
      <c r="C133" s="148"/>
      <c r="D133" s="166"/>
      <c r="E133" s="168"/>
      <c r="F133" s="88">
        <f t="shared" si="2"/>
        <v>0</v>
      </c>
      <c r="H133" s="91"/>
      <c r="I133" s="171"/>
      <c r="J133" s="93">
        <f t="shared" si="3"/>
        <v>0</v>
      </c>
      <c r="K133" s="94">
        <f t="shared" si="4"/>
        <v>0</v>
      </c>
      <c r="L133" s="95">
        <f t="shared" si="5"/>
        <v>0</v>
      </c>
    </row>
    <row r="134">
      <c r="A134" s="74" t="str">
        <f t="shared" si="1"/>
        <v/>
      </c>
      <c r="B134" s="49"/>
      <c r="C134" s="148"/>
      <c r="D134" s="166"/>
      <c r="E134" s="168"/>
      <c r="F134" s="88">
        <f t="shared" si="2"/>
        <v>0</v>
      </c>
      <c r="H134" s="91"/>
      <c r="I134" s="171"/>
      <c r="J134" s="93">
        <f t="shared" si="3"/>
        <v>0</v>
      </c>
      <c r="K134" s="94">
        <f t="shared" si="4"/>
        <v>0</v>
      </c>
      <c r="L134" s="95">
        <f t="shared" si="5"/>
        <v>0</v>
      </c>
    </row>
    <row r="135">
      <c r="A135" s="74" t="str">
        <f t="shared" si="1"/>
        <v/>
      </c>
      <c r="B135" s="49"/>
      <c r="C135" s="148"/>
      <c r="D135" s="166"/>
      <c r="E135" s="168"/>
      <c r="F135" s="88">
        <f t="shared" si="2"/>
        <v>0</v>
      </c>
      <c r="H135" s="91"/>
      <c r="I135" s="171"/>
      <c r="J135" s="93">
        <f t="shared" si="3"/>
        <v>0</v>
      </c>
      <c r="K135" s="94">
        <f t="shared" si="4"/>
        <v>0</v>
      </c>
      <c r="L135" s="95">
        <f t="shared" si="5"/>
        <v>0</v>
      </c>
    </row>
    <row r="136">
      <c r="A136" s="74" t="str">
        <f t="shared" si="1"/>
        <v/>
      </c>
      <c r="B136" s="49"/>
      <c r="C136" s="148"/>
      <c r="D136" s="166"/>
      <c r="E136" s="168"/>
      <c r="F136" s="88">
        <f t="shared" si="2"/>
        <v>0</v>
      </c>
      <c r="H136" s="91"/>
      <c r="I136" s="171"/>
      <c r="J136" s="93">
        <f t="shared" si="3"/>
        <v>0</v>
      </c>
      <c r="K136" s="94">
        <f t="shared" si="4"/>
        <v>0</v>
      </c>
      <c r="L136" s="95">
        <f t="shared" si="5"/>
        <v>0</v>
      </c>
    </row>
    <row r="137">
      <c r="A137" s="74" t="str">
        <f t="shared" si="1"/>
        <v/>
      </c>
      <c r="B137" s="49"/>
      <c r="C137" s="148"/>
      <c r="D137" s="166"/>
      <c r="E137" s="168"/>
      <c r="F137" s="88">
        <f t="shared" si="2"/>
        <v>0</v>
      </c>
      <c r="H137" s="91"/>
      <c r="I137" s="171"/>
      <c r="J137" s="93">
        <f t="shared" si="3"/>
        <v>0</v>
      </c>
      <c r="K137" s="94">
        <f t="shared" si="4"/>
        <v>0</v>
      </c>
      <c r="L137" s="95">
        <f t="shared" si="5"/>
        <v>0</v>
      </c>
    </row>
    <row r="138">
      <c r="A138" s="74" t="str">
        <f t="shared" si="1"/>
        <v/>
      </c>
      <c r="B138" s="49"/>
      <c r="C138" s="148"/>
      <c r="D138" s="166"/>
      <c r="E138" s="168"/>
      <c r="F138" s="88">
        <f t="shared" si="2"/>
        <v>0</v>
      </c>
      <c r="H138" s="91"/>
      <c r="I138" s="171"/>
      <c r="J138" s="93">
        <f t="shared" si="3"/>
        <v>0</v>
      </c>
      <c r="K138" s="94">
        <f t="shared" si="4"/>
        <v>0</v>
      </c>
      <c r="L138" s="95">
        <f t="shared" si="5"/>
        <v>0</v>
      </c>
    </row>
    <row r="139">
      <c r="A139" s="74" t="str">
        <f t="shared" si="1"/>
        <v/>
      </c>
      <c r="B139" s="49"/>
      <c r="C139" s="148"/>
      <c r="D139" s="166"/>
      <c r="E139" s="168"/>
      <c r="F139" s="88">
        <f t="shared" si="2"/>
        <v>0</v>
      </c>
      <c r="H139" s="91"/>
      <c r="I139" s="171"/>
      <c r="J139" s="93">
        <f t="shared" si="3"/>
        <v>0</v>
      </c>
      <c r="K139" s="94">
        <f t="shared" si="4"/>
        <v>0</v>
      </c>
      <c r="L139" s="95">
        <f t="shared" si="5"/>
        <v>0</v>
      </c>
    </row>
    <row r="140">
      <c r="A140" s="74" t="str">
        <f t="shared" si="1"/>
        <v/>
      </c>
      <c r="B140" s="49"/>
      <c r="C140" s="148"/>
      <c r="D140" s="166"/>
      <c r="E140" s="168"/>
      <c r="F140" s="88">
        <f t="shared" si="2"/>
        <v>0</v>
      </c>
      <c r="H140" s="91"/>
      <c r="I140" s="171"/>
      <c r="J140" s="93">
        <f t="shared" si="3"/>
        <v>0</v>
      </c>
      <c r="K140" s="94">
        <f t="shared" si="4"/>
        <v>0</v>
      </c>
      <c r="L140" s="95">
        <f t="shared" si="5"/>
        <v>0</v>
      </c>
    </row>
    <row r="141">
      <c r="A141" s="74" t="str">
        <f t="shared" si="1"/>
        <v/>
      </c>
      <c r="B141" s="49"/>
      <c r="C141" s="148"/>
      <c r="D141" s="166"/>
      <c r="E141" s="168"/>
      <c r="F141" s="88">
        <f t="shared" si="2"/>
        <v>0</v>
      </c>
      <c r="H141" s="91"/>
      <c r="I141" s="171"/>
      <c r="J141" s="93">
        <f t="shared" si="3"/>
        <v>0</v>
      </c>
      <c r="K141" s="94">
        <f t="shared" si="4"/>
        <v>0</v>
      </c>
      <c r="L141" s="95">
        <f t="shared" si="5"/>
        <v>0</v>
      </c>
    </row>
    <row r="142">
      <c r="A142" s="74" t="str">
        <f t="shared" si="1"/>
        <v/>
      </c>
      <c r="B142" s="49"/>
      <c r="C142" s="148"/>
      <c r="D142" s="166"/>
      <c r="E142" s="168"/>
      <c r="F142" s="88">
        <f t="shared" si="2"/>
        <v>0</v>
      </c>
      <c r="H142" s="91"/>
      <c r="I142" s="171"/>
      <c r="J142" s="93">
        <f t="shared" si="3"/>
        <v>0</v>
      </c>
      <c r="K142" s="94">
        <f t="shared" si="4"/>
        <v>0</v>
      </c>
      <c r="L142" s="95">
        <f t="shared" si="5"/>
        <v>0</v>
      </c>
    </row>
    <row r="143">
      <c r="A143" s="74" t="str">
        <f t="shared" si="1"/>
        <v/>
      </c>
      <c r="B143" s="49"/>
      <c r="C143" s="148"/>
      <c r="D143" s="166"/>
      <c r="E143" s="168"/>
      <c r="F143" s="88">
        <f t="shared" si="2"/>
        <v>0</v>
      </c>
      <c r="H143" s="91"/>
      <c r="I143" s="171"/>
      <c r="J143" s="93">
        <f t="shared" si="3"/>
        <v>0</v>
      </c>
      <c r="K143" s="94">
        <f t="shared" si="4"/>
        <v>0</v>
      </c>
      <c r="L143" s="95">
        <f t="shared" si="5"/>
        <v>0</v>
      </c>
    </row>
    <row r="144">
      <c r="A144" s="74" t="str">
        <f t="shared" si="1"/>
        <v/>
      </c>
      <c r="B144" s="49"/>
      <c r="C144" s="148"/>
      <c r="D144" s="166"/>
      <c r="E144" s="168"/>
      <c r="F144" s="88">
        <f t="shared" si="2"/>
        <v>0</v>
      </c>
      <c r="H144" s="91"/>
      <c r="I144" s="171"/>
      <c r="J144" s="93">
        <f t="shared" si="3"/>
        <v>0</v>
      </c>
      <c r="K144" s="94">
        <f t="shared" si="4"/>
        <v>0</v>
      </c>
      <c r="L144" s="95">
        <f t="shared" si="5"/>
        <v>0</v>
      </c>
    </row>
    <row r="145">
      <c r="A145" s="74" t="str">
        <f t="shared" si="1"/>
        <v/>
      </c>
      <c r="B145" s="49"/>
      <c r="C145" s="148"/>
      <c r="D145" s="166"/>
      <c r="E145" s="168"/>
      <c r="F145" s="88">
        <f t="shared" si="2"/>
        <v>0</v>
      </c>
      <c r="H145" s="91"/>
      <c r="I145" s="171"/>
      <c r="J145" s="93">
        <f t="shared" si="3"/>
        <v>0</v>
      </c>
      <c r="K145" s="94">
        <f t="shared" si="4"/>
        <v>0</v>
      </c>
      <c r="L145" s="95">
        <f t="shared" si="5"/>
        <v>0</v>
      </c>
    </row>
    <row r="146">
      <c r="A146" s="74" t="str">
        <f t="shared" si="1"/>
        <v/>
      </c>
      <c r="B146" s="49"/>
      <c r="C146" s="148"/>
      <c r="D146" s="166"/>
      <c r="E146" s="168"/>
      <c r="F146" s="88">
        <f t="shared" si="2"/>
        <v>0</v>
      </c>
      <c r="H146" s="91"/>
      <c r="I146" s="171"/>
      <c r="J146" s="93">
        <f t="shared" si="3"/>
        <v>0</v>
      </c>
      <c r="K146" s="94">
        <f t="shared" si="4"/>
        <v>0</v>
      </c>
      <c r="L146" s="95">
        <f t="shared" si="5"/>
        <v>0</v>
      </c>
    </row>
    <row r="147">
      <c r="A147" s="74" t="str">
        <f t="shared" si="1"/>
        <v/>
      </c>
      <c r="B147" s="49"/>
      <c r="C147" s="148"/>
      <c r="D147" s="166"/>
      <c r="E147" s="168"/>
      <c r="F147" s="88">
        <f t="shared" si="2"/>
        <v>0</v>
      </c>
      <c r="H147" s="91"/>
      <c r="I147" s="171"/>
      <c r="J147" s="93">
        <f t="shared" si="3"/>
        <v>0</v>
      </c>
      <c r="K147" s="94">
        <f t="shared" si="4"/>
        <v>0</v>
      </c>
      <c r="L147" s="95">
        <f t="shared" si="5"/>
        <v>0</v>
      </c>
    </row>
    <row r="148">
      <c r="A148" s="74" t="str">
        <f t="shared" si="1"/>
        <v/>
      </c>
      <c r="B148" s="49"/>
      <c r="C148" s="148"/>
      <c r="D148" s="166"/>
      <c r="E148" s="168"/>
      <c r="F148" s="88">
        <f t="shared" si="2"/>
        <v>0</v>
      </c>
      <c r="H148" s="91"/>
      <c r="I148" s="171"/>
      <c r="J148" s="93">
        <f t="shared" si="3"/>
        <v>0</v>
      </c>
      <c r="K148" s="94">
        <f t="shared" si="4"/>
        <v>0</v>
      </c>
      <c r="L148" s="95">
        <f t="shared" si="5"/>
        <v>0</v>
      </c>
    </row>
    <row r="149">
      <c r="A149" s="74" t="str">
        <f t="shared" si="1"/>
        <v/>
      </c>
      <c r="B149" s="49"/>
      <c r="C149" s="148"/>
      <c r="D149" s="166"/>
      <c r="E149" s="168"/>
      <c r="F149" s="88">
        <f t="shared" si="2"/>
        <v>0</v>
      </c>
      <c r="H149" s="91"/>
      <c r="I149" s="171"/>
      <c r="J149" s="93">
        <f t="shared" si="3"/>
        <v>0</v>
      </c>
      <c r="K149" s="94">
        <f t="shared" si="4"/>
        <v>0</v>
      </c>
      <c r="L149" s="95">
        <f t="shared" si="5"/>
        <v>0</v>
      </c>
    </row>
    <row r="150">
      <c r="A150" s="74" t="str">
        <f t="shared" si="1"/>
        <v/>
      </c>
      <c r="B150" s="49"/>
      <c r="C150" s="148"/>
      <c r="D150" s="166"/>
      <c r="E150" s="168"/>
      <c r="F150" s="88">
        <f t="shared" si="2"/>
        <v>0</v>
      </c>
      <c r="H150" s="91"/>
      <c r="I150" s="171"/>
      <c r="J150" s="93">
        <f t="shared" si="3"/>
        <v>0</v>
      </c>
      <c r="K150" s="94">
        <f t="shared" si="4"/>
        <v>0</v>
      </c>
      <c r="L150" s="95">
        <f t="shared" si="5"/>
        <v>0</v>
      </c>
    </row>
    <row r="151">
      <c r="A151" s="74" t="str">
        <f t="shared" si="1"/>
        <v/>
      </c>
      <c r="B151" s="49"/>
      <c r="C151" s="148"/>
      <c r="D151" s="166"/>
      <c r="E151" s="168"/>
      <c r="F151" s="88">
        <f t="shared" si="2"/>
        <v>0</v>
      </c>
      <c r="H151" s="91"/>
      <c r="I151" s="171"/>
      <c r="J151" s="93">
        <f t="shared" si="3"/>
        <v>0</v>
      </c>
      <c r="K151" s="94">
        <f t="shared" si="4"/>
        <v>0</v>
      </c>
      <c r="L151" s="95">
        <f t="shared" si="5"/>
        <v>0</v>
      </c>
    </row>
    <row r="152">
      <c r="A152" s="74" t="str">
        <f t="shared" si="1"/>
        <v/>
      </c>
      <c r="B152" s="49"/>
      <c r="C152" s="148"/>
      <c r="D152" s="166"/>
      <c r="E152" s="168"/>
      <c r="F152" s="88">
        <f t="shared" si="2"/>
        <v>0</v>
      </c>
      <c r="H152" s="91"/>
      <c r="I152" s="171"/>
      <c r="J152" s="93">
        <f t="shared" si="3"/>
        <v>0</v>
      </c>
      <c r="K152" s="94">
        <f t="shared" si="4"/>
        <v>0</v>
      </c>
      <c r="L152" s="95">
        <f t="shared" si="5"/>
        <v>0</v>
      </c>
    </row>
    <row r="153">
      <c r="A153" s="74" t="str">
        <f t="shared" si="1"/>
        <v/>
      </c>
      <c r="B153" s="49"/>
      <c r="C153" s="148"/>
      <c r="D153" s="166"/>
      <c r="E153" s="168"/>
      <c r="F153" s="88">
        <f t="shared" si="2"/>
        <v>0</v>
      </c>
      <c r="H153" s="91"/>
      <c r="I153" s="171"/>
      <c r="J153" s="93">
        <f t="shared" si="3"/>
        <v>0</v>
      </c>
      <c r="K153" s="94">
        <f t="shared" si="4"/>
        <v>0</v>
      </c>
      <c r="L153" s="95">
        <f t="shared" si="5"/>
        <v>0</v>
      </c>
    </row>
    <row r="154">
      <c r="A154" s="74" t="str">
        <f t="shared" si="1"/>
        <v/>
      </c>
      <c r="B154" s="49"/>
      <c r="C154" s="148"/>
      <c r="D154" s="166"/>
      <c r="E154" s="168"/>
      <c r="F154" s="88">
        <f t="shared" si="2"/>
        <v>0</v>
      </c>
      <c r="H154" s="91"/>
      <c r="I154" s="171"/>
      <c r="J154" s="93">
        <f t="shared" si="3"/>
        <v>0</v>
      </c>
      <c r="K154" s="94">
        <f t="shared" si="4"/>
        <v>0</v>
      </c>
      <c r="L154" s="95">
        <f t="shared" si="5"/>
        <v>0</v>
      </c>
    </row>
    <row r="155">
      <c r="A155" s="74" t="str">
        <f t="shared" si="1"/>
        <v/>
      </c>
      <c r="B155" s="49"/>
      <c r="C155" s="148"/>
      <c r="D155" s="166"/>
      <c r="E155" s="168"/>
      <c r="F155" s="88">
        <f t="shared" si="2"/>
        <v>0</v>
      </c>
      <c r="H155" s="91"/>
      <c r="I155" s="171"/>
      <c r="J155" s="93">
        <f t="shared" si="3"/>
        <v>0</v>
      </c>
      <c r="K155" s="94">
        <f t="shared" si="4"/>
        <v>0</v>
      </c>
      <c r="L155" s="95">
        <f t="shared" si="5"/>
        <v>0</v>
      </c>
    </row>
    <row r="156">
      <c r="A156" s="74" t="str">
        <f t="shared" si="1"/>
        <v/>
      </c>
      <c r="B156" s="49"/>
      <c r="C156" s="148"/>
      <c r="D156" s="166"/>
      <c r="E156" s="168"/>
      <c r="F156" s="88">
        <f t="shared" si="2"/>
        <v>0</v>
      </c>
      <c r="H156" s="91"/>
      <c r="I156" s="171"/>
      <c r="J156" s="93">
        <f t="shared" si="3"/>
        <v>0</v>
      </c>
      <c r="K156" s="94">
        <f t="shared" si="4"/>
        <v>0</v>
      </c>
      <c r="L156" s="95">
        <f t="shared" si="5"/>
        <v>0</v>
      </c>
    </row>
    <row r="157">
      <c r="A157" s="74" t="str">
        <f t="shared" si="1"/>
        <v/>
      </c>
      <c r="B157" s="49"/>
      <c r="C157" s="148"/>
      <c r="D157" s="166"/>
      <c r="E157" s="168"/>
      <c r="F157" s="88">
        <f t="shared" si="2"/>
        <v>0</v>
      </c>
      <c r="H157" s="91"/>
      <c r="I157" s="171"/>
      <c r="J157" s="93">
        <f t="shared" si="3"/>
        <v>0</v>
      </c>
      <c r="K157" s="94">
        <f t="shared" si="4"/>
        <v>0</v>
      </c>
      <c r="L157" s="95">
        <f t="shared" si="5"/>
        <v>0</v>
      </c>
    </row>
    <row r="158">
      <c r="A158" s="74" t="str">
        <f t="shared" si="1"/>
        <v/>
      </c>
      <c r="B158" s="49"/>
      <c r="C158" s="148"/>
      <c r="D158" s="166"/>
      <c r="E158" s="168"/>
      <c r="F158" s="88">
        <f t="shared" si="2"/>
        <v>0</v>
      </c>
      <c r="H158" s="91"/>
      <c r="I158" s="171"/>
      <c r="J158" s="93">
        <f t="shared" si="3"/>
        <v>0</v>
      </c>
      <c r="K158" s="94">
        <f t="shared" si="4"/>
        <v>0</v>
      </c>
      <c r="L158" s="95">
        <f t="shared" si="5"/>
        <v>0</v>
      </c>
    </row>
    <row r="159">
      <c r="A159" s="74" t="str">
        <f t="shared" si="1"/>
        <v/>
      </c>
      <c r="B159" s="49"/>
      <c r="C159" s="148"/>
      <c r="D159" s="166"/>
      <c r="E159" s="168"/>
      <c r="F159" s="88">
        <f t="shared" si="2"/>
        <v>0</v>
      </c>
      <c r="H159" s="91"/>
      <c r="I159" s="171"/>
      <c r="J159" s="93">
        <f t="shared" si="3"/>
        <v>0</v>
      </c>
      <c r="K159" s="94">
        <f t="shared" si="4"/>
        <v>0</v>
      </c>
      <c r="L159" s="95">
        <f t="shared" si="5"/>
        <v>0</v>
      </c>
    </row>
    <row r="160">
      <c r="A160" s="74" t="str">
        <f t="shared" si="1"/>
        <v/>
      </c>
      <c r="B160" s="49"/>
      <c r="C160" s="148"/>
      <c r="D160" s="166"/>
      <c r="E160" s="168"/>
      <c r="F160" s="88">
        <f t="shared" si="2"/>
        <v>0</v>
      </c>
      <c r="H160" s="91"/>
      <c r="I160" s="171"/>
      <c r="J160" s="93">
        <f t="shared" si="3"/>
        <v>0</v>
      </c>
      <c r="K160" s="94">
        <f t="shared" si="4"/>
        <v>0</v>
      </c>
      <c r="L160" s="95">
        <f t="shared" si="5"/>
        <v>0</v>
      </c>
    </row>
    <row r="161">
      <c r="A161" s="74" t="str">
        <f t="shared" si="1"/>
        <v/>
      </c>
      <c r="B161" s="49"/>
      <c r="C161" s="148"/>
      <c r="D161" s="166"/>
      <c r="E161" s="168"/>
      <c r="F161" s="88">
        <f t="shared" si="2"/>
        <v>0</v>
      </c>
      <c r="H161" s="91"/>
      <c r="I161" s="171"/>
      <c r="J161" s="93">
        <f t="shared" si="3"/>
        <v>0</v>
      </c>
      <c r="K161" s="94">
        <f t="shared" si="4"/>
        <v>0</v>
      </c>
      <c r="L161" s="95">
        <f t="shared" si="5"/>
        <v>0</v>
      </c>
    </row>
    <row r="162">
      <c r="A162" s="74" t="str">
        <f t="shared" si="1"/>
        <v/>
      </c>
      <c r="B162" s="49"/>
      <c r="C162" s="148"/>
      <c r="D162" s="166"/>
      <c r="E162" s="168"/>
      <c r="F162" s="88">
        <f t="shared" si="2"/>
        <v>0</v>
      </c>
      <c r="H162" s="91"/>
      <c r="I162" s="171"/>
      <c r="J162" s="93">
        <f t="shared" si="3"/>
        <v>0</v>
      </c>
      <c r="K162" s="94">
        <f t="shared" si="4"/>
        <v>0</v>
      </c>
      <c r="L162" s="95">
        <f t="shared" si="5"/>
        <v>0</v>
      </c>
    </row>
    <row r="163">
      <c r="A163" s="74" t="str">
        <f t="shared" si="1"/>
        <v/>
      </c>
      <c r="B163" s="49"/>
      <c r="C163" s="148"/>
      <c r="D163" s="166"/>
      <c r="E163" s="168"/>
      <c r="F163" s="88">
        <f t="shared" si="2"/>
        <v>0</v>
      </c>
      <c r="H163" s="91"/>
      <c r="I163" s="171"/>
      <c r="J163" s="93">
        <f t="shared" si="3"/>
        <v>0</v>
      </c>
      <c r="K163" s="94">
        <f t="shared" si="4"/>
        <v>0</v>
      </c>
      <c r="L163" s="95">
        <f t="shared" si="5"/>
        <v>0</v>
      </c>
    </row>
    <row r="164">
      <c r="A164" s="74" t="str">
        <f t="shared" si="1"/>
        <v/>
      </c>
      <c r="B164" s="49"/>
      <c r="C164" s="148"/>
      <c r="D164" s="166"/>
      <c r="E164" s="168"/>
      <c r="F164" s="88">
        <f t="shared" si="2"/>
        <v>0</v>
      </c>
      <c r="H164" s="91"/>
      <c r="I164" s="171"/>
      <c r="J164" s="93">
        <f t="shared" si="3"/>
        <v>0</v>
      </c>
      <c r="K164" s="94">
        <f t="shared" si="4"/>
        <v>0</v>
      </c>
      <c r="L164" s="95">
        <f t="shared" si="5"/>
        <v>0</v>
      </c>
    </row>
    <row r="165">
      <c r="A165" s="74" t="str">
        <f t="shared" si="1"/>
        <v/>
      </c>
      <c r="B165" s="49"/>
      <c r="C165" s="148"/>
      <c r="D165" s="166"/>
      <c r="E165" s="168"/>
      <c r="F165" s="88">
        <f t="shared" si="2"/>
        <v>0</v>
      </c>
      <c r="H165" s="91"/>
      <c r="I165" s="171"/>
      <c r="J165" s="93">
        <f t="shared" si="3"/>
        <v>0</v>
      </c>
      <c r="K165" s="94">
        <f t="shared" si="4"/>
        <v>0</v>
      </c>
      <c r="L165" s="95">
        <f t="shared" si="5"/>
        <v>0</v>
      </c>
    </row>
    <row r="166">
      <c r="A166" s="74" t="str">
        <f t="shared" si="1"/>
        <v/>
      </c>
      <c r="B166" s="49"/>
      <c r="C166" s="148"/>
      <c r="D166" s="166"/>
      <c r="E166" s="168"/>
      <c r="F166" s="88">
        <f t="shared" si="2"/>
        <v>0</v>
      </c>
      <c r="H166" s="91"/>
      <c r="I166" s="171"/>
      <c r="J166" s="93">
        <f t="shared" si="3"/>
        <v>0</v>
      </c>
      <c r="K166" s="94">
        <f t="shared" si="4"/>
        <v>0</v>
      </c>
      <c r="L166" s="95">
        <f t="shared" si="5"/>
        <v>0</v>
      </c>
    </row>
    <row r="167">
      <c r="A167" s="74" t="str">
        <f t="shared" si="1"/>
        <v/>
      </c>
      <c r="B167" s="49"/>
      <c r="C167" s="148"/>
      <c r="D167" s="166"/>
      <c r="E167" s="168"/>
      <c r="F167" s="88">
        <f t="shared" si="2"/>
        <v>0</v>
      </c>
      <c r="H167" s="91"/>
      <c r="I167" s="171"/>
      <c r="J167" s="93">
        <f t="shared" si="3"/>
        <v>0</v>
      </c>
      <c r="K167" s="94">
        <f t="shared" si="4"/>
        <v>0</v>
      </c>
      <c r="L167" s="95">
        <f t="shared" si="5"/>
        <v>0</v>
      </c>
    </row>
    <row r="168">
      <c r="A168" s="74" t="str">
        <f t="shared" si="1"/>
        <v/>
      </c>
      <c r="B168" s="49"/>
      <c r="C168" s="148"/>
      <c r="D168" s="166"/>
      <c r="E168" s="168"/>
      <c r="F168" s="88">
        <f t="shared" si="2"/>
        <v>0</v>
      </c>
      <c r="H168" s="91"/>
      <c r="I168" s="171"/>
      <c r="J168" s="93">
        <f t="shared" si="3"/>
        <v>0</v>
      </c>
      <c r="K168" s="94">
        <f t="shared" si="4"/>
        <v>0</v>
      </c>
      <c r="L168" s="95">
        <f t="shared" si="5"/>
        <v>0</v>
      </c>
    </row>
    <row r="169">
      <c r="A169" s="74" t="str">
        <f t="shared" si="1"/>
        <v/>
      </c>
      <c r="B169" s="49"/>
      <c r="C169" s="148"/>
      <c r="D169" s="166"/>
      <c r="E169" s="168"/>
      <c r="F169" s="88">
        <f t="shared" si="2"/>
        <v>0</v>
      </c>
      <c r="H169" s="91"/>
      <c r="I169" s="171"/>
      <c r="J169" s="93">
        <f t="shared" si="3"/>
        <v>0</v>
      </c>
      <c r="K169" s="94">
        <f t="shared" si="4"/>
        <v>0</v>
      </c>
      <c r="L169" s="95">
        <f t="shared" si="5"/>
        <v>0</v>
      </c>
    </row>
    <row r="170">
      <c r="A170" s="74" t="str">
        <f t="shared" si="1"/>
        <v/>
      </c>
      <c r="B170" s="49"/>
      <c r="C170" s="148"/>
      <c r="D170" s="166"/>
      <c r="E170" s="168"/>
      <c r="F170" s="88">
        <f t="shared" si="2"/>
        <v>0</v>
      </c>
      <c r="H170" s="91"/>
      <c r="I170" s="171"/>
      <c r="J170" s="93">
        <f t="shared" si="3"/>
        <v>0</v>
      </c>
      <c r="K170" s="94">
        <f t="shared" si="4"/>
        <v>0</v>
      </c>
      <c r="L170" s="95">
        <f t="shared" si="5"/>
        <v>0</v>
      </c>
    </row>
    <row r="171">
      <c r="A171" s="74" t="str">
        <f t="shared" si="1"/>
        <v/>
      </c>
      <c r="B171" s="49"/>
      <c r="C171" s="148"/>
      <c r="D171" s="166"/>
      <c r="E171" s="168"/>
      <c r="F171" s="88">
        <f t="shared" si="2"/>
        <v>0</v>
      </c>
      <c r="H171" s="91"/>
      <c r="I171" s="171"/>
      <c r="J171" s="93">
        <f t="shared" si="3"/>
        <v>0</v>
      </c>
      <c r="K171" s="94">
        <f t="shared" si="4"/>
        <v>0</v>
      </c>
      <c r="L171" s="95">
        <f t="shared" si="5"/>
        <v>0</v>
      </c>
    </row>
    <row r="172">
      <c r="A172" s="74" t="str">
        <f t="shared" si="1"/>
        <v/>
      </c>
      <c r="B172" s="49"/>
      <c r="C172" s="148"/>
      <c r="D172" s="166"/>
      <c r="E172" s="168"/>
      <c r="F172" s="88">
        <f t="shared" si="2"/>
        <v>0</v>
      </c>
      <c r="H172" s="91"/>
      <c r="I172" s="171"/>
      <c r="J172" s="93">
        <f t="shared" si="3"/>
        <v>0</v>
      </c>
      <c r="K172" s="94">
        <f t="shared" si="4"/>
        <v>0</v>
      </c>
      <c r="L172" s="95">
        <f t="shared" si="5"/>
        <v>0</v>
      </c>
    </row>
    <row r="173">
      <c r="A173" s="74" t="str">
        <f t="shared" si="1"/>
        <v/>
      </c>
      <c r="B173" s="49"/>
      <c r="C173" s="148"/>
      <c r="D173" s="166"/>
      <c r="E173" s="168"/>
      <c r="F173" s="88">
        <f t="shared" si="2"/>
        <v>0</v>
      </c>
      <c r="H173" s="91"/>
      <c r="I173" s="171"/>
      <c r="J173" s="93">
        <f t="shared" si="3"/>
        <v>0</v>
      </c>
      <c r="K173" s="94">
        <f t="shared" si="4"/>
        <v>0</v>
      </c>
      <c r="L173" s="95">
        <f t="shared" si="5"/>
        <v>0</v>
      </c>
    </row>
    <row r="174">
      <c r="A174" s="74" t="str">
        <f t="shared" si="1"/>
        <v/>
      </c>
      <c r="B174" s="49"/>
      <c r="C174" s="148"/>
      <c r="D174" s="166"/>
      <c r="E174" s="168"/>
      <c r="F174" s="88">
        <f t="shared" si="2"/>
        <v>0</v>
      </c>
      <c r="H174" s="91"/>
      <c r="I174" s="171"/>
      <c r="J174" s="93">
        <f t="shared" si="3"/>
        <v>0</v>
      </c>
      <c r="K174" s="94">
        <f t="shared" si="4"/>
        <v>0</v>
      </c>
      <c r="L174" s="95">
        <f t="shared" si="5"/>
        <v>0</v>
      </c>
    </row>
    <row r="175">
      <c r="A175" s="74" t="str">
        <f t="shared" si="1"/>
        <v/>
      </c>
      <c r="B175" s="49"/>
      <c r="C175" s="148"/>
      <c r="D175" s="166"/>
      <c r="E175" s="168"/>
      <c r="F175" s="88">
        <f t="shared" si="2"/>
        <v>0</v>
      </c>
      <c r="H175" s="91"/>
      <c r="I175" s="171"/>
      <c r="J175" s="93">
        <f t="shared" si="3"/>
        <v>0</v>
      </c>
      <c r="K175" s="94">
        <f t="shared" si="4"/>
        <v>0</v>
      </c>
      <c r="L175" s="95">
        <f t="shared" si="5"/>
        <v>0</v>
      </c>
    </row>
    <row r="176">
      <c r="A176" s="74" t="str">
        <f t="shared" si="1"/>
        <v/>
      </c>
      <c r="B176" s="49"/>
      <c r="C176" s="148"/>
      <c r="D176" s="166"/>
      <c r="E176" s="168"/>
      <c r="F176" s="88">
        <f t="shared" si="2"/>
        <v>0</v>
      </c>
      <c r="H176" s="91"/>
      <c r="I176" s="171"/>
      <c r="J176" s="93">
        <f t="shared" si="3"/>
        <v>0</v>
      </c>
      <c r="K176" s="94">
        <f t="shared" si="4"/>
        <v>0</v>
      </c>
      <c r="L176" s="95">
        <f t="shared" si="5"/>
        <v>0</v>
      </c>
    </row>
    <row r="177">
      <c r="A177" s="74" t="str">
        <f t="shared" si="1"/>
        <v/>
      </c>
      <c r="B177" s="49"/>
      <c r="C177" s="148"/>
      <c r="D177" s="166"/>
      <c r="E177" s="168"/>
      <c r="F177" s="88">
        <f t="shared" si="2"/>
        <v>0</v>
      </c>
      <c r="H177" s="91"/>
      <c r="I177" s="171"/>
      <c r="J177" s="93">
        <f t="shared" si="3"/>
        <v>0</v>
      </c>
      <c r="K177" s="94">
        <f t="shared" si="4"/>
        <v>0</v>
      </c>
      <c r="L177" s="95">
        <f t="shared" si="5"/>
        <v>0</v>
      </c>
    </row>
    <row r="178">
      <c r="A178" s="74" t="str">
        <f t="shared" si="1"/>
        <v/>
      </c>
      <c r="B178" s="49"/>
      <c r="C178" s="148"/>
      <c r="D178" s="166"/>
      <c r="E178" s="168"/>
      <c r="F178" s="88">
        <f t="shared" si="2"/>
        <v>0</v>
      </c>
      <c r="H178" s="91"/>
      <c r="I178" s="171"/>
      <c r="J178" s="93">
        <f t="shared" si="3"/>
        <v>0</v>
      </c>
      <c r="K178" s="94">
        <f t="shared" si="4"/>
        <v>0</v>
      </c>
      <c r="L178" s="95">
        <f t="shared" si="5"/>
        <v>0</v>
      </c>
    </row>
    <row r="179">
      <c r="A179" s="74" t="str">
        <f t="shared" si="1"/>
        <v/>
      </c>
      <c r="B179" s="49"/>
      <c r="C179" s="148"/>
      <c r="D179" s="166"/>
      <c r="E179" s="168"/>
      <c r="F179" s="88">
        <f t="shared" si="2"/>
        <v>0</v>
      </c>
      <c r="H179" s="91"/>
      <c r="I179" s="171"/>
      <c r="J179" s="93">
        <f t="shared" si="3"/>
        <v>0</v>
      </c>
      <c r="K179" s="94">
        <f t="shared" si="4"/>
        <v>0</v>
      </c>
      <c r="L179" s="95">
        <f t="shared" si="5"/>
        <v>0</v>
      </c>
    </row>
    <row r="180">
      <c r="A180" s="74" t="str">
        <f t="shared" si="1"/>
        <v/>
      </c>
      <c r="B180" s="49"/>
      <c r="C180" s="148"/>
      <c r="D180" s="166"/>
      <c r="E180" s="168"/>
      <c r="F180" s="88">
        <f t="shared" si="2"/>
        <v>0</v>
      </c>
      <c r="H180" s="91"/>
      <c r="I180" s="171"/>
      <c r="J180" s="93">
        <f t="shared" si="3"/>
        <v>0</v>
      </c>
      <c r="K180" s="94">
        <f t="shared" si="4"/>
        <v>0</v>
      </c>
      <c r="L180" s="95">
        <f t="shared" si="5"/>
        <v>0</v>
      </c>
    </row>
    <row r="181">
      <c r="A181" s="74" t="str">
        <f t="shared" si="1"/>
        <v/>
      </c>
      <c r="B181" s="49"/>
      <c r="C181" s="148"/>
      <c r="D181" s="166"/>
      <c r="E181" s="168"/>
      <c r="F181" s="88">
        <f t="shared" si="2"/>
        <v>0</v>
      </c>
      <c r="H181" s="91"/>
      <c r="I181" s="171"/>
      <c r="J181" s="93">
        <f t="shared" si="3"/>
        <v>0</v>
      </c>
      <c r="K181" s="94">
        <f t="shared" si="4"/>
        <v>0</v>
      </c>
      <c r="L181" s="95">
        <f t="shared" si="5"/>
        <v>0</v>
      </c>
    </row>
    <row r="182">
      <c r="A182" s="74" t="str">
        <f t="shared" si="1"/>
        <v/>
      </c>
      <c r="B182" s="49"/>
      <c r="C182" s="148"/>
      <c r="D182" s="166"/>
      <c r="E182" s="168"/>
      <c r="F182" s="88">
        <f t="shared" si="2"/>
        <v>0</v>
      </c>
      <c r="H182" s="91"/>
      <c r="I182" s="171"/>
      <c r="J182" s="93">
        <f t="shared" si="3"/>
        <v>0</v>
      </c>
      <c r="K182" s="94">
        <f t="shared" si="4"/>
        <v>0</v>
      </c>
      <c r="L182" s="95">
        <f t="shared" si="5"/>
        <v>0</v>
      </c>
    </row>
    <row r="183">
      <c r="A183" s="74" t="str">
        <f t="shared" si="1"/>
        <v/>
      </c>
      <c r="B183" s="49"/>
      <c r="C183" s="148"/>
      <c r="D183" s="166"/>
      <c r="E183" s="168"/>
      <c r="F183" s="88">
        <f t="shared" si="2"/>
        <v>0</v>
      </c>
      <c r="H183" s="91"/>
      <c r="I183" s="171"/>
      <c r="J183" s="93">
        <f t="shared" si="3"/>
        <v>0</v>
      </c>
      <c r="K183" s="94">
        <f t="shared" si="4"/>
        <v>0</v>
      </c>
      <c r="L183" s="95">
        <f t="shared" si="5"/>
        <v>0</v>
      </c>
    </row>
    <row r="184">
      <c r="A184" s="74" t="str">
        <f t="shared" si="1"/>
        <v/>
      </c>
      <c r="B184" s="49"/>
      <c r="C184" s="148"/>
      <c r="D184" s="166"/>
      <c r="E184" s="168"/>
      <c r="F184" s="88">
        <f t="shared" si="2"/>
        <v>0</v>
      </c>
      <c r="H184" s="91"/>
      <c r="I184" s="171"/>
      <c r="J184" s="93">
        <f t="shared" si="3"/>
        <v>0</v>
      </c>
      <c r="K184" s="94">
        <f t="shared" si="4"/>
        <v>0</v>
      </c>
      <c r="L184" s="95">
        <f t="shared" si="5"/>
        <v>0</v>
      </c>
    </row>
    <row r="185">
      <c r="A185" s="74" t="str">
        <f t="shared" si="1"/>
        <v/>
      </c>
      <c r="B185" s="49"/>
      <c r="C185" s="148"/>
      <c r="D185" s="166"/>
      <c r="E185" s="168"/>
      <c r="F185" s="88">
        <f t="shared" si="2"/>
        <v>0</v>
      </c>
      <c r="H185" s="91"/>
      <c r="I185" s="171"/>
      <c r="J185" s="93">
        <f t="shared" si="3"/>
        <v>0</v>
      </c>
      <c r="K185" s="94">
        <f t="shared" si="4"/>
        <v>0</v>
      </c>
      <c r="L185" s="95">
        <f t="shared" si="5"/>
        <v>0</v>
      </c>
    </row>
    <row r="186">
      <c r="A186" s="74" t="str">
        <f t="shared" si="1"/>
        <v/>
      </c>
      <c r="B186" s="49"/>
      <c r="C186" s="148"/>
      <c r="D186" s="166"/>
      <c r="E186" s="168"/>
      <c r="F186" s="88">
        <f t="shared" si="2"/>
        <v>0</v>
      </c>
      <c r="H186" s="91"/>
      <c r="I186" s="171"/>
      <c r="J186" s="93">
        <f t="shared" si="3"/>
        <v>0</v>
      </c>
      <c r="K186" s="94">
        <f t="shared" si="4"/>
        <v>0</v>
      </c>
      <c r="L186" s="95">
        <f t="shared" si="5"/>
        <v>0</v>
      </c>
    </row>
    <row r="187">
      <c r="A187" s="74" t="str">
        <f t="shared" si="1"/>
        <v/>
      </c>
      <c r="B187" s="49"/>
      <c r="C187" s="148"/>
      <c r="D187" s="166"/>
      <c r="E187" s="168"/>
      <c r="F187" s="88">
        <f t="shared" si="2"/>
        <v>0</v>
      </c>
      <c r="H187" s="91"/>
      <c r="I187" s="171"/>
      <c r="J187" s="93">
        <f t="shared" si="3"/>
        <v>0</v>
      </c>
      <c r="K187" s="94">
        <f t="shared" si="4"/>
        <v>0</v>
      </c>
      <c r="L187" s="95">
        <f t="shared" si="5"/>
        <v>0</v>
      </c>
    </row>
    <row r="188">
      <c r="A188" s="74" t="str">
        <f t="shared" si="1"/>
        <v/>
      </c>
      <c r="B188" s="49"/>
      <c r="C188" s="148"/>
      <c r="D188" s="166"/>
      <c r="E188" s="168"/>
      <c r="F188" s="88">
        <f t="shared" si="2"/>
        <v>0</v>
      </c>
      <c r="H188" s="91"/>
      <c r="I188" s="171"/>
      <c r="J188" s="93">
        <f t="shared" si="3"/>
        <v>0</v>
      </c>
      <c r="K188" s="94">
        <f t="shared" si="4"/>
        <v>0</v>
      </c>
      <c r="L188" s="95">
        <f t="shared" si="5"/>
        <v>0</v>
      </c>
    </row>
    <row r="189">
      <c r="A189" s="74" t="str">
        <f t="shared" si="1"/>
        <v/>
      </c>
      <c r="B189" s="49"/>
      <c r="C189" s="148"/>
      <c r="D189" s="166"/>
      <c r="E189" s="168"/>
      <c r="F189" s="88">
        <f t="shared" si="2"/>
        <v>0</v>
      </c>
      <c r="H189" s="91"/>
      <c r="I189" s="171"/>
      <c r="J189" s="93">
        <f t="shared" si="3"/>
        <v>0</v>
      </c>
      <c r="K189" s="94">
        <f t="shared" si="4"/>
        <v>0</v>
      </c>
      <c r="L189" s="95">
        <f t="shared" si="5"/>
        <v>0</v>
      </c>
    </row>
    <row r="190">
      <c r="A190" s="74" t="str">
        <f t="shared" si="1"/>
        <v/>
      </c>
      <c r="B190" s="49"/>
      <c r="C190" s="148"/>
      <c r="D190" s="166"/>
      <c r="E190" s="168"/>
      <c r="F190" s="88">
        <f t="shared" si="2"/>
        <v>0</v>
      </c>
      <c r="H190" s="91"/>
      <c r="I190" s="171"/>
      <c r="J190" s="93">
        <f t="shared" si="3"/>
        <v>0</v>
      </c>
      <c r="K190" s="94">
        <f t="shared" si="4"/>
        <v>0</v>
      </c>
      <c r="L190" s="95">
        <f t="shared" si="5"/>
        <v>0</v>
      </c>
    </row>
    <row r="191">
      <c r="A191" s="74" t="str">
        <f t="shared" si="1"/>
        <v/>
      </c>
      <c r="B191" s="49"/>
      <c r="C191" s="148"/>
      <c r="D191" s="166"/>
      <c r="E191" s="168"/>
      <c r="F191" s="88">
        <f t="shared" si="2"/>
        <v>0</v>
      </c>
      <c r="H191" s="91"/>
      <c r="I191" s="171"/>
      <c r="J191" s="93">
        <f t="shared" si="3"/>
        <v>0</v>
      </c>
      <c r="K191" s="94">
        <f t="shared" si="4"/>
        <v>0</v>
      </c>
      <c r="L191" s="95">
        <f t="shared" si="5"/>
        <v>0</v>
      </c>
    </row>
    <row r="192">
      <c r="A192" s="74" t="str">
        <f t="shared" si="1"/>
        <v/>
      </c>
      <c r="B192" s="49"/>
      <c r="C192" s="148"/>
      <c r="D192" s="166"/>
      <c r="E192" s="168"/>
      <c r="F192" s="88">
        <f t="shared" si="2"/>
        <v>0</v>
      </c>
      <c r="H192" s="91"/>
      <c r="I192" s="171"/>
      <c r="J192" s="93">
        <f t="shared" si="3"/>
        <v>0</v>
      </c>
      <c r="K192" s="94">
        <f t="shared" si="4"/>
        <v>0</v>
      </c>
      <c r="L192" s="95">
        <f t="shared" si="5"/>
        <v>0</v>
      </c>
    </row>
    <row r="193">
      <c r="A193" s="74" t="str">
        <f t="shared" si="1"/>
        <v/>
      </c>
      <c r="B193" s="49"/>
      <c r="C193" s="148"/>
      <c r="D193" s="166"/>
      <c r="E193" s="168"/>
      <c r="F193" s="88">
        <f t="shared" si="2"/>
        <v>0</v>
      </c>
      <c r="H193" s="91"/>
      <c r="I193" s="171"/>
      <c r="J193" s="93">
        <f t="shared" si="3"/>
        <v>0</v>
      </c>
      <c r="K193" s="94">
        <f t="shared" si="4"/>
        <v>0</v>
      </c>
      <c r="L193" s="95">
        <f t="shared" si="5"/>
        <v>0</v>
      </c>
    </row>
    <row r="194">
      <c r="A194" s="74" t="str">
        <f t="shared" si="1"/>
        <v/>
      </c>
      <c r="B194" s="49"/>
      <c r="C194" s="148"/>
      <c r="D194" s="166"/>
      <c r="E194" s="168"/>
      <c r="F194" s="88">
        <f t="shared" si="2"/>
        <v>0</v>
      </c>
      <c r="H194" s="91"/>
      <c r="I194" s="171"/>
      <c r="J194" s="93">
        <f t="shared" si="3"/>
        <v>0</v>
      </c>
      <c r="K194" s="94">
        <f t="shared" si="4"/>
        <v>0</v>
      </c>
      <c r="L194" s="95">
        <f t="shared" si="5"/>
        <v>0</v>
      </c>
    </row>
    <row r="195">
      <c r="A195" s="74" t="str">
        <f t="shared" si="1"/>
        <v/>
      </c>
      <c r="B195" s="49"/>
      <c r="C195" s="148"/>
      <c r="D195" s="166"/>
      <c r="E195" s="168"/>
      <c r="F195" s="88">
        <f t="shared" si="2"/>
        <v>0</v>
      </c>
      <c r="H195" s="91"/>
      <c r="I195" s="171"/>
      <c r="J195" s="93">
        <f t="shared" si="3"/>
        <v>0</v>
      </c>
      <c r="K195" s="94">
        <f t="shared" si="4"/>
        <v>0</v>
      </c>
      <c r="L195" s="95">
        <f t="shared" si="5"/>
        <v>0</v>
      </c>
    </row>
    <row r="196">
      <c r="A196" s="74" t="str">
        <f t="shared" si="1"/>
        <v/>
      </c>
      <c r="B196" s="49"/>
      <c r="C196" s="148"/>
      <c r="D196" s="166"/>
      <c r="E196" s="168"/>
      <c r="F196" s="88">
        <f t="shared" si="2"/>
        <v>0</v>
      </c>
      <c r="H196" s="91"/>
      <c r="I196" s="171"/>
      <c r="J196" s="93">
        <f t="shared" si="3"/>
        <v>0</v>
      </c>
      <c r="K196" s="94">
        <f t="shared" si="4"/>
        <v>0</v>
      </c>
      <c r="L196" s="95">
        <f t="shared" si="5"/>
        <v>0</v>
      </c>
    </row>
    <row r="197">
      <c r="A197" s="74" t="str">
        <f t="shared" si="1"/>
        <v/>
      </c>
      <c r="B197" s="49"/>
      <c r="C197" s="148"/>
      <c r="D197" s="166"/>
      <c r="E197" s="168"/>
      <c r="F197" s="88">
        <f t="shared" si="2"/>
        <v>0</v>
      </c>
      <c r="H197" s="91"/>
      <c r="I197" s="171"/>
      <c r="J197" s="93">
        <f t="shared" si="3"/>
        <v>0</v>
      </c>
      <c r="K197" s="94">
        <f t="shared" si="4"/>
        <v>0</v>
      </c>
      <c r="L197" s="95">
        <f t="shared" si="5"/>
        <v>0</v>
      </c>
    </row>
    <row r="198">
      <c r="A198" s="74" t="str">
        <f t="shared" si="1"/>
        <v/>
      </c>
      <c r="B198" s="49"/>
      <c r="C198" s="148"/>
      <c r="D198" s="166"/>
      <c r="E198" s="168"/>
      <c r="F198" s="88">
        <f t="shared" si="2"/>
        <v>0</v>
      </c>
      <c r="H198" s="91"/>
      <c r="I198" s="171"/>
      <c r="J198" s="93">
        <f t="shared" si="3"/>
        <v>0</v>
      </c>
      <c r="K198" s="94">
        <f t="shared" si="4"/>
        <v>0</v>
      </c>
      <c r="L198" s="95">
        <f t="shared" si="5"/>
        <v>0</v>
      </c>
    </row>
    <row r="199">
      <c r="A199" s="74" t="str">
        <f t="shared" si="1"/>
        <v/>
      </c>
      <c r="B199" s="49"/>
      <c r="C199" s="148"/>
      <c r="D199" s="166"/>
      <c r="E199" s="168"/>
      <c r="F199" s="88">
        <f t="shared" si="2"/>
        <v>0</v>
      </c>
      <c r="H199" s="91"/>
      <c r="I199" s="171"/>
      <c r="J199" s="93">
        <f t="shared" si="3"/>
        <v>0</v>
      </c>
      <c r="K199" s="94">
        <f t="shared" si="4"/>
        <v>0</v>
      </c>
      <c r="L199" s="95">
        <f t="shared" si="5"/>
        <v>0</v>
      </c>
    </row>
    <row r="200">
      <c r="A200" s="74" t="str">
        <f t="shared" si="1"/>
        <v/>
      </c>
      <c r="B200" s="49"/>
      <c r="C200" s="148"/>
      <c r="D200" s="166"/>
      <c r="E200" s="168"/>
      <c r="F200" s="88">
        <f t="shared" si="2"/>
        <v>0</v>
      </c>
      <c r="H200" s="91"/>
      <c r="I200" s="171"/>
      <c r="J200" s="93">
        <f t="shared" si="3"/>
        <v>0</v>
      </c>
      <c r="K200" s="94">
        <f t="shared" si="4"/>
        <v>0</v>
      </c>
      <c r="L200" s="95">
        <f t="shared" si="5"/>
        <v>0</v>
      </c>
    </row>
    <row r="201">
      <c r="A201" s="74" t="str">
        <f t="shared" si="1"/>
        <v/>
      </c>
      <c r="B201" s="49"/>
      <c r="C201" s="148"/>
      <c r="D201" s="166"/>
      <c r="E201" s="168"/>
      <c r="F201" s="88">
        <f t="shared" si="2"/>
        <v>0</v>
      </c>
    </row>
    <row r="202">
      <c r="A202" s="74" t="str">
        <f t="shared" si="1"/>
        <v/>
      </c>
      <c r="B202" s="49"/>
      <c r="C202" s="148"/>
      <c r="D202" s="166"/>
      <c r="E202" s="168"/>
      <c r="F202" s="88">
        <f t="shared" si="2"/>
        <v>0</v>
      </c>
    </row>
    <row r="203">
      <c r="A203" s="74" t="str">
        <f t="shared" si="1"/>
        <v/>
      </c>
      <c r="B203" s="49"/>
      <c r="C203" s="148"/>
      <c r="D203" s="166"/>
      <c r="E203" s="168"/>
      <c r="F203" s="88">
        <f t="shared" si="2"/>
        <v>0</v>
      </c>
    </row>
    <row r="204">
      <c r="A204" s="74" t="str">
        <f t="shared" si="1"/>
        <v/>
      </c>
      <c r="B204" s="49"/>
      <c r="C204" s="148"/>
      <c r="D204" s="166"/>
      <c r="E204" s="168"/>
      <c r="F204" s="88">
        <f t="shared" si="2"/>
        <v>0</v>
      </c>
    </row>
    <row r="205">
      <c r="A205" s="74" t="str">
        <f t="shared" si="1"/>
        <v/>
      </c>
      <c r="B205" s="49"/>
      <c r="C205" s="148"/>
      <c r="D205" s="166"/>
      <c r="E205" s="168"/>
      <c r="F205" s="88">
        <f t="shared" si="2"/>
        <v>0</v>
      </c>
    </row>
    <row r="206">
      <c r="A206" s="74" t="str">
        <f t="shared" si="1"/>
        <v/>
      </c>
      <c r="B206" s="49"/>
      <c r="C206" s="148"/>
      <c r="D206" s="166"/>
      <c r="E206" s="168"/>
      <c r="F206" s="88">
        <f t="shared" si="2"/>
        <v>0</v>
      </c>
    </row>
    <row r="207">
      <c r="A207" s="74" t="str">
        <f t="shared" si="1"/>
        <v/>
      </c>
      <c r="B207" s="49"/>
      <c r="C207" s="148"/>
      <c r="D207" s="166"/>
      <c r="E207" s="168"/>
      <c r="F207" s="88">
        <f t="shared" si="2"/>
        <v>0</v>
      </c>
    </row>
    <row r="208">
      <c r="A208" s="74" t="str">
        <f t="shared" si="1"/>
        <v/>
      </c>
      <c r="B208" s="49"/>
      <c r="C208" s="148"/>
      <c r="D208" s="166"/>
      <c r="E208" s="168"/>
      <c r="F208" s="88">
        <f t="shared" si="2"/>
        <v>0</v>
      </c>
    </row>
    <row r="209">
      <c r="A209" s="74" t="str">
        <f t="shared" si="1"/>
        <v/>
      </c>
      <c r="B209" s="49"/>
      <c r="C209" s="148"/>
      <c r="D209" s="166"/>
      <c r="E209" s="168"/>
      <c r="F209" s="88">
        <f t="shared" si="2"/>
        <v>0</v>
      </c>
    </row>
    <row r="210">
      <c r="A210" s="74" t="str">
        <f t="shared" si="1"/>
        <v/>
      </c>
      <c r="B210" s="49"/>
      <c r="C210" s="148"/>
      <c r="D210" s="166"/>
      <c r="E210" s="168"/>
      <c r="F210" s="88">
        <f t="shared" si="2"/>
        <v>0</v>
      </c>
    </row>
    <row r="211">
      <c r="A211" s="74" t="str">
        <f t="shared" si="1"/>
        <v/>
      </c>
      <c r="B211" s="49"/>
      <c r="C211" s="148"/>
      <c r="D211" s="166"/>
      <c r="E211" s="168"/>
      <c r="F211" s="88">
        <f t="shared" si="2"/>
        <v>0</v>
      </c>
    </row>
    <row r="212">
      <c r="A212" s="74" t="str">
        <f t="shared" si="1"/>
        <v/>
      </c>
      <c r="B212" s="49"/>
      <c r="C212" s="148"/>
      <c r="D212" s="166"/>
      <c r="E212" s="168"/>
      <c r="F212" s="88">
        <f t="shared" si="2"/>
        <v>0</v>
      </c>
    </row>
    <row r="213">
      <c r="A213" s="74" t="str">
        <f t="shared" si="1"/>
        <v/>
      </c>
      <c r="B213" s="49"/>
      <c r="C213" s="148"/>
      <c r="D213" s="166"/>
      <c r="E213" s="168"/>
      <c r="F213" s="88">
        <f t="shared" si="2"/>
        <v>0</v>
      </c>
    </row>
    <row r="214">
      <c r="A214" s="74" t="str">
        <f t="shared" si="1"/>
        <v/>
      </c>
      <c r="B214" s="49"/>
      <c r="C214" s="148"/>
      <c r="D214" s="166"/>
      <c r="E214" s="168"/>
      <c r="F214" s="88">
        <f t="shared" si="2"/>
        <v>0</v>
      </c>
    </row>
    <row r="215">
      <c r="A215" s="74" t="str">
        <f t="shared" si="1"/>
        <v/>
      </c>
      <c r="B215" s="49"/>
      <c r="C215" s="148"/>
      <c r="D215" s="166"/>
      <c r="E215" s="168"/>
      <c r="F215" s="88">
        <f t="shared" si="2"/>
        <v>0</v>
      </c>
    </row>
    <row r="216">
      <c r="A216" s="74" t="str">
        <f t="shared" si="1"/>
        <v/>
      </c>
      <c r="B216" s="49"/>
      <c r="C216" s="148"/>
      <c r="D216" s="166"/>
      <c r="E216" s="168"/>
      <c r="F216" s="88">
        <f t="shared" si="2"/>
        <v>0</v>
      </c>
    </row>
    <row r="217">
      <c r="A217" s="74" t="str">
        <f t="shared" si="1"/>
        <v/>
      </c>
      <c r="B217" s="49"/>
      <c r="C217" s="148"/>
      <c r="D217" s="166"/>
      <c r="E217" s="168"/>
      <c r="F217" s="88">
        <f t="shared" si="2"/>
        <v>0</v>
      </c>
    </row>
    <row r="218">
      <c r="A218" s="74" t="str">
        <f t="shared" si="1"/>
        <v/>
      </c>
      <c r="B218" s="49"/>
      <c r="C218" s="148"/>
      <c r="D218" s="166"/>
      <c r="E218" s="168"/>
      <c r="F218" s="88">
        <f t="shared" si="2"/>
        <v>0</v>
      </c>
    </row>
    <row r="219">
      <c r="A219" s="74" t="str">
        <f t="shared" si="1"/>
        <v/>
      </c>
      <c r="B219" s="49"/>
      <c r="C219" s="148"/>
      <c r="D219" s="166"/>
      <c r="E219" s="168"/>
      <c r="F219" s="88">
        <f t="shared" si="2"/>
        <v>0</v>
      </c>
    </row>
    <row r="220">
      <c r="A220" s="74" t="str">
        <f t="shared" si="1"/>
        <v/>
      </c>
      <c r="B220" s="49"/>
      <c r="C220" s="148"/>
      <c r="D220" s="166"/>
      <c r="E220" s="168"/>
      <c r="F220" s="88">
        <f t="shared" si="2"/>
        <v>0</v>
      </c>
    </row>
    <row r="221">
      <c r="A221" s="74" t="str">
        <f t="shared" si="1"/>
        <v/>
      </c>
      <c r="B221" s="49"/>
      <c r="C221" s="148"/>
      <c r="D221" s="166"/>
      <c r="E221" s="168"/>
      <c r="F221" s="88">
        <f t="shared" si="2"/>
        <v>0</v>
      </c>
    </row>
    <row r="222">
      <c r="A222" s="74" t="str">
        <f t="shared" si="1"/>
        <v/>
      </c>
      <c r="B222" s="49"/>
      <c r="C222" s="148"/>
      <c r="D222" s="166"/>
      <c r="E222" s="168"/>
      <c r="F222" s="88">
        <f t="shared" si="2"/>
        <v>0</v>
      </c>
    </row>
    <row r="223">
      <c r="A223" s="74" t="str">
        <f t="shared" si="1"/>
        <v/>
      </c>
      <c r="B223" s="49"/>
      <c r="C223" s="148"/>
      <c r="D223" s="166"/>
      <c r="E223" s="168"/>
      <c r="F223" s="88">
        <f t="shared" si="2"/>
        <v>0</v>
      </c>
    </row>
    <row r="224">
      <c r="A224" s="74" t="str">
        <f t="shared" si="1"/>
        <v/>
      </c>
      <c r="B224" s="49"/>
      <c r="C224" s="148"/>
      <c r="D224" s="166"/>
      <c r="E224" s="168"/>
      <c r="F224" s="88">
        <f t="shared" si="2"/>
        <v>0</v>
      </c>
    </row>
    <row r="225">
      <c r="A225" s="74" t="str">
        <f t="shared" si="1"/>
        <v/>
      </c>
      <c r="B225" s="49"/>
      <c r="C225" s="148"/>
      <c r="D225" s="166"/>
      <c r="E225" s="168"/>
      <c r="F225" s="88">
        <f t="shared" si="2"/>
        <v>0</v>
      </c>
    </row>
    <row r="226">
      <c r="A226" s="74" t="str">
        <f t="shared" si="1"/>
        <v/>
      </c>
      <c r="B226" s="49"/>
      <c r="C226" s="148"/>
      <c r="D226" s="166"/>
      <c r="E226" s="168"/>
      <c r="F226" s="88">
        <f t="shared" si="2"/>
        <v>0</v>
      </c>
    </row>
    <row r="227">
      <c r="A227" s="74" t="str">
        <f t="shared" si="1"/>
        <v/>
      </c>
      <c r="B227" s="49"/>
      <c r="C227" s="148"/>
      <c r="D227" s="166"/>
      <c r="E227" s="168"/>
      <c r="F227" s="88">
        <f t="shared" si="2"/>
        <v>0</v>
      </c>
    </row>
    <row r="228">
      <c r="A228" s="74" t="str">
        <f t="shared" si="1"/>
        <v/>
      </c>
      <c r="B228" s="49"/>
      <c r="C228" s="148"/>
      <c r="D228" s="166"/>
      <c r="E228" s="168"/>
      <c r="F228" s="88">
        <f t="shared" si="2"/>
        <v>0</v>
      </c>
    </row>
    <row r="229">
      <c r="A229" s="74" t="str">
        <f t="shared" si="1"/>
        <v/>
      </c>
      <c r="B229" s="49"/>
      <c r="C229" s="148"/>
      <c r="D229" s="166"/>
      <c r="E229" s="168"/>
      <c r="F229" s="88">
        <f t="shared" si="2"/>
        <v>0</v>
      </c>
    </row>
    <row r="230">
      <c r="A230" s="74" t="str">
        <f t="shared" si="1"/>
        <v/>
      </c>
      <c r="B230" s="49"/>
      <c r="C230" s="148"/>
      <c r="D230" s="166"/>
      <c r="E230" s="168"/>
      <c r="F230" s="88">
        <f t="shared" si="2"/>
        <v>0</v>
      </c>
    </row>
    <row r="231">
      <c r="A231" s="74" t="str">
        <f t="shared" si="1"/>
        <v/>
      </c>
      <c r="B231" s="49"/>
      <c r="C231" s="148"/>
      <c r="D231" s="166"/>
      <c r="E231" s="168"/>
      <c r="F231" s="88">
        <f t="shared" si="2"/>
        <v>0</v>
      </c>
    </row>
    <row r="232">
      <c r="A232" s="74" t="str">
        <f t="shared" si="1"/>
        <v/>
      </c>
      <c r="B232" s="49"/>
      <c r="C232" s="148"/>
      <c r="D232" s="166"/>
      <c r="E232" s="168"/>
      <c r="F232" s="88">
        <f t="shared" si="2"/>
        <v>0</v>
      </c>
    </row>
    <row r="233">
      <c r="A233" s="74" t="str">
        <f t="shared" si="1"/>
        <v/>
      </c>
      <c r="B233" s="49"/>
      <c r="C233" s="148"/>
      <c r="D233" s="166"/>
      <c r="E233" s="168"/>
      <c r="F233" s="88">
        <f t="shared" si="2"/>
        <v>0</v>
      </c>
    </row>
    <row r="234">
      <c r="A234" s="74" t="str">
        <f t="shared" si="1"/>
        <v/>
      </c>
      <c r="B234" s="49"/>
      <c r="C234" s="148"/>
      <c r="D234" s="166"/>
      <c r="E234" s="168"/>
      <c r="F234" s="88">
        <f t="shared" si="2"/>
        <v>0</v>
      </c>
    </row>
    <row r="235">
      <c r="A235" s="74" t="str">
        <f t="shared" si="1"/>
        <v/>
      </c>
      <c r="B235" s="49"/>
      <c r="C235" s="148"/>
      <c r="D235" s="166"/>
      <c r="E235" s="168"/>
      <c r="F235" s="88">
        <f t="shared" si="2"/>
        <v>0</v>
      </c>
    </row>
    <row r="236">
      <c r="A236" s="74" t="str">
        <f t="shared" si="1"/>
        <v/>
      </c>
      <c r="B236" s="49"/>
      <c r="C236" s="148"/>
      <c r="D236" s="166"/>
      <c r="E236" s="168"/>
      <c r="F236" s="88">
        <f t="shared" si="2"/>
        <v>0</v>
      </c>
    </row>
    <row r="237">
      <c r="A237" s="74" t="str">
        <f t="shared" si="1"/>
        <v/>
      </c>
      <c r="B237" s="49"/>
      <c r="C237" s="148"/>
      <c r="D237" s="166"/>
      <c r="E237" s="168"/>
      <c r="F237" s="88">
        <f t="shared" si="2"/>
        <v>0</v>
      </c>
    </row>
    <row r="238">
      <c r="A238" s="74" t="str">
        <f t="shared" si="1"/>
        <v/>
      </c>
      <c r="B238" s="49"/>
      <c r="C238" s="148"/>
      <c r="D238" s="166"/>
      <c r="E238" s="168"/>
      <c r="F238" s="88">
        <f t="shared" si="2"/>
        <v>0</v>
      </c>
    </row>
    <row r="239">
      <c r="A239" s="74" t="str">
        <f t="shared" si="1"/>
        <v/>
      </c>
      <c r="B239" s="49"/>
      <c r="C239" s="148"/>
      <c r="D239" s="166"/>
      <c r="E239" s="168"/>
      <c r="F239" s="88">
        <f t="shared" si="2"/>
        <v>0</v>
      </c>
    </row>
    <row r="240">
      <c r="A240" s="74" t="str">
        <f t="shared" si="1"/>
        <v/>
      </c>
      <c r="B240" s="49"/>
      <c r="C240" s="148"/>
      <c r="D240" s="166"/>
      <c r="E240" s="168"/>
      <c r="F240" s="88">
        <f t="shared" si="2"/>
        <v>0</v>
      </c>
    </row>
    <row r="241">
      <c r="A241" s="74" t="str">
        <f t="shared" si="1"/>
        <v/>
      </c>
      <c r="B241" s="49"/>
      <c r="C241" s="148"/>
      <c r="D241" s="166"/>
      <c r="E241" s="168"/>
      <c r="F241" s="88">
        <f t="shared" si="2"/>
        <v>0</v>
      </c>
    </row>
    <row r="242">
      <c r="A242" s="74" t="str">
        <f t="shared" si="1"/>
        <v/>
      </c>
      <c r="B242" s="49"/>
      <c r="C242" s="148"/>
      <c r="D242" s="166"/>
      <c r="E242" s="168"/>
      <c r="F242" s="88">
        <f t="shared" si="2"/>
        <v>0</v>
      </c>
    </row>
    <row r="243">
      <c r="A243" s="74" t="str">
        <f t="shared" si="1"/>
        <v/>
      </c>
      <c r="B243" s="49"/>
      <c r="C243" s="148"/>
      <c r="D243" s="166"/>
      <c r="E243" s="168"/>
      <c r="F243" s="88">
        <f t="shared" si="2"/>
        <v>0</v>
      </c>
    </row>
    <row r="244">
      <c r="A244" s="74" t="str">
        <f t="shared" si="1"/>
        <v/>
      </c>
      <c r="B244" s="49"/>
      <c r="C244" s="148"/>
      <c r="D244" s="166"/>
      <c r="E244" s="168"/>
      <c r="F244" s="88">
        <f t="shared" si="2"/>
        <v>0</v>
      </c>
    </row>
    <row r="245">
      <c r="A245" s="74" t="str">
        <f t="shared" si="1"/>
        <v/>
      </c>
      <c r="B245" s="49"/>
      <c r="C245" s="148"/>
      <c r="D245" s="166"/>
      <c r="E245" s="168"/>
      <c r="F245" s="88">
        <f t="shared" si="2"/>
        <v>0</v>
      </c>
    </row>
    <row r="246">
      <c r="A246" s="74" t="str">
        <f t="shared" si="1"/>
        <v/>
      </c>
      <c r="B246" s="49"/>
      <c r="C246" s="148"/>
      <c r="D246" s="166"/>
      <c r="E246" s="168"/>
      <c r="F246" s="88">
        <f t="shared" si="2"/>
        <v>0</v>
      </c>
    </row>
    <row r="247">
      <c r="A247" s="74" t="str">
        <f t="shared" si="1"/>
        <v/>
      </c>
      <c r="B247" s="49"/>
      <c r="C247" s="148"/>
      <c r="D247" s="166"/>
      <c r="E247" s="168"/>
      <c r="F247" s="88">
        <f t="shared" si="2"/>
        <v>0</v>
      </c>
    </row>
    <row r="248">
      <c r="A248" s="74" t="str">
        <f t="shared" si="1"/>
        <v/>
      </c>
      <c r="B248" s="49"/>
      <c r="C248" s="148"/>
      <c r="D248" s="166"/>
      <c r="E248" s="168"/>
      <c r="F248" s="88">
        <f t="shared" si="2"/>
        <v>0</v>
      </c>
    </row>
    <row r="249">
      <c r="A249" s="74" t="str">
        <f t="shared" si="1"/>
        <v/>
      </c>
      <c r="B249" s="49"/>
      <c r="C249" s="148"/>
      <c r="D249" s="166"/>
      <c r="E249" s="168"/>
      <c r="F249" s="88">
        <f t="shared" si="2"/>
        <v>0</v>
      </c>
    </row>
    <row r="250">
      <c r="A250" s="74" t="str">
        <f t="shared" si="1"/>
        <v/>
      </c>
      <c r="B250" s="49"/>
      <c r="C250" s="148"/>
      <c r="D250" s="166"/>
      <c r="E250" s="168"/>
      <c r="F250" s="88">
        <f t="shared" si="2"/>
        <v>0</v>
      </c>
    </row>
    <row r="251">
      <c r="A251" s="74" t="str">
        <f t="shared" si="1"/>
        <v/>
      </c>
      <c r="B251" s="49"/>
      <c r="C251" s="148"/>
      <c r="D251" s="166"/>
      <c r="E251" s="168"/>
      <c r="F251" s="88">
        <f t="shared" si="2"/>
        <v>0</v>
      </c>
    </row>
    <row r="252">
      <c r="A252" s="74" t="str">
        <f t="shared" si="1"/>
        <v/>
      </c>
      <c r="B252" s="49"/>
      <c r="C252" s="148"/>
      <c r="D252" s="166"/>
      <c r="E252" s="168"/>
      <c r="F252" s="88">
        <f t="shared" si="2"/>
        <v>0</v>
      </c>
    </row>
    <row r="253">
      <c r="A253" s="74" t="str">
        <f t="shared" si="1"/>
        <v/>
      </c>
      <c r="B253" s="49"/>
      <c r="C253" s="148"/>
      <c r="D253" s="166"/>
      <c r="E253" s="168"/>
      <c r="F253" s="88">
        <f t="shared" si="2"/>
        <v>0</v>
      </c>
    </row>
    <row r="254">
      <c r="A254" s="74" t="str">
        <f t="shared" si="1"/>
        <v/>
      </c>
      <c r="B254" s="49"/>
      <c r="C254" s="148"/>
      <c r="D254" s="166"/>
      <c r="E254" s="168"/>
      <c r="F254" s="88">
        <f t="shared" si="2"/>
        <v>0</v>
      </c>
    </row>
    <row r="255">
      <c r="A255" s="74" t="str">
        <f t="shared" si="1"/>
        <v/>
      </c>
      <c r="B255" s="49"/>
      <c r="C255" s="148"/>
      <c r="D255" s="166"/>
      <c r="E255" s="168"/>
      <c r="F255" s="88">
        <f t="shared" si="2"/>
        <v>0</v>
      </c>
    </row>
    <row r="256">
      <c r="A256" s="74" t="str">
        <f t="shared" si="1"/>
        <v/>
      </c>
      <c r="B256" s="49"/>
      <c r="C256" s="148"/>
      <c r="D256" s="166"/>
      <c r="E256" s="168"/>
      <c r="F256" s="88">
        <f t="shared" si="2"/>
        <v>0</v>
      </c>
    </row>
    <row r="257">
      <c r="A257" s="74" t="str">
        <f t="shared" si="1"/>
        <v/>
      </c>
      <c r="B257" s="49"/>
      <c r="C257" s="148"/>
      <c r="D257" s="166"/>
      <c r="E257" s="168"/>
      <c r="F257" s="88">
        <f t="shared" si="2"/>
        <v>0</v>
      </c>
    </row>
    <row r="258">
      <c r="A258" s="74" t="str">
        <f t="shared" si="1"/>
        <v/>
      </c>
      <c r="B258" s="49"/>
      <c r="C258" s="148"/>
      <c r="D258" s="166"/>
      <c r="E258" s="168"/>
      <c r="F258" s="88">
        <f t="shared" si="2"/>
        <v>0</v>
      </c>
    </row>
    <row r="259">
      <c r="A259" s="74" t="str">
        <f t="shared" si="1"/>
        <v/>
      </c>
      <c r="B259" s="49"/>
      <c r="C259" s="148"/>
      <c r="D259" s="166"/>
      <c r="E259" s="168"/>
      <c r="F259" s="88">
        <f t="shared" si="2"/>
        <v>0</v>
      </c>
    </row>
    <row r="260">
      <c r="A260" s="74" t="str">
        <f t="shared" si="1"/>
        <v/>
      </c>
      <c r="B260" s="49"/>
      <c r="C260" s="148"/>
      <c r="D260" s="166"/>
      <c r="E260" s="168"/>
      <c r="F260" s="88">
        <f t="shared" si="2"/>
        <v>0</v>
      </c>
    </row>
    <row r="261">
      <c r="A261" s="74" t="str">
        <f t="shared" si="1"/>
        <v/>
      </c>
      <c r="B261" s="49"/>
      <c r="C261" s="148"/>
      <c r="D261" s="166"/>
      <c r="E261" s="168"/>
      <c r="F261" s="88">
        <f t="shared" si="2"/>
        <v>0</v>
      </c>
    </row>
    <row r="262">
      <c r="A262" s="74" t="str">
        <f t="shared" si="1"/>
        <v/>
      </c>
      <c r="B262" s="49"/>
      <c r="C262" s="148"/>
      <c r="D262" s="166"/>
      <c r="E262" s="168"/>
      <c r="F262" s="88">
        <f t="shared" si="2"/>
        <v>0</v>
      </c>
    </row>
    <row r="263">
      <c r="A263" s="74" t="str">
        <f t="shared" si="1"/>
        <v/>
      </c>
      <c r="B263" s="49"/>
      <c r="C263" s="148"/>
      <c r="D263" s="166"/>
      <c r="E263" s="168"/>
      <c r="F263" s="88">
        <f t="shared" si="2"/>
        <v>0</v>
      </c>
    </row>
    <row r="264">
      <c r="A264" s="74" t="str">
        <f t="shared" si="1"/>
        <v/>
      </c>
      <c r="B264" s="49"/>
      <c r="C264" s="148"/>
      <c r="D264" s="166"/>
      <c r="E264" s="168"/>
      <c r="F264" s="88">
        <f t="shared" si="2"/>
        <v>0</v>
      </c>
    </row>
    <row r="265">
      <c r="A265" s="74" t="str">
        <f t="shared" si="1"/>
        <v/>
      </c>
      <c r="B265" s="49"/>
      <c r="C265" s="148"/>
      <c r="D265" s="166"/>
      <c r="E265" s="168"/>
      <c r="F265" s="88">
        <f t="shared" si="2"/>
        <v>0</v>
      </c>
    </row>
    <row r="266">
      <c r="A266" s="74" t="str">
        <f t="shared" si="1"/>
        <v/>
      </c>
      <c r="B266" s="49"/>
      <c r="C266" s="148"/>
      <c r="D266" s="166"/>
      <c r="E266" s="168"/>
      <c r="F266" s="88">
        <f t="shared" si="2"/>
        <v>0</v>
      </c>
    </row>
    <row r="267">
      <c r="A267" s="74" t="str">
        <f t="shared" si="1"/>
        <v/>
      </c>
      <c r="B267" s="49"/>
      <c r="C267" s="148"/>
      <c r="D267" s="166"/>
      <c r="E267" s="168"/>
      <c r="F267" s="88">
        <f t="shared" si="2"/>
        <v>0</v>
      </c>
    </row>
    <row r="268">
      <c r="A268" s="74" t="str">
        <f t="shared" si="1"/>
        <v/>
      </c>
      <c r="B268" s="49"/>
      <c r="C268" s="148"/>
      <c r="D268" s="166"/>
      <c r="E268" s="168"/>
      <c r="F268" s="88">
        <f t="shared" si="2"/>
        <v>0</v>
      </c>
    </row>
    <row r="269">
      <c r="A269" s="74" t="str">
        <f t="shared" si="1"/>
        <v/>
      </c>
      <c r="B269" s="49"/>
      <c r="C269" s="148"/>
      <c r="D269" s="166"/>
      <c r="E269" s="168"/>
      <c r="F269" s="88">
        <f t="shared" si="2"/>
        <v>0</v>
      </c>
    </row>
    <row r="270">
      <c r="A270" s="74" t="str">
        <f t="shared" si="1"/>
        <v/>
      </c>
      <c r="B270" s="49"/>
      <c r="C270" s="148"/>
      <c r="D270" s="166"/>
      <c r="E270" s="168"/>
      <c r="F270" s="88">
        <f t="shared" si="2"/>
        <v>0</v>
      </c>
    </row>
    <row r="271">
      <c r="A271" s="74" t="str">
        <f t="shared" si="1"/>
        <v/>
      </c>
      <c r="B271" s="49"/>
      <c r="C271" s="148"/>
      <c r="D271" s="166"/>
      <c r="E271" s="168"/>
      <c r="F271" s="88">
        <f t="shared" si="2"/>
        <v>0</v>
      </c>
    </row>
    <row r="272">
      <c r="A272" s="74" t="str">
        <f t="shared" si="1"/>
        <v/>
      </c>
      <c r="B272" s="49"/>
      <c r="C272" s="148"/>
      <c r="D272" s="166"/>
      <c r="E272" s="168"/>
      <c r="F272" s="88">
        <f t="shared" si="2"/>
        <v>0</v>
      </c>
    </row>
    <row r="273">
      <c r="A273" s="74" t="str">
        <f t="shared" si="1"/>
        <v/>
      </c>
      <c r="B273" s="49"/>
      <c r="C273" s="148"/>
      <c r="D273" s="166"/>
      <c r="E273" s="168"/>
      <c r="F273" s="88">
        <f t="shared" si="2"/>
        <v>0</v>
      </c>
    </row>
    <row r="274">
      <c r="A274" s="74" t="str">
        <f t="shared" si="1"/>
        <v/>
      </c>
      <c r="B274" s="49"/>
      <c r="C274" s="148"/>
      <c r="D274" s="166"/>
      <c r="E274" s="168"/>
      <c r="F274" s="88">
        <f t="shared" si="2"/>
        <v>0</v>
      </c>
    </row>
    <row r="275">
      <c r="A275" s="74" t="str">
        <f t="shared" si="1"/>
        <v/>
      </c>
      <c r="B275" s="49"/>
      <c r="C275" s="148"/>
      <c r="D275" s="166"/>
      <c r="E275" s="168"/>
      <c r="F275" s="88">
        <f t="shared" si="2"/>
        <v>0</v>
      </c>
    </row>
    <row r="276">
      <c r="A276" s="74" t="str">
        <f t="shared" si="1"/>
        <v/>
      </c>
      <c r="B276" s="49"/>
      <c r="C276" s="148"/>
      <c r="D276" s="166"/>
      <c r="E276" s="168"/>
      <c r="F276" s="88">
        <f t="shared" si="2"/>
        <v>0</v>
      </c>
    </row>
    <row r="277">
      <c r="A277" s="74" t="str">
        <f t="shared" si="1"/>
        <v/>
      </c>
      <c r="B277" s="49"/>
      <c r="C277" s="148"/>
      <c r="D277" s="166"/>
      <c r="E277" s="168"/>
      <c r="F277" s="88">
        <f t="shared" si="2"/>
        <v>0</v>
      </c>
    </row>
    <row r="278">
      <c r="A278" s="74" t="str">
        <f t="shared" si="1"/>
        <v/>
      </c>
      <c r="B278" s="49"/>
      <c r="C278" s="148"/>
      <c r="D278" s="166"/>
      <c r="E278" s="168"/>
      <c r="F278" s="88">
        <f t="shared" si="2"/>
        <v>0</v>
      </c>
    </row>
    <row r="279">
      <c r="A279" s="74" t="str">
        <f t="shared" si="1"/>
        <v/>
      </c>
      <c r="B279" s="49"/>
      <c r="C279" s="148"/>
      <c r="D279" s="166"/>
      <c r="E279" s="168"/>
      <c r="F279" s="88">
        <f t="shared" si="2"/>
        <v>0</v>
      </c>
    </row>
    <row r="280">
      <c r="A280" s="74" t="str">
        <f t="shared" si="1"/>
        <v/>
      </c>
      <c r="B280" s="49"/>
      <c r="C280" s="148"/>
      <c r="D280" s="166"/>
      <c r="E280" s="168"/>
      <c r="F280" s="88">
        <f t="shared" si="2"/>
        <v>0</v>
      </c>
    </row>
    <row r="281">
      <c r="A281" s="74" t="str">
        <f t="shared" si="1"/>
        <v/>
      </c>
      <c r="B281" s="49"/>
      <c r="C281" s="148"/>
      <c r="D281" s="166"/>
      <c r="E281" s="168"/>
      <c r="F281" s="88">
        <f t="shared" si="2"/>
        <v>0</v>
      </c>
    </row>
    <row r="282">
      <c r="A282" s="74" t="str">
        <f t="shared" si="1"/>
        <v/>
      </c>
      <c r="B282" s="49"/>
      <c r="C282" s="148"/>
      <c r="D282" s="166"/>
      <c r="E282" s="168"/>
      <c r="F282" s="88">
        <f t="shared" si="2"/>
        <v>0</v>
      </c>
    </row>
    <row r="283">
      <c r="A283" s="74" t="str">
        <f t="shared" si="1"/>
        <v/>
      </c>
      <c r="B283" s="49"/>
      <c r="C283" s="148"/>
      <c r="D283" s="166"/>
      <c r="E283" s="168"/>
      <c r="F283" s="88">
        <f t="shared" si="2"/>
        <v>0</v>
      </c>
    </row>
    <row r="284">
      <c r="A284" s="74" t="str">
        <f t="shared" si="1"/>
        <v/>
      </c>
      <c r="B284" s="49"/>
      <c r="C284" s="148"/>
      <c r="D284" s="166"/>
      <c r="E284" s="168"/>
      <c r="F284" s="88">
        <f t="shared" si="2"/>
        <v>0</v>
      </c>
    </row>
    <row r="285">
      <c r="A285" s="74" t="str">
        <f t="shared" si="1"/>
        <v/>
      </c>
      <c r="B285" s="49"/>
      <c r="C285" s="148"/>
      <c r="D285" s="166"/>
      <c r="E285" s="168"/>
      <c r="F285" s="88">
        <f t="shared" si="2"/>
        <v>0</v>
      </c>
    </row>
    <row r="286">
      <c r="A286" s="74" t="str">
        <f t="shared" si="1"/>
        <v/>
      </c>
      <c r="B286" s="49"/>
      <c r="C286" s="148"/>
      <c r="D286" s="166"/>
      <c r="E286" s="168"/>
      <c r="F286" s="88">
        <f t="shared" si="2"/>
        <v>0</v>
      </c>
    </row>
    <row r="287">
      <c r="A287" s="74" t="str">
        <f t="shared" si="1"/>
        <v/>
      </c>
      <c r="B287" s="49"/>
      <c r="C287" s="148"/>
      <c r="D287" s="166"/>
      <c r="E287" s="168"/>
      <c r="F287" s="88">
        <f t="shared" si="2"/>
        <v>0</v>
      </c>
    </row>
    <row r="288">
      <c r="A288" s="74" t="str">
        <f t="shared" si="1"/>
        <v/>
      </c>
      <c r="B288" s="49"/>
      <c r="C288" s="148"/>
      <c r="D288" s="166"/>
      <c r="E288" s="168"/>
      <c r="F288" s="88">
        <f t="shared" si="2"/>
        <v>0</v>
      </c>
    </row>
    <row r="289">
      <c r="A289" s="74" t="str">
        <f t="shared" si="1"/>
        <v/>
      </c>
      <c r="B289" s="49"/>
      <c r="C289" s="148"/>
      <c r="D289" s="166"/>
      <c r="E289" s="168"/>
      <c r="F289" s="88">
        <f t="shared" si="2"/>
        <v>0</v>
      </c>
    </row>
    <row r="290">
      <c r="A290" s="74" t="str">
        <f t="shared" si="1"/>
        <v/>
      </c>
      <c r="B290" s="49"/>
      <c r="C290" s="148"/>
      <c r="D290" s="166"/>
      <c r="E290" s="168"/>
      <c r="F290" s="88">
        <f t="shared" si="2"/>
        <v>0</v>
      </c>
    </row>
    <row r="291">
      <c r="A291" s="74" t="str">
        <f t="shared" si="1"/>
        <v/>
      </c>
      <c r="B291" s="49"/>
      <c r="C291" s="148"/>
      <c r="D291" s="166"/>
      <c r="E291" s="168"/>
      <c r="F291" s="88">
        <f t="shared" si="2"/>
        <v>0</v>
      </c>
    </row>
    <row r="292">
      <c r="A292" s="74" t="str">
        <f t="shared" si="1"/>
        <v/>
      </c>
      <c r="B292" s="49"/>
      <c r="C292" s="148"/>
      <c r="D292" s="166"/>
      <c r="E292" s="168"/>
      <c r="F292" s="88">
        <f t="shared" si="2"/>
        <v>0</v>
      </c>
    </row>
    <row r="293">
      <c r="A293" s="74" t="str">
        <f t="shared" si="1"/>
        <v/>
      </c>
      <c r="B293" s="49"/>
      <c r="C293" s="148"/>
      <c r="D293" s="166"/>
      <c r="E293" s="168"/>
      <c r="F293" s="88">
        <f t="shared" si="2"/>
        <v>0</v>
      </c>
    </row>
    <row r="294">
      <c r="A294" s="74" t="str">
        <f t="shared" si="1"/>
        <v/>
      </c>
      <c r="B294" s="49"/>
      <c r="C294" s="148"/>
      <c r="D294" s="166"/>
      <c r="E294" s="168"/>
      <c r="F294" s="88">
        <f t="shared" si="2"/>
        <v>0</v>
      </c>
    </row>
    <row r="295">
      <c r="A295" s="74" t="str">
        <f t="shared" si="1"/>
        <v/>
      </c>
      <c r="B295" s="49"/>
      <c r="C295" s="148"/>
      <c r="D295" s="166"/>
      <c r="E295" s="168"/>
      <c r="F295" s="88">
        <f t="shared" si="2"/>
        <v>0</v>
      </c>
    </row>
    <row r="296">
      <c r="A296" s="74" t="str">
        <f t="shared" si="1"/>
        <v/>
      </c>
      <c r="B296" s="49"/>
      <c r="C296" s="148"/>
      <c r="D296" s="166"/>
      <c r="E296" s="168"/>
      <c r="F296" s="88">
        <f t="shared" si="2"/>
        <v>0</v>
      </c>
    </row>
    <row r="297">
      <c r="A297" s="74" t="str">
        <f t="shared" si="1"/>
        <v/>
      </c>
      <c r="B297" s="49"/>
      <c r="C297" s="148"/>
      <c r="D297" s="166"/>
      <c r="E297" s="168"/>
      <c r="F297" s="88">
        <f t="shared" si="2"/>
        <v>0</v>
      </c>
    </row>
    <row r="298">
      <c r="A298" s="74" t="str">
        <f t="shared" si="1"/>
        <v/>
      </c>
      <c r="B298" s="49"/>
      <c r="C298" s="148"/>
      <c r="D298" s="166"/>
      <c r="E298" s="168"/>
      <c r="F298" s="88">
        <f t="shared" si="2"/>
        <v>0</v>
      </c>
    </row>
    <row r="299">
      <c r="A299" s="74" t="str">
        <f t="shared" si="1"/>
        <v/>
      </c>
      <c r="B299" s="49"/>
      <c r="C299" s="148"/>
      <c r="D299" s="166"/>
      <c r="E299" s="168"/>
      <c r="F299" s="88">
        <f t="shared" si="2"/>
        <v>0</v>
      </c>
    </row>
    <row r="300">
      <c r="A300" s="74" t="str">
        <f t="shared" si="1"/>
        <v/>
      </c>
      <c r="B300" s="49"/>
      <c r="C300" s="148"/>
      <c r="D300" s="166"/>
      <c r="E300" s="168"/>
      <c r="F300" s="88">
        <f t="shared" si="2"/>
        <v>0</v>
      </c>
    </row>
    <row r="301">
      <c r="A301" s="74" t="str">
        <f t="shared" si="1"/>
        <v/>
      </c>
      <c r="B301" s="49"/>
      <c r="C301" s="148"/>
      <c r="D301" s="166"/>
      <c r="E301" s="168"/>
      <c r="F301" s="88">
        <f t="shared" si="2"/>
        <v>0</v>
      </c>
    </row>
    <row r="302">
      <c r="A302" s="74" t="str">
        <f t="shared" si="1"/>
        <v/>
      </c>
      <c r="B302" s="49"/>
      <c r="C302" s="148"/>
      <c r="D302" s="166"/>
      <c r="E302" s="168"/>
      <c r="F302" s="88">
        <f t="shared" si="2"/>
        <v>0</v>
      </c>
    </row>
    <row r="303">
      <c r="A303" s="74" t="str">
        <f t="shared" si="1"/>
        <v/>
      </c>
      <c r="B303" s="49"/>
      <c r="C303" s="148"/>
      <c r="D303" s="166"/>
      <c r="E303" s="168"/>
      <c r="F303" s="88">
        <f t="shared" si="2"/>
        <v>0</v>
      </c>
    </row>
    <row r="304">
      <c r="A304" s="74" t="str">
        <f t="shared" si="1"/>
        <v/>
      </c>
      <c r="B304" s="49"/>
      <c r="C304" s="148"/>
      <c r="D304" s="166"/>
      <c r="E304" s="168"/>
      <c r="F304" s="88">
        <f t="shared" si="2"/>
        <v>0</v>
      </c>
    </row>
    <row r="305">
      <c r="A305" s="74" t="str">
        <f t="shared" si="1"/>
        <v/>
      </c>
      <c r="B305" s="49"/>
      <c r="C305" s="148"/>
      <c r="D305" s="166"/>
      <c r="E305" s="168"/>
      <c r="F305" s="88">
        <f t="shared" si="2"/>
        <v>0</v>
      </c>
    </row>
    <row r="306">
      <c r="A306" s="74" t="str">
        <f t="shared" si="1"/>
        <v/>
      </c>
      <c r="B306" s="49"/>
      <c r="C306" s="148"/>
      <c r="D306" s="166"/>
      <c r="E306" s="168"/>
      <c r="F306" s="88">
        <f t="shared" si="2"/>
        <v>0</v>
      </c>
    </row>
    <row r="307">
      <c r="A307" s="74" t="str">
        <f t="shared" si="1"/>
        <v/>
      </c>
      <c r="B307" s="49"/>
      <c r="C307" s="148"/>
      <c r="D307" s="166"/>
      <c r="E307" s="168"/>
      <c r="F307" s="88">
        <f t="shared" si="2"/>
        <v>0</v>
      </c>
    </row>
    <row r="308">
      <c r="A308" s="74" t="str">
        <f t="shared" si="1"/>
        <v/>
      </c>
      <c r="B308" s="49"/>
      <c r="C308" s="148"/>
      <c r="D308" s="166"/>
      <c r="E308" s="168"/>
      <c r="F308" s="88">
        <f t="shared" si="2"/>
        <v>0</v>
      </c>
    </row>
    <row r="309">
      <c r="A309" s="74" t="str">
        <f t="shared" si="1"/>
        <v/>
      </c>
      <c r="B309" s="49"/>
      <c r="C309" s="148"/>
      <c r="D309" s="166"/>
      <c r="E309" s="168"/>
      <c r="F309" s="88">
        <f t="shared" si="2"/>
        <v>0</v>
      </c>
    </row>
    <row r="310">
      <c r="A310" s="74" t="str">
        <f t="shared" si="1"/>
        <v/>
      </c>
      <c r="B310" s="49"/>
      <c r="C310" s="148"/>
      <c r="D310" s="166"/>
      <c r="E310" s="168"/>
      <c r="F310" s="88">
        <f t="shared" si="2"/>
        <v>0</v>
      </c>
    </row>
    <row r="311">
      <c r="A311" s="74" t="str">
        <f t="shared" si="1"/>
        <v/>
      </c>
      <c r="B311" s="49"/>
      <c r="C311" s="148"/>
      <c r="D311" s="166"/>
      <c r="E311" s="168"/>
      <c r="F311" s="88">
        <f t="shared" si="2"/>
        <v>0</v>
      </c>
    </row>
    <row r="312">
      <c r="A312" s="74" t="str">
        <f t="shared" si="1"/>
        <v/>
      </c>
      <c r="B312" s="49"/>
      <c r="C312" s="148"/>
      <c r="D312" s="166"/>
      <c r="E312" s="168"/>
      <c r="F312" s="88">
        <f t="shared" si="2"/>
        <v>0</v>
      </c>
    </row>
    <row r="313">
      <c r="A313" s="74" t="str">
        <f t="shared" si="1"/>
        <v/>
      </c>
      <c r="B313" s="49"/>
      <c r="C313" s="148"/>
      <c r="D313" s="166"/>
      <c r="E313" s="168"/>
      <c r="F313" s="88">
        <f t="shared" si="2"/>
        <v>0</v>
      </c>
    </row>
    <row r="314">
      <c r="A314" s="74" t="str">
        <f t="shared" si="1"/>
        <v/>
      </c>
      <c r="B314" s="49"/>
      <c r="C314" s="148"/>
      <c r="D314" s="166"/>
      <c r="E314" s="168"/>
      <c r="F314" s="88">
        <f t="shared" si="2"/>
        <v>0</v>
      </c>
    </row>
    <row r="315">
      <c r="A315" s="74" t="str">
        <f t="shared" si="1"/>
        <v/>
      </c>
      <c r="B315" s="49"/>
      <c r="C315" s="148"/>
      <c r="D315" s="166"/>
      <c r="E315" s="168"/>
      <c r="F315" s="88">
        <f t="shared" si="2"/>
        <v>0</v>
      </c>
    </row>
    <row r="316">
      <c r="A316" s="74" t="str">
        <f t="shared" si="1"/>
        <v/>
      </c>
      <c r="B316" s="49"/>
      <c r="C316" s="148"/>
      <c r="D316" s="166"/>
      <c r="E316" s="168"/>
      <c r="F316" s="88">
        <f t="shared" si="2"/>
        <v>0</v>
      </c>
    </row>
    <row r="317">
      <c r="A317" s="74" t="str">
        <f t="shared" si="1"/>
        <v/>
      </c>
      <c r="B317" s="49"/>
      <c r="C317" s="148"/>
      <c r="D317" s="166"/>
      <c r="E317" s="168"/>
      <c r="F317" s="88">
        <f t="shared" si="2"/>
        <v>0</v>
      </c>
    </row>
    <row r="318">
      <c r="A318" s="74" t="str">
        <f t="shared" si="1"/>
        <v/>
      </c>
      <c r="B318" s="49"/>
      <c r="C318" s="148"/>
      <c r="D318" s="166"/>
      <c r="E318" s="168"/>
      <c r="F318" s="88">
        <f t="shared" si="2"/>
        <v>0</v>
      </c>
    </row>
    <row r="319">
      <c r="A319" s="74" t="str">
        <f t="shared" si="1"/>
        <v/>
      </c>
      <c r="B319" s="49"/>
      <c r="C319" s="148"/>
      <c r="D319" s="166"/>
      <c r="E319" s="168"/>
      <c r="F319" s="88">
        <f t="shared" si="2"/>
        <v>0</v>
      </c>
    </row>
    <row r="320">
      <c r="A320" s="74" t="str">
        <f t="shared" si="1"/>
        <v/>
      </c>
      <c r="B320" s="49"/>
      <c r="C320" s="148"/>
      <c r="D320" s="166"/>
      <c r="E320" s="168"/>
      <c r="F320" s="88">
        <f t="shared" si="2"/>
        <v>0</v>
      </c>
    </row>
    <row r="321">
      <c r="A321" s="74" t="str">
        <f t="shared" si="1"/>
        <v/>
      </c>
      <c r="B321" s="49"/>
      <c r="C321" s="148"/>
      <c r="D321" s="166"/>
      <c r="E321" s="168"/>
      <c r="F321" s="88">
        <f t="shared" si="2"/>
        <v>0</v>
      </c>
    </row>
    <row r="322">
      <c r="A322" s="74" t="str">
        <f t="shared" si="1"/>
        <v/>
      </c>
      <c r="B322" s="49"/>
      <c r="C322" s="148"/>
      <c r="D322" s="166"/>
      <c r="E322" s="168"/>
      <c r="F322" s="88">
        <f t="shared" si="2"/>
        <v>0</v>
      </c>
    </row>
    <row r="323">
      <c r="A323" s="74" t="str">
        <f t="shared" si="1"/>
        <v/>
      </c>
      <c r="B323" s="49"/>
      <c r="C323" s="148"/>
      <c r="D323" s="166"/>
      <c r="E323" s="168"/>
      <c r="F323" s="88">
        <f t="shared" si="2"/>
        <v>0</v>
      </c>
    </row>
    <row r="324">
      <c r="A324" s="74" t="str">
        <f t="shared" si="1"/>
        <v/>
      </c>
      <c r="B324" s="49"/>
      <c r="C324" s="148"/>
      <c r="D324" s="166"/>
      <c r="E324" s="168"/>
      <c r="F324" s="88">
        <f t="shared" si="2"/>
        <v>0</v>
      </c>
    </row>
    <row r="325">
      <c r="A325" s="74" t="str">
        <f t="shared" si="1"/>
        <v/>
      </c>
      <c r="B325" s="49"/>
      <c r="C325" s="148"/>
      <c r="D325" s="166"/>
      <c r="E325" s="168"/>
      <c r="F325" s="88">
        <f t="shared" si="2"/>
        <v>0</v>
      </c>
    </row>
    <row r="326">
      <c r="A326" s="74" t="str">
        <f t="shared" si="1"/>
        <v/>
      </c>
      <c r="B326" s="49"/>
      <c r="C326" s="148"/>
      <c r="D326" s="166"/>
      <c r="E326" s="168"/>
      <c r="F326" s="88">
        <f t="shared" si="2"/>
        <v>0</v>
      </c>
    </row>
    <row r="327">
      <c r="A327" s="74" t="str">
        <f t="shared" si="1"/>
        <v/>
      </c>
      <c r="B327" s="49"/>
      <c r="C327" s="148"/>
      <c r="D327" s="166"/>
      <c r="E327" s="168"/>
      <c r="F327" s="88">
        <f t="shared" si="2"/>
        <v>0</v>
      </c>
    </row>
    <row r="328">
      <c r="A328" s="74" t="str">
        <f t="shared" si="1"/>
        <v/>
      </c>
      <c r="B328" s="49"/>
      <c r="C328" s="148"/>
      <c r="D328" s="166"/>
      <c r="E328" s="168"/>
      <c r="F328" s="88">
        <f t="shared" si="2"/>
        <v>0</v>
      </c>
    </row>
    <row r="329">
      <c r="A329" s="74" t="str">
        <f t="shared" si="1"/>
        <v/>
      </c>
      <c r="B329" s="49"/>
      <c r="C329" s="148"/>
      <c r="D329" s="166"/>
      <c r="E329" s="168"/>
      <c r="F329" s="88">
        <f t="shared" si="2"/>
        <v>0</v>
      </c>
    </row>
    <row r="330">
      <c r="A330" s="74" t="str">
        <f t="shared" si="1"/>
        <v/>
      </c>
      <c r="B330" s="49"/>
      <c r="C330" s="148"/>
      <c r="D330" s="166"/>
      <c r="E330" s="168"/>
      <c r="F330" s="88">
        <f t="shared" si="2"/>
        <v>0</v>
      </c>
    </row>
    <row r="331">
      <c r="A331" s="74" t="str">
        <f t="shared" si="1"/>
        <v/>
      </c>
      <c r="B331" s="49"/>
      <c r="C331" s="148"/>
      <c r="D331" s="166"/>
      <c r="E331" s="168"/>
      <c r="F331" s="88">
        <f t="shared" si="2"/>
        <v>0</v>
      </c>
    </row>
    <row r="332">
      <c r="A332" s="74" t="str">
        <f t="shared" si="1"/>
        <v/>
      </c>
      <c r="B332" s="49"/>
      <c r="C332" s="148"/>
      <c r="D332" s="166"/>
      <c r="E332" s="168"/>
      <c r="F332" s="88">
        <f t="shared" si="2"/>
        <v>0</v>
      </c>
    </row>
    <row r="333">
      <c r="A333" s="74" t="str">
        <f t="shared" si="1"/>
        <v/>
      </c>
      <c r="B333" s="49"/>
      <c r="C333" s="148"/>
      <c r="D333" s="166"/>
      <c r="E333" s="168"/>
      <c r="F333" s="88">
        <f t="shared" si="2"/>
        <v>0</v>
      </c>
    </row>
    <row r="334">
      <c r="A334" s="74" t="str">
        <f t="shared" si="1"/>
        <v/>
      </c>
      <c r="B334" s="49"/>
      <c r="C334" s="148"/>
      <c r="D334" s="166"/>
      <c r="E334" s="168"/>
      <c r="F334" s="88">
        <f t="shared" si="2"/>
        <v>0</v>
      </c>
    </row>
    <row r="335">
      <c r="A335" s="74" t="str">
        <f t="shared" si="1"/>
        <v/>
      </c>
      <c r="B335" s="49"/>
      <c r="C335" s="148"/>
      <c r="D335" s="166"/>
      <c r="E335" s="168"/>
      <c r="F335" s="88">
        <f t="shared" si="2"/>
        <v>0</v>
      </c>
    </row>
    <row r="336">
      <c r="A336" s="74" t="str">
        <f t="shared" si="1"/>
        <v/>
      </c>
      <c r="B336" s="49"/>
      <c r="C336" s="148"/>
      <c r="D336" s="166"/>
      <c r="E336" s="168"/>
      <c r="F336" s="88">
        <f t="shared" si="2"/>
        <v>0</v>
      </c>
    </row>
    <row r="337">
      <c r="A337" s="74" t="str">
        <f t="shared" si="1"/>
        <v/>
      </c>
      <c r="B337" s="49"/>
      <c r="C337" s="148"/>
      <c r="D337" s="166"/>
      <c r="E337" s="168"/>
      <c r="F337" s="88">
        <f t="shared" si="2"/>
        <v>0</v>
      </c>
    </row>
    <row r="338">
      <c r="A338" s="74" t="str">
        <f t="shared" si="1"/>
        <v/>
      </c>
      <c r="B338" s="49"/>
      <c r="C338" s="148"/>
      <c r="D338" s="166"/>
      <c r="E338" s="168"/>
      <c r="F338" s="88">
        <f t="shared" si="2"/>
        <v>0</v>
      </c>
    </row>
    <row r="339">
      <c r="A339" s="74" t="str">
        <f t="shared" si="1"/>
        <v/>
      </c>
      <c r="B339" s="49"/>
      <c r="C339" s="148"/>
      <c r="D339" s="166"/>
      <c r="E339" s="168"/>
      <c r="F339" s="88">
        <f t="shared" si="2"/>
        <v>0</v>
      </c>
    </row>
    <row r="340">
      <c r="A340" s="74" t="str">
        <f t="shared" si="1"/>
        <v/>
      </c>
      <c r="B340" s="49"/>
      <c r="C340" s="148"/>
      <c r="D340" s="166"/>
      <c r="E340" s="168"/>
      <c r="F340" s="88">
        <f t="shared" si="2"/>
        <v>0</v>
      </c>
    </row>
    <row r="341">
      <c r="A341" s="74" t="str">
        <f t="shared" si="1"/>
        <v/>
      </c>
      <c r="B341" s="49"/>
      <c r="C341" s="148"/>
      <c r="D341" s="166"/>
      <c r="E341" s="168"/>
      <c r="F341" s="88">
        <f t="shared" si="2"/>
        <v>0</v>
      </c>
    </row>
    <row r="342">
      <c r="A342" s="74" t="str">
        <f t="shared" si="1"/>
        <v/>
      </c>
      <c r="B342" s="49"/>
      <c r="C342" s="148"/>
      <c r="D342" s="166"/>
      <c r="E342" s="168"/>
      <c r="F342" s="88">
        <f t="shared" si="2"/>
        <v>0</v>
      </c>
    </row>
    <row r="343">
      <c r="A343" s="74" t="str">
        <f t="shared" si="1"/>
        <v/>
      </c>
      <c r="B343" s="49"/>
      <c r="C343" s="148"/>
      <c r="D343" s="166"/>
      <c r="E343" s="168"/>
      <c r="F343" s="88">
        <f t="shared" si="2"/>
        <v>0</v>
      </c>
    </row>
    <row r="344">
      <c r="A344" s="74" t="str">
        <f t="shared" si="1"/>
        <v/>
      </c>
      <c r="B344" s="49"/>
      <c r="C344" s="148"/>
      <c r="D344" s="166"/>
      <c r="E344" s="168"/>
      <c r="F344" s="88">
        <f t="shared" si="2"/>
        <v>0</v>
      </c>
    </row>
    <row r="345">
      <c r="A345" s="74" t="str">
        <f t="shared" si="1"/>
        <v/>
      </c>
      <c r="B345" s="49"/>
      <c r="C345" s="148"/>
      <c r="D345" s="166"/>
      <c r="E345" s="168"/>
      <c r="F345" s="88">
        <f t="shared" si="2"/>
        <v>0</v>
      </c>
    </row>
    <row r="346">
      <c r="A346" s="74" t="str">
        <f t="shared" si="1"/>
        <v/>
      </c>
      <c r="B346" s="49"/>
      <c r="C346" s="148"/>
      <c r="D346" s="166"/>
      <c r="E346" s="168"/>
      <c r="F346" s="88">
        <f t="shared" si="2"/>
        <v>0</v>
      </c>
    </row>
    <row r="347">
      <c r="A347" s="74" t="str">
        <f t="shared" si="1"/>
        <v/>
      </c>
      <c r="B347" s="49"/>
      <c r="C347" s="148"/>
      <c r="D347" s="166"/>
      <c r="E347" s="168"/>
      <c r="F347" s="88">
        <f t="shared" si="2"/>
        <v>0</v>
      </c>
    </row>
    <row r="348">
      <c r="A348" s="74" t="str">
        <f t="shared" si="1"/>
        <v/>
      </c>
      <c r="B348" s="49"/>
      <c r="C348" s="148"/>
      <c r="D348" s="166"/>
      <c r="E348" s="168"/>
      <c r="F348" s="88">
        <f t="shared" si="2"/>
        <v>0</v>
      </c>
    </row>
    <row r="349">
      <c r="A349" s="74" t="str">
        <f t="shared" si="1"/>
        <v/>
      </c>
      <c r="B349" s="49"/>
      <c r="C349" s="148"/>
      <c r="D349" s="166"/>
      <c r="E349" s="168"/>
      <c r="F349" s="88">
        <f t="shared" si="2"/>
        <v>0</v>
      </c>
    </row>
    <row r="350">
      <c r="A350" s="74" t="str">
        <f t="shared" si="1"/>
        <v/>
      </c>
      <c r="B350" s="49"/>
      <c r="C350" s="148"/>
      <c r="D350" s="166"/>
      <c r="E350" s="168"/>
      <c r="F350" s="88">
        <f t="shared" si="2"/>
        <v>0</v>
      </c>
    </row>
    <row r="351">
      <c r="A351" s="74" t="str">
        <f t="shared" si="1"/>
        <v/>
      </c>
      <c r="B351" s="49"/>
      <c r="C351" s="148"/>
      <c r="D351" s="166"/>
      <c r="E351" s="168"/>
      <c r="F351" s="88">
        <f t="shared" si="2"/>
        <v>0</v>
      </c>
    </row>
    <row r="352">
      <c r="A352" s="74" t="str">
        <f t="shared" si="1"/>
        <v/>
      </c>
      <c r="B352" s="49"/>
      <c r="C352" s="148"/>
      <c r="D352" s="166"/>
      <c r="E352" s="168"/>
      <c r="F352" s="88">
        <f t="shared" si="2"/>
        <v>0</v>
      </c>
    </row>
    <row r="353">
      <c r="A353" s="74" t="str">
        <f t="shared" si="1"/>
        <v/>
      </c>
      <c r="B353" s="49"/>
      <c r="C353" s="148"/>
      <c r="D353" s="166"/>
      <c r="E353" s="168"/>
      <c r="F353" s="88">
        <f t="shared" si="2"/>
        <v>0</v>
      </c>
    </row>
    <row r="354">
      <c r="A354" s="74" t="str">
        <f t="shared" si="1"/>
        <v/>
      </c>
      <c r="B354" s="49"/>
      <c r="C354" s="148"/>
      <c r="D354" s="201"/>
      <c r="E354" s="202"/>
      <c r="F354" s="88">
        <f t="shared" si="2"/>
        <v>0</v>
      </c>
    </row>
    <row r="355">
      <c r="A355" s="74" t="str">
        <f t="shared" si="1"/>
        <v/>
      </c>
      <c r="B355" s="49"/>
      <c r="C355" s="148"/>
      <c r="D355" s="201"/>
      <c r="E355" s="202"/>
      <c r="F355" s="88">
        <f t="shared" si="2"/>
        <v>0</v>
      </c>
    </row>
    <row r="356">
      <c r="A356" s="74" t="str">
        <f t="shared" si="1"/>
        <v/>
      </c>
      <c r="B356" s="49"/>
      <c r="C356" s="148"/>
      <c r="D356" s="201"/>
      <c r="E356" s="202"/>
      <c r="F356" s="88">
        <f t="shared" si="2"/>
        <v>0</v>
      </c>
    </row>
    <row r="357">
      <c r="A357" s="74" t="str">
        <f t="shared" si="1"/>
        <v/>
      </c>
      <c r="B357" s="49"/>
      <c r="C357" s="148"/>
      <c r="D357" s="201"/>
      <c r="E357" s="202"/>
      <c r="F357" s="88">
        <f t="shared" si="2"/>
        <v>0</v>
      </c>
    </row>
    <row r="358">
      <c r="A358" s="74" t="str">
        <f t="shared" si="1"/>
        <v/>
      </c>
      <c r="B358" s="49"/>
      <c r="C358" s="148"/>
      <c r="D358" s="201"/>
      <c r="E358" s="202"/>
      <c r="F358" s="88">
        <f t="shared" si="2"/>
        <v>0</v>
      </c>
    </row>
    <row r="359">
      <c r="A359" s="74" t="str">
        <f t="shared" si="1"/>
        <v/>
      </c>
      <c r="B359" s="49"/>
      <c r="C359" s="148"/>
      <c r="D359" s="201"/>
      <c r="E359" s="202"/>
      <c r="F359" s="88">
        <f t="shared" si="2"/>
        <v>0</v>
      </c>
    </row>
    <row r="360">
      <c r="A360" s="74" t="str">
        <f t="shared" si="1"/>
        <v/>
      </c>
      <c r="B360" s="49"/>
      <c r="C360" s="148"/>
      <c r="D360" s="201"/>
      <c r="E360" s="202"/>
      <c r="F360" s="88">
        <f t="shared" si="2"/>
        <v>0</v>
      </c>
    </row>
    <row r="361">
      <c r="A361" s="74" t="str">
        <f t="shared" si="1"/>
        <v/>
      </c>
      <c r="B361" s="49"/>
      <c r="C361" s="148"/>
      <c r="D361" s="201"/>
      <c r="E361" s="202"/>
      <c r="F361" s="88">
        <f t="shared" si="2"/>
        <v>0</v>
      </c>
    </row>
    <row r="362">
      <c r="A362" s="74" t="str">
        <f t="shared" si="1"/>
        <v/>
      </c>
      <c r="B362" s="49"/>
      <c r="C362" s="148"/>
      <c r="D362" s="201"/>
      <c r="E362" s="202"/>
      <c r="F362" s="88">
        <f t="shared" si="2"/>
        <v>0</v>
      </c>
    </row>
    <row r="363">
      <c r="A363" s="74" t="str">
        <f t="shared" si="1"/>
        <v/>
      </c>
      <c r="B363" s="49"/>
      <c r="C363" s="148"/>
      <c r="D363" s="201"/>
      <c r="E363" s="202"/>
      <c r="F363" s="88">
        <f t="shared" si="2"/>
        <v>0</v>
      </c>
    </row>
    <row r="364">
      <c r="A364" s="74" t="str">
        <f t="shared" si="1"/>
        <v/>
      </c>
      <c r="B364" s="49"/>
      <c r="C364" s="148"/>
      <c r="D364" s="201"/>
      <c r="E364" s="202"/>
      <c r="F364" s="88">
        <f t="shared" si="2"/>
        <v>0</v>
      </c>
    </row>
    <row r="365">
      <c r="A365" s="74" t="str">
        <f t="shared" si="1"/>
        <v/>
      </c>
      <c r="B365" s="49"/>
      <c r="C365" s="148"/>
      <c r="D365" s="201"/>
      <c r="E365" s="202"/>
      <c r="F365" s="88">
        <f t="shared" si="2"/>
        <v>0</v>
      </c>
    </row>
    <row r="366">
      <c r="A366" s="74" t="str">
        <f t="shared" si="1"/>
        <v/>
      </c>
      <c r="B366" s="49"/>
      <c r="C366" s="148"/>
      <c r="D366" s="201"/>
      <c r="E366" s="202"/>
      <c r="F366" s="88">
        <f t="shared" si="2"/>
        <v>0</v>
      </c>
    </row>
    <row r="367">
      <c r="A367" s="74" t="str">
        <f t="shared" si="1"/>
        <v/>
      </c>
      <c r="B367" s="49"/>
      <c r="C367" s="148"/>
      <c r="D367" s="201"/>
      <c r="E367" s="202"/>
      <c r="F367" s="88">
        <f t="shared" si="2"/>
        <v>0</v>
      </c>
    </row>
    <row r="368">
      <c r="A368" s="74" t="str">
        <f t="shared" si="1"/>
        <v/>
      </c>
      <c r="B368" s="49"/>
      <c r="C368" s="148"/>
      <c r="D368" s="201"/>
      <c r="E368" s="202"/>
      <c r="F368" s="88">
        <f t="shared" si="2"/>
        <v>0</v>
      </c>
    </row>
    <row r="369">
      <c r="A369" s="74" t="str">
        <f t="shared" si="1"/>
        <v/>
      </c>
      <c r="B369" s="49"/>
      <c r="C369" s="148"/>
      <c r="D369" s="201"/>
      <c r="E369" s="202"/>
      <c r="F369" s="88">
        <f t="shared" si="2"/>
        <v>0</v>
      </c>
    </row>
    <row r="370">
      <c r="A370" s="74" t="str">
        <f t="shared" si="1"/>
        <v/>
      </c>
      <c r="B370" s="49"/>
      <c r="C370" s="148"/>
      <c r="D370" s="201"/>
      <c r="E370" s="202"/>
      <c r="F370" s="88">
        <f t="shared" si="2"/>
        <v>0</v>
      </c>
    </row>
    <row r="371">
      <c r="A371" s="74" t="str">
        <f t="shared" si="1"/>
        <v/>
      </c>
      <c r="B371" s="49"/>
      <c r="C371" s="148"/>
      <c r="D371" s="201"/>
      <c r="E371" s="202"/>
      <c r="F371" s="88">
        <f t="shared" si="2"/>
        <v>0</v>
      </c>
    </row>
    <row r="372">
      <c r="A372" s="74" t="str">
        <f t="shared" si="1"/>
        <v/>
      </c>
      <c r="B372" s="49"/>
      <c r="C372" s="148"/>
      <c r="D372" s="201"/>
      <c r="E372" s="202"/>
      <c r="F372" s="88">
        <f t="shared" si="2"/>
        <v>0</v>
      </c>
    </row>
    <row r="373">
      <c r="A373" s="74" t="str">
        <f t="shared" si="1"/>
        <v/>
      </c>
      <c r="B373" s="49"/>
      <c r="C373" s="148"/>
      <c r="D373" s="201"/>
      <c r="E373" s="202"/>
      <c r="F373" s="88">
        <f t="shared" si="2"/>
        <v>0</v>
      </c>
    </row>
    <row r="374">
      <c r="A374" s="74" t="str">
        <f t="shared" si="1"/>
        <v/>
      </c>
      <c r="B374" s="49"/>
      <c r="C374" s="148"/>
      <c r="D374" s="201"/>
      <c r="E374" s="202"/>
      <c r="F374" s="88">
        <f t="shared" si="2"/>
        <v>0</v>
      </c>
    </row>
    <row r="375">
      <c r="A375" s="74" t="str">
        <f t="shared" si="1"/>
        <v/>
      </c>
      <c r="B375" s="49"/>
      <c r="C375" s="148"/>
      <c r="D375" s="201"/>
      <c r="E375" s="202"/>
      <c r="F375" s="88">
        <f t="shared" si="2"/>
        <v>0</v>
      </c>
    </row>
    <row r="376">
      <c r="A376" s="74" t="str">
        <f t="shared" si="1"/>
        <v/>
      </c>
      <c r="B376" s="49"/>
      <c r="C376" s="148"/>
      <c r="D376" s="201"/>
      <c r="E376" s="202"/>
      <c r="F376" s="88">
        <f t="shared" si="2"/>
        <v>0</v>
      </c>
    </row>
    <row r="377">
      <c r="A377" s="74" t="str">
        <f t="shared" si="1"/>
        <v/>
      </c>
      <c r="B377" s="49"/>
      <c r="C377" s="148"/>
      <c r="D377" s="201"/>
      <c r="E377" s="202"/>
      <c r="F377" s="88">
        <f t="shared" si="2"/>
        <v>0</v>
      </c>
    </row>
    <row r="378">
      <c r="A378" s="74" t="str">
        <f t="shared" si="1"/>
        <v/>
      </c>
      <c r="B378" s="49"/>
      <c r="C378" s="148"/>
      <c r="D378" s="201"/>
      <c r="E378" s="202"/>
      <c r="F378" s="88">
        <f t="shared" si="2"/>
        <v>0</v>
      </c>
    </row>
    <row r="379">
      <c r="A379" s="74" t="str">
        <f t="shared" si="1"/>
        <v/>
      </c>
      <c r="B379" s="49"/>
      <c r="C379" s="148"/>
      <c r="D379" s="201"/>
      <c r="E379" s="202"/>
      <c r="F379" s="88">
        <f t="shared" si="2"/>
        <v>0</v>
      </c>
    </row>
    <row r="380">
      <c r="A380" s="74" t="str">
        <f t="shared" si="1"/>
        <v/>
      </c>
      <c r="B380" s="49"/>
      <c r="C380" s="148"/>
      <c r="D380" s="201"/>
      <c r="E380" s="202"/>
      <c r="F380" s="88">
        <f t="shared" si="2"/>
        <v>0</v>
      </c>
    </row>
    <row r="381">
      <c r="A381" s="74" t="str">
        <f t="shared" si="1"/>
        <v/>
      </c>
      <c r="B381" s="49"/>
      <c r="C381" s="148"/>
      <c r="D381" s="201"/>
      <c r="E381" s="202"/>
      <c r="F381" s="88">
        <f t="shared" si="2"/>
        <v>0</v>
      </c>
    </row>
    <row r="382">
      <c r="A382" s="74" t="str">
        <f t="shared" si="1"/>
        <v/>
      </c>
      <c r="B382" s="49"/>
      <c r="C382" s="148"/>
      <c r="D382" s="201"/>
      <c r="E382" s="202"/>
      <c r="F382" s="88">
        <f t="shared" si="2"/>
        <v>0</v>
      </c>
    </row>
    <row r="383">
      <c r="A383" s="74" t="str">
        <f t="shared" si="1"/>
        <v/>
      </c>
      <c r="B383" s="49"/>
      <c r="C383" s="148"/>
      <c r="D383" s="201"/>
      <c r="E383" s="202"/>
      <c r="F383" s="88">
        <f t="shared" si="2"/>
        <v>0</v>
      </c>
    </row>
    <row r="384">
      <c r="A384" s="74" t="str">
        <f t="shared" si="1"/>
        <v/>
      </c>
      <c r="B384" s="49"/>
      <c r="C384" s="148"/>
      <c r="D384" s="201"/>
      <c r="E384" s="202"/>
      <c r="F384" s="88">
        <f t="shared" si="2"/>
        <v>0</v>
      </c>
    </row>
    <row r="385">
      <c r="A385" s="74" t="str">
        <f t="shared" si="1"/>
        <v/>
      </c>
      <c r="B385" s="49"/>
      <c r="C385" s="148"/>
      <c r="D385" s="201"/>
      <c r="E385" s="202"/>
      <c r="F385" s="88">
        <f t="shared" si="2"/>
        <v>0</v>
      </c>
    </row>
    <row r="386">
      <c r="A386" s="74" t="str">
        <f t="shared" si="1"/>
        <v/>
      </c>
      <c r="B386" s="49"/>
      <c r="C386" s="148"/>
      <c r="D386" s="201"/>
      <c r="E386" s="202"/>
      <c r="F386" s="88">
        <f t="shared" si="2"/>
        <v>0</v>
      </c>
    </row>
    <row r="387">
      <c r="A387" s="74" t="str">
        <f t="shared" si="1"/>
        <v/>
      </c>
      <c r="B387" s="49"/>
      <c r="C387" s="148"/>
      <c r="D387" s="201"/>
      <c r="E387" s="202"/>
      <c r="F387" s="88">
        <f t="shared" si="2"/>
        <v>0</v>
      </c>
    </row>
    <row r="388">
      <c r="A388" s="74" t="str">
        <f t="shared" si="1"/>
        <v/>
      </c>
      <c r="B388" s="49"/>
      <c r="C388" s="148"/>
      <c r="D388" s="201"/>
      <c r="E388" s="202"/>
      <c r="F388" s="88">
        <f t="shared" si="2"/>
        <v>0</v>
      </c>
    </row>
    <row r="389">
      <c r="A389" s="74" t="str">
        <f t="shared" si="1"/>
        <v/>
      </c>
      <c r="B389" s="49"/>
      <c r="C389" s="148"/>
      <c r="D389" s="201"/>
      <c r="E389" s="202"/>
      <c r="F389" s="88">
        <f t="shared" si="2"/>
        <v>0</v>
      </c>
    </row>
    <row r="390">
      <c r="A390" s="74" t="str">
        <f t="shared" si="1"/>
        <v/>
      </c>
      <c r="B390" s="49"/>
      <c r="C390" s="148"/>
      <c r="D390" s="201"/>
      <c r="E390" s="202"/>
      <c r="F390" s="88">
        <f t="shared" si="2"/>
        <v>0</v>
      </c>
    </row>
    <row r="391">
      <c r="A391" s="74" t="str">
        <f t="shared" si="1"/>
        <v/>
      </c>
      <c r="B391" s="49"/>
      <c r="C391" s="148"/>
      <c r="D391" s="201"/>
      <c r="E391" s="202"/>
      <c r="F391" s="88">
        <f t="shared" si="2"/>
        <v>0</v>
      </c>
    </row>
    <row r="392">
      <c r="A392" s="74" t="str">
        <f t="shared" si="1"/>
        <v/>
      </c>
      <c r="B392" s="49"/>
      <c r="C392" s="148"/>
      <c r="D392" s="201"/>
      <c r="E392" s="202"/>
      <c r="F392" s="88">
        <f t="shared" si="2"/>
        <v>0</v>
      </c>
    </row>
    <row r="393">
      <c r="A393" s="74" t="str">
        <f t="shared" si="1"/>
        <v/>
      </c>
      <c r="B393" s="49"/>
      <c r="C393" s="148"/>
      <c r="D393" s="201"/>
      <c r="E393" s="202"/>
      <c r="F393" s="88">
        <f t="shared" si="2"/>
        <v>0</v>
      </c>
    </row>
    <row r="394">
      <c r="A394" s="74" t="str">
        <f t="shared" si="1"/>
        <v/>
      </c>
      <c r="B394" s="49"/>
      <c r="C394" s="148"/>
      <c r="D394" s="201"/>
      <c r="E394" s="202"/>
      <c r="F394" s="88">
        <f t="shared" si="2"/>
        <v>0</v>
      </c>
    </row>
    <row r="395">
      <c r="A395" s="74" t="str">
        <f t="shared" si="1"/>
        <v/>
      </c>
      <c r="B395" s="49"/>
      <c r="C395" s="148"/>
      <c r="D395" s="201"/>
      <c r="E395" s="202"/>
      <c r="F395" s="88">
        <f t="shared" si="2"/>
        <v>0</v>
      </c>
    </row>
    <row r="396">
      <c r="A396" s="74" t="str">
        <f t="shared" si="1"/>
        <v/>
      </c>
      <c r="B396" s="49"/>
      <c r="C396" s="148"/>
      <c r="D396" s="201"/>
      <c r="E396" s="202"/>
      <c r="F396" s="88">
        <f t="shared" si="2"/>
        <v>0</v>
      </c>
    </row>
    <row r="397">
      <c r="A397" s="74" t="str">
        <f t="shared" si="1"/>
        <v/>
      </c>
      <c r="B397" s="49"/>
      <c r="C397" s="148"/>
      <c r="D397" s="201"/>
      <c r="E397" s="202"/>
      <c r="F397" s="88">
        <f t="shared" si="2"/>
        <v>0</v>
      </c>
    </row>
    <row r="398">
      <c r="A398" s="74" t="str">
        <f t="shared" si="1"/>
        <v/>
      </c>
      <c r="B398" s="49"/>
      <c r="C398" s="148"/>
      <c r="D398" s="201"/>
      <c r="E398" s="202"/>
      <c r="F398" s="88">
        <f t="shared" si="2"/>
        <v>0</v>
      </c>
    </row>
    <row r="399">
      <c r="A399" s="74" t="str">
        <f t="shared" si="1"/>
        <v/>
      </c>
      <c r="B399" s="49"/>
      <c r="C399" s="148"/>
      <c r="D399" s="201"/>
      <c r="E399" s="202"/>
      <c r="F399" s="88">
        <f t="shared" si="2"/>
        <v>0</v>
      </c>
    </row>
    <row r="400">
      <c r="A400" s="74" t="str">
        <f t="shared" si="1"/>
        <v/>
      </c>
      <c r="B400" s="49"/>
      <c r="C400" s="148"/>
      <c r="D400" s="201"/>
      <c r="E400" s="202"/>
      <c r="F400" s="88">
        <f t="shared" si="2"/>
        <v>0</v>
      </c>
    </row>
    <row r="401">
      <c r="A401" s="74" t="str">
        <f t="shared" si="1"/>
        <v/>
      </c>
      <c r="B401" s="49"/>
      <c r="C401" s="148"/>
      <c r="D401" s="201"/>
      <c r="E401" s="202"/>
      <c r="F401" s="88">
        <f t="shared" si="2"/>
        <v>0</v>
      </c>
    </row>
    <row r="402">
      <c r="A402" s="74" t="str">
        <f t="shared" si="1"/>
        <v/>
      </c>
      <c r="B402" s="49"/>
      <c r="C402" s="148"/>
      <c r="D402" s="201"/>
      <c r="E402" s="202"/>
      <c r="F402" s="88">
        <f t="shared" si="2"/>
        <v>0</v>
      </c>
    </row>
    <row r="403">
      <c r="A403" s="74" t="str">
        <f t="shared" si="1"/>
        <v/>
      </c>
      <c r="B403" s="49"/>
      <c r="C403" s="148"/>
      <c r="D403" s="201"/>
      <c r="E403" s="202"/>
      <c r="F403" s="88">
        <f t="shared" si="2"/>
        <v>0</v>
      </c>
    </row>
    <row r="404">
      <c r="A404" s="74" t="str">
        <f t="shared" si="1"/>
        <v/>
      </c>
      <c r="B404" s="49"/>
      <c r="C404" s="148"/>
      <c r="D404" s="201"/>
      <c r="E404" s="202"/>
      <c r="F404" s="88">
        <f t="shared" si="2"/>
        <v>0</v>
      </c>
    </row>
    <row r="405">
      <c r="A405" s="74" t="str">
        <f t="shared" si="1"/>
        <v/>
      </c>
      <c r="B405" s="49"/>
      <c r="C405" s="148"/>
      <c r="D405" s="201"/>
      <c r="E405" s="202"/>
      <c r="F405" s="88">
        <f t="shared" si="2"/>
        <v>0</v>
      </c>
    </row>
    <row r="406">
      <c r="A406" s="74" t="str">
        <f t="shared" si="1"/>
        <v/>
      </c>
      <c r="B406" s="49"/>
      <c r="C406" s="148"/>
      <c r="D406" s="201"/>
      <c r="E406" s="202"/>
      <c r="F406" s="88">
        <f t="shared" si="2"/>
        <v>0</v>
      </c>
    </row>
    <row r="407">
      <c r="A407" s="74" t="str">
        <f t="shared" si="1"/>
        <v/>
      </c>
      <c r="B407" s="49"/>
      <c r="C407" s="148"/>
      <c r="D407" s="201"/>
      <c r="E407" s="202"/>
      <c r="F407" s="88">
        <f t="shared" si="2"/>
        <v>0</v>
      </c>
    </row>
    <row r="408">
      <c r="A408" s="74" t="str">
        <f t="shared" si="1"/>
        <v/>
      </c>
      <c r="B408" s="49"/>
      <c r="C408" s="148"/>
      <c r="D408" s="201"/>
      <c r="E408" s="202"/>
      <c r="F408" s="88">
        <f t="shared" si="2"/>
        <v>0</v>
      </c>
    </row>
    <row r="409">
      <c r="A409" s="74" t="str">
        <f t="shared" si="1"/>
        <v/>
      </c>
      <c r="B409" s="49"/>
      <c r="C409" s="148"/>
      <c r="D409" s="201"/>
      <c r="E409" s="202"/>
      <c r="F409" s="88">
        <f t="shared" si="2"/>
        <v>0</v>
      </c>
    </row>
    <row r="410">
      <c r="A410" s="74" t="str">
        <f t="shared" si="1"/>
        <v/>
      </c>
      <c r="B410" s="49"/>
      <c r="C410" s="148"/>
      <c r="D410" s="201"/>
      <c r="E410" s="202"/>
      <c r="F410" s="88">
        <f t="shared" si="2"/>
        <v>0</v>
      </c>
    </row>
    <row r="411">
      <c r="A411" s="74" t="str">
        <f t="shared" si="1"/>
        <v/>
      </c>
      <c r="B411" s="49"/>
      <c r="C411" s="148"/>
      <c r="D411" s="201"/>
      <c r="E411" s="202"/>
      <c r="F411" s="88">
        <f t="shared" si="2"/>
        <v>0</v>
      </c>
    </row>
    <row r="412">
      <c r="A412" s="74" t="str">
        <f t="shared" si="1"/>
        <v/>
      </c>
      <c r="B412" s="49"/>
      <c r="C412" s="148"/>
      <c r="D412" s="201"/>
      <c r="E412" s="202"/>
      <c r="F412" s="88">
        <f t="shared" si="2"/>
        <v>0</v>
      </c>
    </row>
    <row r="413">
      <c r="A413" s="74" t="str">
        <f t="shared" si="1"/>
        <v/>
      </c>
      <c r="B413" s="49"/>
      <c r="C413" s="148"/>
      <c r="D413" s="201"/>
      <c r="E413" s="202"/>
      <c r="F413" s="88">
        <f t="shared" si="2"/>
        <v>0</v>
      </c>
    </row>
    <row r="414">
      <c r="A414" s="74" t="str">
        <f t="shared" si="1"/>
        <v/>
      </c>
      <c r="B414" s="49"/>
      <c r="C414" s="148"/>
      <c r="D414" s="201"/>
      <c r="E414" s="202"/>
      <c r="F414" s="88">
        <f t="shared" si="2"/>
        <v>0</v>
      </c>
    </row>
    <row r="415">
      <c r="A415" s="74" t="str">
        <f t="shared" si="1"/>
        <v/>
      </c>
      <c r="B415" s="49"/>
      <c r="C415" s="148"/>
      <c r="D415" s="201"/>
      <c r="E415" s="202"/>
      <c r="F415" s="88">
        <f t="shared" si="2"/>
        <v>0</v>
      </c>
    </row>
    <row r="416">
      <c r="A416" s="74" t="str">
        <f t="shared" si="1"/>
        <v/>
      </c>
      <c r="B416" s="49"/>
      <c r="C416" s="148"/>
      <c r="D416" s="201"/>
      <c r="E416" s="202"/>
      <c r="F416" s="88">
        <f t="shared" si="2"/>
        <v>0</v>
      </c>
    </row>
    <row r="417">
      <c r="A417" s="74" t="str">
        <f t="shared" si="1"/>
        <v/>
      </c>
      <c r="B417" s="49"/>
      <c r="C417" s="148"/>
      <c r="D417" s="201"/>
      <c r="E417" s="202"/>
      <c r="F417" s="88">
        <f t="shared" si="2"/>
        <v>0</v>
      </c>
    </row>
    <row r="418">
      <c r="A418" s="74" t="str">
        <f t="shared" si="1"/>
        <v/>
      </c>
      <c r="B418" s="49"/>
      <c r="C418" s="148"/>
      <c r="D418" s="201"/>
      <c r="E418" s="202"/>
      <c r="F418" s="88">
        <f t="shared" si="2"/>
        <v>0</v>
      </c>
    </row>
    <row r="419">
      <c r="A419" s="74" t="str">
        <f t="shared" si="1"/>
        <v/>
      </c>
      <c r="B419" s="49"/>
      <c r="C419" s="148"/>
      <c r="D419" s="201"/>
      <c r="E419" s="202"/>
      <c r="F419" s="88">
        <f t="shared" si="2"/>
        <v>0</v>
      </c>
    </row>
    <row r="420">
      <c r="A420" s="74" t="str">
        <f t="shared" si="1"/>
        <v/>
      </c>
      <c r="B420" s="49"/>
      <c r="C420" s="148"/>
      <c r="D420" s="201"/>
      <c r="E420" s="202"/>
      <c r="F420" s="88">
        <f t="shared" si="2"/>
        <v>0</v>
      </c>
    </row>
    <row r="421">
      <c r="A421" s="74" t="str">
        <f t="shared" si="1"/>
        <v/>
      </c>
      <c r="B421" s="49"/>
      <c r="C421" s="148"/>
      <c r="D421" s="201"/>
      <c r="E421" s="202"/>
      <c r="F421" s="88">
        <f t="shared" si="2"/>
        <v>0</v>
      </c>
    </row>
    <row r="422">
      <c r="A422" s="74" t="str">
        <f t="shared" si="1"/>
        <v/>
      </c>
      <c r="B422" s="49"/>
      <c r="C422" s="148"/>
      <c r="D422" s="201"/>
      <c r="E422" s="202"/>
      <c r="F422" s="88">
        <f t="shared" si="2"/>
        <v>0</v>
      </c>
    </row>
    <row r="423">
      <c r="A423" s="74" t="str">
        <f t="shared" si="1"/>
        <v/>
      </c>
      <c r="B423" s="49"/>
      <c r="C423" s="148"/>
      <c r="D423" s="201"/>
      <c r="E423" s="202"/>
      <c r="F423" s="88">
        <f t="shared" si="2"/>
        <v>0</v>
      </c>
    </row>
    <row r="424">
      <c r="A424" s="74" t="str">
        <f t="shared" si="1"/>
        <v/>
      </c>
      <c r="B424" s="49"/>
      <c r="C424" s="148"/>
      <c r="D424" s="201"/>
      <c r="E424" s="202"/>
      <c r="F424" s="88">
        <f t="shared" si="2"/>
        <v>0</v>
      </c>
    </row>
    <row r="425">
      <c r="A425" s="74" t="str">
        <f t="shared" si="1"/>
        <v/>
      </c>
      <c r="B425" s="49"/>
      <c r="C425" s="148"/>
      <c r="D425" s="201"/>
      <c r="E425" s="202"/>
      <c r="F425" s="88">
        <f t="shared" si="2"/>
        <v>0</v>
      </c>
    </row>
    <row r="426">
      <c r="A426" s="74" t="str">
        <f t="shared" si="1"/>
        <v/>
      </c>
      <c r="B426" s="49"/>
      <c r="C426" s="148"/>
      <c r="D426" s="201"/>
      <c r="E426" s="202"/>
      <c r="F426" s="88">
        <f t="shared" si="2"/>
        <v>0</v>
      </c>
    </row>
    <row r="427">
      <c r="A427" s="74" t="str">
        <f t="shared" si="1"/>
        <v/>
      </c>
      <c r="B427" s="49"/>
      <c r="C427" s="148"/>
      <c r="D427" s="201"/>
      <c r="E427" s="202"/>
      <c r="F427" s="88">
        <f t="shared" si="2"/>
        <v>0</v>
      </c>
    </row>
    <row r="428">
      <c r="A428" s="74" t="str">
        <f t="shared" si="1"/>
        <v/>
      </c>
      <c r="B428" s="49"/>
      <c r="C428" s="148"/>
      <c r="D428" s="201"/>
      <c r="E428" s="202"/>
      <c r="F428" s="88">
        <f t="shared" si="2"/>
        <v>0</v>
      </c>
    </row>
    <row r="429">
      <c r="A429" s="74" t="str">
        <f t="shared" si="1"/>
        <v/>
      </c>
      <c r="B429" s="49"/>
      <c r="C429" s="148"/>
      <c r="D429" s="201"/>
      <c r="E429" s="202"/>
      <c r="F429" s="88">
        <f t="shared" si="2"/>
        <v>0</v>
      </c>
    </row>
    <row r="430">
      <c r="A430" s="74" t="str">
        <f t="shared" si="1"/>
        <v/>
      </c>
      <c r="B430" s="49"/>
      <c r="C430" s="148"/>
      <c r="D430" s="201"/>
      <c r="E430" s="202"/>
      <c r="F430" s="88">
        <f t="shared" si="2"/>
        <v>0</v>
      </c>
    </row>
    <row r="431">
      <c r="A431" s="74" t="str">
        <f t="shared" si="1"/>
        <v/>
      </c>
      <c r="B431" s="49"/>
      <c r="C431" s="148"/>
      <c r="D431" s="201"/>
      <c r="E431" s="202"/>
      <c r="F431" s="88">
        <f t="shared" si="2"/>
        <v>0</v>
      </c>
    </row>
    <row r="432">
      <c r="A432" s="74" t="str">
        <f t="shared" si="1"/>
        <v/>
      </c>
      <c r="B432" s="49"/>
      <c r="C432" s="148"/>
      <c r="D432" s="201"/>
      <c r="E432" s="202"/>
      <c r="F432" s="88">
        <f t="shared" si="2"/>
        <v>0</v>
      </c>
    </row>
    <row r="433">
      <c r="A433" s="74" t="str">
        <f t="shared" si="1"/>
        <v/>
      </c>
      <c r="B433" s="49"/>
      <c r="C433" s="148"/>
      <c r="D433" s="201"/>
      <c r="E433" s="202"/>
      <c r="F433" s="88">
        <f t="shared" si="2"/>
        <v>0</v>
      </c>
    </row>
    <row r="434">
      <c r="A434" s="74" t="str">
        <f t="shared" si="1"/>
        <v/>
      </c>
      <c r="B434" s="49"/>
      <c r="C434" s="148"/>
      <c r="D434" s="201"/>
      <c r="E434" s="202"/>
      <c r="F434" s="88">
        <f t="shared" si="2"/>
        <v>0</v>
      </c>
    </row>
    <row r="435">
      <c r="A435" s="74" t="str">
        <f t="shared" si="1"/>
        <v/>
      </c>
      <c r="B435" s="49"/>
      <c r="C435" s="148"/>
      <c r="D435" s="201"/>
      <c r="E435" s="202"/>
      <c r="F435" s="88">
        <f t="shared" si="2"/>
        <v>0</v>
      </c>
    </row>
    <row r="436">
      <c r="A436" s="74" t="str">
        <f t="shared" si="1"/>
        <v/>
      </c>
      <c r="B436" s="49"/>
      <c r="C436" s="148"/>
      <c r="D436" s="201"/>
      <c r="E436" s="202"/>
      <c r="F436" s="88">
        <f t="shared" si="2"/>
        <v>0</v>
      </c>
    </row>
    <row r="437">
      <c r="A437" s="74" t="str">
        <f t="shared" si="1"/>
        <v/>
      </c>
      <c r="B437" s="49"/>
      <c r="C437" s="148"/>
      <c r="D437" s="201"/>
      <c r="E437" s="202"/>
      <c r="F437" s="88">
        <f t="shared" si="2"/>
        <v>0</v>
      </c>
    </row>
    <row r="438">
      <c r="A438" s="74" t="str">
        <f t="shared" si="1"/>
        <v/>
      </c>
      <c r="B438" s="49"/>
      <c r="C438" s="148"/>
      <c r="D438" s="201"/>
      <c r="E438" s="202"/>
      <c r="F438" s="88">
        <f t="shared" si="2"/>
        <v>0</v>
      </c>
    </row>
    <row r="439">
      <c r="A439" s="74" t="str">
        <f t="shared" si="1"/>
        <v/>
      </c>
      <c r="B439" s="49"/>
      <c r="C439" s="148"/>
      <c r="D439" s="201"/>
      <c r="E439" s="202"/>
      <c r="F439" s="88">
        <f t="shared" si="2"/>
        <v>0</v>
      </c>
    </row>
    <row r="440">
      <c r="A440" s="74" t="str">
        <f t="shared" si="1"/>
        <v/>
      </c>
      <c r="B440" s="49"/>
      <c r="C440" s="148"/>
      <c r="D440" s="201"/>
      <c r="E440" s="202"/>
      <c r="F440" s="88">
        <f t="shared" si="2"/>
        <v>0</v>
      </c>
    </row>
    <row r="441">
      <c r="A441" s="74" t="str">
        <f t="shared" si="1"/>
        <v/>
      </c>
      <c r="B441" s="49"/>
      <c r="C441" s="148"/>
      <c r="D441" s="201"/>
      <c r="E441" s="202"/>
      <c r="F441" s="88">
        <f t="shared" si="2"/>
        <v>0</v>
      </c>
    </row>
    <row r="442">
      <c r="A442" s="74" t="str">
        <f t="shared" si="1"/>
        <v/>
      </c>
      <c r="B442" s="49"/>
      <c r="C442" s="148"/>
      <c r="D442" s="201"/>
      <c r="E442" s="202"/>
      <c r="F442" s="88">
        <f t="shared" si="2"/>
        <v>0</v>
      </c>
    </row>
    <row r="443">
      <c r="A443" s="74" t="str">
        <f t="shared" si="1"/>
        <v/>
      </c>
      <c r="B443" s="49"/>
      <c r="C443" s="148"/>
      <c r="D443" s="201"/>
      <c r="E443" s="202"/>
      <c r="F443" s="88">
        <f t="shared" si="2"/>
        <v>0</v>
      </c>
    </row>
    <row r="444">
      <c r="A444" s="74" t="str">
        <f t="shared" si="1"/>
        <v/>
      </c>
      <c r="B444" s="49"/>
      <c r="C444" s="148"/>
      <c r="D444" s="201"/>
      <c r="E444" s="202"/>
      <c r="F444" s="88">
        <f t="shared" si="2"/>
        <v>0</v>
      </c>
    </row>
    <row r="445">
      <c r="A445" s="74" t="str">
        <f t="shared" si="1"/>
        <v/>
      </c>
      <c r="B445" s="49"/>
      <c r="C445" s="148"/>
      <c r="D445" s="201"/>
      <c r="E445" s="202"/>
      <c r="F445" s="88">
        <f t="shared" si="2"/>
        <v>0</v>
      </c>
    </row>
    <row r="446">
      <c r="A446" s="74" t="str">
        <f t="shared" si="1"/>
        <v/>
      </c>
      <c r="B446" s="49"/>
      <c r="C446" s="148"/>
      <c r="D446" s="201"/>
      <c r="E446" s="202"/>
      <c r="F446" s="88">
        <f t="shared" si="2"/>
        <v>0</v>
      </c>
    </row>
    <row r="447">
      <c r="A447" s="74" t="str">
        <f t="shared" si="1"/>
        <v/>
      </c>
      <c r="B447" s="49"/>
      <c r="C447" s="148"/>
      <c r="D447" s="201"/>
      <c r="E447" s="202"/>
      <c r="F447" s="88">
        <f t="shared" si="2"/>
        <v>0</v>
      </c>
    </row>
    <row r="448">
      <c r="A448" s="74" t="str">
        <f t="shared" si="1"/>
        <v/>
      </c>
      <c r="B448" s="49"/>
      <c r="C448" s="148"/>
      <c r="D448" s="201"/>
      <c r="E448" s="202"/>
      <c r="F448" s="88">
        <f t="shared" si="2"/>
        <v>0</v>
      </c>
    </row>
    <row r="449">
      <c r="A449" s="74" t="str">
        <f t="shared" si="1"/>
        <v/>
      </c>
      <c r="B449" s="49"/>
      <c r="C449" s="148"/>
      <c r="D449" s="201"/>
      <c r="E449" s="202"/>
      <c r="F449" s="88">
        <f t="shared" si="2"/>
        <v>0</v>
      </c>
    </row>
    <row r="450">
      <c r="A450" s="74" t="str">
        <f t="shared" si="1"/>
        <v/>
      </c>
      <c r="B450" s="49"/>
      <c r="C450" s="148"/>
      <c r="D450" s="201"/>
      <c r="E450" s="202"/>
      <c r="F450" s="88">
        <f t="shared" si="2"/>
        <v>0</v>
      </c>
    </row>
    <row r="451">
      <c r="A451" s="74" t="str">
        <f t="shared" si="1"/>
        <v/>
      </c>
      <c r="B451" s="49"/>
      <c r="C451" s="148"/>
      <c r="D451" s="201"/>
      <c r="E451" s="202"/>
      <c r="F451" s="88">
        <f t="shared" si="2"/>
        <v>0</v>
      </c>
    </row>
    <row r="452">
      <c r="A452" s="74" t="str">
        <f t="shared" si="1"/>
        <v/>
      </c>
      <c r="B452" s="49"/>
      <c r="C452" s="148"/>
      <c r="D452" s="201"/>
      <c r="E452" s="202"/>
      <c r="F452" s="88">
        <f t="shared" si="2"/>
        <v>0</v>
      </c>
    </row>
    <row r="453">
      <c r="A453" s="74" t="str">
        <f t="shared" si="1"/>
        <v/>
      </c>
      <c r="B453" s="49"/>
      <c r="C453" s="148"/>
      <c r="D453" s="201"/>
      <c r="E453" s="202"/>
      <c r="F453" s="88">
        <f t="shared" si="2"/>
        <v>0</v>
      </c>
    </row>
    <row r="454">
      <c r="A454" s="74" t="str">
        <f t="shared" si="1"/>
        <v/>
      </c>
      <c r="B454" s="49"/>
      <c r="C454" s="148"/>
      <c r="D454" s="201"/>
      <c r="E454" s="202"/>
      <c r="F454" s="88">
        <f t="shared" si="2"/>
        <v>0</v>
      </c>
    </row>
    <row r="455">
      <c r="A455" s="74" t="str">
        <f t="shared" si="1"/>
        <v/>
      </c>
      <c r="B455" s="49"/>
      <c r="C455" s="148"/>
      <c r="D455" s="201"/>
      <c r="E455" s="202"/>
      <c r="F455" s="88">
        <f t="shared" si="2"/>
        <v>0</v>
      </c>
    </row>
    <row r="456">
      <c r="A456" s="74" t="str">
        <f t="shared" si="1"/>
        <v/>
      </c>
      <c r="B456" s="49"/>
      <c r="C456" s="148"/>
      <c r="D456" s="201"/>
      <c r="E456" s="202"/>
      <c r="F456" s="88">
        <f t="shared" si="2"/>
        <v>0</v>
      </c>
    </row>
    <row r="457">
      <c r="A457" s="74" t="str">
        <f t="shared" si="1"/>
        <v/>
      </c>
      <c r="B457" s="49"/>
      <c r="C457" s="148"/>
      <c r="D457" s="201"/>
      <c r="E457" s="202"/>
      <c r="F457" s="88">
        <f t="shared" si="2"/>
        <v>0</v>
      </c>
    </row>
    <row r="458">
      <c r="A458" s="74" t="str">
        <f t="shared" si="1"/>
        <v/>
      </c>
      <c r="B458" s="49"/>
      <c r="C458" s="148"/>
      <c r="D458" s="201"/>
      <c r="E458" s="202"/>
      <c r="F458" s="88">
        <f t="shared" si="2"/>
        <v>0</v>
      </c>
    </row>
    <row r="459">
      <c r="A459" s="74" t="str">
        <f t="shared" si="1"/>
        <v/>
      </c>
      <c r="B459" s="49"/>
      <c r="C459" s="148"/>
      <c r="D459" s="201"/>
      <c r="E459" s="202"/>
      <c r="F459" s="88">
        <f t="shared" si="2"/>
        <v>0</v>
      </c>
    </row>
    <row r="460">
      <c r="A460" s="74" t="str">
        <f t="shared" si="1"/>
        <v/>
      </c>
      <c r="B460" s="49"/>
      <c r="C460" s="148"/>
      <c r="D460" s="201"/>
      <c r="E460" s="202"/>
      <c r="F460" s="88">
        <f t="shared" si="2"/>
        <v>0</v>
      </c>
    </row>
    <row r="461">
      <c r="A461" s="74" t="str">
        <f t="shared" si="1"/>
        <v/>
      </c>
      <c r="B461" s="49"/>
      <c r="C461" s="148"/>
      <c r="D461" s="201"/>
      <c r="E461" s="202"/>
      <c r="F461" s="88">
        <f t="shared" si="2"/>
        <v>0</v>
      </c>
    </row>
    <row r="462">
      <c r="A462" s="74" t="str">
        <f t="shared" si="1"/>
        <v/>
      </c>
      <c r="B462" s="49"/>
      <c r="C462" s="148"/>
      <c r="D462" s="201"/>
      <c r="E462" s="202"/>
      <c r="F462" s="88">
        <f t="shared" si="2"/>
        <v>0</v>
      </c>
    </row>
    <row r="463">
      <c r="A463" s="74" t="str">
        <f t="shared" si="1"/>
        <v/>
      </c>
      <c r="B463" s="49"/>
      <c r="C463" s="148"/>
      <c r="D463" s="201"/>
      <c r="E463" s="202"/>
      <c r="F463" s="88">
        <f t="shared" si="2"/>
        <v>0</v>
      </c>
    </row>
    <row r="464">
      <c r="A464" s="74" t="str">
        <f t="shared" si="1"/>
        <v/>
      </c>
      <c r="B464" s="49"/>
      <c r="C464" s="148"/>
      <c r="D464" s="201"/>
      <c r="E464" s="202"/>
      <c r="F464" s="88">
        <f t="shared" si="2"/>
        <v>0</v>
      </c>
    </row>
    <row r="465">
      <c r="A465" s="209"/>
      <c r="B465" s="210"/>
      <c r="C465" s="211"/>
      <c r="D465" s="212"/>
      <c r="E465" s="213"/>
      <c r="F465" s="214"/>
    </row>
    <row r="466">
      <c r="A466" s="209"/>
      <c r="B466" s="210"/>
      <c r="C466" s="211"/>
      <c r="D466" s="212"/>
      <c r="E466" s="213"/>
      <c r="F466" s="214"/>
    </row>
    <row r="467">
      <c r="A467" s="209"/>
      <c r="B467" s="210"/>
      <c r="C467" s="211"/>
      <c r="D467" s="212"/>
      <c r="E467" s="213"/>
      <c r="F467" s="214"/>
    </row>
    <row r="468">
      <c r="A468" s="209"/>
      <c r="B468" s="210"/>
      <c r="C468" s="211"/>
      <c r="D468" s="212"/>
      <c r="E468" s="213"/>
      <c r="F468" s="214"/>
    </row>
    <row r="469">
      <c r="A469" s="209"/>
      <c r="B469" s="210"/>
      <c r="C469" s="211"/>
      <c r="D469" s="212"/>
      <c r="E469" s="213"/>
      <c r="F469" s="214"/>
    </row>
    <row r="470">
      <c r="A470" s="209"/>
      <c r="B470" s="210"/>
      <c r="C470" s="211"/>
      <c r="D470" s="212"/>
      <c r="E470" s="213"/>
      <c r="F470" s="214"/>
    </row>
    <row r="471">
      <c r="A471" s="209"/>
      <c r="B471" s="210"/>
      <c r="C471" s="211"/>
      <c r="D471" s="212"/>
      <c r="E471" s="213"/>
      <c r="F471" s="214"/>
    </row>
    <row r="472">
      <c r="A472" s="209"/>
      <c r="B472" s="210"/>
      <c r="C472" s="211"/>
      <c r="D472" s="212"/>
      <c r="E472" s="213"/>
      <c r="F472" s="214"/>
    </row>
    <row r="473">
      <c r="A473" s="209"/>
      <c r="B473" s="210"/>
      <c r="C473" s="211"/>
      <c r="D473" s="212"/>
      <c r="E473" s="213"/>
      <c r="F473" s="214"/>
    </row>
    <row r="474">
      <c r="A474" s="209"/>
      <c r="B474" s="210"/>
      <c r="C474" s="211"/>
      <c r="D474" s="212"/>
      <c r="E474" s="213"/>
      <c r="F474" s="214"/>
    </row>
    <row r="475">
      <c r="A475" s="209"/>
      <c r="B475" s="210"/>
      <c r="C475" s="211"/>
      <c r="D475" s="212"/>
      <c r="E475" s="213"/>
      <c r="F475" s="214"/>
    </row>
    <row r="476">
      <c r="A476" s="209"/>
      <c r="B476" s="210"/>
      <c r="C476" s="211"/>
      <c r="D476" s="212"/>
      <c r="E476" s="213"/>
      <c r="F476" s="214"/>
    </row>
    <row r="477">
      <c r="A477" s="209"/>
      <c r="B477" s="210"/>
      <c r="C477" s="211"/>
      <c r="D477" s="212"/>
      <c r="E477" s="213"/>
      <c r="F477" s="214"/>
    </row>
    <row r="478">
      <c r="A478" s="209"/>
      <c r="B478" s="210"/>
      <c r="C478" s="211"/>
      <c r="D478" s="212"/>
      <c r="E478" s="213"/>
      <c r="F478" s="214"/>
    </row>
    <row r="479">
      <c r="A479" s="209"/>
      <c r="B479" s="210"/>
      <c r="C479" s="211"/>
      <c r="D479" s="212"/>
      <c r="E479" s="213"/>
      <c r="F479" s="214"/>
    </row>
    <row r="480">
      <c r="A480" s="209"/>
      <c r="B480" s="210"/>
      <c r="C480" s="211"/>
      <c r="D480" s="212"/>
      <c r="E480" s="213"/>
      <c r="F480" s="214"/>
    </row>
    <row r="481">
      <c r="A481" s="209"/>
      <c r="B481" s="210"/>
      <c r="C481" s="211"/>
      <c r="D481" s="212"/>
      <c r="E481" s="213"/>
      <c r="F481" s="214"/>
    </row>
    <row r="482">
      <c r="A482" s="209"/>
      <c r="B482" s="210"/>
      <c r="C482" s="211"/>
      <c r="D482" s="212"/>
      <c r="E482" s="213"/>
      <c r="F482" s="214"/>
    </row>
    <row r="483">
      <c r="A483" s="209"/>
      <c r="B483" s="210"/>
      <c r="C483" s="211"/>
      <c r="D483" s="212"/>
      <c r="E483" s="213"/>
      <c r="F483" s="214"/>
    </row>
    <row r="484">
      <c r="A484" s="209"/>
      <c r="B484" s="210"/>
      <c r="C484" s="211"/>
      <c r="D484" s="212"/>
      <c r="E484" s="213"/>
      <c r="F484" s="214"/>
    </row>
    <row r="485">
      <c r="A485" s="209"/>
      <c r="B485" s="210"/>
      <c r="C485" s="211"/>
      <c r="D485" s="212"/>
      <c r="E485" s="213"/>
      <c r="F485" s="214"/>
    </row>
    <row r="486">
      <c r="A486" s="209"/>
      <c r="B486" s="210"/>
      <c r="C486" s="211"/>
      <c r="D486" s="212"/>
      <c r="E486" s="213"/>
      <c r="F486" s="214"/>
    </row>
    <row r="487">
      <c r="A487" s="209"/>
      <c r="B487" s="210"/>
      <c r="C487" s="211"/>
      <c r="D487" s="212"/>
      <c r="E487" s="213"/>
      <c r="F487" s="214"/>
    </row>
    <row r="488">
      <c r="A488" s="209"/>
      <c r="B488" s="210"/>
      <c r="C488" s="211"/>
      <c r="D488" s="212"/>
      <c r="E488" s="213"/>
      <c r="F488" s="214"/>
    </row>
    <row r="489">
      <c r="A489" s="209"/>
      <c r="B489" s="210"/>
      <c r="C489" s="211"/>
      <c r="D489" s="212"/>
      <c r="E489" s="213"/>
      <c r="F489" s="214"/>
    </row>
    <row r="490">
      <c r="A490" s="209"/>
      <c r="B490" s="210"/>
      <c r="C490" s="211"/>
      <c r="D490" s="212"/>
      <c r="E490" s="213"/>
      <c r="F490" s="214"/>
    </row>
    <row r="491">
      <c r="A491" s="209"/>
      <c r="B491" s="210"/>
      <c r="C491" s="211"/>
      <c r="D491" s="212"/>
      <c r="E491" s="213"/>
      <c r="F491" s="214"/>
    </row>
    <row r="492">
      <c r="A492" s="209"/>
      <c r="B492" s="210"/>
      <c r="C492" s="211"/>
      <c r="D492" s="212"/>
      <c r="E492" s="213"/>
      <c r="F492" s="214"/>
    </row>
    <row r="493">
      <c r="A493" s="209"/>
      <c r="B493" s="210"/>
      <c r="C493" s="211"/>
      <c r="D493" s="212"/>
      <c r="E493" s="213"/>
      <c r="F493" s="214"/>
    </row>
    <row r="494">
      <c r="A494" s="209"/>
      <c r="B494" s="210"/>
      <c r="C494" s="211"/>
      <c r="D494" s="212"/>
      <c r="E494" s="213"/>
      <c r="F494" s="214"/>
    </row>
    <row r="495">
      <c r="A495" s="209"/>
      <c r="B495" s="210"/>
      <c r="C495" s="211"/>
      <c r="D495" s="212"/>
      <c r="E495" s="213"/>
      <c r="F495" s="214"/>
    </row>
    <row r="496">
      <c r="A496" s="209"/>
      <c r="B496" s="210"/>
      <c r="C496" s="211"/>
      <c r="D496" s="212"/>
      <c r="E496" s="213"/>
      <c r="F496" s="214"/>
    </row>
    <row r="497">
      <c r="A497" s="209"/>
      <c r="B497" s="210"/>
      <c r="C497" s="211"/>
      <c r="D497" s="212"/>
      <c r="E497" s="213"/>
      <c r="F497" s="214"/>
    </row>
    <row r="498">
      <c r="A498" s="209"/>
      <c r="B498" s="210"/>
      <c r="C498" s="211"/>
      <c r="D498" s="212"/>
      <c r="E498" s="213"/>
      <c r="F498" s="214"/>
    </row>
    <row r="499">
      <c r="A499" s="209"/>
      <c r="B499" s="210"/>
      <c r="C499" s="211"/>
      <c r="D499" s="212"/>
      <c r="E499" s="213"/>
      <c r="F499" s="214"/>
    </row>
    <row r="500">
      <c r="A500" s="209"/>
      <c r="B500" s="210"/>
      <c r="C500" s="211"/>
      <c r="D500" s="212"/>
      <c r="E500" s="213"/>
      <c r="F500" s="214"/>
    </row>
    <row r="501">
      <c r="A501" s="209"/>
      <c r="B501" s="210"/>
      <c r="C501" s="211"/>
      <c r="D501" s="212"/>
      <c r="E501" s="213"/>
      <c r="F501" s="214"/>
    </row>
    <row r="502">
      <c r="A502" s="209"/>
      <c r="B502" s="210"/>
      <c r="C502" s="211"/>
      <c r="D502" s="212"/>
      <c r="E502" s="213"/>
      <c r="F502" s="214"/>
    </row>
    <row r="503">
      <c r="A503" s="209"/>
      <c r="B503" s="210"/>
      <c r="C503" s="211"/>
      <c r="D503" s="212"/>
      <c r="E503" s="213"/>
      <c r="F503" s="214"/>
    </row>
    <row r="504">
      <c r="A504" s="209"/>
      <c r="B504" s="210"/>
      <c r="C504" s="211"/>
      <c r="D504" s="212"/>
      <c r="E504" s="213"/>
      <c r="F504" s="214"/>
    </row>
    <row r="505">
      <c r="A505" s="209"/>
      <c r="B505" s="210"/>
      <c r="C505" s="211"/>
      <c r="D505" s="212"/>
      <c r="E505" s="213"/>
      <c r="F505" s="214"/>
    </row>
    <row r="506">
      <c r="A506" s="209"/>
      <c r="B506" s="210"/>
      <c r="C506" s="211"/>
      <c r="D506" s="212"/>
      <c r="E506" s="213"/>
      <c r="F506" s="214"/>
    </row>
    <row r="507">
      <c r="A507" s="209"/>
      <c r="B507" s="210"/>
      <c r="C507" s="211"/>
      <c r="D507" s="212"/>
      <c r="E507" s="213"/>
      <c r="F507" s="214"/>
    </row>
    <row r="508">
      <c r="A508" s="209"/>
      <c r="B508" s="210"/>
      <c r="C508" s="211"/>
      <c r="D508" s="212"/>
      <c r="E508" s="213"/>
      <c r="F508" s="214"/>
    </row>
    <row r="509">
      <c r="A509" s="209"/>
      <c r="B509" s="210"/>
      <c r="C509" s="211"/>
      <c r="D509" s="212"/>
      <c r="E509" s="213"/>
      <c r="F509" s="214"/>
    </row>
    <row r="510">
      <c r="A510" s="209"/>
      <c r="B510" s="210"/>
      <c r="C510" s="211"/>
      <c r="D510" s="212"/>
      <c r="E510" s="213"/>
      <c r="F510" s="214"/>
    </row>
    <row r="511">
      <c r="A511" s="209"/>
      <c r="B511" s="210"/>
      <c r="C511" s="211"/>
      <c r="D511" s="212"/>
      <c r="E511" s="213"/>
      <c r="F511" s="214"/>
    </row>
    <row r="512">
      <c r="A512" s="209"/>
      <c r="B512" s="210"/>
      <c r="C512" s="211"/>
      <c r="D512" s="212"/>
      <c r="E512" s="213"/>
      <c r="F512" s="214"/>
    </row>
    <row r="513">
      <c r="A513" s="209"/>
      <c r="B513" s="210"/>
      <c r="C513" s="211"/>
      <c r="D513" s="212"/>
      <c r="E513" s="213"/>
      <c r="F513" s="214"/>
    </row>
    <row r="514">
      <c r="A514" s="209"/>
      <c r="B514" s="210"/>
      <c r="C514" s="211"/>
      <c r="D514" s="212"/>
      <c r="E514" s="213"/>
      <c r="F514" s="214"/>
    </row>
    <row r="515">
      <c r="A515" s="209"/>
      <c r="B515" s="210"/>
      <c r="C515" s="211"/>
      <c r="D515" s="212"/>
      <c r="E515" s="213"/>
      <c r="F515" s="214"/>
    </row>
    <row r="516">
      <c r="A516" s="209"/>
      <c r="B516" s="210"/>
      <c r="C516" s="211"/>
      <c r="D516" s="212"/>
      <c r="E516" s="213"/>
      <c r="F516" s="214"/>
    </row>
    <row r="517">
      <c r="A517" s="209"/>
      <c r="B517" s="210"/>
      <c r="C517" s="211"/>
      <c r="D517" s="212"/>
      <c r="E517" s="213"/>
      <c r="F517" s="214"/>
    </row>
    <row r="518">
      <c r="A518" s="209"/>
      <c r="B518" s="210"/>
      <c r="C518" s="211"/>
      <c r="D518" s="212"/>
      <c r="E518" s="213"/>
      <c r="F518" s="214"/>
    </row>
    <row r="519">
      <c r="A519" s="209"/>
      <c r="B519" s="210"/>
      <c r="C519" s="211"/>
      <c r="D519" s="212"/>
      <c r="E519" s="213"/>
      <c r="F519" s="214"/>
    </row>
    <row r="520">
      <c r="A520" s="209"/>
      <c r="B520" s="210"/>
      <c r="C520" s="211"/>
      <c r="D520" s="212"/>
      <c r="E520" s="213"/>
      <c r="F520" s="214"/>
    </row>
    <row r="521">
      <c r="A521" s="209"/>
      <c r="B521" s="210"/>
      <c r="C521" s="211"/>
      <c r="D521" s="212"/>
      <c r="E521" s="213"/>
      <c r="F521" s="214"/>
    </row>
    <row r="522">
      <c r="A522" s="209"/>
      <c r="B522" s="210"/>
      <c r="C522" s="211"/>
      <c r="D522" s="212"/>
      <c r="E522" s="213"/>
      <c r="F522" s="214"/>
    </row>
    <row r="523">
      <c r="A523" s="209"/>
      <c r="B523" s="210"/>
      <c r="C523" s="211"/>
      <c r="D523" s="212"/>
      <c r="E523" s="213"/>
      <c r="F523" s="214"/>
    </row>
    <row r="524">
      <c r="A524" s="209"/>
      <c r="B524" s="210"/>
      <c r="C524" s="211"/>
      <c r="D524" s="212"/>
      <c r="E524" s="213"/>
      <c r="F524" s="214"/>
    </row>
    <row r="525">
      <c r="A525" s="209"/>
      <c r="B525" s="210"/>
      <c r="C525" s="211"/>
      <c r="D525" s="212"/>
      <c r="E525" s="213"/>
      <c r="F525" s="214"/>
    </row>
    <row r="526">
      <c r="A526" s="209"/>
      <c r="B526" s="210"/>
      <c r="C526" s="211"/>
      <c r="D526" s="212"/>
      <c r="E526" s="213"/>
      <c r="F526" s="214"/>
    </row>
    <row r="527">
      <c r="A527" s="209"/>
      <c r="B527" s="210"/>
      <c r="C527" s="211"/>
      <c r="D527" s="212"/>
      <c r="E527" s="213"/>
      <c r="F527" s="214"/>
    </row>
    <row r="528">
      <c r="A528" s="209"/>
      <c r="B528" s="210"/>
      <c r="C528" s="211"/>
      <c r="D528" s="212"/>
      <c r="E528" s="213"/>
      <c r="F528" s="214"/>
    </row>
    <row r="529">
      <c r="A529" s="209"/>
      <c r="B529" s="210"/>
      <c r="C529" s="211"/>
      <c r="D529" s="212"/>
      <c r="E529" s="213"/>
      <c r="F529" s="214"/>
    </row>
    <row r="530">
      <c r="A530" s="209"/>
      <c r="B530" s="210"/>
      <c r="C530" s="211"/>
      <c r="D530" s="212"/>
      <c r="E530" s="213"/>
      <c r="F530" s="214"/>
    </row>
    <row r="531">
      <c r="A531" s="209"/>
      <c r="B531" s="210"/>
      <c r="C531" s="211"/>
      <c r="D531" s="212"/>
      <c r="E531" s="213"/>
      <c r="F531" s="214"/>
    </row>
    <row r="532">
      <c r="A532" s="209"/>
      <c r="B532" s="210"/>
      <c r="C532" s="211"/>
      <c r="D532" s="212"/>
      <c r="E532" s="213"/>
      <c r="F532" s="214"/>
    </row>
    <row r="533">
      <c r="A533" s="209"/>
      <c r="B533" s="210"/>
      <c r="C533" s="211"/>
      <c r="D533" s="212"/>
      <c r="E533" s="213"/>
      <c r="F533" s="214"/>
    </row>
    <row r="534">
      <c r="A534" s="209"/>
      <c r="B534" s="210"/>
      <c r="C534" s="211"/>
      <c r="D534" s="212"/>
      <c r="E534" s="213"/>
      <c r="F534" s="214"/>
    </row>
    <row r="535">
      <c r="A535" s="209"/>
      <c r="B535" s="210"/>
      <c r="C535" s="211"/>
      <c r="D535" s="212"/>
      <c r="E535" s="213"/>
      <c r="F535" s="214"/>
    </row>
    <row r="536">
      <c r="A536" s="209"/>
      <c r="B536" s="210"/>
      <c r="C536" s="211"/>
      <c r="D536" s="212"/>
      <c r="E536" s="213"/>
      <c r="F536" s="214"/>
    </row>
    <row r="537">
      <c r="A537" s="209"/>
      <c r="B537" s="210"/>
      <c r="C537" s="211"/>
      <c r="D537" s="212"/>
      <c r="E537" s="213"/>
      <c r="F537" s="214"/>
    </row>
    <row r="538">
      <c r="A538" s="209"/>
      <c r="B538" s="210"/>
      <c r="C538" s="211"/>
      <c r="D538" s="212"/>
      <c r="E538" s="213"/>
      <c r="F538" s="214"/>
    </row>
    <row r="539">
      <c r="A539" s="209"/>
      <c r="B539" s="210"/>
      <c r="C539" s="211"/>
      <c r="D539" s="212"/>
      <c r="E539" s="213"/>
      <c r="F539" s="214"/>
    </row>
    <row r="540">
      <c r="A540" s="209"/>
      <c r="B540" s="210"/>
      <c r="C540" s="211"/>
      <c r="D540" s="212"/>
      <c r="E540" s="213"/>
      <c r="F540" s="214"/>
    </row>
    <row r="541">
      <c r="A541" s="209"/>
      <c r="B541" s="210"/>
      <c r="C541" s="211"/>
      <c r="D541" s="212"/>
      <c r="E541" s="213"/>
      <c r="F541" s="214"/>
    </row>
    <row r="542">
      <c r="A542" s="209"/>
      <c r="B542" s="210"/>
      <c r="C542" s="211"/>
      <c r="D542" s="212"/>
      <c r="E542" s="213"/>
      <c r="F542" s="214"/>
    </row>
    <row r="543">
      <c r="A543" s="209"/>
      <c r="B543" s="210"/>
      <c r="C543" s="211"/>
      <c r="D543" s="212"/>
      <c r="E543" s="213"/>
      <c r="F543" s="214"/>
    </row>
    <row r="544">
      <c r="A544" s="209"/>
      <c r="B544" s="210"/>
      <c r="C544" s="211"/>
      <c r="D544" s="212"/>
      <c r="E544" s="213"/>
      <c r="F544" s="214"/>
    </row>
    <row r="545">
      <c r="A545" s="209"/>
      <c r="B545" s="210"/>
      <c r="C545" s="211"/>
      <c r="D545" s="212"/>
      <c r="E545" s="213"/>
      <c r="F545" s="214"/>
    </row>
    <row r="546">
      <c r="A546" s="209"/>
      <c r="B546" s="210"/>
      <c r="C546" s="211"/>
      <c r="D546" s="212"/>
      <c r="E546" s="213"/>
      <c r="F546" s="214"/>
    </row>
    <row r="547">
      <c r="A547" s="209"/>
      <c r="B547" s="210"/>
      <c r="C547" s="211"/>
      <c r="D547" s="212"/>
      <c r="E547" s="213"/>
      <c r="F547" s="214"/>
    </row>
    <row r="548">
      <c r="A548" s="209"/>
      <c r="B548" s="210"/>
      <c r="C548" s="211"/>
      <c r="D548" s="212"/>
      <c r="E548" s="213"/>
      <c r="F548" s="214"/>
    </row>
    <row r="549">
      <c r="A549" s="209"/>
      <c r="B549" s="210"/>
      <c r="C549" s="211"/>
      <c r="D549" s="212"/>
      <c r="E549" s="213"/>
      <c r="F549" s="214"/>
    </row>
    <row r="550">
      <c r="A550" s="209"/>
      <c r="B550" s="210"/>
      <c r="C550" s="211"/>
      <c r="D550" s="212"/>
      <c r="E550" s="213"/>
      <c r="F550" s="214"/>
    </row>
    <row r="551">
      <c r="A551" s="209"/>
      <c r="B551" s="210"/>
      <c r="C551" s="211"/>
      <c r="D551" s="212"/>
      <c r="E551" s="213"/>
      <c r="F551" s="214"/>
    </row>
    <row r="552">
      <c r="A552" s="209"/>
      <c r="B552" s="210"/>
      <c r="C552" s="211"/>
      <c r="D552" s="212"/>
      <c r="E552" s="213"/>
      <c r="F552" s="214"/>
    </row>
    <row r="553">
      <c r="A553" s="209"/>
      <c r="B553" s="210"/>
      <c r="C553" s="211"/>
      <c r="D553" s="212"/>
      <c r="E553" s="213"/>
      <c r="F553" s="214"/>
    </row>
    <row r="554">
      <c r="A554" s="209"/>
      <c r="B554" s="210"/>
      <c r="C554" s="211"/>
      <c r="D554" s="212"/>
      <c r="E554" s="213"/>
      <c r="F554" s="214"/>
    </row>
    <row r="555">
      <c r="A555" s="209"/>
      <c r="B555" s="210"/>
      <c r="C555" s="211"/>
      <c r="D555" s="212"/>
      <c r="E555" s="213"/>
      <c r="F555" s="214"/>
    </row>
    <row r="556">
      <c r="A556" s="209"/>
      <c r="B556" s="210"/>
      <c r="C556" s="211"/>
      <c r="D556" s="212"/>
      <c r="E556" s="213"/>
      <c r="F556" s="214"/>
    </row>
    <row r="557">
      <c r="A557" s="209"/>
      <c r="B557" s="210"/>
      <c r="C557" s="211"/>
      <c r="D557" s="212"/>
      <c r="E557" s="213"/>
      <c r="F557" s="214"/>
    </row>
    <row r="558">
      <c r="A558" s="209"/>
      <c r="B558" s="210"/>
      <c r="C558" s="211"/>
      <c r="D558" s="212"/>
      <c r="E558" s="213"/>
      <c r="F558" s="214"/>
    </row>
    <row r="559">
      <c r="A559" s="209"/>
      <c r="B559" s="210"/>
      <c r="C559" s="211"/>
      <c r="D559" s="212"/>
      <c r="E559" s="213"/>
      <c r="F559" s="214"/>
    </row>
    <row r="560">
      <c r="A560" s="209"/>
      <c r="B560" s="210"/>
      <c r="C560" s="211"/>
      <c r="D560" s="212"/>
      <c r="E560" s="213"/>
      <c r="F560" s="214"/>
    </row>
    <row r="561">
      <c r="A561" s="209"/>
      <c r="B561" s="210"/>
      <c r="C561" s="211"/>
      <c r="D561" s="212"/>
      <c r="E561" s="213"/>
      <c r="F561" s="214"/>
    </row>
    <row r="562">
      <c r="A562" s="209"/>
      <c r="B562" s="210"/>
      <c r="C562" s="211"/>
      <c r="D562" s="212"/>
      <c r="E562" s="213"/>
      <c r="F562" s="214"/>
    </row>
    <row r="563">
      <c r="A563" s="209"/>
      <c r="B563" s="210"/>
      <c r="C563" s="211"/>
      <c r="D563" s="212"/>
      <c r="E563" s="213"/>
      <c r="F563" s="214"/>
    </row>
    <row r="564">
      <c r="A564" s="209"/>
      <c r="B564" s="210"/>
      <c r="C564" s="211"/>
      <c r="D564" s="212"/>
      <c r="E564" s="213"/>
      <c r="F564" s="214"/>
    </row>
    <row r="565">
      <c r="A565" s="209"/>
      <c r="B565" s="210"/>
      <c r="C565" s="211"/>
      <c r="D565" s="212"/>
      <c r="E565" s="213"/>
      <c r="F565" s="214"/>
    </row>
    <row r="566">
      <c r="A566" s="209"/>
      <c r="B566" s="210"/>
      <c r="C566" s="211"/>
      <c r="D566" s="212"/>
      <c r="E566" s="213"/>
      <c r="F566" s="214"/>
    </row>
    <row r="567">
      <c r="A567" s="209"/>
      <c r="B567" s="210"/>
      <c r="C567" s="211"/>
      <c r="D567" s="212"/>
      <c r="E567" s="213"/>
      <c r="F567" s="214"/>
    </row>
    <row r="568">
      <c r="A568" s="209"/>
      <c r="B568" s="210"/>
      <c r="C568" s="211"/>
      <c r="D568" s="212"/>
      <c r="E568" s="213"/>
      <c r="F568" s="214"/>
    </row>
    <row r="569">
      <c r="A569" s="209"/>
      <c r="B569" s="210"/>
      <c r="C569" s="211"/>
      <c r="D569" s="212"/>
      <c r="E569" s="213"/>
      <c r="F569" s="214"/>
    </row>
    <row r="570">
      <c r="A570" s="209"/>
      <c r="B570" s="210"/>
      <c r="C570" s="211"/>
      <c r="D570" s="212"/>
      <c r="E570" s="213"/>
      <c r="F570" s="214"/>
    </row>
    <row r="571">
      <c r="A571" s="209"/>
      <c r="B571" s="210"/>
      <c r="C571" s="211"/>
      <c r="D571" s="212"/>
      <c r="E571" s="213"/>
      <c r="F571" s="214"/>
    </row>
    <row r="572">
      <c r="A572" s="209"/>
      <c r="B572" s="210"/>
      <c r="C572" s="211"/>
      <c r="D572" s="212"/>
      <c r="E572" s="213"/>
      <c r="F572" s="214"/>
    </row>
    <row r="573">
      <c r="A573" s="209"/>
      <c r="B573" s="210"/>
      <c r="C573" s="211"/>
      <c r="D573" s="212"/>
      <c r="E573" s="213"/>
      <c r="F573" s="214"/>
    </row>
    <row r="574">
      <c r="A574" s="209"/>
      <c r="B574" s="210"/>
      <c r="C574" s="211"/>
      <c r="D574" s="212"/>
      <c r="E574" s="213"/>
      <c r="F574" s="214"/>
    </row>
    <row r="575">
      <c r="A575" s="209"/>
      <c r="B575" s="210"/>
      <c r="C575" s="211"/>
      <c r="D575" s="212"/>
      <c r="E575" s="213"/>
      <c r="F575" s="214"/>
    </row>
    <row r="576">
      <c r="A576" s="209"/>
      <c r="B576" s="210"/>
      <c r="C576" s="211"/>
      <c r="D576" s="212"/>
      <c r="E576" s="213"/>
      <c r="F576" s="214"/>
    </row>
    <row r="577">
      <c r="A577" s="209"/>
      <c r="B577" s="210"/>
      <c r="C577" s="211"/>
      <c r="D577" s="212"/>
      <c r="E577" s="213"/>
      <c r="F577" s="214"/>
    </row>
    <row r="578">
      <c r="A578" s="209"/>
      <c r="B578" s="210"/>
      <c r="C578" s="211"/>
      <c r="D578" s="212"/>
      <c r="E578" s="213"/>
      <c r="F578" s="214"/>
    </row>
    <row r="579">
      <c r="A579" s="209"/>
      <c r="B579" s="210"/>
      <c r="C579" s="211"/>
      <c r="D579" s="212"/>
      <c r="E579" s="213"/>
      <c r="F579" s="214"/>
    </row>
    <row r="580">
      <c r="A580" s="209"/>
      <c r="B580" s="210"/>
      <c r="C580" s="211"/>
      <c r="D580" s="212"/>
      <c r="E580" s="213"/>
      <c r="F580" s="214"/>
    </row>
    <row r="581">
      <c r="A581" s="209"/>
      <c r="B581" s="210"/>
      <c r="C581" s="211"/>
      <c r="D581" s="212"/>
      <c r="E581" s="213"/>
      <c r="F581" s="214"/>
    </row>
    <row r="582">
      <c r="A582" s="209"/>
      <c r="B582" s="210"/>
      <c r="C582" s="211"/>
      <c r="D582" s="212"/>
      <c r="E582" s="213"/>
      <c r="F582" s="214"/>
    </row>
    <row r="583">
      <c r="A583" s="209"/>
      <c r="B583" s="210"/>
      <c r="C583" s="211"/>
      <c r="D583" s="212"/>
      <c r="E583" s="213"/>
      <c r="F583" s="214"/>
    </row>
    <row r="584">
      <c r="A584" s="209"/>
      <c r="B584" s="210"/>
      <c r="C584" s="211"/>
      <c r="D584" s="212"/>
      <c r="E584" s="213"/>
      <c r="F584" s="214"/>
    </row>
    <row r="585">
      <c r="A585" s="209"/>
      <c r="B585" s="210"/>
      <c r="C585" s="211"/>
      <c r="D585" s="212"/>
      <c r="E585" s="213"/>
      <c r="F585" s="214"/>
    </row>
    <row r="586">
      <c r="A586" s="209"/>
      <c r="B586" s="210"/>
      <c r="C586" s="211"/>
      <c r="D586" s="212"/>
      <c r="E586" s="213"/>
      <c r="F586" s="214"/>
    </row>
    <row r="587">
      <c r="A587" s="209"/>
      <c r="B587" s="210"/>
      <c r="C587" s="211"/>
      <c r="D587" s="212"/>
      <c r="E587" s="213"/>
      <c r="F587" s="214"/>
    </row>
    <row r="588">
      <c r="A588" s="209"/>
      <c r="B588" s="210"/>
      <c r="C588" s="211"/>
      <c r="D588" s="212"/>
      <c r="E588" s="213"/>
      <c r="F588" s="214"/>
    </row>
    <row r="589">
      <c r="A589" s="209"/>
      <c r="B589" s="210"/>
      <c r="C589" s="211"/>
      <c r="D589" s="212"/>
      <c r="E589" s="213"/>
      <c r="F589" s="214"/>
    </row>
    <row r="590">
      <c r="A590" s="209"/>
      <c r="B590" s="210"/>
      <c r="C590" s="211"/>
      <c r="D590" s="212"/>
      <c r="E590" s="213"/>
      <c r="F590" s="214"/>
    </row>
    <row r="591">
      <c r="A591" s="209"/>
      <c r="B591" s="210"/>
      <c r="C591" s="211"/>
      <c r="D591" s="212"/>
      <c r="E591" s="213"/>
      <c r="F591" s="214"/>
    </row>
    <row r="592">
      <c r="A592" s="209"/>
      <c r="B592" s="210"/>
      <c r="C592" s="211"/>
      <c r="D592" s="212"/>
      <c r="E592" s="213"/>
      <c r="F592" s="214"/>
    </row>
    <row r="593">
      <c r="A593" s="209"/>
      <c r="B593" s="210"/>
      <c r="C593" s="211"/>
      <c r="D593" s="212"/>
      <c r="E593" s="213"/>
      <c r="F593" s="214"/>
    </row>
    <row r="594">
      <c r="A594" s="209"/>
      <c r="B594" s="210"/>
      <c r="C594" s="211"/>
      <c r="D594" s="212"/>
      <c r="E594" s="213"/>
      <c r="F594" s="214"/>
    </row>
    <row r="595">
      <c r="A595" s="209"/>
      <c r="B595" s="210"/>
      <c r="C595" s="211"/>
      <c r="D595" s="212"/>
      <c r="E595" s="213"/>
      <c r="F595" s="214"/>
    </row>
    <row r="596">
      <c r="A596" s="209"/>
      <c r="B596" s="210"/>
      <c r="C596" s="211"/>
      <c r="D596" s="212"/>
      <c r="E596" s="213"/>
      <c r="F596" s="214"/>
    </row>
    <row r="597">
      <c r="A597" s="209"/>
      <c r="B597" s="210"/>
      <c r="C597" s="211"/>
      <c r="D597" s="212"/>
      <c r="E597" s="213"/>
      <c r="F597" s="214"/>
    </row>
    <row r="598">
      <c r="A598" s="209"/>
      <c r="B598" s="210"/>
      <c r="C598" s="211"/>
      <c r="D598" s="212"/>
      <c r="E598" s="213"/>
      <c r="F598" s="214"/>
    </row>
    <row r="599">
      <c r="A599" s="209"/>
      <c r="B599" s="210"/>
      <c r="C599" s="211"/>
      <c r="D599" s="212"/>
      <c r="E599" s="213"/>
      <c r="F599" s="214"/>
    </row>
    <row r="600">
      <c r="A600" s="209"/>
      <c r="B600" s="210"/>
      <c r="C600" s="211"/>
      <c r="D600" s="212"/>
      <c r="E600" s="213"/>
      <c r="F600" s="214"/>
    </row>
    <row r="601">
      <c r="A601" s="209"/>
      <c r="B601" s="210"/>
      <c r="C601" s="211"/>
      <c r="D601" s="212"/>
      <c r="E601" s="213"/>
      <c r="F601" s="214"/>
    </row>
    <row r="602">
      <c r="A602" s="209"/>
      <c r="B602" s="210"/>
      <c r="C602" s="211"/>
      <c r="D602" s="212"/>
      <c r="E602" s="213"/>
      <c r="F602" s="214"/>
    </row>
    <row r="603">
      <c r="A603" s="209"/>
      <c r="B603" s="210"/>
      <c r="C603" s="211"/>
      <c r="D603" s="212"/>
      <c r="E603" s="213"/>
      <c r="F603" s="214"/>
    </row>
    <row r="604">
      <c r="A604" s="209"/>
      <c r="B604" s="210"/>
      <c r="C604" s="211"/>
      <c r="D604" s="212"/>
      <c r="E604" s="213"/>
      <c r="F604" s="214"/>
    </row>
    <row r="605">
      <c r="A605" s="209"/>
      <c r="B605" s="210"/>
      <c r="C605" s="211"/>
      <c r="D605" s="212"/>
      <c r="E605" s="213"/>
      <c r="F605" s="214"/>
    </row>
    <row r="606">
      <c r="A606" s="209"/>
      <c r="B606" s="210"/>
      <c r="C606" s="211"/>
      <c r="D606" s="212"/>
      <c r="E606" s="213"/>
      <c r="F606" s="214"/>
    </row>
    <row r="607">
      <c r="A607" s="209"/>
      <c r="B607" s="210"/>
      <c r="C607" s="211"/>
      <c r="D607" s="212"/>
      <c r="E607" s="213"/>
      <c r="F607" s="214"/>
    </row>
    <row r="608">
      <c r="A608" s="209"/>
      <c r="B608" s="210"/>
      <c r="C608" s="211"/>
      <c r="D608" s="212"/>
      <c r="E608" s="213"/>
      <c r="F608" s="214"/>
    </row>
    <row r="609">
      <c r="A609" s="209"/>
      <c r="B609" s="210"/>
      <c r="C609" s="211"/>
      <c r="D609" s="212"/>
      <c r="E609" s="213"/>
      <c r="F609" s="214"/>
    </row>
    <row r="610">
      <c r="A610" s="209"/>
      <c r="B610" s="210"/>
      <c r="C610" s="211"/>
      <c r="D610" s="212"/>
      <c r="E610" s="213"/>
      <c r="F610" s="214"/>
    </row>
    <row r="611">
      <c r="A611" s="209"/>
      <c r="B611" s="210"/>
      <c r="C611" s="211"/>
      <c r="D611" s="212"/>
      <c r="E611" s="213"/>
      <c r="F611" s="214"/>
    </row>
    <row r="612">
      <c r="A612" s="209"/>
      <c r="B612" s="210"/>
      <c r="C612" s="211"/>
      <c r="D612" s="212"/>
      <c r="E612" s="213"/>
      <c r="F612" s="214"/>
    </row>
    <row r="613">
      <c r="A613" s="209"/>
      <c r="B613" s="210"/>
      <c r="C613" s="211"/>
      <c r="D613" s="212"/>
      <c r="E613" s="213"/>
      <c r="F613" s="214"/>
    </row>
    <row r="614">
      <c r="A614" s="209"/>
      <c r="B614" s="210"/>
      <c r="C614" s="211"/>
      <c r="D614" s="212"/>
      <c r="E614" s="213"/>
      <c r="F614" s="214"/>
    </row>
    <row r="615">
      <c r="A615" s="209"/>
      <c r="B615" s="210"/>
      <c r="C615" s="211"/>
      <c r="D615" s="212"/>
      <c r="E615" s="213"/>
      <c r="F615" s="214"/>
    </row>
    <row r="616">
      <c r="A616" s="209"/>
      <c r="B616" s="210"/>
      <c r="C616" s="211"/>
      <c r="D616" s="212"/>
      <c r="E616" s="213"/>
      <c r="F616" s="214"/>
    </row>
    <row r="617">
      <c r="A617" s="209"/>
      <c r="B617" s="210"/>
      <c r="C617" s="211"/>
      <c r="D617" s="212"/>
      <c r="E617" s="213"/>
      <c r="F617" s="214"/>
    </row>
    <row r="618">
      <c r="A618" s="209"/>
      <c r="B618" s="210"/>
      <c r="C618" s="211"/>
      <c r="D618" s="212"/>
      <c r="E618" s="213"/>
      <c r="F618" s="214"/>
    </row>
    <row r="619">
      <c r="A619" s="209"/>
      <c r="B619" s="210"/>
      <c r="C619" s="211"/>
      <c r="D619" s="212"/>
      <c r="E619" s="213"/>
      <c r="F619" s="214"/>
    </row>
    <row r="620">
      <c r="A620" s="209"/>
      <c r="B620" s="210"/>
      <c r="C620" s="211"/>
      <c r="D620" s="212"/>
      <c r="E620" s="213"/>
      <c r="F620" s="214"/>
    </row>
    <row r="621">
      <c r="A621" s="209"/>
      <c r="B621" s="210"/>
      <c r="C621" s="211"/>
      <c r="D621" s="212"/>
      <c r="E621" s="213"/>
      <c r="F621" s="214"/>
    </row>
    <row r="622">
      <c r="A622" s="209"/>
      <c r="B622" s="210"/>
      <c r="C622" s="211"/>
      <c r="D622" s="212"/>
      <c r="E622" s="213"/>
      <c r="F622" s="214"/>
    </row>
    <row r="623">
      <c r="A623" s="209"/>
      <c r="B623" s="210"/>
      <c r="C623" s="211"/>
      <c r="D623" s="212"/>
      <c r="E623" s="213"/>
      <c r="F623" s="214"/>
    </row>
    <row r="624">
      <c r="A624" s="209"/>
      <c r="B624" s="210"/>
      <c r="C624" s="211"/>
      <c r="D624" s="212"/>
      <c r="E624" s="213"/>
      <c r="F624" s="214"/>
    </row>
    <row r="625">
      <c r="A625" s="209"/>
      <c r="B625" s="210"/>
      <c r="C625" s="211"/>
      <c r="D625" s="212"/>
      <c r="E625" s="213"/>
      <c r="F625" s="214"/>
    </row>
    <row r="626">
      <c r="A626" s="209"/>
      <c r="B626" s="210"/>
      <c r="C626" s="211"/>
      <c r="D626" s="212"/>
      <c r="E626" s="213"/>
      <c r="F626" s="214"/>
    </row>
    <row r="627">
      <c r="A627" s="209"/>
      <c r="B627" s="210"/>
      <c r="C627" s="211"/>
      <c r="D627" s="212"/>
      <c r="E627" s="213"/>
      <c r="F627" s="214"/>
    </row>
    <row r="628">
      <c r="A628" s="209"/>
      <c r="B628" s="210"/>
      <c r="C628" s="211"/>
      <c r="D628" s="212"/>
      <c r="E628" s="213"/>
      <c r="F628" s="214"/>
    </row>
    <row r="629">
      <c r="A629" s="209"/>
      <c r="B629" s="210"/>
      <c r="C629" s="211"/>
      <c r="D629" s="212"/>
      <c r="E629" s="213"/>
      <c r="F629" s="214"/>
    </row>
    <row r="630">
      <c r="A630" s="209"/>
      <c r="B630" s="210"/>
      <c r="C630" s="211"/>
      <c r="D630" s="212"/>
      <c r="E630" s="213"/>
      <c r="F630" s="214"/>
    </row>
    <row r="631">
      <c r="A631" s="209"/>
      <c r="B631" s="210"/>
      <c r="C631" s="211"/>
      <c r="D631" s="212"/>
      <c r="E631" s="213"/>
      <c r="F631" s="214"/>
    </row>
    <row r="632">
      <c r="A632" s="209"/>
      <c r="B632" s="210"/>
      <c r="C632" s="211"/>
      <c r="D632" s="212"/>
      <c r="E632" s="213"/>
      <c r="F632" s="214"/>
    </row>
    <row r="633">
      <c r="A633" s="209"/>
      <c r="B633" s="210"/>
      <c r="C633" s="211"/>
      <c r="D633" s="212"/>
      <c r="E633" s="213"/>
      <c r="F633" s="214"/>
    </row>
    <row r="634">
      <c r="A634" s="209"/>
      <c r="B634" s="210"/>
      <c r="C634" s="211"/>
      <c r="D634" s="212"/>
      <c r="E634" s="213"/>
      <c r="F634" s="214"/>
    </row>
    <row r="635">
      <c r="A635" s="209"/>
      <c r="B635" s="210"/>
      <c r="C635" s="211"/>
      <c r="D635" s="212"/>
      <c r="E635" s="213"/>
      <c r="F635" s="214"/>
    </row>
    <row r="636">
      <c r="A636" s="209"/>
      <c r="B636" s="210"/>
      <c r="C636" s="211"/>
      <c r="D636" s="212"/>
      <c r="E636" s="213"/>
      <c r="F636" s="214"/>
    </row>
    <row r="637">
      <c r="A637" s="209"/>
      <c r="B637" s="210"/>
      <c r="C637" s="211"/>
      <c r="D637" s="212"/>
      <c r="E637" s="213"/>
      <c r="F637" s="214"/>
    </row>
    <row r="638">
      <c r="A638" s="209"/>
      <c r="B638" s="210"/>
      <c r="C638" s="211"/>
      <c r="D638" s="212"/>
      <c r="E638" s="213"/>
      <c r="F638" s="214"/>
    </row>
    <row r="639">
      <c r="A639" s="209"/>
      <c r="B639" s="210"/>
      <c r="C639" s="211"/>
      <c r="D639" s="212"/>
      <c r="E639" s="213"/>
      <c r="F639" s="214"/>
    </row>
    <row r="640">
      <c r="A640" s="209"/>
      <c r="B640" s="210"/>
      <c r="C640" s="211"/>
      <c r="D640" s="212"/>
      <c r="E640" s="213"/>
      <c r="F640" s="214"/>
    </row>
    <row r="641">
      <c r="A641" s="209"/>
      <c r="B641" s="210"/>
      <c r="C641" s="211"/>
      <c r="D641" s="212"/>
      <c r="E641" s="213"/>
      <c r="F641" s="214"/>
    </row>
    <row r="642">
      <c r="A642" s="209"/>
      <c r="B642" s="210"/>
      <c r="C642" s="211"/>
      <c r="D642" s="212"/>
      <c r="E642" s="213"/>
      <c r="F642" s="214"/>
    </row>
    <row r="643">
      <c r="A643" s="209"/>
      <c r="B643" s="210"/>
      <c r="C643" s="211"/>
      <c r="D643" s="212"/>
      <c r="E643" s="213"/>
      <c r="F643" s="214"/>
    </row>
    <row r="644">
      <c r="A644" s="209"/>
      <c r="B644" s="210"/>
      <c r="C644" s="211"/>
      <c r="D644" s="212"/>
      <c r="E644" s="213"/>
      <c r="F644" s="214"/>
    </row>
    <row r="645">
      <c r="A645" s="209"/>
      <c r="B645" s="210"/>
      <c r="C645" s="211"/>
      <c r="D645" s="212"/>
      <c r="E645" s="213"/>
      <c r="F645" s="214"/>
    </row>
    <row r="646">
      <c r="A646" s="209"/>
      <c r="B646" s="210"/>
      <c r="C646" s="211"/>
      <c r="D646" s="212"/>
      <c r="E646" s="213"/>
      <c r="F646" s="214"/>
    </row>
    <row r="647">
      <c r="A647" s="209"/>
      <c r="B647" s="210"/>
      <c r="C647" s="211"/>
      <c r="D647" s="212"/>
      <c r="E647" s="213"/>
      <c r="F647" s="214"/>
    </row>
    <row r="648">
      <c r="A648" s="209"/>
      <c r="B648" s="210"/>
      <c r="C648" s="211"/>
      <c r="D648" s="212"/>
      <c r="E648" s="213"/>
      <c r="F648" s="214"/>
    </row>
    <row r="649">
      <c r="A649" s="209"/>
      <c r="B649" s="210"/>
      <c r="C649" s="211"/>
      <c r="D649" s="212"/>
      <c r="E649" s="213"/>
      <c r="F649" s="214"/>
    </row>
    <row r="650">
      <c r="A650" s="209"/>
      <c r="B650" s="210"/>
      <c r="C650" s="211"/>
      <c r="D650" s="212"/>
      <c r="E650" s="213"/>
      <c r="F650" s="214"/>
    </row>
    <row r="651">
      <c r="A651" s="209"/>
      <c r="B651" s="210"/>
      <c r="C651" s="211"/>
      <c r="D651" s="212"/>
      <c r="E651" s="213"/>
      <c r="F651" s="214"/>
    </row>
    <row r="652">
      <c r="A652" s="209"/>
      <c r="B652" s="210"/>
      <c r="C652" s="211"/>
      <c r="D652" s="212"/>
      <c r="E652" s="213"/>
      <c r="F652" s="214"/>
    </row>
    <row r="653">
      <c r="A653" s="209"/>
      <c r="B653" s="210"/>
      <c r="C653" s="211"/>
      <c r="D653" s="212"/>
      <c r="E653" s="213"/>
      <c r="F653" s="214"/>
    </row>
    <row r="654">
      <c r="A654" s="209"/>
      <c r="B654" s="210"/>
      <c r="C654" s="211"/>
      <c r="D654" s="212"/>
      <c r="E654" s="213"/>
      <c r="F654" s="214"/>
    </row>
    <row r="655">
      <c r="A655" s="209"/>
      <c r="B655" s="210"/>
      <c r="C655" s="211"/>
      <c r="D655" s="212"/>
      <c r="E655" s="213"/>
      <c r="F655" s="214"/>
    </row>
    <row r="656">
      <c r="A656" s="209"/>
      <c r="B656" s="210"/>
      <c r="C656" s="211"/>
      <c r="D656" s="212"/>
      <c r="E656" s="213"/>
      <c r="F656" s="214"/>
    </row>
    <row r="657">
      <c r="A657" s="209"/>
      <c r="B657" s="210"/>
      <c r="C657" s="211"/>
      <c r="D657" s="212"/>
      <c r="E657" s="213"/>
      <c r="F657" s="214"/>
    </row>
    <row r="658">
      <c r="A658" s="209"/>
      <c r="B658" s="210"/>
      <c r="C658" s="211"/>
      <c r="D658" s="212"/>
      <c r="E658" s="213"/>
      <c r="F658" s="214"/>
    </row>
    <row r="659">
      <c r="A659" s="209"/>
      <c r="B659" s="210"/>
      <c r="C659" s="211"/>
      <c r="D659" s="212"/>
      <c r="E659" s="213"/>
      <c r="F659" s="214"/>
    </row>
    <row r="660">
      <c r="A660" s="209"/>
      <c r="B660" s="210"/>
      <c r="C660" s="211"/>
      <c r="D660" s="212"/>
      <c r="E660" s="213"/>
      <c r="F660" s="214"/>
    </row>
    <row r="661">
      <c r="A661" s="209"/>
      <c r="B661" s="210"/>
      <c r="C661" s="211"/>
      <c r="D661" s="212"/>
      <c r="E661" s="213"/>
      <c r="F661" s="214"/>
    </row>
    <row r="662">
      <c r="A662" s="209"/>
      <c r="B662" s="210"/>
      <c r="C662" s="211"/>
      <c r="D662" s="212"/>
      <c r="E662" s="213"/>
      <c r="F662" s="214"/>
    </row>
    <row r="663">
      <c r="A663" s="209"/>
      <c r="B663" s="210"/>
      <c r="C663" s="211"/>
      <c r="D663" s="212"/>
      <c r="E663" s="213"/>
      <c r="F663" s="214"/>
    </row>
    <row r="664">
      <c r="A664" s="209"/>
      <c r="B664" s="210"/>
      <c r="C664" s="211"/>
      <c r="D664" s="212"/>
      <c r="E664" s="213"/>
      <c r="F664" s="214"/>
    </row>
    <row r="665">
      <c r="A665" s="209"/>
      <c r="B665" s="210"/>
      <c r="C665" s="211"/>
      <c r="D665" s="212"/>
      <c r="E665" s="213"/>
      <c r="F665" s="214"/>
    </row>
    <row r="666">
      <c r="A666" s="209"/>
      <c r="B666" s="210"/>
      <c r="C666" s="211"/>
      <c r="D666" s="212"/>
      <c r="E666" s="213"/>
      <c r="F666" s="214"/>
    </row>
    <row r="667">
      <c r="A667" s="209"/>
      <c r="B667" s="210"/>
      <c r="C667" s="211"/>
      <c r="D667" s="212"/>
      <c r="E667" s="213"/>
      <c r="F667" s="214"/>
    </row>
    <row r="668">
      <c r="A668" s="209"/>
      <c r="B668" s="210"/>
      <c r="C668" s="211"/>
      <c r="D668" s="212"/>
      <c r="E668" s="213"/>
      <c r="F668" s="214"/>
    </row>
    <row r="669">
      <c r="A669" s="209"/>
      <c r="B669" s="210"/>
      <c r="C669" s="211"/>
      <c r="D669" s="212"/>
      <c r="E669" s="213"/>
      <c r="F669" s="214"/>
    </row>
    <row r="670">
      <c r="A670" s="209"/>
      <c r="B670" s="210"/>
      <c r="C670" s="211"/>
      <c r="D670" s="212"/>
      <c r="E670" s="213"/>
      <c r="F670" s="214"/>
    </row>
    <row r="671">
      <c r="A671" s="209"/>
      <c r="B671" s="210"/>
      <c r="C671" s="211"/>
      <c r="D671" s="212"/>
      <c r="E671" s="213"/>
      <c r="F671" s="214"/>
    </row>
    <row r="672">
      <c r="A672" s="209"/>
      <c r="B672" s="210"/>
      <c r="C672" s="211"/>
      <c r="D672" s="212"/>
      <c r="E672" s="213"/>
      <c r="F672" s="214"/>
    </row>
    <row r="673">
      <c r="A673" s="209"/>
      <c r="B673" s="210"/>
      <c r="C673" s="211"/>
      <c r="D673" s="212"/>
      <c r="E673" s="213"/>
      <c r="F673" s="214"/>
    </row>
    <row r="674">
      <c r="A674" s="209"/>
      <c r="B674" s="210"/>
      <c r="C674" s="211"/>
      <c r="D674" s="212"/>
      <c r="E674" s="213"/>
      <c r="F674" s="214"/>
    </row>
    <row r="675">
      <c r="A675" s="209"/>
      <c r="B675" s="210"/>
      <c r="C675" s="211"/>
      <c r="D675" s="212"/>
      <c r="E675" s="213"/>
      <c r="F675" s="214"/>
    </row>
    <row r="676">
      <c r="A676" s="209"/>
      <c r="B676" s="210"/>
      <c r="C676" s="211"/>
      <c r="D676" s="212"/>
      <c r="E676" s="213"/>
      <c r="F676" s="214"/>
    </row>
    <row r="677">
      <c r="A677" s="209"/>
      <c r="B677" s="210"/>
      <c r="C677" s="211"/>
      <c r="D677" s="212"/>
      <c r="E677" s="213"/>
      <c r="F677" s="214"/>
    </row>
    <row r="678">
      <c r="A678" s="209"/>
      <c r="B678" s="210"/>
      <c r="C678" s="211"/>
      <c r="D678" s="212"/>
      <c r="E678" s="213"/>
      <c r="F678" s="214"/>
    </row>
    <row r="679">
      <c r="A679" s="209"/>
      <c r="B679" s="210"/>
      <c r="C679" s="211"/>
      <c r="D679" s="212"/>
      <c r="E679" s="213"/>
      <c r="F679" s="214"/>
    </row>
    <row r="680">
      <c r="A680" s="209"/>
      <c r="B680" s="210"/>
      <c r="C680" s="211"/>
      <c r="D680" s="212"/>
      <c r="E680" s="213"/>
      <c r="F680" s="214"/>
    </row>
    <row r="681">
      <c r="A681" s="209"/>
      <c r="B681" s="210"/>
      <c r="C681" s="211"/>
      <c r="D681" s="212"/>
      <c r="E681" s="213"/>
      <c r="F681" s="214"/>
    </row>
    <row r="682">
      <c r="A682" s="209"/>
      <c r="B682" s="210"/>
      <c r="C682" s="211"/>
      <c r="D682" s="212"/>
      <c r="E682" s="213"/>
      <c r="F682" s="214"/>
    </row>
    <row r="683">
      <c r="A683" s="209"/>
      <c r="B683" s="210"/>
      <c r="C683" s="211"/>
      <c r="D683" s="212"/>
      <c r="E683" s="213"/>
      <c r="F683" s="214"/>
    </row>
    <row r="684">
      <c r="A684" s="209"/>
      <c r="B684" s="210"/>
      <c r="C684" s="211"/>
      <c r="D684" s="212"/>
      <c r="E684" s="213"/>
      <c r="F684" s="214"/>
    </row>
    <row r="685">
      <c r="A685" s="209"/>
      <c r="B685" s="210"/>
      <c r="C685" s="211"/>
      <c r="D685" s="212"/>
      <c r="E685" s="213"/>
      <c r="F685" s="214"/>
    </row>
    <row r="686">
      <c r="A686" s="209"/>
      <c r="B686" s="210"/>
      <c r="C686" s="211"/>
      <c r="D686" s="212"/>
      <c r="E686" s="213"/>
      <c r="F686" s="214"/>
    </row>
    <row r="687">
      <c r="A687" s="209"/>
      <c r="B687" s="210"/>
      <c r="C687" s="211"/>
      <c r="D687" s="212"/>
      <c r="E687" s="213"/>
      <c r="F687" s="214"/>
    </row>
    <row r="688">
      <c r="A688" s="209"/>
      <c r="B688" s="210"/>
      <c r="C688" s="211"/>
      <c r="D688" s="212"/>
      <c r="E688" s="213"/>
      <c r="F688" s="214"/>
    </row>
    <row r="689">
      <c r="A689" s="209"/>
      <c r="B689" s="210"/>
      <c r="C689" s="211"/>
      <c r="D689" s="212"/>
      <c r="E689" s="213"/>
      <c r="F689" s="214"/>
    </row>
    <row r="690">
      <c r="A690" s="209"/>
      <c r="B690" s="210"/>
      <c r="C690" s="211"/>
      <c r="D690" s="212"/>
      <c r="E690" s="213"/>
      <c r="F690" s="214"/>
    </row>
    <row r="691">
      <c r="A691" s="209"/>
      <c r="B691" s="210"/>
      <c r="C691" s="211"/>
      <c r="D691" s="212"/>
      <c r="E691" s="213"/>
      <c r="F691" s="214"/>
    </row>
    <row r="692">
      <c r="A692" s="209"/>
      <c r="B692" s="210"/>
      <c r="C692" s="211"/>
      <c r="D692" s="212"/>
      <c r="E692" s="213"/>
      <c r="F692" s="214"/>
    </row>
    <row r="693">
      <c r="A693" s="209"/>
      <c r="B693" s="210"/>
      <c r="C693" s="211"/>
      <c r="D693" s="212"/>
      <c r="E693" s="213"/>
      <c r="F693" s="214"/>
    </row>
    <row r="694">
      <c r="A694" s="209"/>
      <c r="B694" s="210"/>
      <c r="C694" s="211"/>
      <c r="D694" s="212"/>
      <c r="E694" s="213"/>
      <c r="F694" s="214"/>
    </row>
    <row r="695">
      <c r="A695" s="209"/>
      <c r="B695" s="210"/>
      <c r="C695" s="211"/>
      <c r="D695" s="212"/>
      <c r="E695" s="213"/>
      <c r="F695" s="214"/>
    </row>
    <row r="696">
      <c r="A696" s="209"/>
      <c r="B696" s="210"/>
      <c r="C696" s="211"/>
      <c r="D696" s="212"/>
      <c r="E696" s="213"/>
      <c r="F696" s="214"/>
    </row>
    <row r="697">
      <c r="A697" s="209"/>
      <c r="B697" s="210"/>
      <c r="C697" s="211"/>
      <c r="D697" s="212"/>
      <c r="E697" s="213"/>
      <c r="F697" s="214"/>
    </row>
    <row r="698">
      <c r="A698" s="209"/>
      <c r="B698" s="210"/>
      <c r="C698" s="211"/>
      <c r="D698" s="212"/>
      <c r="E698" s="213"/>
      <c r="F698" s="214"/>
    </row>
    <row r="699">
      <c r="A699" s="209"/>
      <c r="B699" s="210"/>
      <c r="C699" s="211"/>
      <c r="D699" s="212"/>
      <c r="E699" s="213"/>
      <c r="F699" s="214"/>
    </row>
    <row r="700">
      <c r="A700" s="209"/>
      <c r="B700" s="210"/>
      <c r="C700" s="211"/>
      <c r="D700" s="212"/>
      <c r="E700" s="213"/>
      <c r="F700" s="214"/>
    </row>
    <row r="701">
      <c r="A701" s="209"/>
      <c r="B701" s="210"/>
      <c r="C701" s="211"/>
      <c r="D701" s="212"/>
      <c r="E701" s="213"/>
      <c r="F701" s="214"/>
    </row>
    <row r="702">
      <c r="A702" s="209"/>
      <c r="B702" s="210"/>
      <c r="C702" s="211"/>
      <c r="D702" s="212"/>
      <c r="E702" s="213"/>
      <c r="F702" s="214"/>
    </row>
    <row r="703">
      <c r="A703" s="209"/>
      <c r="B703" s="210"/>
      <c r="C703" s="211"/>
      <c r="D703" s="212"/>
      <c r="E703" s="213"/>
      <c r="F703" s="214"/>
    </row>
    <row r="704">
      <c r="A704" s="209"/>
      <c r="B704" s="210"/>
      <c r="C704" s="211"/>
      <c r="D704" s="212"/>
      <c r="E704" s="213"/>
      <c r="F704" s="214"/>
    </row>
    <row r="705">
      <c r="A705" s="209"/>
      <c r="B705" s="210"/>
      <c r="C705" s="211"/>
      <c r="D705" s="212"/>
      <c r="E705" s="213"/>
      <c r="F705" s="214"/>
    </row>
    <row r="706">
      <c r="A706" s="209"/>
      <c r="B706" s="210"/>
      <c r="C706" s="211"/>
      <c r="D706" s="212"/>
      <c r="E706" s="213"/>
      <c r="F706" s="214"/>
    </row>
    <row r="707">
      <c r="A707" s="209"/>
      <c r="B707" s="210"/>
      <c r="C707" s="211"/>
      <c r="D707" s="212"/>
      <c r="E707" s="213"/>
      <c r="F707" s="214"/>
    </row>
    <row r="708">
      <c r="A708" s="209"/>
      <c r="B708" s="210"/>
      <c r="C708" s="211"/>
      <c r="D708" s="212"/>
      <c r="E708" s="213"/>
      <c r="F708" s="214"/>
    </row>
    <row r="709">
      <c r="A709" s="209"/>
      <c r="B709" s="210"/>
      <c r="C709" s="211"/>
      <c r="D709" s="212"/>
      <c r="E709" s="213"/>
      <c r="F709" s="214"/>
    </row>
    <row r="710">
      <c r="A710" s="209"/>
      <c r="B710" s="210"/>
      <c r="C710" s="211"/>
      <c r="D710" s="212"/>
      <c r="E710" s="213"/>
      <c r="F710" s="214"/>
    </row>
    <row r="711">
      <c r="A711" s="209"/>
      <c r="B711" s="210"/>
      <c r="C711" s="211"/>
      <c r="D711" s="212"/>
      <c r="E711" s="213"/>
      <c r="F711" s="214"/>
    </row>
    <row r="712">
      <c r="A712" s="209"/>
      <c r="B712" s="210"/>
      <c r="C712" s="211"/>
      <c r="D712" s="212"/>
      <c r="E712" s="213"/>
      <c r="F712" s="214"/>
    </row>
    <row r="713">
      <c r="A713" s="209"/>
      <c r="B713" s="210"/>
      <c r="C713" s="211"/>
      <c r="D713" s="212"/>
      <c r="E713" s="213"/>
      <c r="F713" s="214"/>
    </row>
    <row r="714">
      <c r="A714" s="209"/>
      <c r="B714" s="210"/>
      <c r="C714" s="211"/>
      <c r="D714" s="212"/>
      <c r="E714" s="213"/>
      <c r="F714" s="214"/>
    </row>
    <row r="715">
      <c r="A715" s="209"/>
      <c r="B715" s="210"/>
      <c r="C715" s="211"/>
      <c r="D715" s="212"/>
      <c r="E715" s="213"/>
      <c r="F715" s="214"/>
    </row>
    <row r="716">
      <c r="A716" s="209"/>
      <c r="B716" s="210"/>
      <c r="C716" s="211"/>
      <c r="D716" s="212"/>
      <c r="E716" s="213"/>
      <c r="F716" s="214"/>
    </row>
    <row r="717">
      <c r="A717" s="209"/>
      <c r="B717" s="210"/>
      <c r="C717" s="211"/>
      <c r="D717" s="212"/>
      <c r="E717" s="213"/>
      <c r="F717" s="214"/>
    </row>
    <row r="718">
      <c r="A718" s="209"/>
      <c r="B718" s="210"/>
      <c r="C718" s="211"/>
      <c r="D718" s="212"/>
      <c r="E718" s="213"/>
      <c r="F718" s="214"/>
    </row>
    <row r="719">
      <c r="A719" s="209"/>
      <c r="B719" s="210"/>
      <c r="C719" s="211"/>
      <c r="D719" s="212"/>
      <c r="E719" s="213"/>
      <c r="F719" s="214"/>
    </row>
    <row r="720">
      <c r="A720" s="209"/>
      <c r="B720" s="210"/>
      <c r="C720" s="211"/>
      <c r="D720" s="212"/>
      <c r="E720" s="213"/>
      <c r="F720" s="214"/>
    </row>
    <row r="721">
      <c r="A721" s="209"/>
      <c r="B721" s="210"/>
      <c r="C721" s="211"/>
      <c r="D721" s="212"/>
      <c r="E721" s="213"/>
      <c r="F721" s="214"/>
    </row>
    <row r="722">
      <c r="A722" s="209"/>
      <c r="B722" s="210"/>
      <c r="C722" s="211"/>
      <c r="D722" s="212"/>
      <c r="E722" s="213"/>
      <c r="F722" s="214"/>
    </row>
    <row r="723">
      <c r="A723" s="209"/>
      <c r="B723" s="210"/>
      <c r="C723" s="211"/>
      <c r="D723" s="212"/>
      <c r="E723" s="213"/>
      <c r="F723" s="214"/>
    </row>
    <row r="724">
      <c r="A724" s="209"/>
      <c r="B724" s="210"/>
      <c r="C724" s="211"/>
      <c r="D724" s="212"/>
      <c r="E724" s="213"/>
      <c r="F724" s="214"/>
    </row>
    <row r="725">
      <c r="A725" s="209"/>
      <c r="B725" s="210"/>
      <c r="C725" s="211"/>
      <c r="D725" s="212"/>
      <c r="E725" s="213"/>
      <c r="F725" s="214"/>
    </row>
    <row r="726">
      <c r="A726" s="209"/>
      <c r="B726" s="210"/>
      <c r="C726" s="211"/>
      <c r="D726" s="212"/>
      <c r="E726" s="213"/>
      <c r="F726" s="214"/>
    </row>
    <row r="727">
      <c r="A727" s="209"/>
      <c r="B727" s="210"/>
      <c r="C727" s="211"/>
      <c r="D727" s="212"/>
      <c r="E727" s="213"/>
      <c r="F727" s="214"/>
    </row>
    <row r="728">
      <c r="A728" s="209"/>
      <c r="B728" s="210"/>
      <c r="C728" s="211"/>
      <c r="D728" s="212"/>
      <c r="E728" s="213"/>
      <c r="F728" s="214"/>
    </row>
    <row r="729">
      <c r="A729" s="209"/>
      <c r="B729" s="210"/>
      <c r="C729" s="211"/>
      <c r="D729" s="212"/>
      <c r="E729" s="213"/>
      <c r="F729" s="214"/>
    </row>
    <row r="730">
      <c r="A730" s="209"/>
      <c r="B730" s="210"/>
      <c r="C730" s="211"/>
      <c r="D730" s="212"/>
      <c r="E730" s="213"/>
      <c r="F730" s="214"/>
    </row>
    <row r="731">
      <c r="A731" s="209"/>
      <c r="B731" s="210"/>
      <c r="C731" s="211"/>
      <c r="D731" s="212"/>
      <c r="E731" s="213"/>
      <c r="F731" s="214"/>
    </row>
    <row r="732">
      <c r="A732" s="209"/>
      <c r="B732" s="210"/>
      <c r="C732" s="211"/>
      <c r="D732" s="212"/>
      <c r="E732" s="213"/>
      <c r="F732" s="214"/>
    </row>
    <row r="733">
      <c r="A733" s="209"/>
      <c r="B733" s="210"/>
      <c r="C733" s="211"/>
      <c r="D733" s="212"/>
      <c r="E733" s="213"/>
      <c r="F733" s="214"/>
    </row>
    <row r="734">
      <c r="A734" s="209"/>
      <c r="B734" s="210"/>
      <c r="C734" s="211"/>
      <c r="D734" s="212"/>
      <c r="E734" s="213"/>
      <c r="F734" s="214"/>
    </row>
    <row r="735">
      <c r="A735" s="209"/>
      <c r="B735" s="210"/>
      <c r="C735" s="211"/>
      <c r="D735" s="212"/>
      <c r="E735" s="213"/>
      <c r="F735" s="214"/>
    </row>
    <row r="736">
      <c r="A736" s="209"/>
      <c r="B736" s="210"/>
      <c r="C736" s="211"/>
      <c r="D736" s="212"/>
      <c r="E736" s="213"/>
      <c r="F736" s="214"/>
    </row>
    <row r="737">
      <c r="A737" s="209"/>
      <c r="B737" s="210"/>
      <c r="C737" s="211"/>
      <c r="D737" s="212"/>
      <c r="E737" s="213"/>
      <c r="F737" s="214"/>
    </row>
    <row r="738">
      <c r="A738" s="209"/>
      <c r="B738" s="210"/>
      <c r="C738" s="211"/>
      <c r="D738" s="212"/>
      <c r="E738" s="213"/>
      <c r="F738" s="214"/>
    </row>
    <row r="739">
      <c r="A739" s="209"/>
      <c r="B739" s="210"/>
      <c r="C739" s="211"/>
      <c r="D739" s="212"/>
      <c r="E739" s="213"/>
      <c r="F739" s="214"/>
    </row>
    <row r="740">
      <c r="A740" s="209"/>
      <c r="B740" s="210"/>
      <c r="C740" s="211"/>
      <c r="D740" s="212"/>
      <c r="E740" s="213"/>
      <c r="F740" s="214"/>
    </row>
    <row r="741">
      <c r="A741" s="209"/>
      <c r="B741" s="210"/>
      <c r="C741" s="211"/>
      <c r="D741" s="212"/>
      <c r="E741" s="213"/>
      <c r="F741" s="214"/>
    </row>
    <row r="742">
      <c r="A742" s="209"/>
      <c r="B742" s="210"/>
      <c r="C742" s="211"/>
      <c r="D742" s="212"/>
      <c r="E742" s="213"/>
      <c r="F742" s="214"/>
    </row>
    <row r="743">
      <c r="A743" s="209"/>
      <c r="B743" s="210"/>
      <c r="C743" s="211"/>
      <c r="D743" s="212"/>
      <c r="E743" s="213"/>
      <c r="F743" s="214"/>
    </row>
    <row r="744">
      <c r="A744" s="209"/>
      <c r="B744" s="210"/>
      <c r="C744" s="211"/>
      <c r="D744" s="212"/>
      <c r="E744" s="213"/>
      <c r="F744" s="214"/>
    </row>
    <row r="745">
      <c r="A745" s="209"/>
      <c r="B745" s="210"/>
      <c r="C745" s="211"/>
      <c r="D745" s="212"/>
      <c r="E745" s="213"/>
      <c r="F745" s="214"/>
    </row>
    <row r="746">
      <c r="A746" s="209"/>
      <c r="B746" s="210"/>
      <c r="C746" s="211"/>
      <c r="D746" s="212"/>
      <c r="E746" s="213"/>
      <c r="F746" s="214"/>
    </row>
    <row r="747">
      <c r="A747" s="209"/>
      <c r="B747" s="210"/>
      <c r="C747" s="211"/>
      <c r="D747" s="212"/>
      <c r="E747" s="213"/>
      <c r="F747" s="214"/>
    </row>
    <row r="748">
      <c r="A748" s="209"/>
      <c r="B748" s="210"/>
      <c r="C748" s="211"/>
      <c r="D748" s="212"/>
      <c r="E748" s="213"/>
      <c r="F748" s="214"/>
    </row>
    <row r="749">
      <c r="A749" s="209"/>
      <c r="B749" s="210"/>
      <c r="C749" s="211"/>
      <c r="D749" s="212"/>
      <c r="E749" s="213"/>
      <c r="F749" s="214"/>
    </row>
    <row r="750">
      <c r="A750" s="209"/>
      <c r="B750" s="210"/>
      <c r="C750" s="211"/>
      <c r="D750" s="212"/>
      <c r="E750" s="213"/>
      <c r="F750" s="214"/>
    </row>
    <row r="751">
      <c r="A751" s="209"/>
      <c r="B751" s="210"/>
      <c r="C751" s="211"/>
      <c r="D751" s="212"/>
      <c r="E751" s="213"/>
      <c r="F751" s="214"/>
    </row>
    <row r="752">
      <c r="A752" s="209"/>
      <c r="B752" s="210"/>
      <c r="C752" s="211"/>
      <c r="D752" s="212"/>
      <c r="E752" s="213"/>
      <c r="F752" s="214"/>
    </row>
    <row r="753">
      <c r="A753" s="209"/>
      <c r="B753" s="210"/>
      <c r="C753" s="211"/>
      <c r="D753" s="212"/>
      <c r="E753" s="213"/>
      <c r="F753" s="214"/>
    </row>
    <row r="754">
      <c r="A754" s="209"/>
      <c r="B754" s="210"/>
      <c r="C754" s="211"/>
      <c r="D754" s="212"/>
      <c r="E754" s="213"/>
      <c r="F754" s="214"/>
    </row>
    <row r="755">
      <c r="A755" s="209"/>
      <c r="B755" s="210"/>
      <c r="C755" s="211"/>
      <c r="D755" s="212"/>
      <c r="E755" s="213"/>
      <c r="F755" s="214"/>
    </row>
    <row r="756">
      <c r="A756" s="209"/>
      <c r="B756" s="210"/>
      <c r="C756" s="211"/>
      <c r="D756" s="212"/>
      <c r="E756" s="213"/>
      <c r="F756" s="214"/>
    </row>
    <row r="757">
      <c r="A757" s="209"/>
      <c r="B757" s="210"/>
      <c r="C757" s="211"/>
      <c r="D757" s="212"/>
      <c r="E757" s="213"/>
      <c r="F757" s="214"/>
    </row>
    <row r="758">
      <c r="A758" s="209"/>
      <c r="B758" s="210"/>
      <c r="C758" s="211"/>
      <c r="D758" s="212"/>
      <c r="E758" s="213"/>
      <c r="F758" s="214"/>
    </row>
    <row r="759">
      <c r="A759" s="209"/>
      <c r="B759" s="210"/>
      <c r="C759" s="211"/>
      <c r="D759" s="212"/>
      <c r="E759" s="213"/>
      <c r="F759" s="214"/>
    </row>
    <row r="760">
      <c r="A760" s="209"/>
      <c r="B760" s="210"/>
      <c r="C760" s="211"/>
      <c r="D760" s="212"/>
      <c r="E760" s="213"/>
      <c r="F760" s="214"/>
    </row>
    <row r="761">
      <c r="A761" s="209"/>
      <c r="B761" s="210"/>
      <c r="C761" s="211"/>
      <c r="D761" s="212"/>
      <c r="E761" s="213"/>
      <c r="F761" s="214"/>
    </row>
    <row r="762">
      <c r="A762" s="209"/>
      <c r="B762" s="210"/>
      <c r="C762" s="211"/>
      <c r="D762" s="212"/>
      <c r="E762" s="213"/>
      <c r="F762" s="214"/>
    </row>
    <row r="763">
      <c r="A763" s="209"/>
      <c r="B763" s="210"/>
      <c r="C763" s="211"/>
      <c r="D763" s="212"/>
      <c r="E763" s="213"/>
      <c r="F763" s="214"/>
    </row>
    <row r="764">
      <c r="A764" s="209"/>
      <c r="B764" s="210"/>
      <c r="C764" s="211"/>
      <c r="D764" s="212"/>
      <c r="E764" s="213"/>
      <c r="F764" s="214"/>
    </row>
    <row r="765">
      <c r="A765" s="209"/>
      <c r="B765" s="210"/>
      <c r="C765" s="211"/>
      <c r="D765" s="212"/>
      <c r="E765" s="213"/>
      <c r="F765" s="214"/>
    </row>
    <row r="766">
      <c r="A766" s="209"/>
      <c r="B766" s="210"/>
      <c r="C766" s="211"/>
      <c r="D766" s="212"/>
      <c r="E766" s="213"/>
      <c r="F766" s="214"/>
    </row>
    <row r="767">
      <c r="A767" s="209"/>
      <c r="B767" s="210"/>
      <c r="C767" s="211"/>
      <c r="D767" s="212"/>
      <c r="E767" s="213"/>
      <c r="F767" s="214"/>
    </row>
    <row r="768">
      <c r="A768" s="209"/>
      <c r="B768" s="210"/>
      <c r="C768" s="211"/>
      <c r="D768" s="212"/>
      <c r="E768" s="213"/>
      <c r="F768" s="214"/>
    </row>
    <row r="769">
      <c r="A769" s="209"/>
      <c r="B769" s="210"/>
      <c r="C769" s="211"/>
      <c r="D769" s="212"/>
      <c r="E769" s="213"/>
      <c r="F769" s="214"/>
    </row>
    <row r="770">
      <c r="A770" s="209"/>
      <c r="B770" s="210"/>
      <c r="C770" s="211"/>
      <c r="D770" s="212"/>
      <c r="E770" s="213"/>
      <c r="F770" s="214"/>
    </row>
    <row r="771">
      <c r="A771" s="209"/>
      <c r="B771" s="210"/>
      <c r="C771" s="211"/>
      <c r="D771" s="212"/>
      <c r="E771" s="213"/>
      <c r="F771" s="214"/>
    </row>
    <row r="772">
      <c r="A772" s="209"/>
      <c r="B772" s="210"/>
      <c r="C772" s="211"/>
      <c r="D772" s="212"/>
      <c r="E772" s="213"/>
      <c r="F772" s="214"/>
    </row>
    <row r="773">
      <c r="A773" s="209"/>
      <c r="B773" s="210"/>
      <c r="C773" s="211"/>
      <c r="D773" s="212"/>
      <c r="E773" s="213"/>
      <c r="F773" s="214"/>
    </row>
    <row r="774">
      <c r="A774" s="209"/>
      <c r="B774" s="210"/>
      <c r="C774" s="211"/>
      <c r="D774" s="212"/>
      <c r="E774" s="213"/>
      <c r="F774" s="214"/>
    </row>
    <row r="775">
      <c r="A775" s="209"/>
      <c r="B775" s="210"/>
      <c r="C775" s="211"/>
      <c r="D775" s="212"/>
      <c r="E775" s="213"/>
      <c r="F775" s="214"/>
    </row>
    <row r="776">
      <c r="A776" s="209"/>
      <c r="B776" s="210"/>
      <c r="C776" s="211"/>
      <c r="D776" s="212"/>
      <c r="E776" s="213"/>
      <c r="F776" s="214"/>
    </row>
    <row r="777">
      <c r="A777" s="209"/>
      <c r="B777" s="210"/>
      <c r="C777" s="211"/>
      <c r="D777" s="212"/>
      <c r="E777" s="213"/>
      <c r="F777" s="214"/>
    </row>
    <row r="778">
      <c r="A778" s="209"/>
      <c r="B778" s="210"/>
      <c r="C778" s="211"/>
      <c r="D778" s="212"/>
      <c r="E778" s="213"/>
      <c r="F778" s="214"/>
    </row>
    <row r="779">
      <c r="A779" s="209"/>
      <c r="B779" s="210"/>
      <c r="C779" s="211"/>
      <c r="D779" s="212"/>
      <c r="E779" s="213"/>
      <c r="F779" s="214"/>
    </row>
    <row r="780">
      <c r="A780" s="209"/>
      <c r="B780" s="210"/>
      <c r="C780" s="211"/>
      <c r="D780" s="212"/>
      <c r="E780" s="213"/>
      <c r="F780" s="214"/>
    </row>
    <row r="781">
      <c r="A781" s="209"/>
      <c r="B781" s="210"/>
      <c r="C781" s="211"/>
      <c r="D781" s="212"/>
      <c r="E781" s="213"/>
      <c r="F781" s="214"/>
    </row>
    <row r="782">
      <c r="A782" s="209"/>
      <c r="B782" s="210"/>
      <c r="C782" s="211"/>
      <c r="D782" s="212"/>
      <c r="E782" s="213"/>
      <c r="F782" s="214"/>
    </row>
    <row r="783">
      <c r="A783" s="209"/>
      <c r="B783" s="210"/>
      <c r="C783" s="211"/>
      <c r="D783" s="212"/>
      <c r="E783" s="213"/>
      <c r="F783" s="214"/>
    </row>
    <row r="784">
      <c r="A784" s="209"/>
      <c r="B784" s="210"/>
      <c r="C784" s="211"/>
      <c r="D784" s="212"/>
      <c r="E784" s="213"/>
      <c r="F784" s="214"/>
    </row>
    <row r="785">
      <c r="A785" s="209"/>
      <c r="B785" s="210"/>
      <c r="C785" s="211"/>
      <c r="D785" s="212"/>
      <c r="E785" s="213"/>
      <c r="F785" s="214"/>
    </row>
    <row r="786">
      <c r="A786" s="209"/>
      <c r="B786" s="210"/>
      <c r="C786" s="211"/>
      <c r="D786" s="212"/>
      <c r="E786" s="213"/>
      <c r="F786" s="214"/>
    </row>
    <row r="787">
      <c r="A787" s="209"/>
      <c r="B787" s="210"/>
      <c r="C787" s="211"/>
      <c r="D787" s="212"/>
      <c r="E787" s="213"/>
      <c r="F787" s="214"/>
    </row>
    <row r="788">
      <c r="A788" s="209"/>
      <c r="B788" s="210"/>
      <c r="C788" s="211"/>
      <c r="D788" s="212"/>
      <c r="E788" s="213"/>
      <c r="F788" s="214"/>
    </row>
    <row r="789">
      <c r="A789" s="209"/>
      <c r="B789" s="210"/>
      <c r="C789" s="211"/>
      <c r="D789" s="212"/>
      <c r="E789" s="213"/>
      <c r="F789" s="214"/>
    </row>
    <row r="790">
      <c r="A790" s="209"/>
      <c r="B790" s="210"/>
      <c r="C790" s="211"/>
      <c r="D790" s="212"/>
      <c r="E790" s="213"/>
      <c r="F790" s="214"/>
    </row>
    <row r="791">
      <c r="A791" s="209"/>
      <c r="B791" s="210"/>
      <c r="C791" s="211"/>
      <c r="D791" s="212"/>
      <c r="E791" s="213"/>
      <c r="F791" s="214"/>
    </row>
    <row r="792">
      <c r="A792" s="209"/>
      <c r="B792" s="210"/>
      <c r="C792" s="211"/>
      <c r="D792" s="212"/>
      <c r="E792" s="213"/>
      <c r="F792" s="214"/>
    </row>
    <row r="793">
      <c r="A793" s="209"/>
      <c r="B793" s="210"/>
      <c r="C793" s="211"/>
      <c r="D793" s="212"/>
      <c r="E793" s="213"/>
      <c r="F793" s="214"/>
    </row>
    <row r="794">
      <c r="A794" s="209"/>
      <c r="B794" s="210"/>
      <c r="C794" s="211"/>
      <c r="D794" s="212"/>
      <c r="E794" s="213"/>
      <c r="F794" s="214"/>
    </row>
    <row r="795">
      <c r="A795" s="209"/>
      <c r="B795" s="210"/>
      <c r="C795" s="211"/>
      <c r="D795" s="212"/>
      <c r="E795" s="213"/>
      <c r="F795" s="214"/>
    </row>
    <row r="796">
      <c r="A796" s="209"/>
      <c r="B796" s="210"/>
      <c r="C796" s="211"/>
      <c r="D796" s="212"/>
      <c r="E796" s="213"/>
      <c r="F796" s="214"/>
    </row>
    <row r="797">
      <c r="A797" s="209"/>
      <c r="B797" s="210"/>
      <c r="C797" s="211"/>
      <c r="D797" s="212"/>
      <c r="E797" s="213"/>
      <c r="F797" s="214"/>
    </row>
    <row r="798">
      <c r="A798" s="209"/>
      <c r="B798" s="210"/>
      <c r="C798" s="211"/>
      <c r="D798" s="212"/>
      <c r="E798" s="213"/>
      <c r="F798" s="214"/>
    </row>
    <row r="799">
      <c r="A799" s="209"/>
      <c r="B799" s="210"/>
      <c r="C799" s="211"/>
      <c r="D799" s="212"/>
      <c r="E799" s="213"/>
      <c r="F799" s="214"/>
    </row>
    <row r="800">
      <c r="A800" s="209"/>
      <c r="B800" s="210"/>
      <c r="C800" s="211"/>
      <c r="D800" s="212"/>
      <c r="E800" s="213"/>
      <c r="F800" s="214"/>
    </row>
    <row r="801">
      <c r="A801" s="209"/>
      <c r="B801" s="210"/>
      <c r="C801" s="211"/>
      <c r="D801" s="212"/>
      <c r="E801" s="213"/>
      <c r="F801" s="214"/>
    </row>
    <row r="802">
      <c r="A802" s="209"/>
      <c r="B802" s="210"/>
      <c r="C802" s="211"/>
      <c r="D802" s="212"/>
      <c r="E802" s="213"/>
      <c r="F802" s="214"/>
    </row>
    <row r="803">
      <c r="A803" s="209"/>
      <c r="B803" s="210"/>
      <c r="C803" s="211"/>
      <c r="D803" s="212"/>
      <c r="E803" s="213"/>
      <c r="F803" s="214"/>
    </row>
    <row r="804">
      <c r="A804" s="209"/>
      <c r="B804" s="210"/>
      <c r="C804" s="211"/>
      <c r="D804" s="212"/>
      <c r="E804" s="213"/>
      <c r="F804" s="214"/>
    </row>
    <row r="805">
      <c r="A805" s="209"/>
      <c r="B805" s="210"/>
      <c r="C805" s="211"/>
      <c r="D805" s="212"/>
      <c r="E805" s="213"/>
      <c r="F805" s="214"/>
    </row>
    <row r="806">
      <c r="A806" s="209"/>
      <c r="B806" s="210"/>
      <c r="C806" s="211"/>
      <c r="D806" s="212"/>
      <c r="E806" s="213"/>
      <c r="F806" s="214"/>
    </row>
    <row r="807">
      <c r="A807" s="209"/>
      <c r="B807" s="210"/>
      <c r="C807" s="211"/>
      <c r="D807" s="212"/>
      <c r="E807" s="213"/>
      <c r="F807" s="214"/>
    </row>
    <row r="808">
      <c r="A808" s="209"/>
      <c r="B808" s="210"/>
      <c r="C808" s="211"/>
      <c r="D808" s="212"/>
      <c r="E808" s="213"/>
      <c r="F808" s="214"/>
    </row>
    <row r="809">
      <c r="A809" s="209"/>
      <c r="B809" s="210"/>
      <c r="C809" s="211"/>
      <c r="D809" s="212"/>
      <c r="E809" s="213"/>
      <c r="F809" s="214"/>
    </row>
    <row r="810">
      <c r="A810" s="209"/>
      <c r="B810" s="210"/>
      <c r="C810" s="211"/>
      <c r="D810" s="212"/>
      <c r="E810" s="213"/>
      <c r="F810" s="214"/>
    </row>
    <row r="811">
      <c r="A811" s="209"/>
      <c r="B811" s="210"/>
      <c r="C811" s="211"/>
      <c r="D811" s="212"/>
      <c r="E811" s="213"/>
      <c r="F811" s="214"/>
    </row>
    <row r="812">
      <c r="A812" s="209"/>
      <c r="B812" s="210"/>
      <c r="C812" s="211"/>
      <c r="D812" s="212"/>
      <c r="E812" s="213"/>
      <c r="F812" s="214"/>
    </row>
    <row r="813">
      <c r="A813" s="209"/>
      <c r="B813" s="210"/>
      <c r="C813" s="211"/>
      <c r="D813" s="212"/>
      <c r="E813" s="213"/>
      <c r="F813" s="214"/>
    </row>
    <row r="814">
      <c r="A814" s="209"/>
      <c r="B814" s="210"/>
      <c r="C814" s="211"/>
      <c r="D814" s="212"/>
      <c r="E814" s="213"/>
      <c r="F814" s="214"/>
    </row>
    <row r="815">
      <c r="A815" s="209"/>
      <c r="B815" s="210"/>
      <c r="C815" s="211"/>
      <c r="D815" s="212"/>
      <c r="E815" s="213"/>
      <c r="F815" s="214"/>
    </row>
    <row r="816">
      <c r="A816" s="209"/>
      <c r="B816" s="210"/>
      <c r="C816" s="211"/>
      <c r="D816" s="212"/>
      <c r="E816" s="213"/>
      <c r="F816" s="214"/>
    </row>
    <row r="817">
      <c r="A817" s="209"/>
      <c r="B817" s="210"/>
      <c r="C817" s="211"/>
      <c r="D817" s="212"/>
      <c r="E817" s="213"/>
      <c r="F817" s="214"/>
    </row>
    <row r="818">
      <c r="A818" s="209"/>
      <c r="B818" s="210"/>
      <c r="C818" s="211"/>
      <c r="D818" s="212"/>
      <c r="E818" s="213"/>
      <c r="F818" s="214"/>
    </row>
    <row r="819">
      <c r="A819" s="209"/>
      <c r="B819" s="210"/>
      <c r="C819" s="211"/>
      <c r="D819" s="212"/>
      <c r="E819" s="213"/>
      <c r="F819" s="214"/>
    </row>
    <row r="820">
      <c r="A820" s="209"/>
      <c r="B820" s="210"/>
      <c r="C820" s="211"/>
      <c r="D820" s="212"/>
      <c r="E820" s="213"/>
      <c r="F820" s="214"/>
    </row>
    <row r="821">
      <c r="A821" s="209"/>
      <c r="B821" s="210"/>
      <c r="C821" s="211"/>
      <c r="D821" s="212"/>
      <c r="E821" s="213"/>
      <c r="F821" s="214"/>
    </row>
    <row r="822">
      <c r="A822" s="209"/>
      <c r="B822" s="210"/>
      <c r="C822" s="211"/>
      <c r="D822" s="212"/>
      <c r="E822" s="213"/>
      <c r="F822" s="214"/>
    </row>
    <row r="823">
      <c r="A823" s="209"/>
      <c r="B823" s="210"/>
      <c r="C823" s="211"/>
      <c r="D823" s="212"/>
      <c r="E823" s="213"/>
      <c r="F823" s="214"/>
    </row>
    <row r="824">
      <c r="A824" s="209"/>
      <c r="B824" s="210"/>
      <c r="C824" s="211"/>
      <c r="D824" s="212"/>
      <c r="E824" s="213"/>
      <c r="F824" s="214"/>
    </row>
    <row r="825">
      <c r="A825" s="209"/>
      <c r="B825" s="210"/>
      <c r="C825" s="211"/>
      <c r="D825" s="212"/>
      <c r="E825" s="213"/>
      <c r="F825" s="214"/>
    </row>
    <row r="826">
      <c r="A826" s="209"/>
      <c r="B826" s="210"/>
      <c r="C826" s="211"/>
      <c r="D826" s="212"/>
      <c r="E826" s="213"/>
      <c r="F826" s="214"/>
    </row>
    <row r="827">
      <c r="A827" s="209"/>
      <c r="B827" s="210"/>
      <c r="C827" s="211"/>
      <c r="D827" s="212"/>
      <c r="E827" s="213"/>
      <c r="F827" s="214"/>
    </row>
    <row r="828">
      <c r="A828" s="209"/>
      <c r="B828" s="210"/>
      <c r="C828" s="211"/>
      <c r="D828" s="212"/>
      <c r="E828" s="213"/>
      <c r="F828" s="214"/>
    </row>
    <row r="829">
      <c r="A829" s="209"/>
      <c r="B829" s="210"/>
      <c r="C829" s="211"/>
      <c r="D829" s="212"/>
      <c r="E829" s="213"/>
      <c r="F829" s="214"/>
    </row>
    <row r="830">
      <c r="A830" s="209"/>
      <c r="B830" s="210"/>
      <c r="C830" s="211"/>
      <c r="D830" s="212"/>
      <c r="E830" s="213"/>
      <c r="F830" s="214"/>
    </row>
    <row r="831">
      <c r="A831" s="209"/>
      <c r="B831" s="210"/>
      <c r="C831" s="211"/>
      <c r="D831" s="212"/>
      <c r="E831" s="213"/>
      <c r="F831" s="214"/>
    </row>
    <row r="832">
      <c r="A832" s="209"/>
      <c r="B832" s="210"/>
      <c r="C832" s="211"/>
      <c r="D832" s="212"/>
      <c r="E832" s="213"/>
      <c r="F832" s="214"/>
    </row>
    <row r="833">
      <c r="A833" s="209"/>
      <c r="B833" s="210"/>
      <c r="C833" s="211"/>
      <c r="D833" s="212"/>
      <c r="E833" s="213"/>
      <c r="F833" s="214"/>
    </row>
    <row r="834">
      <c r="A834" s="209"/>
      <c r="B834" s="210"/>
      <c r="C834" s="211"/>
      <c r="D834" s="212"/>
      <c r="E834" s="213"/>
      <c r="F834" s="214"/>
    </row>
    <row r="835">
      <c r="A835" s="209"/>
      <c r="B835" s="210"/>
      <c r="C835" s="211"/>
      <c r="D835" s="212"/>
      <c r="E835" s="213"/>
      <c r="F835" s="214"/>
    </row>
    <row r="836">
      <c r="A836" s="209"/>
      <c r="B836" s="210"/>
      <c r="C836" s="211"/>
      <c r="D836" s="212"/>
      <c r="E836" s="213"/>
      <c r="F836" s="214"/>
    </row>
    <row r="837">
      <c r="A837" s="209"/>
      <c r="B837" s="210"/>
      <c r="C837" s="211"/>
      <c r="D837" s="212"/>
      <c r="E837" s="213"/>
      <c r="F837" s="214"/>
    </row>
    <row r="838">
      <c r="A838" s="209"/>
      <c r="B838" s="210"/>
      <c r="C838" s="211"/>
      <c r="D838" s="212"/>
      <c r="E838" s="213"/>
      <c r="F838" s="214"/>
    </row>
    <row r="839">
      <c r="A839" s="209"/>
      <c r="B839" s="210"/>
      <c r="C839" s="211"/>
      <c r="D839" s="212"/>
      <c r="E839" s="213"/>
      <c r="F839" s="214"/>
    </row>
    <row r="840">
      <c r="A840" s="209"/>
      <c r="B840" s="210"/>
      <c r="C840" s="211"/>
      <c r="D840" s="212"/>
      <c r="E840" s="213"/>
      <c r="F840" s="214"/>
    </row>
    <row r="841">
      <c r="A841" s="209"/>
      <c r="B841" s="210"/>
      <c r="C841" s="211"/>
      <c r="D841" s="212"/>
      <c r="E841" s="213"/>
      <c r="F841" s="214"/>
    </row>
    <row r="842">
      <c r="A842" s="209"/>
      <c r="B842" s="210"/>
      <c r="C842" s="211"/>
      <c r="D842" s="212"/>
      <c r="E842" s="213"/>
      <c r="F842" s="214"/>
    </row>
    <row r="843">
      <c r="A843" s="209"/>
      <c r="B843" s="210"/>
      <c r="C843" s="211"/>
      <c r="D843" s="212"/>
      <c r="E843" s="213"/>
      <c r="F843" s="214"/>
    </row>
    <row r="844">
      <c r="A844" s="209"/>
      <c r="B844" s="210"/>
      <c r="C844" s="211"/>
      <c r="D844" s="212"/>
      <c r="E844" s="213"/>
      <c r="F844" s="214"/>
    </row>
    <row r="845">
      <c r="A845" s="209"/>
      <c r="B845" s="210"/>
      <c r="C845" s="211"/>
      <c r="D845" s="212"/>
      <c r="E845" s="213"/>
      <c r="F845" s="214"/>
    </row>
    <row r="846">
      <c r="A846" s="209"/>
      <c r="B846" s="210"/>
      <c r="C846" s="211"/>
      <c r="D846" s="212"/>
      <c r="E846" s="213"/>
      <c r="F846" s="214"/>
    </row>
    <row r="847">
      <c r="A847" s="209"/>
      <c r="B847" s="210"/>
      <c r="C847" s="211"/>
      <c r="D847" s="212"/>
      <c r="E847" s="213"/>
      <c r="F847" s="214"/>
    </row>
    <row r="848">
      <c r="A848" s="209"/>
      <c r="B848" s="210"/>
      <c r="C848" s="211"/>
      <c r="D848" s="212"/>
      <c r="E848" s="213"/>
      <c r="F848" s="214"/>
    </row>
    <row r="849">
      <c r="A849" s="209"/>
      <c r="B849" s="210"/>
      <c r="C849" s="211"/>
      <c r="D849" s="212"/>
      <c r="E849" s="213"/>
      <c r="F849" s="214"/>
    </row>
    <row r="850">
      <c r="A850" s="209"/>
      <c r="B850" s="210"/>
      <c r="C850" s="211"/>
      <c r="D850" s="212"/>
      <c r="E850" s="213"/>
      <c r="F850" s="214"/>
    </row>
    <row r="851">
      <c r="A851" s="209"/>
      <c r="B851" s="210"/>
      <c r="C851" s="211"/>
      <c r="D851" s="212"/>
      <c r="E851" s="213"/>
      <c r="F851" s="214"/>
    </row>
    <row r="852">
      <c r="A852" s="209"/>
      <c r="B852" s="210"/>
      <c r="C852" s="211"/>
      <c r="D852" s="212"/>
      <c r="E852" s="213"/>
      <c r="F852" s="214"/>
    </row>
    <row r="853">
      <c r="A853" s="209"/>
      <c r="B853" s="210"/>
      <c r="C853" s="211"/>
      <c r="D853" s="212"/>
      <c r="E853" s="213"/>
      <c r="F853" s="214"/>
    </row>
    <row r="854">
      <c r="A854" s="209"/>
      <c r="B854" s="210"/>
      <c r="C854" s="211"/>
      <c r="D854" s="212"/>
      <c r="E854" s="213"/>
      <c r="F854" s="214"/>
    </row>
    <row r="855">
      <c r="A855" s="209"/>
      <c r="B855" s="210"/>
      <c r="C855" s="211"/>
      <c r="D855" s="212"/>
      <c r="E855" s="213"/>
      <c r="F855" s="214"/>
    </row>
    <row r="856">
      <c r="A856" s="209"/>
      <c r="B856" s="210"/>
      <c r="C856" s="211"/>
      <c r="D856" s="212"/>
      <c r="E856" s="213"/>
      <c r="F856" s="214"/>
    </row>
    <row r="857">
      <c r="A857" s="209"/>
      <c r="B857" s="210"/>
      <c r="C857" s="211"/>
      <c r="D857" s="212"/>
      <c r="E857" s="213"/>
      <c r="F857" s="214"/>
    </row>
    <row r="858">
      <c r="A858" s="209"/>
      <c r="B858" s="210"/>
      <c r="C858" s="211"/>
      <c r="D858" s="212"/>
      <c r="E858" s="213"/>
      <c r="F858" s="214"/>
    </row>
    <row r="859">
      <c r="A859" s="209"/>
      <c r="B859" s="210"/>
      <c r="C859" s="211"/>
      <c r="D859" s="212"/>
      <c r="E859" s="213"/>
      <c r="F859" s="214"/>
    </row>
    <row r="860">
      <c r="A860" s="209"/>
      <c r="B860" s="210"/>
      <c r="C860" s="211"/>
      <c r="D860" s="212"/>
      <c r="E860" s="213"/>
      <c r="F860" s="214"/>
    </row>
    <row r="861">
      <c r="A861" s="209"/>
      <c r="B861" s="210"/>
      <c r="C861" s="211"/>
      <c r="D861" s="212"/>
      <c r="E861" s="213"/>
      <c r="F861" s="214"/>
    </row>
    <row r="862">
      <c r="A862" s="209"/>
      <c r="B862" s="210"/>
      <c r="C862" s="211"/>
      <c r="D862" s="212"/>
      <c r="E862" s="213"/>
      <c r="F862" s="214"/>
    </row>
    <row r="863">
      <c r="A863" s="209"/>
      <c r="B863" s="210"/>
      <c r="C863" s="211"/>
      <c r="D863" s="212"/>
      <c r="E863" s="213"/>
      <c r="F863" s="214"/>
    </row>
    <row r="864">
      <c r="A864" s="209"/>
      <c r="B864" s="210"/>
      <c r="C864" s="211"/>
      <c r="D864" s="212"/>
      <c r="E864" s="213"/>
      <c r="F864" s="214"/>
    </row>
    <row r="865">
      <c r="A865" s="209"/>
      <c r="B865" s="210"/>
      <c r="C865" s="211"/>
      <c r="D865" s="212"/>
      <c r="E865" s="213"/>
      <c r="F865" s="214"/>
    </row>
    <row r="866">
      <c r="A866" s="209"/>
      <c r="B866" s="210"/>
      <c r="C866" s="211"/>
      <c r="D866" s="212"/>
      <c r="E866" s="213"/>
      <c r="F866" s="214"/>
    </row>
    <row r="867">
      <c r="A867" s="209"/>
      <c r="B867" s="210"/>
      <c r="C867" s="211"/>
      <c r="D867" s="212"/>
      <c r="E867" s="213"/>
      <c r="F867" s="214"/>
    </row>
    <row r="868">
      <c r="A868" s="209"/>
      <c r="B868" s="210"/>
      <c r="C868" s="211"/>
      <c r="D868" s="212"/>
      <c r="E868" s="213"/>
      <c r="F868" s="214"/>
    </row>
    <row r="869">
      <c r="A869" s="209"/>
      <c r="B869" s="210"/>
      <c r="C869" s="211"/>
      <c r="D869" s="212"/>
      <c r="E869" s="213"/>
      <c r="F869" s="214"/>
    </row>
    <row r="870">
      <c r="A870" s="209"/>
      <c r="B870" s="210"/>
      <c r="C870" s="211"/>
      <c r="D870" s="212"/>
      <c r="E870" s="213"/>
      <c r="F870" s="214"/>
    </row>
    <row r="871">
      <c r="A871" s="209"/>
      <c r="B871" s="210"/>
      <c r="C871" s="211"/>
      <c r="D871" s="212"/>
      <c r="E871" s="213"/>
      <c r="F871" s="214"/>
    </row>
    <row r="872">
      <c r="A872" s="209"/>
      <c r="B872" s="210"/>
      <c r="C872" s="211"/>
      <c r="D872" s="212"/>
      <c r="E872" s="213"/>
      <c r="F872" s="214"/>
    </row>
    <row r="873">
      <c r="A873" s="209"/>
      <c r="B873" s="210"/>
      <c r="C873" s="211"/>
      <c r="D873" s="212"/>
      <c r="E873" s="213"/>
      <c r="F873" s="214"/>
    </row>
    <row r="874">
      <c r="A874" s="209"/>
      <c r="B874" s="210"/>
      <c r="C874" s="211"/>
      <c r="D874" s="212"/>
      <c r="E874" s="213"/>
      <c r="F874" s="214"/>
    </row>
    <row r="875">
      <c r="A875" s="209"/>
      <c r="B875" s="210"/>
      <c r="C875" s="211"/>
      <c r="D875" s="212"/>
      <c r="E875" s="213"/>
      <c r="F875" s="214"/>
    </row>
    <row r="876">
      <c r="A876" s="209"/>
      <c r="B876" s="210"/>
      <c r="C876" s="211"/>
      <c r="D876" s="212"/>
      <c r="E876" s="213"/>
      <c r="F876" s="214"/>
    </row>
    <row r="877">
      <c r="A877" s="209"/>
      <c r="B877" s="210"/>
      <c r="C877" s="211"/>
      <c r="D877" s="212"/>
      <c r="E877" s="213"/>
      <c r="F877" s="214"/>
    </row>
    <row r="878">
      <c r="A878" s="209"/>
      <c r="B878" s="210"/>
      <c r="C878" s="211"/>
      <c r="D878" s="212"/>
      <c r="E878" s="213"/>
      <c r="F878" s="214"/>
    </row>
    <row r="879">
      <c r="A879" s="209"/>
      <c r="B879" s="210"/>
      <c r="C879" s="211"/>
      <c r="D879" s="212"/>
      <c r="E879" s="213"/>
      <c r="F879" s="214"/>
    </row>
    <row r="880">
      <c r="A880" s="209"/>
      <c r="B880" s="210"/>
      <c r="C880" s="211"/>
      <c r="D880" s="212"/>
      <c r="E880" s="213"/>
      <c r="F880" s="214"/>
    </row>
    <row r="881">
      <c r="A881" s="209"/>
      <c r="B881" s="210"/>
      <c r="C881" s="211"/>
      <c r="D881" s="212"/>
      <c r="E881" s="213"/>
      <c r="F881" s="214"/>
    </row>
    <row r="882">
      <c r="A882" s="209"/>
      <c r="B882" s="210"/>
      <c r="C882" s="211"/>
      <c r="D882" s="212"/>
      <c r="E882" s="213"/>
      <c r="F882" s="214"/>
    </row>
    <row r="883">
      <c r="A883" s="209"/>
      <c r="B883" s="210"/>
      <c r="C883" s="211"/>
      <c r="D883" s="212"/>
      <c r="E883" s="213"/>
      <c r="F883" s="214"/>
    </row>
    <row r="884">
      <c r="A884" s="209"/>
      <c r="B884" s="210"/>
      <c r="C884" s="211"/>
      <c r="D884" s="212"/>
      <c r="E884" s="213"/>
      <c r="F884" s="214"/>
    </row>
    <row r="885">
      <c r="A885" s="209"/>
      <c r="B885" s="210"/>
      <c r="C885" s="211"/>
      <c r="D885" s="212"/>
      <c r="E885" s="213"/>
      <c r="F885" s="214"/>
    </row>
    <row r="886">
      <c r="A886" s="209"/>
      <c r="B886" s="210"/>
      <c r="C886" s="211"/>
      <c r="D886" s="212"/>
      <c r="E886" s="213"/>
      <c r="F886" s="214"/>
    </row>
    <row r="887">
      <c r="A887" s="209"/>
      <c r="B887" s="210"/>
      <c r="C887" s="211"/>
      <c r="D887" s="212"/>
      <c r="E887" s="213"/>
      <c r="F887" s="214"/>
    </row>
    <row r="888">
      <c r="A888" s="209"/>
      <c r="B888" s="210"/>
      <c r="C888" s="211"/>
      <c r="D888" s="212"/>
      <c r="E888" s="213"/>
      <c r="F888" s="214"/>
    </row>
    <row r="889">
      <c r="A889" s="209"/>
      <c r="B889" s="210"/>
      <c r="C889" s="211"/>
      <c r="D889" s="212"/>
      <c r="E889" s="213"/>
      <c r="F889" s="214"/>
    </row>
    <row r="890">
      <c r="A890" s="209"/>
      <c r="B890" s="210"/>
      <c r="C890" s="211"/>
      <c r="D890" s="212"/>
      <c r="E890" s="213"/>
      <c r="F890" s="214"/>
    </row>
    <row r="891">
      <c r="A891" s="209"/>
      <c r="B891" s="210"/>
      <c r="C891" s="211"/>
      <c r="D891" s="212"/>
      <c r="E891" s="213"/>
      <c r="F891" s="214"/>
    </row>
    <row r="892">
      <c r="A892" s="209"/>
      <c r="B892" s="210"/>
      <c r="C892" s="211"/>
      <c r="D892" s="212"/>
      <c r="E892" s="213"/>
      <c r="F892" s="214"/>
    </row>
    <row r="893">
      <c r="A893" s="209"/>
      <c r="B893" s="210"/>
      <c r="C893" s="211"/>
      <c r="D893" s="212"/>
      <c r="E893" s="213"/>
      <c r="F893" s="214"/>
    </row>
    <row r="894">
      <c r="A894" s="209"/>
      <c r="B894" s="210"/>
      <c r="C894" s="211"/>
      <c r="D894" s="212"/>
      <c r="E894" s="213"/>
      <c r="F894" s="214"/>
    </row>
    <row r="895">
      <c r="A895" s="209"/>
      <c r="B895" s="210"/>
      <c r="C895" s="211"/>
      <c r="D895" s="212"/>
      <c r="E895" s="213"/>
      <c r="F895" s="214"/>
    </row>
    <row r="896">
      <c r="A896" s="209"/>
      <c r="B896" s="210"/>
      <c r="C896" s="211"/>
      <c r="D896" s="212"/>
      <c r="E896" s="213"/>
      <c r="F896" s="214"/>
    </row>
    <row r="897">
      <c r="A897" s="209"/>
      <c r="B897" s="210"/>
      <c r="C897" s="211"/>
      <c r="D897" s="212"/>
      <c r="E897" s="213"/>
      <c r="F897" s="214"/>
    </row>
    <row r="898">
      <c r="A898" s="209"/>
      <c r="B898" s="210"/>
      <c r="C898" s="211"/>
      <c r="D898" s="212"/>
      <c r="E898" s="213"/>
      <c r="F898" s="214"/>
    </row>
    <row r="899">
      <c r="A899" s="209"/>
      <c r="B899" s="210"/>
      <c r="C899" s="211"/>
      <c r="D899" s="212"/>
      <c r="E899" s="213"/>
      <c r="F899" s="214"/>
    </row>
    <row r="900">
      <c r="A900" s="209"/>
      <c r="B900" s="210"/>
      <c r="C900" s="211"/>
      <c r="D900" s="212"/>
      <c r="E900" s="213"/>
      <c r="F900" s="214"/>
    </row>
    <row r="901">
      <c r="A901" s="209"/>
      <c r="B901" s="210"/>
      <c r="C901" s="211"/>
      <c r="D901" s="212"/>
      <c r="E901" s="213"/>
      <c r="F901" s="214"/>
    </row>
    <row r="902">
      <c r="A902" s="209"/>
      <c r="B902" s="210"/>
      <c r="C902" s="211"/>
      <c r="D902" s="212"/>
      <c r="E902" s="213"/>
      <c r="F902" s="214"/>
    </row>
    <row r="903">
      <c r="A903" s="209"/>
      <c r="B903" s="210"/>
      <c r="C903" s="211"/>
      <c r="D903" s="212"/>
      <c r="E903" s="213"/>
      <c r="F903" s="214"/>
    </row>
    <row r="904">
      <c r="A904" s="209"/>
      <c r="B904" s="210"/>
      <c r="C904" s="211"/>
      <c r="D904" s="212"/>
      <c r="E904" s="213"/>
      <c r="F904" s="214"/>
    </row>
    <row r="905">
      <c r="A905" s="209"/>
      <c r="B905" s="210"/>
      <c r="C905" s="211"/>
      <c r="D905" s="212"/>
      <c r="E905" s="213"/>
      <c r="F905" s="214"/>
    </row>
    <row r="906">
      <c r="A906" s="209"/>
      <c r="B906" s="210"/>
      <c r="C906" s="211"/>
      <c r="D906" s="212"/>
      <c r="E906" s="213"/>
      <c r="F906" s="214"/>
    </row>
    <row r="907">
      <c r="A907" s="209"/>
      <c r="B907" s="210"/>
      <c r="C907" s="211"/>
      <c r="D907" s="212"/>
      <c r="E907" s="213"/>
      <c r="F907" s="214"/>
    </row>
    <row r="908">
      <c r="A908" s="209"/>
      <c r="B908" s="210"/>
      <c r="C908" s="211"/>
      <c r="D908" s="212"/>
      <c r="E908" s="213"/>
      <c r="F908" s="214"/>
    </row>
    <row r="909">
      <c r="A909" s="209"/>
      <c r="B909" s="210"/>
      <c r="C909" s="211"/>
      <c r="D909" s="212"/>
      <c r="E909" s="213"/>
      <c r="F909" s="214"/>
    </row>
    <row r="910">
      <c r="A910" s="209"/>
      <c r="B910" s="210"/>
      <c r="C910" s="211"/>
      <c r="D910" s="212"/>
      <c r="E910" s="213"/>
      <c r="F910" s="214"/>
    </row>
    <row r="911">
      <c r="A911" s="209"/>
      <c r="B911" s="210"/>
      <c r="C911" s="211"/>
      <c r="D911" s="212"/>
      <c r="E911" s="213"/>
      <c r="F911" s="214"/>
    </row>
    <row r="912">
      <c r="A912" s="209"/>
      <c r="B912" s="210"/>
      <c r="C912" s="211"/>
      <c r="D912" s="212"/>
      <c r="E912" s="213"/>
      <c r="F912" s="214"/>
    </row>
    <row r="913">
      <c r="A913" s="209"/>
      <c r="B913" s="210"/>
      <c r="C913" s="211"/>
      <c r="D913" s="212"/>
      <c r="E913" s="213"/>
      <c r="F913" s="214"/>
    </row>
    <row r="914">
      <c r="A914" s="209"/>
      <c r="B914" s="210"/>
      <c r="C914" s="211"/>
      <c r="D914" s="212"/>
      <c r="E914" s="213"/>
      <c r="F914" s="214"/>
    </row>
    <row r="915">
      <c r="A915" s="209"/>
      <c r="B915" s="210"/>
      <c r="C915" s="211"/>
      <c r="D915" s="212"/>
      <c r="E915" s="213"/>
      <c r="F915" s="214"/>
    </row>
    <row r="916">
      <c r="A916" s="209"/>
      <c r="B916" s="210"/>
      <c r="C916" s="211"/>
      <c r="D916" s="212"/>
      <c r="E916" s="213"/>
      <c r="F916" s="214"/>
    </row>
    <row r="917">
      <c r="A917" s="209"/>
      <c r="B917" s="210"/>
      <c r="C917" s="211"/>
      <c r="D917" s="212"/>
      <c r="E917" s="213"/>
      <c r="F917" s="214"/>
    </row>
    <row r="918">
      <c r="A918" s="209"/>
      <c r="B918" s="210"/>
      <c r="C918" s="211"/>
      <c r="D918" s="212"/>
      <c r="E918" s="213"/>
      <c r="F918" s="214"/>
    </row>
    <row r="919">
      <c r="A919" s="209"/>
      <c r="B919" s="210"/>
      <c r="C919" s="211"/>
      <c r="D919" s="212"/>
      <c r="E919" s="213"/>
      <c r="F919" s="214"/>
    </row>
    <row r="920">
      <c r="A920" s="209"/>
      <c r="B920" s="210"/>
      <c r="C920" s="211"/>
      <c r="D920" s="212"/>
      <c r="E920" s="213"/>
      <c r="F920" s="214"/>
    </row>
    <row r="921">
      <c r="A921" s="209"/>
      <c r="B921" s="210"/>
      <c r="C921" s="211"/>
      <c r="D921" s="212"/>
      <c r="E921" s="213"/>
      <c r="F921" s="214"/>
    </row>
    <row r="922">
      <c r="A922" s="209"/>
      <c r="B922" s="210"/>
      <c r="C922" s="211"/>
      <c r="D922" s="212"/>
      <c r="E922" s="213"/>
      <c r="F922" s="214"/>
    </row>
    <row r="923">
      <c r="A923" s="209"/>
      <c r="B923" s="210"/>
      <c r="C923" s="211"/>
      <c r="D923" s="212"/>
      <c r="E923" s="213"/>
      <c r="F923" s="214"/>
    </row>
    <row r="924">
      <c r="A924" s="209"/>
      <c r="B924" s="210"/>
      <c r="C924" s="211"/>
      <c r="D924" s="212"/>
      <c r="E924" s="213"/>
      <c r="F924" s="214"/>
    </row>
    <row r="925">
      <c r="A925" s="209"/>
      <c r="B925" s="210"/>
      <c r="C925" s="211"/>
      <c r="D925" s="212"/>
      <c r="E925" s="213"/>
      <c r="F925" s="214"/>
    </row>
    <row r="926">
      <c r="A926" s="209"/>
      <c r="B926" s="210"/>
      <c r="C926" s="211"/>
      <c r="D926" s="212"/>
      <c r="E926" s="213"/>
      <c r="F926" s="214"/>
    </row>
    <row r="927">
      <c r="A927" s="209"/>
      <c r="B927" s="210"/>
      <c r="C927" s="211"/>
      <c r="D927" s="212"/>
      <c r="E927" s="213"/>
      <c r="F927" s="214"/>
    </row>
    <row r="928">
      <c r="A928" s="209"/>
      <c r="B928" s="210"/>
      <c r="C928" s="211"/>
      <c r="D928" s="212"/>
      <c r="E928" s="213"/>
      <c r="F928" s="214"/>
    </row>
    <row r="929">
      <c r="A929" s="209"/>
      <c r="B929" s="210"/>
      <c r="C929" s="211"/>
      <c r="D929" s="212"/>
      <c r="E929" s="213"/>
      <c r="F929" s="214"/>
    </row>
    <row r="930">
      <c r="A930" s="209"/>
      <c r="B930" s="210"/>
      <c r="C930" s="211"/>
      <c r="D930" s="212"/>
      <c r="E930" s="213"/>
      <c r="F930" s="214"/>
    </row>
    <row r="931">
      <c r="A931" s="209"/>
      <c r="B931" s="210"/>
      <c r="C931" s="211"/>
      <c r="D931" s="212"/>
      <c r="E931" s="213"/>
      <c r="F931" s="214"/>
    </row>
    <row r="932">
      <c r="A932" s="209"/>
      <c r="B932" s="210"/>
      <c r="C932" s="211"/>
      <c r="D932" s="212"/>
      <c r="E932" s="213"/>
      <c r="F932" s="214"/>
    </row>
    <row r="933">
      <c r="A933" s="209"/>
      <c r="B933" s="210"/>
      <c r="C933" s="211"/>
      <c r="D933" s="212"/>
      <c r="E933" s="213"/>
      <c r="F933" s="214"/>
    </row>
    <row r="934">
      <c r="A934" s="209"/>
      <c r="B934" s="210"/>
      <c r="C934" s="211"/>
      <c r="D934" s="212"/>
      <c r="E934" s="213"/>
      <c r="F934" s="214"/>
    </row>
    <row r="935">
      <c r="A935" s="209"/>
      <c r="B935" s="210"/>
      <c r="C935" s="211"/>
      <c r="D935" s="212"/>
      <c r="E935" s="213"/>
      <c r="F935" s="214"/>
    </row>
    <row r="936">
      <c r="A936" s="209"/>
      <c r="B936" s="210"/>
      <c r="C936" s="211"/>
      <c r="D936" s="212"/>
      <c r="E936" s="213"/>
      <c r="F936" s="214"/>
    </row>
    <row r="937">
      <c r="A937" s="209"/>
      <c r="B937" s="210"/>
      <c r="C937" s="211"/>
      <c r="D937" s="212"/>
      <c r="E937" s="213"/>
      <c r="F937" s="214"/>
    </row>
    <row r="938">
      <c r="A938" s="209"/>
      <c r="B938" s="210"/>
      <c r="C938" s="211"/>
      <c r="D938" s="212"/>
      <c r="E938" s="213"/>
      <c r="F938" s="214"/>
    </row>
    <row r="939">
      <c r="A939" s="209"/>
      <c r="B939" s="210"/>
      <c r="C939" s="211"/>
      <c r="D939" s="212"/>
      <c r="E939" s="213"/>
      <c r="F939" s="214"/>
    </row>
    <row r="940">
      <c r="A940" s="209"/>
      <c r="B940" s="210"/>
      <c r="C940" s="211"/>
      <c r="D940" s="212"/>
      <c r="E940" s="213"/>
      <c r="F940" s="214"/>
    </row>
    <row r="941">
      <c r="A941" s="209"/>
      <c r="B941" s="210"/>
      <c r="C941" s="211"/>
      <c r="D941" s="212"/>
      <c r="E941" s="213"/>
      <c r="F941" s="214"/>
    </row>
    <row r="942">
      <c r="A942" s="209"/>
      <c r="B942" s="210"/>
      <c r="C942" s="211"/>
      <c r="D942" s="212"/>
      <c r="E942" s="213"/>
      <c r="F942" s="214"/>
    </row>
    <row r="943">
      <c r="A943" s="209"/>
      <c r="B943" s="210"/>
      <c r="C943" s="211"/>
      <c r="D943" s="212"/>
      <c r="E943" s="213"/>
      <c r="F943" s="214"/>
    </row>
    <row r="944">
      <c r="A944" s="209"/>
      <c r="B944" s="210"/>
      <c r="C944" s="211"/>
      <c r="D944" s="212"/>
      <c r="E944" s="213"/>
      <c r="F944" s="214"/>
    </row>
    <row r="945">
      <c r="A945" s="209"/>
      <c r="B945" s="210"/>
      <c r="C945" s="211"/>
      <c r="D945" s="212"/>
      <c r="E945" s="213"/>
      <c r="F945" s="214"/>
    </row>
    <row r="946">
      <c r="A946" s="209"/>
      <c r="B946" s="210"/>
      <c r="C946" s="211"/>
      <c r="D946" s="212"/>
      <c r="E946" s="213"/>
      <c r="F946" s="214"/>
    </row>
    <row r="947">
      <c r="A947" s="209"/>
      <c r="B947" s="210"/>
      <c r="C947" s="211"/>
      <c r="D947" s="212"/>
      <c r="E947" s="213"/>
      <c r="F947" s="214"/>
    </row>
    <row r="948">
      <c r="A948" s="209"/>
      <c r="B948" s="210"/>
      <c r="C948" s="211"/>
      <c r="D948" s="212"/>
      <c r="E948" s="213"/>
      <c r="F948" s="214"/>
    </row>
    <row r="949">
      <c r="A949" s="209"/>
      <c r="B949" s="210"/>
      <c r="C949" s="211"/>
      <c r="D949" s="212"/>
      <c r="E949" s="213"/>
      <c r="F949" s="214"/>
    </row>
    <row r="950">
      <c r="A950" s="209"/>
      <c r="B950" s="210"/>
      <c r="C950" s="211"/>
      <c r="D950" s="212"/>
      <c r="E950" s="213"/>
      <c r="F950" s="214"/>
    </row>
    <row r="951">
      <c r="A951" s="209"/>
      <c r="B951" s="210"/>
      <c r="C951" s="211"/>
      <c r="D951" s="212"/>
      <c r="E951" s="213"/>
      <c r="F951" s="214"/>
    </row>
    <row r="952">
      <c r="A952" s="209"/>
      <c r="B952" s="210"/>
      <c r="C952" s="211"/>
      <c r="D952" s="212"/>
      <c r="E952" s="213"/>
      <c r="F952" s="214"/>
    </row>
    <row r="953">
      <c r="A953" s="209"/>
      <c r="B953" s="210"/>
      <c r="C953" s="211"/>
      <c r="D953" s="212"/>
      <c r="E953" s="213"/>
      <c r="F953" s="214"/>
    </row>
    <row r="954">
      <c r="A954" s="209"/>
      <c r="B954" s="210"/>
      <c r="C954" s="211"/>
      <c r="D954" s="212"/>
      <c r="E954" s="213"/>
      <c r="F954" s="214"/>
    </row>
    <row r="955">
      <c r="A955" s="209"/>
      <c r="B955" s="210"/>
      <c r="C955" s="211"/>
      <c r="D955" s="212"/>
      <c r="E955" s="213"/>
      <c r="F955" s="214"/>
    </row>
    <row r="956">
      <c r="A956" s="209"/>
      <c r="B956" s="210"/>
      <c r="C956" s="211"/>
      <c r="D956" s="212"/>
      <c r="E956" s="213"/>
      <c r="F956" s="214"/>
    </row>
    <row r="957">
      <c r="A957" s="209"/>
      <c r="B957" s="210"/>
      <c r="C957" s="211"/>
      <c r="D957" s="212"/>
      <c r="E957" s="213"/>
      <c r="F957" s="214"/>
    </row>
    <row r="958">
      <c r="A958" s="209"/>
      <c r="B958" s="210"/>
      <c r="C958" s="211"/>
      <c r="D958" s="212"/>
      <c r="E958" s="213"/>
      <c r="F958" s="214"/>
    </row>
    <row r="959">
      <c r="A959" s="209"/>
      <c r="B959" s="210"/>
      <c r="C959" s="211"/>
      <c r="D959" s="212"/>
      <c r="E959" s="213"/>
      <c r="F959" s="214"/>
    </row>
    <row r="960">
      <c r="A960" s="209"/>
      <c r="B960" s="210"/>
      <c r="C960" s="211"/>
      <c r="D960" s="212"/>
      <c r="E960" s="213"/>
      <c r="F960" s="214"/>
    </row>
    <row r="961">
      <c r="A961" s="209"/>
      <c r="B961" s="210"/>
      <c r="C961" s="211"/>
      <c r="D961" s="212"/>
      <c r="E961" s="213"/>
      <c r="F961" s="214"/>
    </row>
    <row r="962">
      <c r="A962" s="209"/>
      <c r="B962" s="210"/>
      <c r="C962" s="211"/>
      <c r="D962" s="212"/>
      <c r="E962" s="213"/>
      <c r="F962" s="214"/>
    </row>
    <row r="963">
      <c r="A963" s="209"/>
      <c r="B963" s="210"/>
      <c r="C963" s="211"/>
      <c r="D963" s="212"/>
      <c r="E963" s="213"/>
      <c r="F963" s="214"/>
    </row>
    <row r="964">
      <c r="A964" s="209"/>
      <c r="B964" s="210"/>
      <c r="C964" s="211"/>
      <c r="D964" s="212"/>
      <c r="E964" s="213"/>
      <c r="F964" s="214"/>
    </row>
    <row r="965">
      <c r="A965" s="209"/>
      <c r="B965" s="210"/>
      <c r="C965" s="211"/>
      <c r="D965" s="212"/>
      <c r="E965" s="213"/>
      <c r="F965" s="214"/>
    </row>
    <row r="966">
      <c r="A966" s="209"/>
      <c r="B966" s="210"/>
      <c r="C966" s="211"/>
      <c r="D966" s="212"/>
      <c r="E966" s="213"/>
      <c r="F966" s="214"/>
    </row>
    <row r="967">
      <c r="A967" s="209"/>
      <c r="B967" s="210"/>
      <c r="C967" s="211"/>
      <c r="D967" s="212"/>
      <c r="E967" s="213"/>
      <c r="F967" s="214"/>
    </row>
    <row r="968">
      <c r="A968" s="209"/>
      <c r="B968" s="210"/>
      <c r="C968" s="211"/>
      <c r="D968" s="212"/>
      <c r="E968" s="213"/>
      <c r="F968" s="214"/>
    </row>
    <row r="969">
      <c r="A969" s="209"/>
      <c r="B969" s="210"/>
      <c r="C969" s="211"/>
      <c r="D969" s="212"/>
      <c r="E969" s="213"/>
      <c r="F969" s="214"/>
    </row>
    <row r="970">
      <c r="A970" s="209"/>
      <c r="B970" s="210"/>
      <c r="C970" s="211"/>
      <c r="D970" s="212"/>
      <c r="E970" s="213"/>
      <c r="F970" s="214"/>
    </row>
    <row r="971">
      <c r="A971" s="209"/>
      <c r="B971" s="210"/>
      <c r="C971" s="211"/>
      <c r="D971" s="212"/>
      <c r="E971" s="213"/>
      <c r="F971" s="214"/>
    </row>
    <row r="972">
      <c r="A972" s="209"/>
      <c r="B972" s="210"/>
      <c r="C972" s="211"/>
      <c r="D972" s="212"/>
      <c r="E972" s="213"/>
      <c r="F972" s="214"/>
    </row>
    <row r="973">
      <c r="A973" s="209"/>
      <c r="B973" s="210"/>
      <c r="C973" s="211"/>
      <c r="D973" s="212"/>
      <c r="E973" s="213"/>
      <c r="F973" s="214"/>
    </row>
    <row r="974">
      <c r="A974" s="209"/>
      <c r="B974" s="210"/>
      <c r="C974" s="211"/>
      <c r="D974" s="212"/>
      <c r="E974" s="213"/>
      <c r="F974" s="214"/>
    </row>
    <row r="975">
      <c r="A975" s="209"/>
      <c r="B975" s="210"/>
      <c r="C975" s="211"/>
      <c r="D975" s="212"/>
      <c r="E975" s="213"/>
      <c r="F975" s="214"/>
    </row>
    <row r="976">
      <c r="A976" s="209"/>
      <c r="B976" s="210"/>
      <c r="C976" s="211"/>
      <c r="D976" s="212"/>
      <c r="E976" s="213"/>
      <c r="F976" s="214"/>
    </row>
    <row r="977">
      <c r="A977" s="209"/>
      <c r="B977" s="210"/>
      <c r="C977" s="211"/>
      <c r="D977" s="212"/>
      <c r="E977" s="213"/>
      <c r="F977" s="214"/>
    </row>
    <row r="978">
      <c r="A978" s="209"/>
      <c r="B978" s="210"/>
      <c r="C978" s="211"/>
      <c r="D978" s="212"/>
      <c r="E978" s="213"/>
      <c r="F978" s="214"/>
    </row>
    <row r="979">
      <c r="A979" s="209"/>
      <c r="B979" s="210"/>
      <c r="C979" s="211"/>
      <c r="D979" s="212"/>
      <c r="E979" s="213"/>
      <c r="F979" s="214"/>
    </row>
    <row r="980">
      <c r="A980" s="209"/>
      <c r="B980" s="210"/>
      <c r="C980" s="211"/>
      <c r="D980" s="212"/>
      <c r="E980" s="213"/>
      <c r="F980" s="214"/>
    </row>
    <row r="981">
      <c r="A981" s="209"/>
      <c r="B981" s="210"/>
      <c r="C981" s="211"/>
      <c r="D981" s="212"/>
      <c r="E981" s="213"/>
      <c r="F981" s="214"/>
    </row>
    <row r="982">
      <c r="A982" s="209"/>
      <c r="B982" s="210"/>
      <c r="C982" s="211"/>
      <c r="D982" s="212"/>
      <c r="E982" s="213"/>
      <c r="F982" s="214"/>
    </row>
    <row r="983">
      <c r="A983" s="209"/>
      <c r="B983" s="210"/>
      <c r="C983" s="211"/>
      <c r="D983" s="212"/>
      <c r="E983" s="213"/>
      <c r="F983" s="214"/>
    </row>
    <row r="984">
      <c r="A984" s="209"/>
      <c r="B984" s="210"/>
      <c r="C984" s="211"/>
      <c r="D984" s="212"/>
      <c r="E984" s="213"/>
      <c r="F984" s="214"/>
    </row>
    <row r="985">
      <c r="A985" s="209"/>
      <c r="B985" s="210"/>
      <c r="C985" s="211"/>
      <c r="D985" s="212"/>
      <c r="E985" s="213"/>
      <c r="F985" s="214"/>
    </row>
    <row r="986">
      <c r="A986" s="209"/>
      <c r="B986" s="210"/>
      <c r="C986" s="211"/>
      <c r="D986" s="212"/>
      <c r="E986" s="213"/>
      <c r="F986" s="214"/>
    </row>
    <row r="987">
      <c r="A987" s="209"/>
      <c r="B987" s="210"/>
      <c r="C987" s="211"/>
      <c r="D987" s="212"/>
      <c r="E987" s="213"/>
      <c r="F987" s="214"/>
    </row>
    <row r="988">
      <c r="A988" s="209"/>
      <c r="B988" s="210"/>
      <c r="C988" s="211"/>
      <c r="D988" s="212"/>
      <c r="E988" s="213"/>
      <c r="F988" s="214"/>
    </row>
    <row r="989">
      <c r="A989" s="209"/>
      <c r="B989" s="210"/>
      <c r="C989" s="211"/>
      <c r="D989" s="212"/>
      <c r="E989" s="213"/>
      <c r="F989" s="214"/>
    </row>
    <row r="990">
      <c r="A990" s="209"/>
      <c r="B990" s="210"/>
      <c r="C990" s="211"/>
      <c r="D990" s="212"/>
      <c r="E990" s="213"/>
      <c r="F990" s="214"/>
    </row>
    <row r="991">
      <c r="A991" s="209"/>
      <c r="B991" s="210"/>
      <c r="C991" s="211"/>
      <c r="D991" s="212"/>
      <c r="E991" s="213"/>
      <c r="F991" s="214"/>
    </row>
    <row r="992">
      <c r="A992" s="209"/>
      <c r="B992" s="210"/>
      <c r="C992" s="211"/>
      <c r="D992" s="212"/>
      <c r="E992" s="213"/>
      <c r="F992" s="214"/>
    </row>
    <row r="993">
      <c r="A993" s="209"/>
      <c r="B993" s="210"/>
      <c r="C993" s="211"/>
      <c r="D993" s="212"/>
      <c r="E993" s="213"/>
      <c r="F993" s="214"/>
    </row>
    <row r="994">
      <c r="A994" s="209"/>
      <c r="B994" s="210"/>
      <c r="C994" s="211"/>
      <c r="D994" s="212"/>
      <c r="E994" s="213"/>
      <c r="F994" s="214"/>
    </row>
    <row r="995">
      <c r="A995" s="209"/>
      <c r="B995" s="210"/>
      <c r="C995" s="211"/>
      <c r="D995" s="212"/>
      <c r="E995" s="213"/>
      <c r="F995" s="214"/>
    </row>
    <row r="996">
      <c r="A996" s="209"/>
      <c r="B996" s="210"/>
      <c r="C996" s="211"/>
      <c r="D996" s="212"/>
      <c r="E996" s="213"/>
      <c r="F996" s="214"/>
    </row>
    <row r="997">
      <c r="A997" s="209"/>
      <c r="B997" s="210"/>
      <c r="C997" s="211"/>
      <c r="D997" s="212"/>
      <c r="E997" s="213"/>
      <c r="F997" s="214"/>
    </row>
    <row r="998">
      <c r="A998" s="209"/>
      <c r="B998" s="210"/>
      <c r="C998" s="211"/>
      <c r="D998" s="212"/>
      <c r="E998" s="213"/>
      <c r="F998" s="214"/>
    </row>
    <row r="999">
      <c r="A999" s="209"/>
      <c r="B999" s="210"/>
      <c r="C999" s="211"/>
      <c r="D999" s="212"/>
      <c r="E999" s="213"/>
      <c r="F999" s="214"/>
    </row>
    <row r="1000">
      <c r="A1000" s="209"/>
      <c r="B1000" s="210"/>
      <c r="C1000" s="211"/>
      <c r="D1000" s="212"/>
      <c r="E1000" s="213"/>
      <c r="F1000" s="214"/>
    </row>
    <row r="1001">
      <c r="A1001" s="209"/>
      <c r="B1001" s="210"/>
      <c r="C1001" s="211"/>
      <c r="D1001" s="212"/>
      <c r="E1001" s="213"/>
      <c r="F1001" s="214"/>
    </row>
    <row r="1002">
      <c r="A1002" s="209"/>
      <c r="B1002" s="210"/>
      <c r="C1002" s="211"/>
      <c r="D1002" s="212"/>
      <c r="E1002" s="213"/>
      <c r="F1002" s="214"/>
    </row>
    <row r="1003">
      <c r="A1003" s="209"/>
      <c r="B1003" s="210"/>
      <c r="C1003" s="211"/>
      <c r="D1003" s="212"/>
      <c r="E1003" s="213"/>
      <c r="F1003" s="214"/>
    </row>
    <row r="1004">
      <c r="A1004" s="209"/>
      <c r="B1004" s="210"/>
      <c r="C1004" s="211"/>
      <c r="D1004" s="212"/>
      <c r="E1004" s="213"/>
      <c r="F1004" s="214"/>
    </row>
    <row r="1005">
      <c r="A1005" s="209"/>
      <c r="B1005" s="210"/>
      <c r="C1005" s="211"/>
      <c r="D1005" s="212"/>
      <c r="E1005" s="213"/>
      <c r="F1005" s="214"/>
    </row>
    <row r="1006">
      <c r="A1006" s="209"/>
      <c r="B1006" s="210"/>
      <c r="C1006" s="211"/>
      <c r="D1006" s="212"/>
      <c r="E1006" s="213"/>
      <c r="F1006" s="214"/>
    </row>
    <row r="1007">
      <c r="A1007" s="209"/>
      <c r="B1007" s="210"/>
      <c r="C1007" s="211"/>
      <c r="D1007" s="212"/>
      <c r="E1007" s="213"/>
      <c r="F1007" s="214"/>
    </row>
    <row r="1008">
      <c r="A1008" s="209"/>
      <c r="B1008" s="210"/>
      <c r="C1008" s="211"/>
      <c r="D1008" s="212"/>
      <c r="E1008" s="213"/>
      <c r="F1008" s="214"/>
    </row>
    <row r="1009">
      <c r="A1009" s="209"/>
      <c r="B1009" s="210"/>
      <c r="C1009" s="211"/>
      <c r="D1009" s="212"/>
      <c r="E1009" s="213"/>
      <c r="F1009" s="214"/>
    </row>
    <row r="1010">
      <c r="A1010" s="209"/>
      <c r="B1010" s="210"/>
      <c r="C1010" s="211"/>
      <c r="D1010" s="212"/>
      <c r="E1010" s="213"/>
      <c r="F1010" s="214"/>
    </row>
    <row r="1011">
      <c r="A1011" s="209"/>
      <c r="B1011" s="210"/>
      <c r="C1011" s="211"/>
      <c r="D1011" s="212"/>
      <c r="E1011" s="213"/>
      <c r="F1011" s="214"/>
    </row>
    <row r="1012">
      <c r="A1012" s="209"/>
      <c r="B1012" s="210"/>
      <c r="C1012" s="211"/>
      <c r="D1012" s="212"/>
      <c r="E1012" s="213"/>
      <c r="F1012" s="214"/>
    </row>
    <row r="1013">
      <c r="A1013" s="209"/>
      <c r="B1013" s="210"/>
      <c r="C1013" s="211"/>
      <c r="D1013" s="212"/>
      <c r="E1013" s="213"/>
      <c r="F1013" s="214"/>
    </row>
    <row r="1014">
      <c r="A1014" s="209"/>
      <c r="B1014" s="210"/>
      <c r="C1014" s="211"/>
      <c r="D1014" s="212"/>
      <c r="E1014" s="213"/>
      <c r="F1014" s="214"/>
    </row>
    <row r="1015">
      <c r="A1015" s="209"/>
      <c r="B1015" s="210"/>
      <c r="C1015" s="211"/>
      <c r="D1015" s="212"/>
      <c r="E1015" s="213"/>
      <c r="F1015" s="214"/>
    </row>
    <row r="1016">
      <c r="A1016" s="209"/>
      <c r="B1016" s="210"/>
      <c r="C1016" s="211"/>
      <c r="D1016" s="212"/>
      <c r="E1016" s="213"/>
      <c r="F1016" s="214"/>
    </row>
    <row r="1017">
      <c r="A1017" s="209"/>
      <c r="B1017" s="210"/>
      <c r="C1017" s="211"/>
      <c r="D1017" s="212"/>
      <c r="E1017" s="213"/>
      <c r="F1017" s="214"/>
    </row>
    <row r="1018">
      <c r="A1018" s="209"/>
      <c r="B1018" s="210"/>
      <c r="C1018" s="211"/>
      <c r="D1018" s="212"/>
      <c r="E1018" s="213"/>
      <c r="F1018" s="214"/>
    </row>
    <row r="1019">
      <c r="A1019" s="209"/>
      <c r="B1019" s="210"/>
      <c r="C1019" s="211"/>
      <c r="D1019" s="212"/>
      <c r="E1019" s="213"/>
      <c r="F1019" s="214"/>
    </row>
    <row r="1020">
      <c r="A1020" s="209"/>
      <c r="B1020" s="210"/>
      <c r="C1020" s="211"/>
      <c r="D1020" s="212"/>
      <c r="E1020" s="213"/>
      <c r="F1020" s="214"/>
    </row>
    <row r="1021">
      <c r="A1021" s="209"/>
      <c r="B1021" s="210"/>
      <c r="C1021" s="211"/>
      <c r="D1021" s="212"/>
      <c r="E1021" s="213"/>
      <c r="F1021" s="214"/>
    </row>
    <row r="1022">
      <c r="A1022" s="209"/>
      <c r="B1022" s="210"/>
      <c r="C1022" s="211"/>
      <c r="D1022" s="212"/>
      <c r="E1022" s="213"/>
      <c r="F1022" s="214"/>
    </row>
    <row r="1023">
      <c r="A1023" s="209"/>
      <c r="B1023" s="210"/>
      <c r="C1023" s="211"/>
      <c r="D1023" s="212"/>
      <c r="E1023" s="213"/>
      <c r="F1023" s="214"/>
    </row>
    <row r="1024">
      <c r="A1024" s="209"/>
      <c r="B1024" s="210"/>
      <c r="C1024" s="211"/>
      <c r="D1024" s="212"/>
      <c r="E1024" s="213"/>
      <c r="F1024" s="214"/>
    </row>
    <row r="1025">
      <c r="A1025" s="209"/>
      <c r="B1025" s="210"/>
      <c r="C1025" s="211"/>
      <c r="D1025" s="212"/>
      <c r="E1025" s="213"/>
      <c r="F1025" s="214"/>
    </row>
    <row r="1026">
      <c r="A1026" s="209"/>
      <c r="B1026" s="210"/>
      <c r="C1026" s="211"/>
      <c r="D1026" s="212"/>
      <c r="E1026" s="213"/>
      <c r="F1026" s="214"/>
    </row>
    <row r="1027">
      <c r="A1027" s="209"/>
      <c r="B1027" s="210"/>
      <c r="C1027" s="211"/>
      <c r="D1027" s="212"/>
      <c r="E1027" s="213"/>
      <c r="F1027" s="214"/>
    </row>
    <row r="1028">
      <c r="A1028" s="209"/>
      <c r="B1028" s="210"/>
      <c r="C1028" s="211"/>
      <c r="D1028" s="212"/>
      <c r="E1028" s="213"/>
      <c r="F1028" s="214"/>
    </row>
    <row r="1029">
      <c r="A1029" s="209"/>
      <c r="B1029" s="210"/>
      <c r="C1029" s="211"/>
      <c r="D1029" s="212"/>
      <c r="E1029" s="213"/>
      <c r="F1029" s="214"/>
    </row>
    <row r="1030">
      <c r="A1030" s="209"/>
      <c r="B1030" s="210"/>
      <c r="C1030" s="211"/>
      <c r="D1030" s="212"/>
      <c r="E1030" s="213"/>
      <c r="F1030" s="214"/>
    </row>
    <row r="1031">
      <c r="A1031" s="209"/>
      <c r="B1031" s="210"/>
      <c r="C1031" s="211"/>
      <c r="D1031" s="212"/>
      <c r="E1031" s="213"/>
      <c r="F1031" s="214"/>
    </row>
    <row r="1032">
      <c r="A1032" s="209"/>
      <c r="B1032" s="210"/>
      <c r="C1032" s="211"/>
      <c r="D1032" s="212"/>
      <c r="E1032" s="213"/>
      <c r="F1032" s="214"/>
    </row>
    <row r="1033">
      <c r="A1033" s="209"/>
      <c r="B1033" s="210"/>
      <c r="C1033" s="211"/>
      <c r="D1033" s="212"/>
      <c r="E1033" s="213"/>
      <c r="F1033" s="214"/>
    </row>
    <row r="1034">
      <c r="A1034" s="209"/>
      <c r="B1034" s="210"/>
      <c r="C1034" s="211"/>
      <c r="D1034" s="212"/>
      <c r="E1034" s="213"/>
      <c r="F1034" s="214"/>
    </row>
    <row r="1035">
      <c r="A1035" s="209"/>
      <c r="B1035" s="210"/>
      <c r="C1035" s="211"/>
      <c r="D1035" s="212"/>
      <c r="E1035" s="213"/>
      <c r="F1035" s="214"/>
    </row>
    <row r="1036">
      <c r="A1036" s="209"/>
      <c r="B1036" s="210"/>
      <c r="C1036" s="211"/>
      <c r="D1036" s="212"/>
      <c r="E1036" s="213"/>
      <c r="F1036" s="214"/>
    </row>
    <row r="1037">
      <c r="A1037" s="209"/>
      <c r="B1037" s="210"/>
      <c r="C1037" s="211"/>
      <c r="D1037" s="212"/>
      <c r="E1037" s="213"/>
      <c r="F1037" s="214"/>
    </row>
    <row r="1038">
      <c r="A1038" s="209"/>
      <c r="B1038" s="210"/>
      <c r="C1038" s="211"/>
      <c r="D1038" s="212"/>
      <c r="E1038" s="213"/>
      <c r="F1038" s="214"/>
    </row>
    <row r="1039">
      <c r="A1039" s="209"/>
      <c r="B1039" s="210"/>
      <c r="C1039" s="211"/>
      <c r="D1039" s="212"/>
      <c r="E1039" s="213"/>
      <c r="F1039" s="214"/>
    </row>
    <row r="1040">
      <c r="A1040" s="209"/>
      <c r="B1040" s="210"/>
      <c r="C1040" s="211"/>
      <c r="D1040" s="212"/>
      <c r="E1040" s="213"/>
      <c r="F1040" s="214"/>
    </row>
    <row r="1041">
      <c r="A1041" s="209"/>
      <c r="B1041" s="210"/>
      <c r="C1041" s="211"/>
      <c r="D1041" s="212"/>
      <c r="E1041" s="213"/>
      <c r="F1041" s="214"/>
    </row>
    <row r="1042">
      <c r="A1042" s="209"/>
      <c r="B1042" s="210"/>
      <c r="C1042" s="211"/>
      <c r="D1042" s="212"/>
      <c r="E1042" s="213"/>
      <c r="F1042" s="214"/>
    </row>
    <row r="1043">
      <c r="A1043" s="209"/>
      <c r="B1043" s="210"/>
      <c r="C1043" s="211"/>
      <c r="D1043" s="212"/>
      <c r="E1043" s="213"/>
      <c r="F1043" s="214"/>
    </row>
    <row r="1044">
      <c r="A1044" s="209"/>
      <c r="B1044" s="210"/>
      <c r="C1044" s="211"/>
      <c r="D1044" s="212"/>
      <c r="E1044" s="213"/>
      <c r="F1044" s="214"/>
    </row>
    <row r="1045">
      <c r="A1045" s="209"/>
      <c r="B1045" s="210"/>
      <c r="C1045" s="211"/>
      <c r="D1045" s="212"/>
      <c r="E1045" s="213"/>
      <c r="F1045" s="214"/>
    </row>
    <row r="1046">
      <c r="A1046" s="209"/>
      <c r="B1046" s="210"/>
      <c r="C1046" s="211"/>
      <c r="D1046" s="212"/>
      <c r="E1046" s="213"/>
      <c r="F1046" s="214"/>
    </row>
    <row r="1047">
      <c r="A1047" s="209"/>
      <c r="B1047" s="210"/>
      <c r="C1047" s="211"/>
      <c r="D1047" s="212"/>
      <c r="E1047" s="213"/>
      <c r="F1047" s="214"/>
    </row>
    <row r="1048">
      <c r="A1048" s="209"/>
      <c r="B1048" s="210"/>
      <c r="C1048" s="211"/>
      <c r="D1048" s="212"/>
      <c r="E1048" s="213"/>
      <c r="F1048" s="214"/>
    </row>
    <row r="1049">
      <c r="A1049" s="209"/>
      <c r="B1049" s="210"/>
      <c r="C1049" s="211"/>
      <c r="D1049" s="212"/>
      <c r="E1049" s="213"/>
      <c r="F1049" s="214"/>
    </row>
    <row r="1050">
      <c r="A1050" s="209"/>
      <c r="B1050" s="210"/>
      <c r="C1050" s="211"/>
      <c r="D1050" s="212"/>
      <c r="E1050" s="213"/>
      <c r="F1050" s="214"/>
    </row>
    <row r="1051">
      <c r="A1051" s="209"/>
      <c r="B1051" s="210"/>
      <c r="C1051" s="211"/>
      <c r="D1051" s="212"/>
      <c r="E1051" s="213"/>
      <c r="F1051" s="214"/>
    </row>
    <row r="1052">
      <c r="A1052" s="209"/>
      <c r="B1052" s="210"/>
      <c r="C1052" s="211"/>
      <c r="D1052" s="212"/>
      <c r="E1052" s="213"/>
      <c r="F1052" s="214"/>
    </row>
    <row r="1053">
      <c r="A1053" s="209"/>
      <c r="B1053" s="210"/>
      <c r="C1053" s="211"/>
      <c r="D1053" s="212"/>
      <c r="E1053" s="213"/>
      <c r="F1053" s="214"/>
    </row>
    <row r="1054">
      <c r="A1054" s="209"/>
      <c r="B1054" s="210"/>
      <c r="C1054" s="211"/>
      <c r="D1054" s="212"/>
      <c r="E1054" s="213"/>
      <c r="F1054" s="214"/>
    </row>
    <row r="1055">
      <c r="A1055" s="209"/>
      <c r="B1055" s="210"/>
      <c r="C1055" s="211"/>
      <c r="D1055" s="212"/>
      <c r="E1055" s="213"/>
      <c r="F1055" s="214"/>
    </row>
    <row r="1056">
      <c r="A1056" s="209"/>
      <c r="B1056" s="210"/>
      <c r="C1056" s="211"/>
      <c r="D1056" s="212"/>
      <c r="E1056" s="213"/>
      <c r="F1056" s="214"/>
    </row>
    <row r="1057">
      <c r="A1057" s="209"/>
      <c r="B1057" s="210"/>
      <c r="C1057" s="211"/>
      <c r="D1057" s="212"/>
      <c r="E1057" s="213"/>
      <c r="F1057" s="214"/>
    </row>
    <row r="1058">
      <c r="A1058" s="209"/>
      <c r="B1058" s="210"/>
      <c r="C1058" s="211"/>
      <c r="D1058" s="212"/>
      <c r="E1058" s="213"/>
      <c r="F1058" s="214"/>
    </row>
    <row r="1059">
      <c r="A1059" s="209"/>
      <c r="B1059" s="210"/>
      <c r="C1059" s="211"/>
      <c r="D1059" s="212"/>
      <c r="E1059" s="213"/>
      <c r="F1059" s="214"/>
    </row>
    <row r="1060">
      <c r="A1060" s="209"/>
      <c r="B1060" s="210"/>
      <c r="C1060" s="211"/>
      <c r="D1060" s="212"/>
      <c r="E1060" s="213"/>
      <c r="F1060" s="214"/>
    </row>
    <row r="1061">
      <c r="A1061" s="209"/>
      <c r="B1061" s="210"/>
      <c r="C1061" s="211"/>
      <c r="D1061" s="212"/>
      <c r="E1061" s="213"/>
      <c r="F1061" s="214"/>
    </row>
    <row r="1062">
      <c r="A1062" s="209"/>
      <c r="B1062" s="210"/>
      <c r="C1062" s="211"/>
      <c r="D1062" s="212"/>
      <c r="E1062" s="213"/>
      <c r="F1062" s="214"/>
    </row>
    <row r="1063">
      <c r="A1063" s="209"/>
      <c r="B1063" s="210"/>
      <c r="C1063" s="211"/>
      <c r="D1063" s="212"/>
      <c r="E1063" s="213"/>
      <c r="F1063" s="214"/>
    </row>
    <row r="1064">
      <c r="A1064" s="209"/>
      <c r="B1064" s="210"/>
      <c r="C1064" s="211"/>
      <c r="D1064" s="212"/>
      <c r="E1064" s="213"/>
      <c r="F1064" s="214"/>
    </row>
    <row r="1065">
      <c r="A1065" s="209"/>
      <c r="B1065" s="210"/>
      <c r="C1065" s="211"/>
      <c r="D1065" s="212"/>
      <c r="E1065" s="213"/>
      <c r="F1065" s="214"/>
    </row>
    <row r="1066">
      <c r="A1066" s="209"/>
      <c r="B1066" s="210"/>
      <c r="C1066" s="211"/>
      <c r="D1066" s="212"/>
      <c r="E1066" s="213"/>
      <c r="F1066" s="214"/>
    </row>
    <row r="1067">
      <c r="A1067" s="209"/>
      <c r="B1067" s="210"/>
      <c r="C1067" s="211"/>
      <c r="D1067" s="212"/>
      <c r="E1067" s="213"/>
      <c r="F1067" s="214"/>
    </row>
    <row r="1068">
      <c r="A1068" s="209"/>
      <c r="B1068" s="210"/>
      <c r="C1068" s="211"/>
      <c r="D1068" s="212"/>
      <c r="E1068" s="213"/>
      <c r="F1068" s="214"/>
    </row>
    <row r="1069">
      <c r="A1069" s="209"/>
      <c r="B1069" s="210"/>
      <c r="C1069" s="211"/>
      <c r="D1069" s="212"/>
      <c r="E1069" s="213"/>
      <c r="F1069" s="214"/>
    </row>
    <row r="1070">
      <c r="A1070" s="209"/>
      <c r="B1070" s="210"/>
      <c r="C1070" s="211"/>
      <c r="D1070" s="212"/>
      <c r="E1070" s="213"/>
      <c r="F1070" s="214"/>
    </row>
    <row r="1071">
      <c r="A1071" s="209"/>
      <c r="B1071" s="210"/>
      <c r="C1071" s="211"/>
      <c r="D1071" s="212"/>
      <c r="E1071" s="213"/>
      <c r="F1071" s="214"/>
    </row>
    <row r="1072">
      <c r="A1072" s="209"/>
      <c r="B1072" s="210"/>
      <c r="C1072" s="211"/>
      <c r="D1072" s="212"/>
      <c r="E1072" s="213"/>
      <c r="F1072" s="214"/>
    </row>
    <row r="1073">
      <c r="A1073" s="209"/>
      <c r="B1073" s="210"/>
      <c r="C1073" s="211"/>
      <c r="D1073" s="212"/>
      <c r="E1073" s="213"/>
      <c r="F1073" s="214"/>
    </row>
    <row r="1074">
      <c r="A1074" s="209"/>
      <c r="B1074" s="210"/>
      <c r="C1074" s="211"/>
      <c r="D1074" s="212"/>
      <c r="E1074" s="213"/>
      <c r="F1074" s="214"/>
    </row>
    <row r="1075">
      <c r="A1075" s="209"/>
      <c r="B1075" s="210"/>
      <c r="C1075" s="211"/>
      <c r="D1075" s="212"/>
      <c r="E1075" s="213"/>
      <c r="F1075" s="214"/>
    </row>
    <row r="1076">
      <c r="A1076" s="209"/>
      <c r="B1076" s="210"/>
      <c r="C1076" s="211"/>
      <c r="D1076" s="212"/>
      <c r="E1076" s="213"/>
      <c r="F1076" s="214"/>
    </row>
    <row r="1077">
      <c r="A1077" s="209"/>
      <c r="B1077" s="210"/>
      <c r="C1077" s="211"/>
      <c r="D1077" s="212"/>
      <c r="E1077" s="213"/>
      <c r="F1077" s="214"/>
    </row>
    <row r="1078">
      <c r="A1078" s="209"/>
      <c r="B1078" s="210"/>
      <c r="C1078" s="211"/>
      <c r="D1078" s="212"/>
      <c r="E1078" s="213"/>
      <c r="F1078" s="214"/>
    </row>
    <row r="1079">
      <c r="A1079" s="209"/>
      <c r="B1079" s="210"/>
      <c r="C1079" s="211"/>
      <c r="D1079" s="212"/>
      <c r="E1079" s="213"/>
      <c r="F1079" s="214"/>
    </row>
    <row r="1080">
      <c r="A1080" s="209"/>
      <c r="B1080" s="210"/>
      <c r="C1080" s="211"/>
      <c r="D1080" s="212"/>
      <c r="E1080" s="213"/>
      <c r="F1080" s="214"/>
    </row>
    <row r="1081">
      <c r="A1081" s="209"/>
      <c r="B1081" s="210"/>
      <c r="C1081" s="211"/>
      <c r="D1081" s="212"/>
      <c r="E1081" s="213"/>
      <c r="F1081" s="214"/>
    </row>
    <row r="1082">
      <c r="A1082" s="209"/>
      <c r="B1082" s="210"/>
      <c r="C1082" s="211"/>
      <c r="D1082" s="212"/>
      <c r="E1082" s="213"/>
      <c r="F1082" s="214"/>
    </row>
    <row r="1083">
      <c r="A1083" s="209"/>
      <c r="B1083" s="210"/>
      <c r="C1083" s="211"/>
      <c r="D1083" s="212"/>
      <c r="E1083" s="213"/>
      <c r="F1083" s="214"/>
    </row>
    <row r="1084">
      <c r="A1084" s="209"/>
      <c r="B1084" s="210"/>
      <c r="C1084" s="211"/>
      <c r="D1084" s="212"/>
      <c r="E1084" s="213"/>
      <c r="F1084" s="214"/>
    </row>
    <row r="1085">
      <c r="A1085" s="209"/>
      <c r="B1085" s="210"/>
      <c r="C1085" s="211"/>
      <c r="D1085" s="212"/>
      <c r="E1085" s="213"/>
      <c r="F1085" s="214"/>
    </row>
    <row r="1086">
      <c r="A1086" s="209"/>
      <c r="B1086" s="210"/>
      <c r="C1086" s="211"/>
      <c r="D1086" s="212"/>
      <c r="E1086" s="213"/>
      <c r="F1086" s="214"/>
    </row>
    <row r="1087">
      <c r="A1087" s="209"/>
      <c r="B1087" s="210"/>
      <c r="C1087" s="211"/>
      <c r="D1087" s="212"/>
      <c r="E1087" s="213"/>
      <c r="F1087" s="214"/>
    </row>
    <row r="1088">
      <c r="A1088" s="209"/>
      <c r="B1088" s="210"/>
      <c r="C1088" s="211"/>
      <c r="D1088" s="212"/>
      <c r="E1088" s="213"/>
      <c r="F1088" s="214"/>
    </row>
    <row r="1089">
      <c r="A1089" s="209"/>
      <c r="B1089" s="210"/>
      <c r="C1089" s="211"/>
      <c r="D1089" s="212"/>
      <c r="E1089" s="213"/>
      <c r="F1089" s="214"/>
    </row>
    <row r="1090">
      <c r="A1090" s="209"/>
      <c r="B1090" s="210"/>
      <c r="C1090" s="211"/>
      <c r="D1090" s="212"/>
      <c r="E1090" s="213"/>
      <c r="F1090" s="214"/>
    </row>
    <row r="1091">
      <c r="A1091" s="209"/>
      <c r="B1091" s="210"/>
      <c r="C1091" s="211"/>
      <c r="D1091" s="212"/>
      <c r="E1091" s="213"/>
      <c r="F1091" s="214"/>
    </row>
    <row r="1092">
      <c r="A1092" s="209"/>
      <c r="B1092" s="210"/>
      <c r="C1092" s="211"/>
      <c r="D1092" s="212"/>
      <c r="E1092" s="213"/>
      <c r="F1092" s="214"/>
    </row>
    <row r="1093">
      <c r="A1093" s="209"/>
      <c r="B1093" s="210"/>
      <c r="C1093" s="211"/>
      <c r="D1093" s="212"/>
      <c r="E1093" s="213"/>
      <c r="F1093" s="214"/>
    </row>
    <row r="1094">
      <c r="A1094" s="209"/>
      <c r="B1094" s="210"/>
      <c r="C1094" s="211"/>
      <c r="D1094" s="212"/>
      <c r="E1094" s="213"/>
      <c r="F1094" s="214"/>
    </row>
    <row r="1095">
      <c r="A1095" s="209"/>
      <c r="B1095" s="210"/>
      <c r="C1095" s="211"/>
      <c r="D1095" s="212"/>
      <c r="E1095" s="213"/>
      <c r="F1095" s="214"/>
    </row>
    <row r="1096">
      <c r="A1096" s="209"/>
      <c r="B1096" s="210"/>
      <c r="C1096" s="211"/>
      <c r="D1096" s="212"/>
      <c r="E1096" s="213"/>
      <c r="F1096" s="214"/>
    </row>
    <row r="1097">
      <c r="A1097" s="209"/>
      <c r="B1097" s="210"/>
      <c r="C1097" s="211"/>
      <c r="D1097" s="212"/>
      <c r="E1097" s="213"/>
      <c r="F1097" s="214"/>
    </row>
    <row r="1098">
      <c r="A1098" s="209"/>
      <c r="B1098" s="210"/>
      <c r="C1098" s="211"/>
      <c r="D1098" s="212"/>
      <c r="E1098" s="213"/>
      <c r="F1098" s="214"/>
    </row>
    <row r="1099">
      <c r="A1099" s="209"/>
      <c r="B1099" s="210"/>
      <c r="C1099" s="211"/>
      <c r="D1099" s="212"/>
      <c r="E1099" s="213"/>
      <c r="F1099" s="214"/>
    </row>
    <row r="1100">
      <c r="A1100" s="209"/>
      <c r="B1100" s="210"/>
      <c r="C1100" s="211"/>
      <c r="D1100" s="212"/>
      <c r="E1100" s="213"/>
      <c r="F1100" s="214"/>
    </row>
    <row r="1101">
      <c r="A1101" s="209"/>
      <c r="B1101" s="210"/>
      <c r="C1101" s="211"/>
      <c r="D1101" s="212"/>
      <c r="E1101" s="213"/>
      <c r="F1101" s="214"/>
    </row>
    <row r="1102">
      <c r="A1102" s="209"/>
      <c r="B1102" s="210"/>
      <c r="C1102" s="211"/>
      <c r="D1102" s="212"/>
      <c r="E1102" s="213"/>
      <c r="F1102" s="214"/>
    </row>
    <row r="1103">
      <c r="A1103" s="209"/>
      <c r="B1103" s="210"/>
      <c r="C1103" s="211"/>
      <c r="D1103" s="212"/>
      <c r="E1103" s="213"/>
      <c r="F1103" s="214"/>
    </row>
    <row r="1104">
      <c r="A1104" s="209"/>
      <c r="B1104" s="210"/>
      <c r="C1104" s="211"/>
      <c r="D1104" s="212"/>
      <c r="E1104" s="213"/>
      <c r="F1104" s="214"/>
    </row>
    <row r="1105">
      <c r="A1105" s="209"/>
      <c r="B1105" s="210"/>
      <c r="C1105" s="211"/>
      <c r="D1105" s="212"/>
      <c r="E1105" s="213"/>
      <c r="F1105" s="214"/>
    </row>
    <row r="1106">
      <c r="A1106" s="209"/>
      <c r="B1106" s="210"/>
      <c r="C1106" s="211"/>
      <c r="D1106" s="212"/>
      <c r="E1106" s="213"/>
      <c r="F1106" s="214"/>
    </row>
    <row r="1107">
      <c r="A1107" s="209"/>
      <c r="B1107" s="210"/>
      <c r="C1107" s="211"/>
      <c r="D1107" s="212"/>
      <c r="E1107" s="213"/>
      <c r="F1107" s="214"/>
    </row>
    <row r="1108">
      <c r="A1108" s="209"/>
      <c r="B1108" s="210"/>
      <c r="C1108" s="211"/>
      <c r="D1108" s="212"/>
      <c r="E1108" s="213"/>
      <c r="F1108" s="214"/>
    </row>
    <row r="1109">
      <c r="A1109" s="209"/>
      <c r="B1109" s="210"/>
      <c r="C1109" s="211"/>
      <c r="D1109" s="212"/>
      <c r="E1109" s="213"/>
      <c r="F1109" s="214"/>
    </row>
    <row r="1110">
      <c r="A1110" s="209"/>
      <c r="B1110" s="210"/>
      <c r="C1110" s="211"/>
      <c r="D1110" s="212"/>
      <c r="E1110" s="213"/>
      <c r="F1110" s="214"/>
    </row>
  </sheetData>
  <dataValidations>
    <dataValidation type="list" allowBlank="1" showErrorMessage="1" sqref="R2:R41">
      <formula1>LEGEND!$A$3:$A$5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3" width="15.75"/>
    <col customWidth="1" min="4" max="4" width="17.13"/>
    <col customWidth="1" min="5" max="5" width="19.88"/>
    <col customWidth="1" min="6" max="6" width="22.88"/>
    <col customWidth="1" min="7" max="7" width="13.38"/>
    <col customWidth="1" min="8" max="8" width="23.25"/>
    <col customWidth="1" min="9" max="9" width="12.13"/>
    <col customWidth="1" min="10" max="12" width="20.13"/>
    <col customWidth="1" min="13" max="13" width="17.13"/>
    <col customWidth="1" min="14" max="14" width="26.75"/>
    <col customWidth="1" min="15" max="15" width="14.38"/>
    <col customWidth="1" min="16" max="16" width="19.38"/>
    <col customWidth="1" min="17" max="17" width="2.5"/>
  </cols>
  <sheetData>
    <row r="1">
      <c r="A1" s="124" t="s">
        <v>82</v>
      </c>
      <c r="B1" s="125"/>
      <c r="C1" s="126"/>
      <c r="D1" s="4" t="s">
        <v>6</v>
      </c>
      <c r="E1" s="10"/>
      <c r="F1" s="10"/>
      <c r="G1" s="10"/>
      <c r="H1" s="10"/>
      <c r="I1" s="10"/>
      <c r="J1" s="10"/>
      <c r="K1" s="10"/>
      <c r="L1" s="10"/>
      <c r="M1" s="15" t="s">
        <v>57</v>
      </c>
      <c r="O1" s="114"/>
      <c r="P1" s="114"/>
      <c r="Q1" s="159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>
      <c r="A2" s="82" t="s">
        <v>2</v>
      </c>
      <c r="B2" s="82" t="s">
        <v>4</v>
      </c>
      <c r="C2" s="82" t="s">
        <v>42</v>
      </c>
      <c r="D2" s="8" t="s">
        <v>7</v>
      </c>
      <c r="E2" s="11" t="s">
        <v>31</v>
      </c>
      <c r="F2" s="11" t="s">
        <v>10</v>
      </c>
      <c r="G2" s="11" t="s">
        <v>35</v>
      </c>
      <c r="H2" s="11" t="s">
        <v>13</v>
      </c>
      <c r="I2" s="5" t="s">
        <v>59</v>
      </c>
      <c r="J2" s="5" t="s">
        <v>60</v>
      </c>
      <c r="K2" s="127" t="s">
        <v>37</v>
      </c>
      <c r="L2" s="127" t="s">
        <v>18</v>
      </c>
      <c r="M2" s="128" t="s">
        <v>27</v>
      </c>
      <c r="N2" s="129" t="s">
        <v>61</v>
      </c>
      <c r="O2" s="160"/>
      <c r="P2" s="160"/>
      <c r="Q2" s="159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</row>
    <row r="3">
      <c r="A3" s="74" t="str">
        <f t="shared" ref="A3:A178" si="1">IF(ISBLANK(B3),"",TEXT(B3,"dddd"))</f>
        <v>Friday</v>
      </c>
      <c r="B3" s="49">
        <v>46297.0</v>
      </c>
      <c r="C3" s="86">
        <v>1.0</v>
      </c>
      <c r="D3" s="87">
        <v>111950.74</v>
      </c>
      <c r="E3" s="131">
        <f>IFERROR(__xludf.DUMMYFUNCTION("IFNA(FILTER(BUY_OCT!$L$2:$L$1218, BUY_OCT!$H$2:$H$1218=B3, BUY_OCT!$I$2:$I$1218=C3), ""-"")"),17840.0)</f>
        <v>17840</v>
      </c>
      <c r="F3" s="132">
        <f t="shared" ref="F3:F33" si="2">IFERROR(VALUE(E3)*VALUE(D3), "-")</f>
        <v>1997201202</v>
      </c>
      <c r="G3" s="162">
        <v>17865.0</v>
      </c>
      <c r="H3" s="134">
        <f t="shared" ref="H3:H178" si="3">IFERROR(VALUE(G3)*VALUE(D3), "-")</f>
        <v>1999999970</v>
      </c>
      <c r="I3" s="100">
        <v>0.05</v>
      </c>
      <c r="J3" s="135">
        <f t="shared" ref="J3:J178" si="4">IF(OR(I3="-", F3="-", I3="", F3=""), "-", VALUE(I3)%*VALUE(F3))</f>
        <v>998600.6008</v>
      </c>
      <c r="K3" s="152">
        <f t="shared" ref="K3:K178" si="5">IF(OR(H3="-", F3="-", H3="", F3=""), "-", VALUE(H3)-VALUE(F3))</f>
        <v>2798768.5</v>
      </c>
      <c r="L3" s="137">
        <f t="shared" ref="L3:L178" si="6">IF(OR(H3="-", F3="-", J3="-", H3="", F3="", J3=""), "-", VALUE(H3)-VALUE(F3)-VALUE(J3))</f>
        <v>1800167.899</v>
      </c>
      <c r="M3" s="138">
        <f>IFERROR(__xludf.DUMMYFUNCTION("UNIQUE(FILTER(B3:B101,B3:B101&lt;&gt;""""))"),46297.0)</f>
        <v>46297</v>
      </c>
      <c r="N3" s="139">
        <f t="shared" ref="N3:N178" si="7">SUMIF(B$3:B$900, M3, L$3:L$900)</f>
        <v>8285249.149</v>
      </c>
      <c r="O3" s="232"/>
      <c r="P3" s="167"/>
      <c r="Q3" s="159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</row>
    <row r="4">
      <c r="A4" s="74" t="str">
        <f t="shared" si="1"/>
        <v>Friday</v>
      </c>
      <c r="B4" s="49">
        <v>46297.0</v>
      </c>
      <c r="C4" s="86">
        <v>2.0</v>
      </c>
      <c r="D4" s="87">
        <v>16839.74</v>
      </c>
      <c r="E4" s="131">
        <f>IFERROR(__xludf.DUMMYFUNCTION("IFNA(FILTER(BUY_OCT!$L$2:$L$1218, BUY_OCT!$H$2:$H$1218=B4, BUY_OCT!$I$2:$I$1218=C4), ""-"")"),17790.0)</f>
        <v>17790</v>
      </c>
      <c r="F4" s="132">
        <f t="shared" si="2"/>
        <v>299578974.6</v>
      </c>
      <c r="G4" s="162">
        <v>17815.0</v>
      </c>
      <c r="H4" s="134">
        <f t="shared" si="3"/>
        <v>299999968.1</v>
      </c>
      <c r="I4" s="100">
        <v>0.0</v>
      </c>
      <c r="J4" s="135">
        <f t="shared" si="4"/>
        <v>0</v>
      </c>
      <c r="K4" s="152">
        <f t="shared" si="5"/>
        <v>420993.5</v>
      </c>
      <c r="L4" s="137">
        <f t="shared" si="6"/>
        <v>420993.5</v>
      </c>
      <c r="M4" s="138">
        <f>IFERROR(__xludf.DUMMYFUNCTION("""COMPUTED_VALUE"""),46298.0)</f>
        <v>46298</v>
      </c>
      <c r="N4" s="139">
        <f t="shared" si="7"/>
        <v>135971.2</v>
      </c>
      <c r="O4" s="165"/>
      <c r="P4" s="167"/>
      <c r="Q4" s="159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</row>
    <row r="5">
      <c r="A5" s="74" t="str">
        <f t="shared" si="1"/>
        <v>Friday</v>
      </c>
      <c r="B5" s="49">
        <v>46297.0</v>
      </c>
      <c r="C5" s="86">
        <v>2.0</v>
      </c>
      <c r="D5" s="87">
        <v>289163.39</v>
      </c>
      <c r="E5" s="131">
        <f>IFERROR(__xludf.DUMMYFUNCTION("IFNA(FILTER(BUY_OCT!$L$2:$L$1218, BUY_OCT!$H$2:$H$1218=B5, BUY_OCT!$I$2:$I$1218=C5), ""-"")"),17790.0)</f>
        <v>17790</v>
      </c>
      <c r="F5" s="132">
        <f t="shared" si="2"/>
        <v>5144216708</v>
      </c>
      <c r="G5" s="162">
        <v>17810.0</v>
      </c>
      <c r="H5" s="134">
        <f t="shared" si="3"/>
        <v>5149999976</v>
      </c>
      <c r="I5" s="100">
        <v>0.0</v>
      </c>
      <c r="J5" s="135">
        <f t="shared" si="4"/>
        <v>0</v>
      </c>
      <c r="K5" s="152">
        <f t="shared" si="5"/>
        <v>5783267.8</v>
      </c>
      <c r="L5" s="137">
        <f t="shared" si="6"/>
        <v>5783267.8</v>
      </c>
      <c r="M5" s="138">
        <f>IFERROR(__xludf.DUMMYFUNCTION("""COMPUTED_VALUE"""),46299.0)</f>
        <v>46299</v>
      </c>
      <c r="N5" s="139">
        <f t="shared" si="7"/>
        <v>-1275961.5</v>
      </c>
      <c r="O5" s="165"/>
      <c r="P5" s="167"/>
      <c r="Q5" s="114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</row>
    <row r="6">
      <c r="A6" s="74" t="str">
        <f t="shared" si="1"/>
        <v>Friday</v>
      </c>
      <c r="B6" s="49">
        <v>46297.0</v>
      </c>
      <c r="C6" s="86">
        <v>3.0</v>
      </c>
      <c r="D6" s="87">
        <v>56163.99</v>
      </c>
      <c r="E6" s="131">
        <f>IFERROR(__xludf.DUMMYFUNCTION("IFNA(FILTER(BUY_OCT!$L$2:$L$1218, BUY_OCT!$H$2:$H$1218=B6, BUY_OCT!$I$2:$I$1218=C6), ""-"")"),17800.0)</f>
        <v>17800</v>
      </c>
      <c r="F6" s="132">
        <f t="shared" si="2"/>
        <v>999719022</v>
      </c>
      <c r="G6" s="162">
        <v>17805.0</v>
      </c>
      <c r="H6" s="134">
        <f t="shared" si="3"/>
        <v>999999842</v>
      </c>
      <c r="I6" s="100">
        <v>0.0</v>
      </c>
      <c r="J6" s="135">
        <f t="shared" si="4"/>
        <v>0</v>
      </c>
      <c r="K6" s="152">
        <f t="shared" si="5"/>
        <v>280819.95</v>
      </c>
      <c r="L6" s="137">
        <f t="shared" si="6"/>
        <v>280819.95</v>
      </c>
      <c r="M6" s="138">
        <f>IFERROR(__xludf.DUMMYFUNCTION("""COMPUTED_VALUE"""),46300.0)</f>
        <v>46300</v>
      </c>
      <c r="N6" s="139">
        <f t="shared" si="7"/>
        <v>12401230.35</v>
      </c>
      <c r="O6" s="165"/>
      <c r="P6" s="167"/>
      <c r="Q6" s="114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</row>
    <row r="7">
      <c r="A7" s="74" t="str">
        <f t="shared" si="1"/>
        <v>Saturday</v>
      </c>
      <c r="B7" s="49">
        <v>46298.0</v>
      </c>
      <c r="C7" s="86">
        <v>1.0</v>
      </c>
      <c r="D7" s="87">
        <v>13597.12</v>
      </c>
      <c r="E7" s="131">
        <f>IFERROR(__xludf.DUMMYFUNCTION("IFNA(FILTER(BUY_OCT!$L$2:$L$1218, BUY_OCT!$H$2:$H$1218=B7, BUY_OCT!$I$2:$I$1218=C7), ""-"")"),17805.0)</f>
        <v>17805</v>
      </c>
      <c r="F7" s="132">
        <f t="shared" si="2"/>
        <v>242096721.6</v>
      </c>
      <c r="G7" s="162">
        <v>17815.0</v>
      </c>
      <c r="H7" s="134">
        <f t="shared" si="3"/>
        <v>242232692.8</v>
      </c>
      <c r="I7" s="100">
        <v>0.0</v>
      </c>
      <c r="J7" s="135">
        <f t="shared" si="4"/>
        <v>0</v>
      </c>
      <c r="K7" s="152">
        <f t="shared" si="5"/>
        <v>135971.2</v>
      </c>
      <c r="L7" s="137">
        <f t="shared" si="6"/>
        <v>135971.2</v>
      </c>
      <c r="M7" s="138">
        <f>IFERROR(__xludf.DUMMYFUNCTION("""COMPUTED_VALUE"""),46310.0)</f>
        <v>46310</v>
      </c>
      <c r="N7" s="139">
        <f t="shared" si="7"/>
        <v>0</v>
      </c>
      <c r="O7" s="165"/>
      <c r="P7" s="167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</row>
    <row r="8">
      <c r="A8" s="74" t="str">
        <f t="shared" si="1"/>
        <v>Sunday</v>
      </c>
      <c r="B8" s="49">
        <v>46299.0</v>
      </c>
      <c r="C8" s="86">
        <v>1.0</v>
      </c>
      <c r="D8" s="87">
        <v>140331.18</v>
      </c>
      <c r="E8" s="131">
        <f>IFERROR(__xludf.DUMMYFUNCTION("IFNA(FILTER(BUY_OCT!$L$2:$L$1218, BUY_OCT!$H$2:$H$1218=B8, BUY_OCT!$I$2:$I$1218=C8), ""-"")"),17825.0)</f>
        <v>17825</v>
      </c>
      <c r="F8" s="132">
        <f t="shared" si="2"/>
        <v>2501403284</v>
      </c>
      <c r="G8" s="162">
        <v>17815.0</v>
      </c>
      <c r="H8" s="134">
        <f t="shared" si="3"/>
        <v>2499999972</v>
      </c>
      <c r="I8" s="100">
        <v>0.0</v>
      </c>
      <c r="J8" s="135">
        <f t="shared" si="4"/>
        <v>0</v>
      </c>
      <c r="K8" s="152">
        <f t="shared" si="5"/>
        <v>-1403311.8</v>
      </c>
      <c r="L8" s="137">
        <f t="shared" si="6"/>
        <v>-1403311.8</v>
      </c>
      <c r="M8" s="138">
        <f>IFERROR(__xludf.DUMMYFUNCTION("""COMPUTED_VALUE"""),46311.0)</f>
        <v>46311</v>
      </c>
      <c r="N8" s="139">
        <f t="shared" si="7"/>
        <v>0</v>
      </c>
      <c r="O8" s="165"/>
      <c r="P8" s="167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</row>
    <row r="9">
      <c r="A9" s="74" t="str">
        <f t="shared" si="1"/>
        <v>Sunday</v>
      </c>
      <c r="B9" s="49">
        <v>46299.0</v>
      </c>
      <c r="C9" s="106">
        <v>2.0</v>
      </c>
      <c r="D9" s="87">
        <v>25470.06</v>
      </c>
      <c r="E9" s="131">
        <f>IFERROR(__xludf.DUMMYFUNCTION("IFNA(FILTER(BUY_OCT!$L$2:$L$1218, BUY_OCT!$H$2:$H$1218=B9, BUY_OCT!$I$2:$I$1218=C9), ""-"")"),17810.0)</f>
        <v>17810</v>
      </c>
      <c r="F9" s="132">
        <f t="shared" si="2"/>
        <v>453621768.6</v>
      </c>
      <c r="G9" s="145">
        <v>17815.0</v>
      </c>
      <c r="H9" s="134">
        <f t="shared" si="3"/>
        <v>453749118.9</v>
      </c>
      <c r="I9" s="100">
        <v>0.0</v>
      </c>
      <c r="J9" s="135">
        <f t="shared" si="4"/>
        <v>0</v>
      </c>
      <c r="K9" s="152">
        <f t="shared" si="5"/>
        <v>127350.3</v>
      </c>
      <c r="L9" s="137">
        <f t="shared" si="6"/>
        <v>127350.3</v>
      </c>
      <c r="M9" s="146">
        <f>IFERROR(__xludf.DUMMYFUNCTION("""COMPUTED_VALUE"""),46312.0)</f>
        <v>46312</v>
      </c>
      <c r="N9" s="139">
        <f t="shared" si="7"/>
        <v>0</v>
      </c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</row>
    <row r="10">
      <c r="A10" s="74" t="str">
        <f t="shared" si="1"/>
        <v>Monday</v>
      </c>
      <c r="B10" s="49">
        <v>46300.0</v>
      </c>
      <c r="C10" s="106">
        <v>1.0</v>
      </c>
      <c r="D10" s="87">
        <v>100812.09</v>
      </c>
      <c r="E10" s="131">
        <f>IFERROR(__xludf.DUMMYFUNCTION("IFNA(FILTER(BUY_OCT!$L$2:$L$1218, BUY_OCT!$H$2:$H$1218=B10, BUY_OCT!$I$2:$I$1218=C10), ""-"")"),17845.0)</f>
        <v>17845</v>
      </c>
      <c r="F10" s="132">
        <f t="shared" si="2"/>
        <v>1798991746</v>
      </c>
      <c r="G10" s="145">
        <v>17855.0</v>
      </c>
      <c r="H10" s="134">
        <f t="shared" si="3"/>
        <v>1799999867</v>
      </c>
      <c r="I10" s="100">
        <v>0.0</v>
      </c>
      <c r="J10" s="135">
        <f t="shared" si="4"/>
        <v>0</v>
      </c>
      <c r="K10" s="152">
        <f t="shared" si="5"/>
        <v>1008120.9</v>
      </c>
      <c r="L10" s="137">
        <f t="shared" si="6"/>
        <v>1008120.9</v>
      </c>
      <c r="M10" s="146">
        <f>IFERROR(__xludf.DUMMYFUNCTION("""COMPUTED_VALUE"""),46313.0)</f>
        <v>46313</v>
      </c>
      <c r="N10" s="139">
        <f t="shared" si="7"/>
        <v>0</v>
      </c>
      <c r="O10" s="233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</row>
    <row r="11">
      <c r="A11" s="74" t="str">
        <f t="shared" si="1"/>
        <v>Monday</v>
      </c>
      <c r="B11" s="49">
        <v>46300.0</v>
      </c>
      <c r="C11" s="106">
        <v>2.0</v>
      </c>
      <c r="D11" s="87">
        <v>22371.36</v>
      </c>
      <c r="E11" s="131">
        <f>IFERROR(__xludf.DUMMYFUNCTION("IFNA(FILTER(BUY_OCT!$L$2:$L$1218, BUY_OCT!$H$2:$H$1218=B11, BUY_OCT!$I$2:$I$1218=C11), ""-"")"),17860.0)</f>
        <v>17860</v>
      </c>
      <c r="F11" s="132">
        <f t="shared" si="2"/>
        <v>399552489.6</v>
      </c>
      <c r="G11" s="145">
        <v>17880.0</v>
      </c>
      <c r="H11" s="134">
        <f t="shared" si="3"/>
        <v>399999916.8</v>
      </c>
      <c r="I11" s="100">
        <v>0.0</v>
      </c>
      <c r="J11" s="135">
        <f t="shared" si="4"/>
        <v>0</v>
      </c>
      <c r="K11" s="152">
        <f t="shared" si="5"/>
        <v>447427.2</v>
      </c>
      <c r="L11" s="137">
        <f t="shared" si="6"/>
        <v>447427.2</v>
      </c>
      <c r="M11" s="146">
        <f>IFERROR(__xludf.DUMMYFUNCTION("""COMPUTED_VALUE"""),46314.0)</f>
        <v>46314</v>
      </c>
      <c r="N11" s="139">
        <f t="shared" si="7"/>
        <v>0</v>
      </c>
      <c r="O11" s="233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</row>
    <row r="12">
      <c r="A12" s="74" t="str">
        <f t="shared" si="1"/>
        <v>Monday</v>
      </c>
      <c r="B12" s="49">
        <v>46300.0</v>
      </c>
      <c r="C12" s="106">
        <v>3.0</v>
      </c>
      <c r="D12" s="87">
        <v>123145.81</v>
      </c>
      <c r="E12" s="131">
        <f>IFERROR(__xludf.DUMMYFUNCTION("IFNA(FILTER(BUY_OCT!$L$2:$L$1218, BUY_OCT!$H$2:$H$1218=B12, BUY_OCT!$I$2:$I$1218=C12), ""-"")"),17830.0)</f>
        <v>17830</v>
      </c>
      <c r="F12" s="132">
        <f t="shared" si="2"/>
        <v>2195689792</v>
      </c>
      <c r="G12" s="145">
        <v>17865.0</v>
      </c>
      <c r="H12" s="134">
        <f t="shared" si="3"/>
        <v>2199999896</v>
      </c>
      <c r="I12" s="100">
        <v>0.0</v>
      </c>
      <c r="J12" s="135">
        <f t="shared" si="4"/>
        <v>0</v>
      </c>
      <c r="K12" s="152">
        <f t="shared" si="5"/>
        <v>4310103.35</v>
      </c>
      <c r="L12" s="137">
        <f t="shared" si="6"/>
        <v>4310103.35</v>
      </c>
      <c r="M12" s="146">
        <f>IFERROR(__xludf.DUMMYFUNCTION("""COMPUTED_VALUE"""),46315.0)</f>
        <v>46315</v>
      </c>
      <c r="N12" s="139">
        <f t="shared" si="7"/>
        <v>0</v>
      </c>
      <c r="O12" s="233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</row>
    <row r="13">
      <c r="A13" s="74" t="str">
        <f t="shared" si="1"/>
        <v>Monday</v>
      </c>
      <c r="B13" s="49">
        <v>46300.0</v>
      </c>
      <c r="C13" s="106">
        <v>4.0</v>
      </c>
      <c r="D13" s="87">
        <v>131540.62</v>
      </c>
      <c r="E13" s="131">
        <f>IFERROR(__xludf.DUMMYFUNCTION("IFNA(FILTER(BUY_OCT!$L$2:$L$1218, BUY_OCT!$H$2:$H$1218=B13, BUY_OCT!$I$2:$I$1218=C13), ""-"")"),17835.0)</f>
        <v>17835</v>
      </c>
      <c r="F13" s="132">
        <f t="shared" si="2"/>
        <v>2346026958</v>
      </c>
      <c r="G13" s="145">
        <v>17865.0</v>
      </c>
      <c r="H13" s="134">
        <f t="shared" si="3"/>
        <v>2349973176</v>
      </c>
      <c r="I13" s="100">
        <v>0.0</v>
      </c>
      <c r="J13" s="135">
        <f t="shared" si="4"/>
        <v>0</v>
      </c>
      <c r="K13" s="152">
        <f t="shared" si="5"/>
        <v>3946218.6</v>
      </c>
      <c r="L13" s="137">
        <f t="shared" si="6"/>
        <v>3946218.6</v>
      </c>
      <c r="M13" s="146">
        <f>IFERROR(__xludf.DUMMYFUNCTION("""COMPUTED_VALUE"""),46316.0)</f>
        <v>46316</v>
      </c>
      <c r="N13" s="139">
        <f t="shared" si="7"/>
        <v>0</v>
      </c>
      <c r="O13" s="233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</row>
    <row r="14">
      <c r="A14" s="74" t="str">
        <f t="shared" si="1"/>
        <v>Monday</v>
      </c>
      <c r="B14" s="49">
        <v>46300.0</v>
      </c>
      <c r="C14" s="106">
        <v>5.0</v>
      </c>
      <c r="D14" s="87">
        <v>27404.92</v>
      </c>
      <c r="E14" s="131">
        <f>IFERROR(__xludf.DUMMYFUNCTION("IFNA(FILTER(BUY_OCT!$L$2:$L$1218, BUY_OCT!$H$2:$H$1218=B14, BUY_OCT!$I$2:$I$1218=C14), ""-"")"),17840.0)</f>
        <v>17840</v>
      </c>
      <c r="F14" s="132">
        <f t="shared" si="2"/>
        <v>488903772.8</v>
      </c>
      <c r="G14" s="145">
        <v>17880.0</v>
      </c>
      <c r="H14" s="134">
        <f t="shared" si="3"/>
        <v>489999969.6</v>
      </c>
      <c r="I14" s="100">
        <v>0.05</v>
      </c>
      <c r="J14" s="135">
        <f t="shared" si="4"/>
        <v>244451.8864</v>
      </c>
      <c r="K14" s="152">
        <f t="shared" si="5"/>
        <v>1096196.8</v>
      </c>
      <c r="L14" s="137">
        <f t="shared" si="6"/>
        <v>851744.9136</v>
      </c>
      <c r="M14" s="170">
        <f>IFERROR(__xludf.DUMMYFUNCTION("""COMPUTED_VALUE"""),46317.0)</f>
        <v>46317</v>
      </c>
      <c r="N14" s="139">
        <f t="shared" si="7"/>
        <v>0</v>
      </c>
      <c r="O14" s="233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</row>
    <row r="15">
      <c r="A15" s="74" t="str">
        <f t="shared" si="1"/>
        <v>Monday</v>
      </c>
      <c r="B15" s="49">
        <v>46300.0</v>
      </c>
      <c r="C15" s="106">
        <v>6.0</v>
      </c>
      <c r="D15" s="87">
        <v>55975.37</v>
      </c>
      <c r="E15" s="131">
        <f>IFERROR(__xludf.DUMMYFUNCTION("IFNA(FILTER(BUY_OCT!$L$2:$L$1218, BUY_OCT!$H$2:$H$1218=B15, BUY_OCT!$I$2:$I$1218=C15), ""-"")"),17842.0)</f>
        <v>17842</v>
      </c>
      <c r="F15" s="132">
        <f t="shared" si="2"/>
        <v>998712551.5</v>
      </c>
      <c r="G15" s="145">
        <v>17865.0</v>
      </c>
      <c r="H15" s="134">
        <f t="shared" si="3"/>
        <v>999999985.1</v>
      </c>
      <c r="I15" s="100">
        <v>0.05</v>
      </c>
      <c r="J15" s="135">
        <f t="shared" si="4"/>
        <v>499356.2758</v>
      </c>
      <c r="K15" s="152">
        <f t="shared" si="5"/>
        <v>1287433.51</v>
      </c>
      <c r="L15" s="137">
        <f t="shared" si="6"/>
        <v>788077.2342</v>
      </c>
      <c r="M15" s="170">
        <f>IFERROR(__xludf.DUMMYFUNCTION("""COMPUTED_VALUE"""),46318.0)</f>
        <v>46318</v>
      </c>
      <c r="N15" s="139">
        <f t="shared" si="7"/>
        <v>0</v>
      </c>
      <c r="O15" s="233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</row>
    <row r="16">
      <c r="A16" s="74" t="str">
        <f t="shared" si="1"/>
        <v>Monday</v>
      </c>
      <c r="B16" s="49">
        <v>46300.0</v>
      </c>
      <c r="C16" s="106">
        <v>7.0</v>
      </c>
      <c r="D16" s="87">
        <v>69969.21</v>
      </c>
      <c r="E16" s="131">
        <f>IFERROR(__xludf.DUMMYFUNCTION("IFNA(FILTER(BUY_OCT!$L$2:$L$1218, BUY_OCT!$H$2:$H$1218=B16, BUY_OCT!$I$2:$I$1218=C16), ""-"")"),17850.0)</f>
        <v>17850</v>
      </c>
      <c r="F16" s="132">
        <f t="shared" si="2"/>
        <v>1248950399</v>
      </c>
      <c r="G16" s="145">
        <v>17865.0</v>
      </c>
      <c r="H16" s="134">
        <f t="shared" si="3"/>
        <v>1249999937</v>
      </c>
      <c r="I16" s="100">
        <v>0.0</v>
      </c>
      <c r="J16" s="135">
        <f t="shared" si="4"/>
        <v>0</v>
      </c>
      <c r="K16" s="152">
        <f t="shared" si="5"/>
        <v>1049538.15</v>
      </c>
      <c r="L16" s="137">
        <f t="shared" si="6"/>
        <v>1049538.15</v>
      </c>
      <c r="M16" s="170">
        <f>IFERROR(__xludf.DUMMYFUNCTION("""COMPUTED_VALUE"""),46319.0)</f>
        <v>46319</v>
      </c>
      <c r="N16" s="139">
        <f t="shared" si="7"/>
        <v>0</v>
      </c>
      <c r="O16" s="233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</row>
    <row r="17">
      <c r="A17" s="74" t="str">
        <f t="shared" si="1"/>
        <v>Thursday</v>
      </c>
      <c r="B17" s="49">
        <v>46310.0</v>
      </c>
      <c r="C17" s="106"/>
      <c r="D17" s="87"/>
      <c r="E17" s="131">
        <f>IFERROR(__xludf.DUMMYFUNCTION("IFNA(FILTER(BUY_OCT!$L$2:$L$1218, BUY_OCT!$H$2:$H$1218=B17, BUY_OCT!$I$2:$I$1218=C17), ""-"")"),0.0)</f>
        <v>0</v>
      </c>
      <c r="F17" s="172">
        <f t="shared" si="2"/>
        <v>0</v>
      </c>
      <c r="G17" s="162"/>
      <c r="H17" s="134">
        <f t="shared" si="3"/>
        <v>0</v>
      </c>
      <c r="I17" s="100">
        <v>0.0</v>
      </c>
      <c r="J17" s="135">
        <f t="shared" si="4"/>
        <v>0</v>
      </c>
      <c r="K17" s="152">
        <f t="shared" si="5"/>
        <v>0</v>
      </c>
      <c r="L17" s="136">
        <f t="shared" si="6"/>
        <v>0</v>
      </c>
      <c r="M17" s="170">
        <f>IFERROR(__xludf.DUMMYFUNCTION("""COMPUTED_VALUE"""),46320.0)</f>
        <v>46320</v>
      </c>
      <c r="N17" s="139">
        <f t="shared" si="7"/>
        <v>0</v>
      </c>
      <c r="O17" s="233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</row>
    <row r="18">
      <c r="A18" s="74" t="str">
        <f t="shared" si="1"/>
        <v>Friday</v>
      </c>
      <c r="B18" s="49">
        <v>46311.0</v>
      </c>
      <c r="C18" s="106"/>
      <c r="D18" s="87"/>
      <c r="E18" s="131">
        <f>IFERROR(__xludf.DUMMYFUNCTION("IFNA(FILTER(BUY_OCT!$L$2:$L$1218, BUY_OCT!$H$2:$H$1218=B18, BUY_OCT!$I$2:$I$1218=C18), ""-"")"),0.0)</f>
        <v>0</v>
      </c>
      <c r="F18" s="172">
        <f t="shared" si="2"/>
        <v>0</v>
      </c>
      <c r="G18" s="162"/>
      <c r="H18" s="134">
        <f t="shared" si="3"/>
        <v>0</v>
      </c>
      <c r="I18" s="100">
        <v>0.0</v>
      </c>
      <c r="J18" s="135">
        <f t="shared" si="4"/>
        <v>0</v>
      </c>
      <c r="K18" s="152">
        <f t="shared" si="5"/>
        <v>0</v>
      </c>
      <c r="L18" s="136">
        <f t="shared" si="6"/>
        <v>0</v>
      </c>
      <c r="M18" s="170">
        <f>IFERROR(__xludf.DUMMYFUNCTION("""COMPUTED_VALUE"""),46321.0)</f>
        <v>46321</v>
      </c>
      <c r="N18" s="139">
        <f t="shared" si="7"/>
        <v>0</v>
      </c>
      <c r="O18" s="233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</row>
    <row r="19">
      <c r="A19" s="74" t="str">
        <f t="shared" si="1"/>
        <v>Saturday</v>
      </c>
      <c r="B19" s="49">
        <v>46312.0</v>
      </c>
      <c r="C19" s="106"/>
      <c r="D19" s="87"/>
      <c r="E19" s="131">
        <f>IFERROR(__xludf.DUMMYFUNCTION("IFNA(FILTER(BUY_OCT!$L$2:$L$1218, BUY_OCT!$H$2:$H$1218=B19, BUY_OCT!$I$2:$I$1218=C19), ""-"")"),0.0)</f>
        <v>0</v>
      </c>
      <c r="F19" s="172">
        <f t="shared" si="2"/>
        <v>0</v>
      </c>
      <c r="G19" s="162"/>
      <c r="H19" s="134">
        <f t="shared" si="3"/>
        <v>0</v>
      </c>
      <c r="I19" s="100">
        <v>0.0</v>
      </c>
      <c r="J19" s="135">
        <f t="shared" si="4"/>
        <v>0</v>
      </c>
      <c r="K19" s="152">
        <f t="shared" si="5"/>
        <v>0</v>
      </c>
      <c r="L19" s="136">
        <f t="shared" si="6"/>
        <v>0</v>
      </c>
      <c r="M19" s="170">
        <f>IFERROR(__xludf.DUMMYFUNCTION("""COMPUTED_VALUE"""),46322.0)</f>
        <v>46322</v>
      </c>
      <c r="N19" s="139">
        <f t="shared" si="7"/>
        <v>0</v>
      </c>
      <c r="O19" s="233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</row>
    <row r="20">
      <c r="A20" s="74" t="str">
        <f t="shared" si="1"/>
        <v>Sunday</v>
      </c>
      <c r="B20" s="49">
        <v>46313.0</v>
      </c>
      <c r="C20" s="106"/>
      <c r="D20" s="87"/>
      <c r="E20" s="131">
        <f>IFERROR(__xludf.DUMMYFUNCTION("IFNA(FILTER(BUY_OCT!$L$2:$L$1218, BUY_OCT!$H$2:$H$1218=B20, BUY_OCT!$I$2:$I$1218=C20), ""-"")"),0.0)</f>
        <v>0</v>
      </c>
      <c r="F20" s="172">
        <f t="shared" si="2"/>
        <v>0</v>
      </c>
      <c r="G20" s="162"/>
      <c r="H20" s="134">
        <f t="shared" si="3"/>
        <v>0</v>
      </c>
      <c r="I20" s="100">
        <v>0.0</v>
      </c>
      <c r="J20" s="135">
        <f t="shared" si="4"/>
        <v>0</v>
      </c>
      <c r="K20" s="152">
        <f t="shared" si="5"/>
        <v>0</v>
      </c>
      <c r="L20" s="136">
        <f t="shared" si="6"/>
        <v>0</v>
      </c>
      <c r="M20" s="170">
        <f>IFERROR(__xludf.DUMMYFUNCTION("""COMPUTED_VALUE"""),46323.0)</f>
        <v>46323</v>
      </c>
      <c r="N20" s="139">
        <f t="shared" si="7"/>
        <v>0</v>
      </c>
      <c r="O20" s="233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</row>
    <row r="21">
      <c r="A21" s="74" t="str">
        <f t="shared" si="1"/>
        <v>Monday</v>
      </c>
      <c r="B21" s="49">
        <v>46314.0</v>
      </c>
      <c r="C21" s="106"/>
      <c r="D21" s="87"/>
      <c r="E21" s="131">
        <f>IFERROR(__xludf.DUMMYFUNCTION("IFNA(FILTER(BUY_OCT!$L$2:$L$1218, BUY_OCT!$H$2:$H$1218=B21, BUY_OCT!$I$2:$I$1218=C21), ""-"")"),0.0)</f>
        <v>0</v>
      </c>
      <c r="F21" s="172">
        <f t="shared" si="2"/>
        <v>0</v>
      </c>
      <c r="G21" s="162"/>
      <c r="H21" s="134">
        <f t="shared" si="3"/>
        <v>0</v>
      </c>
      <c r="I21" s="100">
        <v>0.0</v>
      </c>
      <c r="J21" s="135">
        <f t="shared" si="4"/>
        <v>0</v>
      </c>
      <c r="K21" s="152">
        <f t="shared" si="5"/>
        <v>0</v>
      </c>
      <c r="L21" s="136">
        <f t="shared" si="6"/>
        <v>0</v>
      </c>
      <c r="M21" s="170">
        <f>IFERROR(__xludf.DUMMYFUNCTION("""COMPUTED_VALUE"""),46324.0)</f>
        <v>46324</v>
      </c>
      <c r="N21" s="139">
        <f t="shared" si="7"/>
        <v>0</v>
      </c>
      <c r="O21" s="233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</row>
    <row r="22">
      <c r="A22" s="74" t="str">
        <f t="shared" si="1"/>
        <v>Tuesday</v>
      </c>
      <c r="B22" s="49">
        <v>46315.0</v>
      </c>
      <c r="C22" s="106"/>
      <c r="D22" s="87"/>
      <c r="E22" s="131">
        <f>IFERROR(__xludf.DUMMYFUNCTION("IFNA(FILTER(BUY_OCT!$L$2:$L$1218, BUY_OCT!$H$2:$H$1218=B22, BUY_OCT!$I$2:$I$1218=C22), ""-"")"),0.0)</f>
        <v>0</v>
      </c>
      <c r="F22" s="172">
        <f t="shared" si="2"/>
        <v>0</v>
      </c>
      <c r="G22" s="162"/>
      <c r="H22" s="134">
        <f t="shared" si="3"/>
        <v>0</v>
      </c>
      <c r="I22" s="100">
        <v>0.0</v>
      </c>
      <c r="J22" s="135">
        <f t="shared" si="4"/>
        <v>0</v>
      </c>
      <c r="K22" s="152">
        <f t="shared" si="5"/>
        <v>0</v>
      </c>
      <c r="L22" s="136">
        <f t="shared" si="6"/>
        <v>0</v>
      </c>
      <c r="M22" s="170">
        <f>IFERROR(__xludf.DUMMYFUNCTION("""COMPUTED_VALUE"""),46325.0)</f>
        <v>46325</v>
      </c>
      <c r="N22" s="139">
        <f t="shared" si="7"/>
        <v>0</v>
      </c>
      <c r="O22" s="233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</row>
    <row r="23">
      <c r="A23" s="74" t="str">
        <f t="shared" si="1"/>
        <v>Wednesday</v>
      </c>
      <c r="B23" s="49">
        <v>46316.0</v>
      </c>
      <c r="C23" s="106"/>
      <c r="D23" s="87"/>
      <c r="E23" s="131">
        <f>IFERROR(__xludf.DUMMYFUNCTION("IFNA(FILTER(BUY_OCT!$L$2:$L$1218, BUY_OCT!$H$2:$H$1218=B23, BUY_OCT!$I$2:$I$1218=C23), ""-"")"),0.0)</f>
        <v>0</v>
      </c>
      <c r="F23" s="172">
        <f t="shared" si="2"/>
        <v>0</v>
      </c>
      <c r="G23" s="162"/>
      <c r="H23" s="134">
        <f t="shared" si="3"/>
        <v>0</v>
      </c>
      <c r="I23" s="100">
        <v>0.0</v>
      </c>
      <c r="J23" s="135">
        <f t="shared" si="4"/>
        <v>0</v>
      </c>
      <c r="K23" s="152">
        <f t="shared" si="5"/>
        <v>0</v>
      </c>
      <c r="L23" s="136">
        <f t="shared" si="6"/>
        <v>0</v>
      </c>
      <c r="M23" s="170">
        <f>IFERROR(__xludf.DUMMYFUNCTION("""COMPUTED_VALUE"""),46326.0)</f>
        <v>46326</v>
      </c>
      <c r="N23" s="139">
        <f t="shared" si="7"/>
        <v>0</v>
      </c>
      <c r="O23" s="233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</row>
    <row r="24">
      <c r="A24" s="74" t="str">
        <f t="shared" si="1"/>
        <v>Thursday</v>
      </c>
      <c r="B24" s="49">
        <v>46317.0</v>
      </c>
      <c r="C24" s="106"/>
      <c r="D24" s="87"/>
      <c r="E24" s="131">
        <f>IFERROR(__xludf.DUMMYFUNCTION("IFNA(FILTER(BUY_OCT!$L$2:$L$1218, BUY_OCT!$H$2:$H$1218=B24, BUY_OCT!$I$2:$I$1218=C24), ""-"")"),0.0)</f>
        <v>0</v>
      </c>
      <c r="F24" s="172">
        <f t="shared" si="2"/>
        <v>0</v>
      </c>
      <c r="G24" s="162"/>
      <c r="H24" s="134">
        <f t="shared" si="3"/>
        <v>0</v>
      </c>
      <c r="I24" s="100">
        <v>0.0</v>
      </c>
      <c r="J24" s="135">
        <f t="shared" si="4"/>
        <v>0</v>
      </c>
      <c r="K24" s="152">
        <f t="shared" si="5"/>
        <v>0</v>
      </c>
      <c r="L24" s="136">
        <f t="shared" si="6"/>
        <v>0</v>
      </c>
      <c r="M24" s="173"/>
      <c r="N24" s="139">
        <f t="shared" si="7"/>
        <v>0</v>
      </c>
      <c r="O24" s="233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</row>
    <row r="25">
      <c r="A25" s="74" t="str">
        <f t="shared" si="1"/>
        <v>Friday</v>
      </c>
      <c r="B25" s="49">
        <v>46318.0</v>
      </c>
      <c r="C25" s="86"/>
      <c r="D25" s="87"/>
      <c r="E25" s="131">
        <f>IFERROR(__xludf.DUMMYFUNCTION("IFNA(FILTER(BUY_OCT!$L$2:$L$1218, BUY_OCT!$H$2:$H$1218=B25, BUY_OCT!$I$2:$I$1218=C25), ""-"")"),0.0)</f>
        <v>0</v>
      </c>
      <c r="F25" s="172">
        <f t="shared" si="2"/>
        <v>0</v>
      </c>
      <c r="G25" s="162"/>
      <c r="H25" s="134">
        <f t="shared" si="3"/>
        <v>0</v>
      </c>
      <c r="I25" s="100">
        <v>0.0</v>
      </c>
      <c r="J25" s="135">
        <f t="shared" si="4"/>
        <v>0</v>
      </c>
      <c r="K25" s="152">
        <f t="shared" si="5"/>
        <v>0</v>
      </c>
      <c r="L25" s="174">
        <f t="shared" si="6"/>
        <v>0</v>
      </c>
      <c r="M25" s="173"/>
      <c r="N25" s="139">
        <f t="shared" si="7"/>
        <v>0</v>
      </c>
      <c r="O25" s="233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</row>
    <row r="26">
      <c r="A26" s="74" t="str">
        <f t="shared" si="1"/>
        <v>Saturday</v>
      </c>
      <c r="B26" s="49">
        <v>46319.0</v>
      </c>
      <c r="C26" s="150"/>
      <c r="D26" s="87"/>
      <c r="E26" s="131">
        <f>IFERROR(__xludf.DUMMYFUNCTION("IFNA(FILTER(BUY_OCT!$L$2:$L$1218, BUY_OCT!$H$2:$H$1218=B26, BUY_OCT!$I$2:$I$1218=C26), ""-"")"),0.0)</f>
        <v>0</v>
      </c>
      <c r="F26" s="172">
        <f t="shared" si="2"/>
        <v>0</v>
      </c>
      <c r="G26" s="162"/>
      <c r="H26" s="134">
        <f t="shared" si="3"/>
        <v>0</v>
      </c>
      <c r="I26" s="100">
        <v>0.0</v>
      </c>
      <c r="J26" s="135">
        <f t="shared" si="4"/>
        <v>0</v>
      </c>
      <c r="K26" s="152">
        <f t="shared" si="5"/>
        <v>0</v>
      </c>
      <c r="L26" s="175">
        <f t="shared" si="6"/>
        <v>0</v>
      </c>
      <c r="M26" s="173"/>
      <c r="N26" s="139">
        <f t="shared" si="7"/>
        <v>0</v>
      </c>
      <c r="O26" s="233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</row>
    <row r="27">
      <c r="A27" s="74" t="str">
        <f t="shared" si="1"/>
        <v>Sunday</v>
      </c>
      <c r="B27" s="49">
        <v>46320.0</v>
      </c>
      <c r="C27" s="106"/>
      <c r="D27" s="87"/>
      <c r="E27" s="131">
        <f>IFERROR(__xludf.DUMMYFUNCTION("IFNA(FILTER(BUY_OCT!$L$2:$L$1218, BUY_OCT!$H$2:$H$1218=B27, BUY_OCT!$I$2:$I$1218=C27), ""-"")"),0.0)</f>
        <v>0</v>
      </c>
      <c r="F27" s="172">
        <f t="shared" si="2"/>
        <v>0</v>
      </c>
      <c r="G27" s="162"/>
      <c r="H27" s="134">
        <f t="shared" si="3"/>
        <v>0</v>
      </c>
      <c r="I27" s="100">
        <v>0.0</v>
      </c>
      <c r="J27" s="135">
        <f t="shared" si="4"/>
        <v>0</v>
      </c>
      <c r="K27" s="152">
        <f t="shared" si="5"/>
        <v>0</v>
      </c>
      <c r="L27" s="136">
        <f t="shared" si="6"/>
        <v>0</v>
      </c>
      <c r="M27" s="173"/>
      <c r="N27" s="139">
        <f t="shared" si="7"/>
        <v>0</v>
      </c>
      <c r="O27" s="233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</row>
    <row r="28">
      <c r="A28" s="74" t="str">
        <f t="shared" si="1"/>
        <v>Monday</v>
      </c>
      <c r="B28" s="49">
        <v>46321.0</v>
      </c>
      <c r="C28" s="106"/>
      <c r="D28" s="87"/>
      <c r="E28" s="131">
        <f>IFERROR(__xludf.DUMMYFUNCTION("IFNA(FILTER(BUY_OCT!$L$2:$L$1218, BUY_OCT!$H$2:$H$1218=B28, BUY_OCT!$I$2:$I$1218=C28), ""-"")"),0.0)</f>
        <v>0</v>
      </c>
      <c r="F28" s="172">
        <f t="shared" si="2"/>
        <v>0</v>
      </c>
      <c r="G28" s="162"/>
      <c r="H28" s="134">
        <f t="shared" si="3"/>
        <v>0</v>
      </c>
      <c r="I28" s="100">
        <v>0.0</v>
      </c>
      <c r="J28" s="135">
        <f t="shared" si="4"/>
        <v>0</v>
      </c>
      <c r="K28" s="152">
        <f t="shared" si="5"/>
        <v>0</v>
      </c>
      <c r="L28" s="136">
        <f t="shared" si="6"/>
        <v>0</v>
      </c>
      <c r="M28" s="173"/>
      <c r="N28" s="139">
        <f t="shared" si="7"/>
        <v>0</v>
      </c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</row>
    <row r="29">
      <c r="A29" s="74" t="str">
        <f t="shared" si="1"/>
        <v>Tuesday</v>
      </c>
      <c r="B29" s="49">
        <v>46322.0</v>
      </c>
      <c r="C29" s="106"/>
      <c r="D29" s="87"/>
      <c r="E29" s="131">
        <f>IFERROR(__xludf.DUMMYFUNCTION("IFNA(FILTER(BUY_OCT!$L$2:$L$1218, BUY_OCT!$H$2:$H$1218=B29, BUY_OCT!$I$2:$I$1218=C29), ""-"")"),0.0)</f>
        <v>0</v>
      </c>
      <c r="F29" s="172">
        <f t="shared" si="2"/>
        <v>0</v>
      </c>
      <c r="G29" s="162"/>
      <c r="H29" s="134">
        <f t="shared" si="3"/>
        <v>0</v>
      </c>
      <c r="I29" s="100">
        <v>0.0</v>
      </c>
      <c r="J29" s="135">
        <f t="shared" si="4"/>
        <v>0</v>
      </c>
      <c r="K29" s="152">
        <f t="shared" si="5"/>
        <v>0</v>
      </c>
      <c r="L29" s="136">
        <f t="shared" si="6"/>
        <v>0</v>
      </c>
      <c r="M29" s="173"/>
      <c r="N29" s="139">
        <f t="shared" si="7"/>
        <v>0</v>
      </c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</row>
    <row r="30">
      <c r="A30" s="74" t="str">
        <f t="shared" si="1"/>
        <v>Wednesday</v>
      </c>
      <c r="B30" s="49">
        <v>46323.0</v>
      </c>
      <c r="C30" s="106"/>
      <c r="D30" s="87"/>
      <c r="E30" s="131">
        <f>IFERROR(__xludf.DUMMYFUNCTION("IFNA(FILTER(BUY_OCT!$L$2:$L$1218, BUY_OCT!$H$2:$H$1218=B30, BUY_OCT!$I$2:$I$1218=C30), ""-"")"),0.0)</f>
        <v>0</v>
      </c>
      <c r="F30" s="172">
        <f t="shared" si="2"/>
        <v>0</v>
      </c>
      <c r="G30" s="162"/>
      <c r="H30" s="134">
        <f t="shared" si="3"/>
        <v>0</v>
      </c>
      <c r="I30" s="100">
        <v>0.0</v>
      </c>
      <c r="J30" s="135">
        <f t="shared" si="4"/>
        <v>0</v>
      </c>
      <c r="K30" s="152">
        <f t="shared" si="5"/>
        <v>0</v>
      </c>
      <c r="L30" s="136">
        <f t="shared" si="6"/>
        <v>0</v>
      </c>
      <c r="M30" s="173"/>
      <c r="N30" s="139">
        <f t="shared" si="7"/>
        <v>0</v>
      </c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</row>
    <row r="31">
      <c r="A31" s="74" t="str">
        <f t="shared" si="1"/>
        <v>Thursday</v>
      </c>
      <c r="B31" s="49">
        <v>46324.0</v>
      </c>
      <c r="C31" s="106"/>
      <c r="D31" s="87"/>
      <c r="E31" s="131">
        <f>IFERROR(__xludf.DUMMYFUNCTION("IFNA(FILTER(BUY_OCT!$L$2:$L$1218, BUY_OCT!$H$2:$H$1218=B31, BUY_OCT!$I$2:$I$1218=C31), ""-"")"),0.0)</f>
        <v>0</v>
      </c>
      <c r="F31" s="172">
        <f t="shared" si="2"/>
        <v>0</v>
      </c>
      <c r="G31" s="162"/>
      <c r="H31" s="134">
        <f t="shared" si="3"/>
        <v>0</v>
      </c>
      <c r="I31" s="100">
        <v>0.0</v>
      </c>
      <c r="J31" s="135">
        <f t="shared" si="4"/>
        <v>0</v>
      </c>
      <c r="K31" s="152">
        <f t="shared" si="5"/>
        <v>0</v>
      </c>
      <c r="L31" s="136">
        <f t="shared" si="6"/>
        <v>0</v>
      </c>
      <c r="M31" s="173"/>
      <c r="N31" s="139">
        <f t="shared" si="7"/>
        <v>0</v>
      </c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</row>
    <row r="32">
      <c r="A32" s="74" t="str">
        <f t="shared" si="1"/>
        <v>Friday</v>
      </c>
      <c r="B32" s="49">
        <v>46325.0</v>
      </c>
      <c r="C32" s="106"/>
      <c r="D32" s="87"/>
      <c r="E32" s="131">
        <f>IFERROR(__xludf.DUMMYFUNCTION("IFNA(FILTER(BUY_OCT!$L$2:$L$1218, BUY_OCT!$H$2:$H$1218=B32, BUY_OCT!$I$2:$I$1218=C32), ""-"")"),0.0)</f>
        <v>0</v>
      </c>
      <c r="F32" s="172">
        <f t="shared" si="2"/>
        <v>0</v>
      </c>
      <c r="G32" s="162"/>
      <c r="H32" s="134">
        <f t="shared" si="3"/>
        <v>0</v>
      </c>
      <c r="I32" s="100">
        <v>0.0</v>
      </c>
      <c r="J32" s="135">
        <f t="shared" si="4"/>
        <v>0</v>
      </c>
      <c r="K32" s="152">
        <f t="shared" si="5"/>
        <v>0</v>
      </c>
      <c r="L32" s="136">
        <f t="shared" si="6"/>
        <v>0</v>
      </c>
      <c r="M32" s="149"/>
      <c r="N32" s="139">
        <f t="shared" si="7"/>
        <v>0</v>
      </c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</row>
    <row r="33">
      <c r="A33" s="74" t="str">
        <f t="shared" si="1"/>
        <v>Saturday</v>
      </c>
      <c r="B33" s="49">
        <v>46326.0</v>
      </c>
      <c r="C33" s="106"/>
      <c r="D33" s="87"/>
      <c r="E33" s="131">
        <f>IFERROR(__xludf.DUMMYFUNCTION("IFNA(FILTER(BUY_OCT!$L$2:$L$1218, BUY_OCT!$H$2:$H$1218=B33, BUY_OCT!$I$2:$I$1218=C33), ""-"")"),0.0)</f>
        <v>0</v>
      </c>
      <c r="F33" s="172">
        <f t="shared" si="2"/>
        <v>0</v>
      </c>
      <c r="G33" s="162"/>
      <c r="H33" s="134">
        <f t="shared" si="3"/>
        <v>0</v>
      </c>
      <c r="I33" s="100">
        <v>0.0</v>
      </c>
      <c r="J33" s="135">
        <f t="shared" si="4"/>
        <v>0</v>
      </c>
      <c r="K33" s="152">
        <f t="shared" si="5"/>
        <v>0</v>
      </c>
      <c r="L33" s="136">
        <f t="shared" si="6"/>
        <v>0</v>
      </c>
      <c r="M33" s="149"/>
      <c r="N33" s="139">
        <f t="shared" si="7"/>
        <v>0</v>
      </c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</row>
    <row r="34">
      <c r="A34" s="74" t="str">
        <f t="shared" si="1"/>
        <v/>
      </c>
      <c r="B34" s="49"/>
      <c r="C34" s="106"/>
      <c r="D34" s="87"/>
      <c r="E34" s="131"/>
      <c r="F34" s="172"/>
      <c r="G34" s="162"/>
      <c r="H34" s="134">
        <f t="shared" si="3"/>
        <v>0</v>
      </c>
      <c r="I34" s="100">
        <v>0.0</v>
      </c>
      <c r="J34" s="135" t="str">
        <f t="shared" si="4"/>
        <v>-</v>
      </c>
      <c r="K34" s="152" t="str">
        <f t="shared" si="5"/>
        <v>-</v>
      </c>
      <c r="L34" s="136" t="str">
        <f t="shared" si="6"/>
        <v>-</v>
      </c>
      <c r="M34" s="170"/>
      <c r="N34" s="139">
        <f t="shared" si="7"/>
        <v>0</v>
      </c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</row>
    <row r="35">
      <c r="A35" s="74" t="str">
        <f t="shared" si="1"/>
        <v/>
      </c>
      <c r="B35" s="49"/>
      <c r="C35" s="106"/>
      <c r="D35" s="87"/>
      <c r="E35" s="131"/>
      <c r="F35" s="172"/>
      <c r="G35" s="162"/>
      <c r="H35" s="134">
        <f t="shared" si="3"/>
        <v>0</v>
      </c>
      <c r="I35" s="100">
        <v>0.0</v>
      </c>
      <c r="J35" s="135" t="str">
        <f t="shared" si="4"/>
        <v>-</v>
      </c>
      <c r="K35" s="152" t="str">
        <f t="shared" si="5"/>
        <v>-</v>
      </c>
      <c r="L35" s="136" t="str">
        <f t="shared" si="6"/>
        <v>-</v>
      </c>
      <c r="M35" s="170"/>
      <c r="N35" s="139">
        <f t="shared" si="7"/>
        <v>0</v>
      </c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</row>
    <row r="36">
      <c r="A36" s="74" t="str">
        <f t="shared" si="1"/>
        <v/>
      </c>
      <c r="B36" s="49"/>
      <c r="C36" s="106"/>
      <c r="D36" s="87"/>
      <c r="E36" s="131"/>
      <c r="F36" s="172"/>
      <c r="G36" s="162"/>
      <c r="H36" s="134">
        <f t="shared" si="3"/>
        <v>0</v>
      </c>
      <c r="I36" s="100">
        <v>0.0</v>
      </c>
      <c r="J36" s="135" t="str">
        <f t="shared" si="4"/>
        <v>-</v>
      </c>
      <c r="K36" s="152" t="str">
        <f t="shared" si="5"/>
        <v>-</v>
      </c>
      <c r="L36" s="136" t="str">
        <f t="shared" si="6"/>
        <v>-</v>
      </c>
      <c r="M36" s="170"/>
      <c r="N36" s="139">
        <f t="shared" si="7"/>
        <v>0</v>
      </c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</row>
    <row r="37">
      <c r="A37" s="74" t="str">
        <f t="shared" si="1"/>
        <v/>
      </c>
      <c r="B37" s="49"/>
      <c r="C37" s="106"/>
      <c r="D37" s="87"/>
      <c r="E37" s="131"/>
      <c r="F37" s="172"/>
      <c r="G37" s="162"/>
      <c r="H37" s="134">
        <f t="shared" si="3"/>
        <v>0</v>
      </c>
      <c r="I37" s="100">
        <v>0.0</v>
      </c>
      <c r="J37" s="135" t="str">
        <f t="shared" si="4"/>
        <v>-</v>
      </c>
      <c r="K37" s="152" t="str">
        <f t="shared" si="5"/>
        <v>-</v>
      </c>
      <c r="L37" s="136" t="str">
        <f t="shared" si="6"/>
        <v>-</v>
      </c>
      <c r="M37" s="170"/>
      <c r="N37" s="139">
        <f t="shared" si="7"/>
        <v>0</v>
      </c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</row>
    <row r="38">
      <c r="A38" s="74" t="str">
        <f t="shared" si="1"/>
        <v/>
      </c>
      <c r="B38" s="49"/>
      <c r="C38" s="106"/>
      <c r="D38" s="87"/>
      <c r="E38" s="131"/>
      <c r="F38" s="172"/>
      <c r="G38" s="162"/>
      <c r="H38" s="134">
        <f t="shared" si="3"/>
        <v>0</v>
      </c>
      <c r="I38" s="100">
        <v>0.0</v>
      </c>
      <c r="J38" s="135" t="str">
        <f t="shared" si="4"/>
        <v>-</v>
      </c>
      <c r="K38" s="152" t="str">
        <f t="shared" si="5"/>
        <v>-</v>
      </c>
      <c r="L38" s="136" t="str">
        <f t="shared" si="6"/>
        <v>-</v>
      </c>
      <c r="M38" s="170"/>
      <c r="N38" s="139">
        <f t="shared" si="7"/>
        <v>0</v>
      </c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</row>
    <row r="39">
      <c r="A39" s="74" t="str">
        <f t="shared" si="1"/>
        <v/>
      </c>
      <c r="B39" s="49"/>
      <c r="C39" s="106"/>
      <c r="D39" s="87"/>
      <c r="E39" s="131"/>
      <c r="F39" s="172"/>
      <c r="G39" s="162"/>
      <c r="H39" s="134">
        <f t="shared" si="3"/>
        <v>0</v>
      </c>
      <c r="I39" s="100">
        <v>0.0</v>
      </c>
      <c r="J39" s="135" t="str">
        <f t="shared" si="4"/>
        <v>-</v>
      </c>
      <c r="K39" s="152" t="str">
        <f t="shared" si="5"/>
        <v>-</v>
      </c>
      <c r="L39" s="136" t="str">
        <f t="shared" si="6"/>
        <v>-</v>
      </c>
      <c r="M39" s="149"/>
      <c r="N39" s="139">
        <f t="shared" si="7"/>
        <v>0</v>
      </c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</row>
    <row r="40">
      <c r="A40" s="74" t="str">
        <f t="shared" si="1"/>
        <v/>
      </c>
      <c r="B40" s="49"/>
      <c r="C40" s="106"/>
      <c r="D40" s="87"/>
      <c r="E40" s="131"/>
      <c r="F40" s="172"/>
      <c r="G40" s="162"/>
      <c r="H40" s="134">
        <f t="shared" si="3"/>
        <v>0</v>
      </c>
      <c r="I40" s="100">
        <v>0.0</v>
      </c>
      <c r="J40" s="135" t="str">
        <f t="shared" si="4"/>
        <v>-</v>
      </c>
      <c r="K40" s="152" t="str">
        <f t="shared" si="5"/>
        <v>-</v>
      </c>
      <c r="L40" s="136" t="str">
        <f t="shared" si="6"/>
        <v>-</v>
      </c>
      <c r="M40" s="149"/>
      <c r="N40" s="139">
        <f t="shared" si="7"/>
        <v>0</v>
      </c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</row>
    <row r="41">
      <c r="A41" s="74" t="str">
        <f t="shared" si="1"/>
        <v/>
      </c>
      <c r="B41" s="49"/>
      <c r="C41" s="86"/>
      <c r="D41" s="87"/>
      <c r="E41" s="131"/>
      <c r="F41" s="172"/>
      <c r="G41" s="162"/>
      <c r="H41" s="134">
        <f t="shared" si="3"/>
        <v>0</v>
      </c>
      <c r="I41" s="100">
        <v>0.0</v>
      </c>
      <c r="J41" s="135" t="str">
        <f t="shared" si="4"/>
        <v>-</v>
      </c>
      <c r="K41" s="152" t="str">
        <f t="shared" si="5"/>
        <v>-</v>
      </c>
      <c r="L41" s="174" t="str">
        <f t="shared" si="6"/>
        <v>-</v>
      </c>
      <c r="M41" s="149"/>
      <c r="N41" s="139">
        <f t="shared" si="7"/>
        <v>0</v>
      </c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</row>
    <row r="42">
      <c r="A42" s="74" t="str">
        <f t="shared" si="1"/>
        <v/>
      </c>
      <c r="B42" s="49"/>
      <c r="C42" s="86"/>
      <c r="D42" s="87"/>
      <c r="E42" s="131"/>
      <c r="F42" s="172"/>
      <c r="G42" s="162"/>
      <c r="H42" s="134">
        <f t="shared" si="3"/>
        <v>0</v>
      </c>
      <c r="I42" s="100">
        <v>0.0</v>
      </c>
      <c r="J42" s="135" t="str">
        <f t="shared" si="4"/>
        <v>-</v>
      </c>
      <c r="K42" s="152" t="str">
        <f t="shared" si="5"/>
        <v>-</v>
      </c>
      <c r="L42" s="175" t="str">
        <f t="shared" si="6"/>
        <v>-</v>
      </c>
      <c r="M42" s="149"/>
      <c r="N42" s="139">
        <f t="shared" si="7"/>
        <v>0</v>
      </c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</row>
    <row r="43">
      <c r="A43" s="74" t="str">
        <f t="shared" si="1"/>
        <v/>
      </c>
      <c r="B43" s="49"/>
      <c r="C43" s="106"/>
      <c r="D43" s="87"/>
      <c r="E43" s="131"/>
      <c r="F43" s="172"/>
      <c r="G43" s="162"/>
      <c r="H43" s="134">
        <f t="shared" si="3"/>
        <v>0</v>
      </c>
      <c r="I43" s="100">
        <v>0.0</v>
      </c>
      <c r="J43" s="135" t="str">
        <f t="shared" si="4"/>
        <v>-</v>
      </c>
      <c r="K43" s="152" t="str">
        <f t="shared" si="5"/>
        <v>-</v>
      </c>
      <c r="L43" s="136" t="str">
        <f t="shared" si="6"/>
        <v>-</v>
      </c>
      <c r="M43" s="149"/>
      <c r="N43" s="139">
        <f t="shared" si="7"/>
        <v>0</v>
      </c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</row>
    <row r="44">
      <c r="A44" s="74" t="str">
        <f t="shared" si="1"/>
        <v/>
      </c>
      <c r="B44" s="49"/>
      <c r="C44" s="106"/>
      <c r="D44" s="87"/>
      <c r="E44" s="131"/>
      <c r="F44" s="172"/>
      <c r="G44" s="162"/>
      <c r="H44" s="134">
        <f t="shared" si="3"/>
        <v>0</v>
      </c>
      <c r="I44" s="100">
        <v>0.0</v>
      </c>
      <c r="J44" s="135" t="str">
        <f t="shared" si="4"/>
        <v>-</v>
      </c>
      <c r="K44" s="152" t="str">
        <f t="shared" si="5"/>
        <v>-</v>
      </c>
      <c r="L44" s="136" t="str">
        <f t="shared" si="6"/>
        <v>-</v>
      </c>
      <c r="M44" s="149"/>
      <c r="N44" s="139">
        <f t="shared" si="7"/>
        <v>0</v>
      </c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</row>
    <row r="45">
      <c r="A45" s="74" t="str">
        <f t="shared" si="1"/>
        <v/>
      </c>
      <c r="B45" s="49"/>
      <c r="C45" s="106"/>
      <c r="D45" s="87"/>
      <c r="E45" s="131"/>
      <c r="F45" s="172"/>
      <c r="G45" s="162"/>
      <c r="H45" s="134">
        <f t="shared" si="3"/>
        <v>0</v>
      </c>
      <c r="I45" s="100">
        <v>0.0</v>
      </c>
      <c r="J45" s="135" t="str">
        <f t="shared" si="4"/>
        <v>-</v>
      </c>
      <c r="K45" s="152" t="str">
        <f t="shared" si="5"/>
        <v>-</v>
      </c>
      <c r="L45" s="136" t="str">
        <f t="shared" si="6"/>
        <v>-</v>
      </c>
      <c r="M45" s="149"/>
      <c r="N45" s="139">
        <f t="shared" si="7"/>
        <v>0</v>
      </c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</row>
    <row r="46">
      <c r="A46" s="74" t="str">
        <f t="shared" si="1"/>
        <v/>
      </c>
      <c r="B46" s="49"/>
      <c r="C46" s="106"/>
      <c r="D46" s="87"/>
      <c r="E46" s="131"/>
      <c r="F46" s="172"/>
      <c r="G46" s="162"/>
      <c r="H46" s="134">
        <f t="shared" si="3"/>
        <v>0</v>
      </c>
      <c r="I46" s="100">
        <v>0.0</v>
      </c>
      <c r="J46" s="135" t="str">
        <f t="shared" si="4"/>
        <v>-</v>
      </c>
      <c r="K46" s="152" t="str">
        <f t="shared" si="5"/>
        <v>-</v>
      </c>
      <c r="L46" s="136" t="str">
        <f t="shared" si="6"/>
        <v>-</v>
      </c>
      <c r="M46" s="149"/>
      <c r="N46" s="139">
        <f t="shared" si="7"/>
        <v>0</v>
      </c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</row>
    <row r="47">
      <c r="A47" s="74" t="str">
        <f t="shared" si="1"/>
        <v/>
      </c>
      <c r="B47" s="49"/>
      <c r="C47" s="106"/>
      <c r="D47" s="87"/>
      <c r="E47" s="131"/>
      <c r="F47" s="172"/>
      <c r="G47" s="162"/>
      <c r="H47" s="134">
        <f t="shared" si="3"/>
        <v>0</v>
      </c>
      <c r="I47" s="100">
        <v>0.0</v>
      </c>
      <c r="J47" s="135" t="str">
        <f t="shared" si="4"/>
        <v>-</v>
      </c>
      <c r="K47" s="152" t="str">
        <f t="shared" si="5"/>
        <v>-</v>
      </c>
      <c r="L47" s="136" t="str">
        <f t="shared" si="6"/>
        <v>-</v>
      </c>
      <c r="M47" s="176"/>
      <c r="N47" s="139">
        <f t="shared" si="7"/>
        <v>0</v>
      </c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</row>
    <row r="48">
      <c r="A48" s="74" t="str">
        <f t="shared" si="1"/>
        <v/>
      </c>
      <c r="B48" s="49"/>
      <c r="C48" s="106"/>
      <c r="D48" s="87"/>
      <c r="E48" s="131"/>
      <c r="F48" s="172"/>
      <c r="G48" s="162"/>
      <c r="H48" s="134">
        <f t="shared" si="3"/>
        <v>0</v>
      </c>
      <c r="I48" s="100">
        <v>0.0</v>
      </c>
      <c r="J48" s="135" t="str">
        <f t="shared" si="4"/>
        <v>-</v>
      </c>
      <c r="K48" s="152" t="str">
        <f t="shared" si="5"/>
        <v>-</v>
      </c>
      <c r="L48" s="136" t="str">
        <f t="shared" si="6"/>
        <v>-</v>
      </c>
      <c r="M48" s="176"/>
      <c r="N48" s="139">
        <f t="shared" si="7"/>
        <v>0</v>
      </c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</row>
    <row r="49">
      <c r="A49" s="74" t="str">
        <f t="shared" si="1"/>
        <v/>
      </c>
      <c r="B49" s="49"/>
      <c r="C49" s="106"/>
      <c r="D49" s="87"/>
      <c r="E49" s="131"/>
      <c r="F49" s="172"/>
      <c r="G49" s="162"/>
      <c r="H49" s="134">
        <f t="shared" si="3"/>
        <v>0</v>
      </c>
      <c r="I49" s="100">
        <v>0.0</v>
      </c>
      <c r="J49" s="135" t="str">
        <f t="shared" si="4"/>
        <v>-</v>
      </c>
      <c r="K49" s="152" t="str">
        <f t="shared" si="5"/>
        <v>-</v>
      </c>
      <c r="L49" s="136" t="str">
        <f t="shared" si="6"/>
        <v>-</v>
      </c>
      <c r="M49" s="176"/>
      <c r="N49" s="139">
        <f t="shared" si="7"/>
        <v>0</v>
      </c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</row>
    <row r="50">
      <c r="A50" s="74" t="str">
        <f t="shared" si="1"/>
        <v/>
      </c>
      <c r="B50" s="49"/>
      <c r="C50" s="187"/>
      <c r="D50" s="87"/>
      <c r="E50" s="131"/>
      <c r="F50" s="172"/>
      <c r="G50" s="162"/>
      <c r="H50" s="134">
        <f t="shared" si="3"/>
        <v>0</v>
      </c>
      <c r="I50" s="100">
        <v>0.0</v>
      </c>
      <c r="J50" s="135" t="str">
        <f t="shared" si="4"/>
        <v>-</v>
      </c>
      <c r="K50" s="152" t="str">
        <f t="shared" si="5"/>
        <v>-</v>
      </c>
      <c r="L50" s="134" t="str">
        <f t="shared" si="6"/>
        <v>-</v>
      </c>
      <c r="M50" s="138"/>
      <c r="N50" s="139">
        <f t="shared" si="7"/>
        <v>0</v>
      </c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</row>
    <row r="51">
      <c r="A51" s="74" t="str">
        <f t="shared" si="1"/>
        <v/>
      </c>
      <c r="B51" s="49"/>
      <c r="C51" s="150"/>
      <c r="D51" s="87"/>
      <c r="E51" s="131"/>
      <c r="F51" s="172"/>
      <c r="G51" s="162"/>
      <c r="H51" s="134">
        <f t="shared" si="3"/>
        <v>0</v>
      </c>
      <c r="I51" s="100">
        <v>0.0</v>
      </c>
      <c r="J51" s="135" t="str">
        <f t="shared" si="4"/>
        <v>-</v>
      </c>
      <c r="K51" s="152" t="str">
        <f t="shared" si="5"/>
        <v>-</v>
      </c>
      <c r="L51" s="134" t="str">
        <f t="shared" si="6"/>
        <v>-</v>
      </c>
      <c r="M51" s="138"/>
      <c r="N51" s="139">
        <f t="shared" si="7"/>
        <v>0</v>
      </c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</row>
    <row r="52">
      <c r="A52" s="74" t="str">
        <f t="shared" si="1"/>
        <v/>
      </c>
      <c r="B52" s="49"/>
      <c r="C52" s="150"/>
      <c r="D52" s="87"/>
      <c r="E52" s="131"/>
      <c r="F52" s="172"/>
      <c r="G52" s="162"/>
      <c r="H52" s="134">
        <f t="shared" si="3"/>
        <v>0</v>
      </c>
      <c r="I52" s="100">
        <v>0.0</v>
      </c>
      <c r="J52" s="135" t="str">
        <f t="shared" si="4"/>
        <v>-</v>
      </c>
      <c r="K52" s="152" t="str">
        <f t="shared" si="5"/>
        <v>-</v>
      </c>
      <c r="L52" s="134" t="str">
        <f t="shared" si="6"/>
        <v>-</v>
      </c>
      <c r="M52" s="138"/>
      <c r="N52" s="139">
        <f t="shared" si="7"/>
        <v>0</v>
      </c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</row>
    <row r="53">
      <c r="A53" s="74" t="str">
        <f t="shared" si="1"/>
        <v/>
      </c>
      <c r="B53" s="49"/>
      <c r="C53" s="86"/>
      <c r="D53" s="87"/>
      <c r="E53" s="131"/>
      <c r="F53" s="172"/>
      <c r="G53" s="162"/>
      <c r="H53" s="134">
        <f t="shared" si="3"/>
        <v>0</v>
      </c>
      <c r="I53" s="100">
        <v>0.0</v>
      </c>
      <c r="J53" s="135" t="str">
        <f t="shared" si="4"/>
        <v>-</v>
      </c>
      <c r="K53" s="152" t="str">
        <f t="shared" si="5"/>
        <v>-</v>
      </c>
      <c r="L53" s="134" t="str">
        <f t="shared" si="6"/>
        <v>-</v>
      </c>
      <c r="M53" s="138"/>
      <c r="N53" s="139">
        <f t="shared" si="7"/>
        <v>0</v>
      </c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</row>
    <row r="54">
      <c r="A54" s="74" t="str">
        <f t="shared" si="1"/>
        <v/>
      </c>
      <c r="B54" s="49"/>
      <c r="C54" s="86"/>
      <c r="D54" s="87"/>
      <c r="E54" s="131"/>
      <c r="F54" s="172"/>
      <c r="G54" s="162"/>
      <c r="H54" s="134">
        <f t="shared" si="3"/>
        <v>0</v>
      </c>
      <c r="I54" s="100">
        <v>0.0</v>
      </c>
      <c r="J54" s="135" t="str">
        <f t="shared" si="4"/>
        <v>-</v>
      </c>
      <c r="K54" s="152" t="str">
        <f t="shared" si="5"/>
        <v>-</v>
      </c>
      <c r="L54" s="134" t="str">
        <f t="shared" si="6"/>
        <v>-</v>
      </c>
      <c r="M54" s="193"/>
      <c r="N54" s="139">
        <f t="shared" si="7"/>
        <v>0</v>
      </c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</row>
    <row r="55">
      <c r="A55" s="74" t="str">
        <f t="shared" si="1"/>
        <v/>
      </c>
      <c r="B55" s="49"/>
      <c r="C55" s="86"/>
      <c r="D55" s="87"/>
      <c r="E55" s="131"/>
      <c r="F55" s="172"/>
      <c r="G55" s="162"/>
      <c r="H55" s="134">
        <f t="shared" si="3"/>
        <v>0</v>
      </c>
      <c r="I55" s="100">
        <v>0.0</v>
      </c>
      <c r="J55" s="135" t="str">
        <f t="shared" si="4"/>
        <v>-</v>
      </c>
      <c r="K55" s="152" t="str">
        <f t="shared" si="5"/>
        <v>-</v>
      </c>
      <c r="L55" s="134" t="str">
        <f t="shared" si="6"/>
        <v>-</v>
      </c>
      <c r="M55" s="154"/>
      <c r="N55" s="139">
        <f t="shared" si="7"/>
        <v>0</v>
      </c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</row>
    <row r="56">
      <c r="A56" s="74" t="str">
        <f t="shared" si="1"/>
        <v/>
      </c>
      <c r="B56" s="49"/>
      <c r="C56" s="86"/>
      <c r="D56" s="87"/>
      <c r="E56" s="131"/>
      <c r="F56" s="172"/>
      <c r="G56" s="162"/>
      <c r="H56" s="134">
        <f t="shared" si="3"/>
        <v>0</v>
      </c>
      <c r="I56" s="100">
        <v>0.0</v>
      </c>
      <c r="J56" s="135" t="str">
        <f t="shared" si="4"/>
        <v>-</v>
      </c>
      <c r="K56" s="152" t="str">
        <f t="shared" si="5"/>
        <v>-</v>
      </c>
      <c r="L56" s="134" t="str">
        <f t="shared" si="6"/>
        <v>-</v>
      </c>
      <c r="M56" s="154"/>
      <c r="N56" s="139">
        <f t="shared" si="7"/>
        <v>0</v>
      </c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</row>
    <row r="57">
      <c r="A57" s="74" t="str">
        <f t="shared" si="1"/>
        <v/>
      </c>
      <c r="B57" s="49"/>
      <c r="C57" s="150"/>
      <c r="D57" s="87"/>
      <c r="E57" s="131"/>
      <c r="F57" s="172"/>
      <c r="G57" s="162"/>
      <c r="H57" s="134">
        <f t="shared" si="3"/>
        <v>0</v>
      </c>
      <c r="I57" s="100">
        <v>0.0</v>
      </c>
      <c r="J57" s="135" t="str">
        <f t="shared" si="4"/>
        <v>-</v>
      </c>
      <c r="K57" s="152" t="str">
        <f t="shared" si="5"/>
        <v>-</v>
      </c>
      <c r="L57" s="174" t="str">
        <f t="shared" si="6"/>
        <v>-</v>
      </c>
      <c r="M57" s="154"/>
      <c r="N57" s="139">
        <f t="shared" si="7"/>
        <v>0</v>
      </c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</row>
    <row r="58">
      <c r="A58" s="74" t="str">
        <f t="shared" si="1"/>
        <v/>
      </c>
      <c r="B58" s="49"/>
      <c r="C58" s="86"/>
      <c r="D58" s="87"/>
      <c r="E58" s="131"/>
      <c r="F58" s="172"/>
      <c r="G58" s="162"/>
      <c r="H58" s="134">
        <f t="shared" si="3"/>
        <v>0</v>
      </c>
      <c r="I58" s="100">
        <v>0.0</v>
      </c>
      <c r="J58" s="135" t="str">
        <f t="shared" si="4"/>
        <v>-</v>
      </c>
      <c r="K58" s="152" t="str">
        <f t="shared" si="5"/>
        <v>-</v>
      </c>
      <c r="L58" s="175" t="str">
        <f t="shared" si="6"/>
        <v>-</v>
      </c>
      <c r="M58" s="154"/>
      <c r="N58" s="139">
        <f t="shared" si="7"/>
        <v>0</v>
      </c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</row>
    <row r="59">
      <c r="A59" s="74" t="str">
        <f t="shared" si="1"/>
        <v/>
      </c>
      <c r="B59" s="49"/>
      <c r="C59" s="86"/>
      <c r="D59" s="87"/>
      <c r="E59" s="131"/>
      <c r="F59" s="172"/>
      <c r="G59" s="162"/>
      <c r="H59" s="134">
        <f t="shared" si="3"/>
        <v>0</v>
      </c>
      <c r="I59" s="100">
        <v>0.0</v>
      </c>
      <c r="J59" s="135" t="str">
        <f t="shared" si="4"/>
        <v>-</v>
      </c>
      <c r="K59" s="152" t="str">
        <f t="shared" si="5"/>
        <v>-</v>
      </c>
      <c r="L59" s="136" t="str">
        <f t="shared" si="6"/>
        <v>-</v>
      </c>
      <c r="M59" s="154"/>
      <c r="N59" s="139">
        <f t="shared" si="7"/>
        <v>0</v>
      </c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</row>
    <row r="60">
      <c r="A60" s="74" t="str">
        <f t="shared" si="1"/>
        <v/>
      </c>
      <c r="B60" s="49"/>
      <c r="C60" s="86"/>
      <c r="D60" s="87"/>
      <c r="E60" s="131"/>
      <c r="F60" s="172"/>
      <c r="G60" s="162"/>
      <c r="H60" s="134">
        <f t="shared" si="3"/>
        <v>0</v>
      </c>
      <c r="I60" s="100">
        <v>0.0</v>
      </c>
      <c r="J60" s="135" t="str">
        <f t="shared" si="4"/>
        <v>-</v>
      </c>
      <c r="K60" s="152" t="str">
        <f t="shared" si="5"/>
        <v>-</v>
      </c>
      <c r="L60" s="136" t="str">
        <f t="shared" si="6"/>
        <v>-</v>
      </c>
      <c r="M60" s="154"/>
      <c r="N60" s="139">
        <f t="shared" si="7"/>
        <v>0</v>
      </c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</row>
    <row r="61">
      <c r="A61" s="74" t="str">
        <f t="shared" si="1"/>
        <v/>
      </c>
      <c r="B61" s="49"/>
      <c r="C61" s="86"/>
      <c r="D61" s="87"/>
      <c r="E61" s="131"/>
      <c r="F61" s="172"/>
      <c r="G61" s="162"/>
      <c r="H61" s="134">
        <f t="shared" si="3"/>
        <v>0</v>
      </c>
      <c r="I61" s="100">
        <v>0.0</v>
      </c>
      <c r="J61" s="135" t="str">
        <f t="shared" si="4"/>
        <v>-</v>
      </c>
      <c r="K61" s="152" t="str">
        <f t="shared" si="5"/>
        <v>-</v>
      </c>
      <c r="L61" s="136" t="str">
        <f t="shared" si="6"/>
        <v>-</v>
      </c>
      <c r="M61" s="154"/>
      <c r="N61" s="139">
        <f t="shared" si="7"/>
        <v>0</v>
      </c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</row>
    <row r="62">
      <c r="A62" s="74" t="str">
        <f t="shared" si="1"/>
        <v/>
      </c>
      <c r="B62" s="49"/>
      <c r="C62" s="86"/>
      <c r="D62" s="87"/>
      <c r="E62" s="131"/>
      <c r="F62" s="172"/>
      <c r="G62" s="162"/>
      <c r="H62" s="134">
        <f t="shared" si="3"/>
        <v>0</v>
      </c>
      <c r="I62" s="100">
        <v>0.0</v>
      </c>
      <c r="J62" s="135" t="str">
        <f t="shared" si="4"/>
        <v>-</v>
      </c>
      <c r="K62" s="152" t="str">
        <f t="shared" si="5"/>
        <v>-</v>
      </c>
      <c r="L62" s="136" t="str">
        <f t="shared" si="6"/>
        <v>-</v>
      </c>
      <c r="M62" s="154"/>
      <c r="N62" s="139">
        <f t="shared" si="7"/>
        <v>0</v>
      </c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</row>
    <row r="63">
      <c r="A63" s="74" t="str">
        <f t="shared" si="1"/>
        <v/>
      </c>
      <c r="B63" s="49"/>
      <c r="C63" s="86"/>
      <c r="D63" s="87"/>
      <c r="E63" s="131"/>
      <c r="F63" s="172"/>
      <c r="G63" s="162"/>
      <c r="H63" s="134">
        <f t="shared" si="3"/>
        <v>0</v>
      </c>
      <c r="I63" s="100">
        <v>0.0</v>
      </c>
      <c r="J63" s="135" t="str">
        <f t="shared" si="4"/>
        <v>-</v>
      </c>
      <c r="K63" s="152" t="str">
        <f t="shared" si="5"/>
        <v>-</v>
      </c>
      <c r="L63" s="136" t="str">
        <f t="shared" si="6"/>
        <v>-</v>
      </c>
      <c r="M63" s="154"/>
      <c r="N63" s="139">
        <f t="shared" si="7"/>
        <v>0</v>
      </c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</row>
    <row r="64">
      <c r="A64" s="74" t="str">
        <f t="shared" si="1"/>
        <v/>
      </c>
      <c r="B64" s="49"/>
      <c r="C64" s="86"/>
      <c r="D64" s="87"/>
      <c r="E64" s="131"/>
      <c r="F64" s="172"/>
      <c r="G64" s="162"/>
      <c r="H64" s="134">
        <f t="shared" si="3"/>
        <v>0</v>
      </c>
      <c r="I64" s="100">
        <v>0.0</v>
      </c>
      <c r="J64" s="135" t="str">
        <f t="shared" si="4"/>
        <v>-</v>
      </c>
      <c r="K64" s="152" t="str">
        <f t="shared" si="5"/>
        <v>-</v>
      </c>
      <c r="L64" s="136" t="str">
        <f t="shared" si="6"/>
        <v>-</v>
      </c>
      <c r="M64" s="154"/>
      <c r="N64" s="139">
        <f t="shared" si="7"/>
        <v>0</v>
      </c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</row>
    <row r="65">
      <c r="A65" s="74" t="str">
        <f t="shared" si="1"/>
        <v/>
      </c>
      <c r="B65" s="49"/>
      <c r="C65" s="86"/>
      <c r="D65" s="87"/>
      <c r="E65" s="131"/>
      <c r="F65" s="172"/>
      <c r="G65" s="162"/>
      <c r="H65" s="134">
        <f t="shared" si="3"/>
        <v>0</v>
      </c>
      <c r="I65" s="100">
        <v>0.0</v>
      </c>
      <c r="J65" s="135" t="str">
        <f t="shared" si="4"/>
        <v>-</v>
      </c>
      <c r="K65" s="152" t="str">
        <f t="shared" si="5"/>
        <v>-</v>
      </c>
      <c r="L65" s="136" t="str">
        <f t="shared" si="6"/>
        <v>-</v>
      </c>
      <c r="M65" s="154"/>
      <c r="N65" s="139">
        <f t="shared" si="7"/>
        <v>0</v>
      </c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</row>
    <row r="66">
      <c r="A66" s="74" t="str">
        <f t="shared" si="1"/>
        <v/>
      </c>
      <c r="B66" s="49"/>
      <c r="C66" s="106"/>
      <c r="D66" s="87"/>
      <c r="E66" s="131"/>
      <c r="F66" s="172"/>
      <c r="G66" s="162"/>
      <c r="H66" s="134">
        <f t="shared" si="3"/>
        <v>0</v>
      </c>
      <c r="I66" s="100">
        <v>0.0</v>
      </c>
      <c r="J66" s="135" t="str">
        <f t="shared" si="4"/>
        <v>-</v>
      </c>
      <c r="K66" s="152" t="str">
        <f t="shared" si="5"/>
        <v>-</v>
      </c>
      <c r="L66" s="136" t="str">
        <f t="shared" si="6"/>
        <v>-</v>
      </c>
      <c r="M66" s="176"/>
      <c r="N66" s="139">
        <f t="shared" si="7"/>
        <v>0</v>
      </c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</row>
    <row r="67">
      <c r="A67" s="74" t="str">
        <f t="shared" si="1"/>
        <v/>
      </c>
      <c r="B67" s="49"/>
      <c r="C67" s="106"/>
      <c r="D67" s="87"/>
      <c r="E67" s="131"/>
      <c r="F67" s="172"/>
      <c r="G67" s="162"/>
      <c r="H67" s="134">
        <f t="shared" si="3"/>
        <v>0</v>
      </c>
      <c r="I67" s="100">
        <v>0.0</v>
      </c>
      <c r="J67" s="135" t="str">
        <f t="shared" si="4"/>
        <v>-</v>
      </c>
      <c r="K67" s="152" t="str">
        <f t="shared" si="5"/>
        <v>-</v>
      </c>
      <c r="L67" s="136" t="str">
        <f t="shared" si="6"/>
        <v>-</v>
      </c>
      <c r="M67" s="176"/>
      <c r="N67" s="139">
        <f t="shared" si="7"/>
        <v>0</v>
      </c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</row>
    <row r="68">
      <c r="A68" s="74" t="str">
        <f t="shared" si="1"/>
        <v/>
      </c>
      <c r="B68" s="49"/>
      <c r="C68" s="106"/>
      <c r="D68" s="87"/>
      <c r="E68" s="131"/>
      <c r="F68" s="172"/>
      <c r="G68" s="162"/>
      <c r="H68" s="134">
        <f t="shared" si="3"/>
        <v>0</v>
      </c>
      <c r="I68" s="100">
        <v>0.0</v>
      </c>
      <c r="J68" s="135" t="str">
        <f t="shared" si="4"/>
        <v>-</v>
      </c>
      <c r="K68" s="152" t="str">
        <f t="shared" si="5"/>
        <v>-</v>
      </c>
      <c r="L68" s="136" t="str">
        <f t="shared" si="6"/>
        <v>-</v>
      </c>
      <c r="M68" s="176"/>
      <c r="N68" s="139">
        <f t="shared" si="7"/>
        <v>0</v>
      </c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</row>
    <row r="69">
      <c r="A69" s="74" t="str">
        <f t="shared" si="1"/>
        <v/>
      </c>
      <c r="B69" s="49"/>
      <c r="C69" s="86"/>
      <c r="D69" s="87"/>
      <c r="E69" s="131"/>
      <c r="F69" s="172"/>
      <c r="G69" s="162"/>
      <c r="H69" s="134">
        <f t="shared" si="3"/>
        <v>0</v>
      </c>
      <c r="I69" s="100">
        <v>0.0</v>
      </c>
      <c r="J69" s="135" t="str">
        <f t="shared" si="4"/>
        <v>-</v>
      </c>
      <c r="K69" s="152" t="str">
        <f t="shared" si="5"/>
        <v>-</v>
      </c>
      <c r="L69" s="134" t="str">
        <f t="shared" si="6"/>
        <v>-</v>
      </c>
      <c r="M69" s="138"/>
      <c r="N69" s="139">
        <f t="shared" si="7"/>
        <v>0</v>
      </c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</row>
    <row r="70">
      <c r="A70" s="74" t="str">
        <f t="shared" si="1"/>
        <v/>
      </c>
      <c r="B70" s="49"/>
      <c r="C70" s="86"/>
      <c r="D70" s="87"/>
      <c r="E70" s="131"/>
      <c r="F70" s="172"/>
      <c r="G70" s="162"/>
      <c r="H70" s="134">
        <f t="shared" si="3"/>
        <v>0</v>
      </c>
      <c r="I70" s="100">
        <v>0.0</v>
      </c>
      <c r="J70" s="135" t="str">
        <f t="shared" si="4"/>
        <v>-</v>
      </c>
      <c r="K70" s="152" t="str">
        <f t="shared" si="5"/>
        <v>-</v>
      </c>
      <c r="L70" s="134" t="str">
        <f t="shared" si="6"/>
        <v>-</v>
      </c>
      <c r="M70" s="138"/>
      <c r="N70" s="139">
        <f t="shared" si="7"/>
        <v>0</v>
      </c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</row>
    <row r="71">
      <c r="A71" s="74" t="str">
        <f t="shared" si="1"/>
        <v/>
      </c>
      <c r="B71" s="49"/>
      <c r="C71" s="86"/>
      <c r="D71" s="87"/>
      <c r="E71" s="131"/>
      <c r="F71" s="172"/>
      <c r="G71" s="162"/>
      <c r="H71" s="134">
        <f t="shared" si="3"/>
        <v>0</v>
      </c>
      <c r="I71" s="100">
        <v>0.0</v>
      </c>
      <c r="J71" s="135" t="str">
        <f t="shared" si="4"/>
        <v>-</v>
      </c>
      <c r="K71" s="152" t="str">
        <f t="shared" si="5"/>
        <v>-</v>
      </c>
      <c r="L71" s="134" t="str">
        <f t="shared" si="6"/>
        <v>-</v>
      </c>
      <c r="M71" s="138"/>
      <c r="N71" s="139">
        <f t="shared" si="7"/>
        <v>0</v>
      </c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</row>
    <row r="72">
      <c r="A72" s="74" t="str">
        <f t="shared" si="1"/>
        <v/>
      </c>
      <c r="B72" s="49"/>
      <c r="C72" s="86"/>
      <c r="D72" s="87"/>
      <c r="E72" s="131"/>
      <c r="F72" s="172"/>
      <c r="G72" s="162"/>
      <c r="H72" s="134">
        <f t="shared" si="3"/>
        <v>0</v>
      </c>
      <c r="I72" s="100">
        <v>0.0</v>
      </c>
      <c r="J72" s="135" t="str">
        <f t="shared" si="4"/>
        <v>-</v>
      </c>
      <c r="K72" s="152" t="str">
        <f t="shared" si="5"/>
        <v>-</v>
      </c>
      <c r="L72" s="134" t="str">
        <f t="shared" si="6"/>
        <v>-</v>
      </c>
      <c r="M72" s="138"/>
      <c r="N72" s="139">
        <f t="shared" si="7"/>
        <v>0</v>
      </c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</row>
    <row r="73">
      <c r="A73" s="74" t="str">
        <f t="shared" si="1"/>
        <v/>
      </c>
      <c r="B73" s="49"/>
      <c r="C73" s="86"/>
      <c r="D73" s="87"/>
      <c r="E73" s="131"/>
      <c r="F73" s="172"/>
      <c r="G73" s="162"/>
      <c r="H73" s="134">
        <f t="shared" si="3"/>
        <v>0</v>
      </c>
      <c r="I73" s="100">
        <v>0.0</v>
      </c>
      <c r="J73" s="135" t="str">
        <f t="shared" si="4"/>
        <v>-</v>
      </c>
      <c r="K73" s="152" t="str">
        <f t="shared" si="5"/>
        <v>-</v>
      </c>
      <c r="L73" s="134" t="str">
        <f t="shared" si="6"/>
        <v>-</v>
      </c>
      <c r="M73" s="193"/>
      <c r="N73" s="139">
        <f t="shared" si="7"/>
        <v>0</v>
      </c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</row>
    <row r="74">
      <c r="A74" s="74" t="str">
        <f t="shared" si="1"/>
        <v/>
      </c>
      <c r="B74" s="49"/>
      <c r="C74" s="86"/>
      <c r="D74" s="87"/>
      <c r="E74" s="131"/>
      <c r="F74" s="172"/>
      <c r="G74" s="162"/>
      <c r="H74" s="134">
        <f t="shared" si="3"/>
        <v>0</v>
      </c>
      <c r="I74" s="100">
        <v>0.0</v>
      </c>
      <c r="J74" s="135" t="str">
        <f t="shared" si="4"/>
        <v>-</v>
      </c>
      <c r="K74" s="152" t="str">
        <f t="shared" si="5"/>
        <v>-</v>
      </c>
      <c r="L74" s="134" t="str">
        <f t="shared" si="6"/>
        <v>-</v>
      </c>
      <c r="M74" s="154"/>
      <c r="N74" s="139">
        <f t="shared" si="7"/>
        <v>0</v>
      </c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</row>
    <row r="75">
      <c r="A75" s="74" t="str">
        <f t="shared" si="1"/>
        <v/>
      </c>
      <c r="B75" s="49"/>
      <c r="C75" s="86"/>
      <c r="D75" s="87"/>
      <c r="E75" s="131"/>
      <c r="F75" s="172"/>
      <c r="G75" s="162"/>
      <c r="H75" s="134">
        <f t="shared" si="3"/>
        <v>0</v>
      </c>
      <c r="I75" s="100">
        <v>0.0</v>
      </c>
      <c r="J75" s="135" t="str">
        <f t="shared" si="4"/>
        <v>-</v>
      </c>
      <c r="K75" s="152" t="str">
        <f t="shared" si="5"/>
        <v>-</v>
      </c>
      <c r="L75" s="134" t="str">
        <f t="shared" si="6"/>
        <v>-</v>
      </c>
      <c r="M75" s="154"/>
      <c r="N75" s="139">
        <f t="shared" si="7"/>
        <v>0</v>
      </c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</row>
    <row r="76">
      <c r="A76" s="74" t="str">
        <f t="shared" si="1"/>
        <v/>
      </c>
      <c r="B76" s="49"/>
      <c r="C76" s="150"/>
      <c r="D76" s="87"/>
      <c r="E76" s="131"/>
      <c r="F76" s="172"/>
      <c r="G76" s="162"/>
      <c r="H76" s="134">
        <f t="shared" si="3"/>
        <v>0</v>
      </c>
      <c r="I76" s="100">
        <v>0.0</v>
      </c>
      <c r="J76" s="135" t="str">
        <f t="shared" si="4"/>
        <v>-</v>
      </c>
      <c r="K76" s="152" t="str">
        <f t="shared" si="5"/>
        <v>-</v>
      </c>
      <c r="L76" s="174" t="str">
        <f t="shared" si="6"/>
        <v>-</v>
      </c>
      <c r="M76" s="154"/>
      <c r="N76" s="139">
        <f t="shared" si="7"/>
        <v>0</v>
      </c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</row>
    <row r="77">
      <c r="A77" s="74" t="str">
        <f t="shared" si="1"/>
        <v/>
      </c>
      <c r="B77" s="49"/>
      <c r="C77" s="150"/>
      <c r="D77" s="87"/>
      <c r="E77" s="131"/>
      <c r="F77" s="172"/>
      <c r="G77" s="162"/>
      <c r="H77" s="134">
        <f t="shared" si="3"/>
        <v>0</v>
      </c>
      <c r="I77" s="100">
        <v>0.0</v>
      </c>
      <c r="J77" s="135" t="str">
        <f t="shared" si="4"/>
        <v>-</v>
      </c>
      <c r="K77" s="152" t="str">
        <f t="shared" si="5"/>
        <v>-</v>
      </c>
      <c r="L77" s="175" t="str">
        <f t="shared" si="6"/>
        <v>-</v>
      </c>
      <c r="M77" s="154"/>
      <c r="N77" s="139">
        <f t="shared" si="7"/>
        <v>0</v>
      </c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</row>
    <row r="78">
      <c r="A78" s="74" t="str">
        <f t="shared" si="1"/>
        <v/>
      </c>
      <c r="B78" s="49"/>
      <c r="C78" s="86"/>
      <c r="D78" s="87"/>
      <c r="E78" s="131"/>
      <c r="F78" s="172"/>
      <c r="G78" s="162"/>
      <c r="H78" s="134">
        <f t="shared" si="3"/>
        <v>0</v>
      </c>
      <c r="I78" s="100">
        <v>0.0</v>
      </c>
      <c r="J78" s="135" t="str">
        <f t="shared" si="4"/>
        <v>-</v>
      </c>
      <c r="K78" s="152" t="str">
        <f t="shared" si="5"/>
        <v>-</v>
      </c>
      <c r="L78" s="136" t="str">
        <f t="shared" si="6"/>
        <v>-</v>
      </c>
      <c r="M78" s="154"/>
      <c r="N78" s="139">
        <f t="shared" si="7"/>
        <v>0</v>
      </c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</row>
    <row r="79">
      <c r="A79" s="74" t="str">
        <f t="shared" si="1"/>
        <v/>
      </c>
      <c r="B79" s="49"/>
      <c r="C79" s="86"/>
      <c r="D79" s="87"/>
      <c r="E79" s="131"/>
      <c r="F79" s="172"/>
      <c r="G79" s="162"/>
      <c r="H79" s="134">
        <f t="shared" si="3"/>
        <v>0</v>
      </c>
      <c r="I79" s="100">
        <v>0.0</v>
      </c>
      <c r="J79" s="135" t="str">
        <f t="shared" si="4"/>
        <v>-</v>
      </c>
      <c r="K79" s="152" t="str">
        <f t="shared" si="5"/>
        <v>-</v>
      </c>
      <c r="L79" s="136" t="str">
        <f t="shared" si="6"/>
        <v>-</v>
      </c>
      <c r="M79" s="154"/>
      <c r="N79" s="139">
        <f t="shared" si="7"/>
        <v>0</v>
      </c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</row>
    <row r="80">
      <c r="A80" s="74" t="str">
        <f t="shared" si="1"/>
        <v/>
      </c>
      <c r="B80" s="49"/>
      <c r="C80" s="150"/>
      <c r="D80" s="87"/>
      <c r="E80" s="131"/>
      <c r="F80" s="172"/>
      <c r="G80" s="162"/>
      <c r="H80" s="134">
        <f t="shared" si="3"/>
        <v>0</v>
      </c>
      <c r="I80" s="100">
        <v>0.0</v>
      </c>
      <c r="J80" s="135" t="str">
        <f t="shared" si="4"/>
        <v>-</v>
      </c>
      <c r="K80" s="152" t="str">
        <f t="shared" si="5"/>
        <v>-</v>
      </c>
      <c r="L80" s="136" t="str">
        <f t="shared" si="6"/>
        <v>-</v>
      </c>
      <c r="M80" s="154"/>
      <c r="N80" s="139">
        <f t="shared" si="7"/>
        <v>0</v>
      </c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</row>
    <row r="81">
      <c r="A81" s="74" t="str">
        <f t="shared" si="1"/>
        <v/>
      </c>
      <c r="B81" s="49"/>
      <c r="C81" s="86"/>
      <c r="D81" s="87"/>
      <c r="E81" s="131"/>
      <c r="F81" s="172"/>
      <c r="G81" s="162"/>
      <c r="H81" s="134">
        <f t="shared" si="3"/>
        <v>0</v>
      </c>
      <c r="I81" s="100">
        <v>0.0</v>
      </c>
      <c r="J81" s="135" t="str">
        <f t="shared" si="4"/>
        <v>-</v>
      </c>
      <c r="K81" s="152" t="str">
        <f t="shared" si="5"/>
        <v>-</v>
      </c>
      <c r="L81" s="136" t="str">
        <f t="shared" si="6"/>
        <v>-</v>
      </c>
      <c r="M81" s="154"/>
      <c r="N81" s="139">
        <f t="shared" si="7"/>
        <v>0</v>
      </c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</row>
    <row r="82">
      <c r="A82" s="74" t="str">
        <f t="shared" si="1"/>
        <v/>
      </c>
      <c r="B82" s="49"/>
      <c r="C82" s="86"/>
      <c r="D82" s="87"/>
      <c r="E82" s="131"/>
      <c r="F82" s="172"/>
      <c r="G82" s="162"/>
      <c r="H82" s="134">
        <f t="shared" si="3"/>
        <v>0</v>
      </c>
      <c r="I82" s="100">
        <v>0.0</v>
      </c>
      <c r="J82" s="135" t="str">
        <f t="shared" si="4"/>
        <v>-</v>
      </c>
      <c r="K82" s="152" t="str">
        <f t="shared" si="5"/>
        <v>-</v>
      </c>
      <c r="L82" s="136" t="str">
        <f t="shared" si="6"/>
        <v>-</v>
      </c>
      <c r="M82" s="154"/>
      <c r="N82" s="139">
        <f t="shared" si="7"/>
        <v>0</v>
      </c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</row>
    <row r="83">
      <c r="A83" s="74" t="str">
        <f t="shared" si="1"/>
        <v/>
      </c>
      <c r="B83" s="49"/>
      <c r="C83" s="86"/>
      <c r="D83" s="87"/>
      <c r="E83" s="131"/>
      <c r="F83" s="172"/>
      <c r="G83" s="162"/>
      <c r="H83" s="134">
        <f t="shared" si="3"/>
        <v>0</v>
      </c>
      <c r="I83" s="100">
        <v>0.0</v>
      </c>
      <c r="J83" s="135" t="str">
        <f t="shared" si="4"/>
        <v>-</v>
      </c>
      <c r="K83" s="152" t="str">
        <f t="shared" si="5"/>
        <v>-</v>
      </c>
      <c r="L83" s="136" t="str">
        <f t="shared" si="6"/>
        <v>-</v>
      </c>
      <c r="M83" s="154"/>
      <c r="N83" s="139">
        <f t="shared" si="7"/>
        <v>0</v>
      </c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</row>
    <row r="84">
      <c r="A84" s="74" t="str">
        <f t="shared" si="1"/>
        <v/>
      </c>
      <c r="B84" s="49"/>
      <c r="C84" s="86"/>
      <c r="D84" s="87"/>
      <c r="E84" s="131"/>
      <c r="F84" s="172"/>
      <c r="G84" s="162"/>
      <c r="H84" s="134">
        <f t="shared" si="3"/>
        <v>0</v>
      </c>
      <c r="I84" s="100">
        <v>0.0</v>
      </c>
      <c r="J84" s="135" t="str">
        <f t="shared" si="4"/>
        <v>-</v>
      </c>
      <c r="K84" s="152" t="str">
        <f t="shared" si="5"/>
        <v>-</v>
      </c>
      <c r="L84" s="136" t="str">
        <f t="shared" si="6"/>
        <v>-</v>
      </c>
      <c r="M84" s="154"/>
      <c r="N84" s="139">
        <f t="shared" si="7"/>
        <v>0</v>
      </c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</row>
    <row r="85">
      <c r="A85" s="74" t="str">
        <f t="shared" si="1"/>
        <v/>
      </c>
      <c r="B85" s="49"/>
      <c r="C85" s="106"/>
      <c r="D85" s="87"/>
      <c r="E85" s="131"/>
      <c r="F85" s="172"/>
      <c r="G85" s="162"/>
      <c r="H85" s="134">
        <f t="shared" si="3"/>
        <v>0</v>
      </c>
      <c r="I85" s="100">
        <v>0.0</v>
      </c>
      <c r="J85" s="135" t="str">
        <f t="shared" si="4"/>
        <v>-</v>
      </c>
      <c r="K85" s="152" t="str">
        <f t="shared" si="5"/>
        <v>-</v>
      </c>
      <c r="L85" s="136" t="str">
        <f t="shared" si="6"/>
        <v>-</v>
      </c>
      <c r="M85" s="176"/>
      <c r="N85" s="139">
        <f t="shared" si="7"/>
        <v>0</v>
      </c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</row>
    <row r="86">
      <c r="A86" s="74" t="str">
        <f t="shared" si="1"/>
        <v/>
      </c>
      <c r="B86" s="49"/>
      <c r="C86" s="106"/>
      <c r="D86" s="87"/>
      <c r="E86" s="131"/>
      <c r="F86" s="172"/>
      <c r="G86" s="162"/>
      <c r="H86" s="134">
        <f t="shared" si="3"/>
        <v>0</v>
      </c>
      <c r="I86" s="100">
        <v>0.0</v>
      </c>
      <c r="J86" s="135" t="str">
        <f t="shared" si="4"/>
        <v>-</v>
      </c>
      <c r="K86" s="152" t="str">
        <f t="shared" si="5"/>
        <v>-</v>
      </c>
      <c r="L86" s="136" t="str">
        <f t="shared" si="6"/>
        <v>-</v>
      </c>
      <c r="M86" s="176"/>
      <c r="N86" s="139">
        <f t="shared" si="7"/>
        <v>0</v>
      </c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</row>
    <row r="87">
      <c r="A87" s="74" t="str">
        <f t="shared" si="1"/>
        <v/>
      </c>
      <c r="B87" s="49"/>
      <c r="C87" s="106"/>
      <c r="D87" s="87"/>
      <c r="E87" s="131"/>
      <c r="F87" s="172"/>
      <c r="G87" s="162"/>
      <c r="H87" s="134">
        <f t="shared" si="3"/>
        <v>0</v>
      </c>
      <c r="I87" s="100">
        <v>0.0</v>
      </c>
      <c r="J87" s="135" t="str">
        <f t="shared" si="4"/>
        <v>-</v>
      </c>
      <c r="K87" s="152" t="str">
        <f t="shared" si="5"/>
        <v>-</v>
      </c>
      <c r="L87" s="136" t="str">
        <f t="shared" si="6"/>
        <v>-</v>
      </c>
      <c r="M87" s="176"/>
      <c r="N87" s="139">
        <f t="shared" si="7"/>
        <v>0</v>
      </c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</row>
    <row r="88">
      <c r="A88" s="74" t="str">
        <f t="shared" si="1"/>
        <v/>
      </c>
      <c r="B88" s="49"/>
      <c r="C88" s="187"/>
      <c r="D88" s="87"/>
      <c r="E88" s="131"/>
      <c r="F88" s="172"/>
      <c r="G88" s="162"/>
      <c r="H88" s="134">
        <f t="shared" si="3"/>
        <v>0</v>
      </c>
      <c r="I88" s="100">
        <v>0.0</v>
      </c>
      <c r="J88" s="135" t="str">
        <f t="shared" si="4"/>
        <v>-</v>
      </c>
      <c r="K88" s="152" t="str">
        <f t="shared" si="5"/>
        <v>-</v>
      </c>
      <c r="L88" s="134" t="str">
        <f t="shared" si="6"/>
        <v>-</v>
      </c>
      <c r="M88" s="138"/>
      <c r="N88" s="139">
        <f t="shared" si="7"/>
        <v>0</v>
      </c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</row>
    <row r="89">
      <c r="A89" s="74" t="str">
        <f t="shared" si="1"/>
        <v/>
      </c>
      <c r="B89" s="49"/>
      <c r="C89" s="86"/>
      <c r="D89" s="87"/>
      <c r="E89" s="131"/>
      <c r="F89" s="172"/>
      <c r="G89" s="162"/>
      <c r="H89" s="134">
        <f t="shared" si="3"/>
        <v>0</v>
      </c>
      <c r="I89" s="100">
        <v>0.0</v>
      </c>
      <c r="J89" s="135" t="str">
        <f t="shared" si="4"/>
        <v>-</v>
      </c>
      <c r="K89" s="152" t="str">
        <f t="shared" si="5"/>
        <v>-</v>
      </c>
      <c r="L89" s="134" t="str">
        <f t="shared" si="6"/>
        <v>-</v>
      </c>
      <c r="M89" s="138"/>
      <c r="N89" s="139">
        <f t="shared" si="7"/>
        <v>0</v>
      </c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</row>
    <row r="90">
      <c r="A90" s="74" t="str">
        <f t="shared" si="1"/>
        <v/>
      </c>
      <c r="B90" s="49"/>
      <c r="C90" s="86"/>
      <c r="D90" s="87"/>
      <c r="E90" s="131"/>
      <c r="F90" s="172"/>
      <c r="G90" s="162"/>
      <c r="H90" s="134">
        <f t="shared" si="3"/>
        <v>0</v>
      </c>
      <c r="I90" s="100">
        <v>0.0</v>
      </c>
      <c r="J90" s="135" t="str">
        <f t="shared" si="4"/>
        <v>-</v>
      </c>
      <c r="K90" s="152" t="str">
        <f t="shared" si="5"/>
        <v>-</v>
      </c>
      <c r="L90" s="134" t="str">
        <f t="shared" si="6"/>
        <v>-</v>
      </c>
      <c r="M90" s="138"/>
      <c r="N90" s="139">
        <f t="shared" si="7"/>
        <v>0</v>
      </c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</row>
    <row r="91">
      <c r="A91" s="74" t="str">
        <f t="shared" si="1"/>
        <v/>
      </c>
      <c r="B91" s="49"/>
      <c r="C91" s="150"/>
      <c r="D91" s="87"/>
      <c r="E91" s="131"/>
      <c r="F91" s="172"/>
      <c r="G91" s="162"/>
      <c r="H91" s="134">
        <f t="shared" si="3"/>
        <v>0</v>
      </c>
      <c r="I91" s="100">
        <v>0.0</v>
      </c>
      <c r="J91" s="135" t="str">
        <f t="shared" si="4"/>
        <v>-</v>
      </c>
      <c r="K91" s="152" t="str">
        <f t="shared" si="5"/>
        <v>-</v>
      </c>
      <c r="L91" s="134" t="str">
        <f t="shared" si="6"/>
        <v>-</v>
      </c>
      <c r="M91" s="138"/>
      <c r="N91" s="139">
        <f t="shared" si="7"/>
        <v>0</v>
      </c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</row>
    <row r="92">
      <c r="A92" s="74" t="str">
        <f t="shared" si="1"/>
        <v/>
      </c>
      <c r="B92" s="49"/>
      <c r="C92" s="86"/>
      <c r="D92" s="87"/>
      <c r="E92" s="131"/>
      <c r="F92" s="172"/>
      <c r="G92" s="162"/>
      <c r="H92" s="134">
        <f t="shared" si="3"/>
        <v>0</v>
      </c>
      <c r="I92" s="100">
        <v>0.0</v>
      </c>
      <c r="J92" s="135" t="str">
        <f t="shared" si="4"/>
        <v>-</v>
      </c>
      <c r="K92" s="152" t="str">
        <f t="shared" si="5"/>
        <v>-</v>
      </c>
      <c r="L92" s="134" t="str">
        <f t="shared" si="6"/>
        <v>-</v>
      </c>
      <c r="M92" s="193"/>
      <c r="N92" s="139">
        <f t="shared" si="7"/>
        <v>0</v>
      </c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</row>
    <row r="93">
      <c r="A93" s="74" t="str">
        <f t="shared" si="1"/>
        <v/>
      </c>
      <c r="B93" s="49"/>
      <c r="C93" s="150"/>
      <c r="D93" s="87"/>
      <c r="E93" s="131"/>
      <c r="F93" s="172"/>
      <c r="G93" s="162"/>
      <c r="H93" s="134">
        <f t="shared" si="3"/>
        <v>0</v>
      </c>
      <c r="I93" s="100">
        <v>0.0</v>
      </c>
      <c r="J93" s="135" t="str">
        <f t="shared" si="4"/>
        <v>-</v>
      </c>
      <c r="K93" s="152" t="str">
        <f t="shared" si="5"/>
        <v>-</v>
      </c>
      <c r="L93" s="134" t="str">
        <f t="shared" si="6"/>
        <v>-</v>
      </c>
      <c r="M93" s="154"/>
      <c r="N93" s="139">
        <f t="shared" si="7"/>
        <v>0</v>
      </c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</row>
    <row r="94">
      <c r="A94" s="74" t="str">
        <f t="shared" si="1"/>
        <v/>
      </c>
      <c r="B94" s="49"/>
      <c r="C94" s="150"/>
      <c r="D94" s="87"/>
      <c r="E94" s="131"/>
      <c r="F94" s="172"/>
      <c r="G94" s="162"/>
      <c r="H94" s="134">
        <f t="shared" si="3"/>
        <v>0</v>
      </c>
      <c r="I94" s="100">
        <v>0.0</v>
      </c>
      <c r="J94" s="135" t="str">
        <f t="shared" si="4"/>
        <v>-</v>
      </c>
      <c r="K94" s="152" t="str">
        <f t="shared" si="5"/>
        <v>-</v>
      </c>
      <c r="L94" s="134" t="str">
        <f t="shared" si="6"/>
        <v>-</v>
      </c>
      <c r="M94" s="154"/>
      <c r="N94" s="139">
        <f t="shared" si="7"/>
        <v>0</v>
      </c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</row>
    <row r="95">
      <c r="A95" s="74" t="str">
        <f t="shared" si="1"/>
        <v/>
      </c>
      <c r="B95" s="49"/>
      <c r="C95" s="86"/>
      <c r="D95" s="87"/>
      <c r="E95" s="131"/>
      <c r="F95" s="172"/>
      <c r="G95" s="162"/>
      <c r="H95" s="134">
        <f t="shared" si="3"/>
        <v>0</v>
      </c>
      <c r="I95" s="100">
        <v>0.0</v>
      </c>
      <c r="J95" s="135" t="str">
        <f t="shared" si="4"/>
        <v>-</v>
      </c>
      <c r="K95" s="152" t="str">
        <f t="shared" si="5"/>
        <v>-</v>
      </c>
      <c r="L95" s="174" t="str">
        <f t="shared" si="6"/>
        <v>-</v>
      </c>
      <c r="M95" s="154"/>
      <c r="N95" s="139">
        <f t="shared" si="7"/>
        <v>0</v>
      </c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</row>
    <row r="96">
      <c r="A96" s="74" t="str">
        <f t="shared" si="1"/>
        <v/>
      </c>
      <c r="B96" s="49"/>
      <c r="C96" s="86"/>
      <c r="D96" s="87"/>
      <c r="E96" s="131"/>
      <c r="F96" s="172"/>
      <c r="G96" s="162"/>
      <c r="H96" s="134">
        <f t="shared" si="3"/>
        <v>0</v>
      </c>
      <c r="I96" s="100">
        <v>0.0</v>
      </c>
      <c r="J96" s="135" t="str">
        <f t="shared" si="4"/>
        <v>-</v>
      </c>
      <c r="K96" s="152" t="str">
        <f t="shared" si="5"/>
        <v>-</v>
      </c>
      <c r="L96" s="175" t="str">
        <f t="shared" si="6"/>
        <v>-</v>
      </c>
      <c r="M96" s="154"/>
      <c r="N96" s="139">
        <f t="shared" si="7"/>
        <v>0</v>
      </c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</row>
    <row r="97">
      <c r="A97" s="74" t="str">
        <f t="shared" si="1"/>
        <v/>
      </c>
      <c r="B97" s="49"/>
      <c r="C97" s="86"/>
      <c r="D97" s="87"/>
      <c r="E97" s="131"/>
      <c r="F97" s="172"/>
      <c r="G97" s="162"/>
      <c r="H97" s="134">
        <f t="shared" si="3"/>
        <v>0</v>
      </c>
      <c r="I97" s="100">
        <v>0.0</v>
      </c>
      <c r="J97" s="135" t="str">
        <f t="shared" si="4"/>
        <v>-</v>
      </c>
      <c r="K97" s="152" t="str">
        <f t="shared" si="5"/>
        <v>-</v>
      </c>
      <c r="L97" s="136" t="str">
        <f t="shared" si="6"/>
        <v>-</v>
      </c>
      <c r="M97" s="154"/>
      <c r="N97" s="139">
        <f t="shared" si="7"/>
        <v>0</v>
      </c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</row>
    <row r="98">
      <c r="A98" s="74" t="str">
        <f t="shared" si="1"/>
        <v/>
      </c>
      <c r="B98" s="49"/>
      <c r="C98" s="86"/>
      <c r="D98" s="87"/>
      <c r="E98" s="131"/>
      <c r="F98" s="172"/>
      <c r="G98" s="162"/>
      <c r="H98" s="134">
        <f t="shared" si="3"/>
        <v>0</v>
      </c>
      <c r="I98" s="100">
        <v>0.0</v>
      </c>
      <c r="J98" s="135" t="str">
        <f t="shared" si="4"/>
        <v>-</v>
      </c>
      <c r="K98" s="152" t="str">
        <f t="shared" si="5"/>
        <v>-</v>
      </c>
      <c r="L98" s="136" t="str">
        <f t="shared" si="6"/>
        <v>-</v>
      </c>
      <c r="M98" s="154"/>
      <c r="N98" s="139">
        <f t="shared" si="7"/>
        <v>0</v>
      </c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</row>
    <row r="99">
      <c r="A99" s="74" t="str">
        <f t="shared" si="1"/>
        <v/>
      </c>
      <c r="B99" s="49"/>
      <c r="C99" s="86"/>
      <c r="D99" s="87"/>
      <c r="E99" s="131"/>
      <c r="F99" s="172"/>
      <c r="G99" s="162"/>
      <c r="H99" s="134">
        <f t="shared" si="3"/>
        <v>0</v>
      </c>
      <c r="I99" s="100">
        <v>0.0</v>
      </c>
      <c r="J99" s="135" t="str">
        <f t="shared" si="4"/>
        <v>-</v>
      </c>
      <c r="K99" s="152" t="str">
        <f t="shared" si="5"/>
        <v>-</v>
      </c>
      <c r="L99" s="136" t="str">
        <f t="shared" si="6"/>
        <v>-</v>
      </c>
      <c r="M99" s="154"/>
      <c r="N99" s="139">
        <f t="shared" si="7"/>
        <v>0</v>
      </c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</row>
    <row r="100">
      <c r="A100" s="74" t="str">
        <f t="shared" si="1"/>
        <v/>
      </c>
      <c r="B100" s="49"/>
      <c r="C100" s="86"/>
      <c r="D100" s="87"/>
      <c r="E100" s="131"/>
      <c r="F100" s="172"/>
      <c r="G100" s="162"/>
      <c r="H100" s="134">
        <f t="shared" si="3"/>
        <v>0</v>
      </c>
      <c r="I100" s="100">
        <v>0.0</v>
      </c>
      <c r="J100" s="135" t="str">
        <f t="shared" si="4"/>
        <v>-</v>
      </c>
      <c r="K100" s="152" t="str">
        <f t="shared" si="5"/>
        <v>-</v>
      </c>
      <c r="L100" s="136" t="str">
        <f t="shared" si="6"/>
        <v>-</v>
      </c>
      <c r="M100" s="154"/>
      <c r="N100" s="139">
        <f t="shared" si="7"/>
        <v>0</v>
      </c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</row>
    <row r="101">
      <c r="A101" s="74" t="str">
        <f t="shared" si="1"/>
        <v/>
      </c>
      <c r="B101" s="49"/>
      <c r="C101" s="86"/>
      <c r="D101" s="87"/>
      <c r="E101" s="131"/>
      <c r="F101" s="172"/>
      <c r="G101" s="162"/>
      <c r="H101" s="134">
        <f t="shared" si="3"/>
        <v>0</v>
      </c>
      <c r="I101" s="100">
        <v>0.0</v>
      </c>
      <c r="J101" s="135" t="str">
        <f t="shared" si="4"/>
        <v>-</v>
      </c>
      <c r="K101" s="152" t="str">
        <f t="shared" si="5"/>
        <v>-</v>
      </c>
      <c r="L101" s="136" t="str">
        <f t="shared" si="6"/>
        <v>-</v>
      </c>
      <c r="M101" s="154"/>
      <c r="N101" s="139">
        <f t="shared" si="7"/>
        <v>0</v>
      </c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</row>
    <row r="102">
      <c r="A102" s="74" t="str">
        <f t="shared" si="1"/>
        <v/>
      </c>
      <c r="B102" s="49"/>
      <c r="C102" s="150"/>
      <c r="D102" s="87"/>
      <c r="E102" s="131"/>
      <c r="F102" s="172"/>
      <c r="G102" s="162"/>
      <c r="H102" s="134">
        <f t="shared" si="3"/>
        <v>0</v>
      </c>
      <c r="I102" s="100">
        <v>0.0</v>
      </c>
      <c r="J102" s="135" t="str">
        <f t="shared" si="4"/>
        <v>-</v>
      </c>
      <c r="K102" s="152" t="str">
        <f t="shared" si="5"/>
        <v>-</v>
      </c>
      <c r="L102" s="136" t="str">
        <f t="shared" si="6"/>
        <v>-</v>
      </c>
      <c r="M102" s="154"/>
      <c r="N102" s="139">
        <f t="shared" si="7"/>
        <v>0</v>
      </c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</row>
    <row r="103">
      <c r="A103" s="74" t="str">
        <f t="shared" si="1"/>
        <v/>
      </c>
      <c r="B103" s="49"/>
      <c r="C103" s="86"/>
      <c r="D103" s="87"/>
      <c r="E103" s="131"/>
      <c r="F103" s="172"/>
      <c r="G103" s="162"/>
      <c r="H103" s="134">
        <f t="shared" si="3"/>
        <v>0</v>
      </c>
      <c r="I103" s="100">
        <v>0.0</v>
      </c>
      <c r="J103" s="135" t="str">
        <f t="shared" si="4"/>
        <v>-</v>
      </c>
      <c r="K103" s="152" t="str">
        <f t="shared" si="5"/>
        <v>-</v>
      </c>
      <c r="L103" s="136" t="str">
        <f t="shared" si="6"/>
        <v>-</v>
      </c>
      <c r="M103" s="154"/>
      <c r="N103" s="139">
        <f t="shared" si="7"/>
        <v>0</v>
      </c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</row>
    <row r="104">
      <c r="A104" s="74" t="str">
        <f t="shared" si="1"/>
        <v/>
      </c>
      <c r="B104" s="49"/>
      <c r="C104" s="106"/>
      <c r="D104" s="87"/>
      <c r="E104" s="131"/>
      <c r="F104" s="172"/>
      <c r="G104" s="162"/>
      <c r="H104" s="134">
        <f t="shared" si="3"/>
        <v>0</v>
      </c>
      <c r="I104" s="100">
        <v>0.0</v>
      </c>
      <c r="J104" s="135" t="str">
        <f t="shared" si="4"/>
        <v>-</v>
      </c>
      <c r="K104" s="152" t="str">
        <f t="shared" si="5"/>
        <v>-</v>
      </c>
      <c r="L104" s="136" t="str">
        <f t="shared" si="6"/>
        <v>-</v>
      </c>
      <c r="M104" s="176"/>
      <c r="N104" s="139">
        <f t="shared" si="7"/>
        <v>0</v>
      </c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</row>
    <row r="105">
      <c r="A105" s="74" t="str">
        <f t="shared" si="1"/>
        <v/>
      </c>
      <c r="B105" s="49"/>
      <c r="C105" s="106"/>
      <c r="D105" s="87"/>
      <c r="E105" s="131"/>
      <c r="F105" s="172"/>
      <c r="G105" s="162"/>
      <c r="H105" s="134">
        <f t="shared" si="3"/>
        <v>0</v>
      </c>
      <c r="I105" s="100">
        <v>0.0</v>
      </c>
      <c r="J105" s="135" t="str">
        <f t="shared" si="4"/>
        <v>-</v>
      </c>
      <c r="K105" s="152" t="str">
        <f t="shared" si="5"/>
        <v>-</v>
      </c>
      <c r="L105" s="136" t="str">
        <f t="shared" si="6"/>
        <v>-</v>
      </c>
      <c r="M105" s="176"/>
      <c r="N105" s="139">
        <f t="shared" si="7"/>
        <v>0</v>
      </c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</row>
    <row r="106">
      <c r="A106" s="74" t="str">
        <f t="shared" si="1"/>
        <v/>
      </c>
      <c r="B106" s="49"/>
      <c r="C106" s="106"/>
      <c r="D106" s="87"/>
      <c r="E106" s="131"/>
      <c r="F106" s="172"/>
      <c r="G106" s="162"/>
      <c r="H106" s="134">
        <f t="shared" si="3"/>
        <v>0</v>
      </c>
      <c r="I106" s="100">
        <v>0.0</v>
      </c>
      <c r="J106" s="135" t="str">
        <f t="shared" si="4"/>
        <v>-</v>
      </c>
      <c r="K106" s="152" t="str">
        <f t="shared" si="5"/>
        <v>-</v>
      </c>
      <c r="L106" s="136" t="str">
        <f t="shared" si="6"/>
        <v>-</v>
      </c>
      <c r="M106" s="176"/>
      <c r="N106" s="139">
        <f t="shared" si="7"/>
        <v>0</v>
      </c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</row>
    <row r="107">
      <c r="A107" s="74" t="str">
        <f t="shared" si="1"/>
        <v/>
      </c>
      <c r="B107" s="49"/>
      <c r="C107" s="86"/>
      <c r="D107" s="87"/>
      <c r="E107" s="131"/>
      <c r="F107" s="172"/>
      <c r="G107" s="162"/>
      <c r="H107" s="134">
        <f t="shared" si="3"/>
        <v>0</v>
      </c>
      <c r="I107" s="100">
        <v>0.0</v>
      </c>
      <c r="J107" s="135" t="str">
        <f t="shared" si="4"/>
        <v>-</v>
      </c>
      <c r="K107" s="152" t="str">
        <f t="shared" si="5"/>
        <v>-</v>
      </c>
      <c r="L107" s="134" t="str">
        <f t="shared" si="6"/>
        <v>-</v>
      </c>
      <c r="M107" s="138"/>
      <c r="N107" s="139">
        <f t="shared" si="7"/>
        <v>0</v>
      </c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</row>
    <row r="108">
      <c r="A108" s="74" t="str">
        <f t="shared" si="1"/>
        <v/>
      </c>
      <c r="B108" s="49"/>
      <c r="C108" s="86"/>
      <c r="D108" s="87"/>
      <c r="E108" s="131"/>
      <c r="F108" s="172"/>
      <c r="G108" s="162"/>
      <c r="H108" s="134">
        <f t="shared" si="3"/>
        <v>0</v>
      </c>
      <c r="I108" s="100">
        <v>0.0</v>
      </c>
      <c r="J108" s="135" t="str">
        <f t="shared" si="4"/>
        <v>-</v>
      </c>
      <c r="K108" s="152" t="str">
        <f t="shared" si="5"/>
        <v>-</v>
      </c>
      <c r="L108" s="134" t="str">
        <f t="shared" si="6"/>
        <v>-</v>
      </c>
      <c r="M108" s="138"/>
      <c r="N108" s="139">
        <f t="shared" si="7"/>
        <v>0</v>
      </c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</row>
    <row r="109">
      <c r="A109" s="74" t="str">
        <f t="shared" si="1"/>
        <v/>
      </c>
      <c r="B109" s="49"/>
      <c r="C109" s="150"/>
      <c r="D109" s="87"/>
      <c r="E109" s="131"/>
      <c r="F109" s="172"/>
      <c r="G109" s="162"/>
      <c r="H109" s="134">
        <f t="shared" si="3"/>
        <v>0</v>
      </c>
      <c r="I109" s="100">
        <v>0.0</v>
      </c>
      <c r="J109" s="135" t="str">
        <f t="shared" si="4"/>
        <v>-</v>
      </c>
      <c r="K109" s="152" t="str">
        <f t="shared" si="5"/>
        <v>-</v>
      </c>
      <c r="L109" s="134" t="str">
        <f t="shared" si="6"/>
        <v>-</v>
      </c>
      <c r="M109" s="138"/>
      <c r="N109" s="139">
        <f t="shared" si="7"/>
        <v>0</v>
      </c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</row>
    <row r="110">
      <c r="A110" s="74" t="str">
        <f t="shared" si="1"/>
        <v/>
      </c>
      <c r="B110" s="49"/>
      <c r="C110" s="150"/>
      <c r="D110" s="87"/>
      <c r="E110" s="131"/>
      <c r="F110" s="172"/>
      <c r="G110" s="162"/>
      <c r="H110" s="134">
        <f t="shared" si="3"/>
        <v>0</v>
      </c>
      <c r="I110" s="100">
        <v>0.0</v>
      </c>
      <c r="J110" s="135" t="str">
        <f t="shared" si="4"/>
        <v>-</v>
      </c>
      <c r="K110" s="152" t="str">
        <f t="shared" si="5"/>
        <v>-</v>
      </c>
      <c r="L110" s="134" t="str">
        <f t="shared" si="6"/>
        <v>-</v>
      </c>
      <c r="M110" s="138"/>
      <c r="N110" s="139">
        <f t="shared" si="7"/>
        <v>0</v>
      </c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</row>
    <row r="111">
      <c r="A111" s="74" t="str">
        <f t="shared" si="1"/>
        <v/>
      </c>
      <c r="B111" s="49"/>
      <c r="C111" s="150"/>
      <c r="D111" s="87"/>
      <c r="E111" s="131"/>
      <c r="F111" s="172"/>
      <c r="G111" s="162"/>
      <c r="H111" s="134">
        <f t="shared" si="3"/>
        <v>0</v>
      </c>
      <c r="I111" s="100">
        <v>0.0</v>
      </c>
      <c r="J111" s="135" t="str">
        <f t="shared" si="4"/>
        <v>-</v>
      </c>
      <c r="K111" s="152" t="str">
        <f t="shared" si="5"/>
        <v>-</v>
      </c>
      <c r="L111" s="134" t="str">
        <f t="shared" si="6"/>
        <v>-</v>
      </c>
      <c r="M111" s="193"/>
      <c r="N111" s="139">
        <f t="shared" si="7"/>
        <v>0</v>
      </c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</row>
    <row r="112">
      <c r="A112" s="74" t="str">
        <f t="shared" si="1"/>
        <v/>
      </c>
      <c r="B112" s="49"/>
      <c r="C112" s="86"/>
      <c r="D112" s="87"/>
      <c r="E112" s="131"/>
      <c r="F112" s="172"/>
      <c r="G112" s="162"/>
      <c r="H112" s="134">
        <f t="shared" si="3"/>
        <v>0</v>
      </c>
      <c r="I112" s="100">
        <v>0.0</v>
      </c>
      <c r="J112" s="135" t="str">
        <f t="shared" si="4"/>
        <v>-</v>
      </c>
      <c r="K112" s="152" t="str">
        <f t="shared" si="5"/>
        <v>-</v>
      </c>
      <c r="L112" s="134" t="str">
        <f t="shared" si="6"/>
        <v>-</v>
      </c>
      <c r="M112" s="154"/>
      <c r="N112" s="139">
        <f t="shared" si="7"/>
        <v>0</v>
      </c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</row>
    <row r="113">
      <c r="A113" s="74" t="str">
        <f t="shared" si="1"/>
        <v/>
      </c>
      <c r="B113" s="49"/>
      <c r="C113" s="86"/>
      <c r="D113" s="87"/>
      <c r="E113" s="131"/>
      <c r="F113" s="172"/>
      <c r="G113" s="162"/>
      <c r="H113" s="134">
        <f t="shared" si="3"/>
        <v>0</v>
      </c>
      <c r="I113" s="100">
        <v>0.0</v>
      </c>
      <c r="J113" s="135" t="str">
        <f t="shared" si="4"/>
        <v>-</v>
      </c>
      <c r="K113" s="152" t="str">
        <f t="shared" si="5"/>
        <v>-</v>
      </c>
      <c r="L113" s="134" t="str">
        <f t="shared" si="6"/>
        <v>-</v>
      </c>
      <c r="M113" s="154"/>
      <c r="N113" s="139">
        <f t="shared" si="7"/>
        <v>0</v>
      </c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</row>
    <row r="114">
      <c r="A114" s="74" t="str">
        <f t="shared" si="1"/>
        <v/>
      </c>
      <c r="B114" s="49"/>
      <c r="C114" s="86"/>
      <c r="D114" s="87"/>
      <c r="E114" s="131"/>
      <c r="F114" s="172"/>
      <c r="G114" s="162"/>
      <c r="H114" s="134">
        <f t="shared" si="3"/>
        <v>0</v>
      </c>
      <c r="I114" s="100">
        <v>0.0</v>
      </c>
      <c r="J114" s="135" t="str">
        <f t="shared" si="4"/>
        <v>-</v>
      </c>
      <c r="K114" s="152" t="str">
        <f t="shared" si="5"/>
        <v>-</v>
      </c>
      <c r="L114" s="174" t="str">
        <f t="shared" si="6"/>
        <v>-</v>
      </c>
      <c r="M114" s="154"/>
      <c r="N114" s="139">
        <f t="shared" si="7"/>
        <v>0</v>
      </c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</row>
    <row r="115">
      <c r="A115" s="74" t="str">
        <f t="shared" si="1"/>
        <v/>
      </c>
      <c r="B115" s="49"/>
      <c r="C115" s="86"/>
      <c r="D115" s="87"/>
      <c r="E115" s="131"/>
      <c r="F115" s="172"/>
      <c r="G115" s="162"/>
      <c r="H115" s="134">
        <f t="shared" si="3"/>
        <v>0</v>
      </c>
      <c r="I115" s="100">
        <v>0.0</v>
      </c>
      <c r="J115" s="135" t="str">
        <f t="shared" si="4"/>
        <v>-</v>
      </c>
      <c r="K115" s="152" t="str">
        <f t="shared" si="5"/>
        <v>-</v>
      </c>
      <c r="L115" s="175" t="str">
        <f t="shared" si="6"/>
        <v>-</v>
      </c>
      <c r="M115" s="154"/>
      <c r="N115" s="139">
        <f t="shared" si="7"/>
        <v>0</v>
      </c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</row>
    <row r="116">
      <c r="A116" s="74" t="str">
        <f t="shared" si="1"/>
        <v/>
      </c>
      <c r="B116" s="155"/>
      <c r="C116" s="150"/>
      <c r="D116" s="87"/>
      <c r="E116" s="131"/>
      <c r="F116" s="172"/>
      <c r="G116" s="162"/>
      <c r="H116" s="134">
        <f t="shared" si="3"/>
        <v>0</v>
      </c>
      <c r="I116" s="100">
        <v>0.0</v>
      </c>
      <c r="J116" s="135" t="str">
        <f t="shared" si="4"/>
        <v>-</v>
      </c>
      <c r="K116" s="152" t="str">
        <f t="shared" si="5"/>
        <v>-</v>
      </c>
      <c r="L116" s="136" t="str">
        <f t="shared" si="6"/>
        <v>-</v>
      </c>
      <c r="M116" s="154"/>
      <c r="N116" s="139">
        <f t="shared" si="7"/>
        <v>0</v>
      </c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</row>
    <row r="117">
      <c r="A117" s="74" t="str">
        <f t="shared" si="1"/>
        <v/>
      </c>
      <c r="B117" s="49"/>
      <c r="C117" s="86"/>
      <c r="D117" s="87"/>
      <c r="E117" s="131"/>
      <c r="F117" s="172"/>
      <c r="G117" s="162"/>
      <c r="H117" s="134">
        <f t="shared" si="3"/>
        <v>0</v>
      </c>
      <c r="I117" s="100">
        <v>0.0</v>
      </c>
      <c r="J117" s="135" t="str">
        <f t="shared" si="4"/>
        <v>-</v>
      </c>
      <c r="K117" s="152" t="str">
        <f t="shared" si="5"/>
        <v>-</v>
      </c>
      <c r="L117" s="174" t="str">
        <f t="shared" si="6"/>
        <v>-</v>
      </c>
      <c r="M117" s="154"/>
      <c r="N117" s="139">
        <f t="shared" si="7"/>
        <v>0</v>
      </c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</row>
    <row r="118">
      <c r="A118" s="74" t="str">
        <f t="shared" si="1"/>
        <v/>
      </c>
      <c r="B118" s="49"/>
      <c r="C118" s="86"/>
      <c r="D118" s="87"/>
      <c r="E118" s="131"/>
      <c r="F118" s="172"/>
      <c r="G118" s="162"/>
      <c r="H118" s="134">
        <f t="shared" si="3"/>
        <v>0</v>
      </c>
      <c r="I118" s="100">
        <v>0.0</v>
      </c>
      <c r="J118" s="135" t="str">
        <f t="shared" si="4"/>
        <v>-</v>
      </c>
      <c r="K118" s="152" t="str">
        <f t="shared" si="5"/>
        <v>-</v>
      </c>
      <c r="L118" s="175" t="str">
        <f t="shared" si="6"/>
        <v>-</v>
      </c>
      <c r="M118" s="154"/>
      <c r="N118" s="139">
        <f t="shared" si="7"/>
        <v>0</v>
      </c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</row>
    <row r="119">
      <c r="A119" s="74" t="str">
        <f t="shared" si="1"/>
        <v/>
      </c>
      <c r="B119" s="155"/>
      <c r="C119" s="150"/>
      <c r="D119" s="87"/>
      <c r="E119" s="131"/>
      <c r="F119" s="172"/>
      <c r="G119" s="162"/>
      <c r="H119" s="134">
        <f t="shared" si="3"/>
        <v>0</v>
      </c>
      <c r="I119" s="100">
        <v>0.0</v>
      </c>
      <c r="J119" s="135" t="str">
        <f t="shared" si="4"/>
        <v>-</v>
      </c>
      <c r="K119" s="152" t="str">
        <f t="shared" si="5"/>
        <v>-</v>
      </c>
      <c r="L119" s="136" t="str">
        <f t="shared" si="6"/>
        <v>-</v>
      </c>
      <c r="M119" s="154"/>
      <c r="N119" s="139">
        <f t="shared" si="7"/>
        <v>0</v>
      </c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</row>
    <row r="120">
      <c r="A120" s="74" t="str">
        <f t="shared" si="1"/>
        <v/>
      </c>
      <c r="B120" s="49"/>
      <c r="C120" s="86"/>
      <c r="D120" s="87"/>
      <c r="E120" s="131"/>
      <c r="F120" s="172"/>
      <c r="G120" s="162"/>
      <c r="H120" s="134">
        <f t="shared" si="3"/>
        <v>0</v>
      </c>
      <c r="I120" s="100">
        <v>0.0</v>
      </c>
      <c r="J120" s="135" t="str">
        <f t="shared" si="4"/>
        <v>-</v>
      </c>
      <c r="K120" s="152" t="str">
        <f t="shared" si="5"/>
        <v>-</v>
      </c>
      <c r="L120" s="136" t="str">
        <f t="shared" si="6"/>
        <v>-</v>
      </c>
      <c r="M120" s="154"/>
      <c r="N120" s="139">
        <f t="shared" si="7"/>
        <v>0</v>
      </c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</row>
    <row r="121">
      <c r="A121" s="74" t="str">
        <f t="shared" si="1"/>
        <v/>
      </c>
      <c r="B121" s="49"/>
      <c r="C121" s="86"/>
      <c r="D121" s="87"/>
      <c r="E121" s="131"/>
      <c r="F121" s="172"/>
      <c r="G121" s="162"/>
      <c r="H121" s="134">
        <f t="shared" si="3"/>
        <v>0</v>
      </c>
      <c r="I121" s="100">
        <v>0.0</v>
      </c>
      <c r="J121" s="135" t="str">
        <f t="shared" si="4"/>
        <v>-</v>
      </c>
      <c r="K121" s="152" t="str">
        <f t="shared" si="5"/>
        <v>-</v>
      </c>
      <c r="L121" s="136" t="str">
        <f t="shared" si="6"/>
        <v>-</v>
      </c>
      <c r="M121" s="154"/>
      <c r="N121" s="139">
        <f t="shared" si="7"/>
        <v>0</v>
      </c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</row>
    <row r="122">
      <c r="A122" s="74" t="str">
        <f t="shared" si="1"/>
        <v/>
      </c>
      <c r="B122" s="49"/>
      <c r="C122" s="86"/>
      <c r="D122" s="87"/>
      <c r="E122" s="131"/>
      <c r="F122" s="172"/>
      <c r="G122" s="162"/>
      <c r="H122" s="134">
        <f t="shared" si="3"/>
        <v>0</v>
      </c>
      <c r="I122" s="100">
        <v>0.0</v>
      </c>
      <c r="J122" s="135" t="str">
        <f t="shared" si="4"/>
        <v>-</v>
      </c>
      <c r="K122" s="152" t="str">
        <f t="shared" si="5"/>
        <v>-</v>
      </c>
      <c r="L122" s="136" t="str">
        <f t="shared" si="6"/>
        <v>-</v>
      </c>
      <c r="M122" s="154"/>
      <c r="N122" s="139">
        <f t="shared" si="7"/>
        <v>0</v>
      </c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</row>
    <row r="123">
      <c r="A123" s="74" t="str">
        <f t="shared" si="1"/>
        <v/>
      </c>
      <c r="B123" s="49"/>
      <c r="C123" s="86"/>
      <c r="D123" s="87"/>
      <c r="E123" s="131"/>
      <c r="F123" s="172"/>
      <c r="G123" s="162"/>
      <c r="H123" s="134">
        <f t="shared" si="3"/>
        <v>0</v>
      </c>
      <c r="I123" s="100">
        <v>0.0</v>
      </c>
      <c r="J123" s="135" t="str">
        <f t="shared" si="4"/>
        <v>-</v>
      </c>
      <c r="K123" s="152" t="str">
        <f t="shared" si="5"/>
        <v>-</v>
      </c>
      <c r="L123" s="136" t="str">
        <f t="shared" si="6"/>
        <v>-</v>
      </c>
      <c r="M123" s="154"/>
      <c r="N123" s="139">
        <f t="shared" si="7"/>
        <v>0</v>
      </c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</row>
    <row r="124">
      <c r="A124" s="74" t="str">
        <f t="shared" si="1"/>
        <v/>
      </c>
      <c r="B124" s="49"/>
      <c r="C124" s="86"/>
      <c r="D124" s="87"/>
      <c r="E124" s="131"/>
      <c r="F124" s="172"/>
      <c r="G124" s="162"/>
      <c r="H124" s="134">
        <f t="shared" si="3"/>
        <v>0</v>
      </c>
      <c r="I124" s="100">
        <v>0.0</v>
      </c>
      <c r="J124" s="135" t="str">
        <f t="shared" si="4"/>
        <v>-</v>
      </c>
      <c r="K124" s="152" t="str">
        <f t="shared" si="5"/>
        <v>-</v>
      </c>
      <c r="L124" s="136" t="str">
        <f t="shared" si="6"/>
        <v>-</v>
      </c>
      <c r="M124" s="154"/>
      <c r="N124" s="139">
        <f t="shared" si="7"/>
        <v>0</v>
      </c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</row>
    <row r="125">
      <c r="A125" s="74" t="str">
        <f t="shared" si="1"/>
        <v/>
      </c>
      <c r="B125" s="49"/>
      <c r="C125" s="86"/>
      <c r="D125" s="87"/>
      <c r="E125" s="131"/>
      <c r="F125" s="172"/>
      <c r="G125" s="162"/>
      <c r="H125" s="134">
        <f t="shared" si="3"/>
        <v>0</v>
      </c>
      <c r="I125" s="100">
        <v>0.0</v>
      </c>
      <c r="J125" s="135" t="str">
        <f t="shared" si="4"/>
        <v>-</v>
      </c>
      <c r="K125" s="152" t="str">
        <f t="shared" si="5"/>
        <v>-</v>
      </c>
      <c r="L125" s="136" t="str">
        <f t="shared" si="6"/>
        <v>-</v>
      </c>
      <c r="M125" s="154"/>
      <c r="N125" s="139">
        <f t="shared" si="7"/>
        <v>0</v>
      </c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</row>
    <row r="126">
      <c r="A126" s="74" t="str">
        <f t="shared" si="1"/>
        <v/>
      </c>
      <c r="B126" s="49"/>
      <c r="C126" s="106"/>
      <c r="D126" s="87"/>
      <c r="E126" s="131"/>
      <c r="F126" s="172"/>
      <c r="G126" s="162"/>
      <c r="H126" s="134">
        <f t="shared" si="3"/>
        <v>0</v>
      </c>
      <c r="I126" s="100">
        <v>0.0</v>
      </c>
      <c r="J126" s="135" t="str">
        <f t="shared" si="4"/>
        <v>-</v>
      </c>
      <c r="K126" s="152" t="str">
        <f t="shared" si="5"/>
        <v>-</v>
      </c>
      <c r="L126" s="136" t="str">
        <f t="shared" si="6"/>
        <v>-</v>
      </c>
      <c r="M126" s="176"/>
      <c r="N126" s="139">
        <f t="shared" si="7"/>
        <v>0</v>
      </c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</row>
    <row r="127">
      <c r="A127" s="74" t="str">
        <f t="shared" si="1"/>
        <v/>
      </c>
      <c r="B127" s="49"/>
      <c r="C127" s="106"/>
      <c r="D127" s="87"/>
      <c r="E127" s="131"/>
      <c r="F127" s="172"/>
      <c r="G127" s="162"/>
      <c r="H127" s="134">
        <f t="shared" si="3"/>
        <v>0</v>
      </c>
      <c r="I127" s="100">
        <v>0.0</v>
      </c>
      <c r="J127" s="135" t="str">
        <f t="shared" si="4"/>
        <v>-</v>
      </c>
      <c r="K127" s="152" t="str">
        <f t="shared" si="5"/>
        <v>-</v>
      </c>
      <c r="L127" s="136" t="str">
        <f t="shared" si="6"/>
        <v>-</v>
      </c>
      <c r="M127" s="176"/>
      <c r="N127" s="139">
        <f t="shared" si="7"/>
        <v>0</v>
      </c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</row>
    <row r="128">
      <c r="A128" s="74" t="str">
        <f t="shared" si="1"/>
        <v/>
      </c>
      <c r="B128" s="49"/>
      <c r="C128" s="106"/>
      <c r="D128" s="87"/>
      <c r="E128" s="131"/>
      <c r="F128" s="172"/>
      <c r="G128" s="162"/>
      <c r="H128" s="134">
        <f t="shared" si="3"/>
        <v>0</v>
      </c>
      <c r="I128" s="100">
        <v>0.0</v>
      </c>
      <c r="J128" s="135" t="str">
        <f t="shared" si="4"/>
        <v>-</v>
      </c>
      <c r="K128" s="152" t="str">
        <f t="shared" si="5"/>
        <v>-</v>
      </c>
      <c r="L128" s="136" t="str">
        <f t="shared" si="6"/>
        <v>-</v>
      </c>
      <c r="M128" s="176"/>
      <c r="N128" s="139">
        <f t="shared" si="7"/>
        <v>0</v>
      </c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</row>
    <row r="129">
      <c r="A129" s="74" t="str">
        <f t="shared" si="1"/>
        <v/>
      </c>
      <c r="B129" s="49"/>
      <c r="C129" s="187"/>
      <c r="D129" s="87"/>
      <c r="E129" s="131"/>
      <c r="F129" s="172"/>
      <c r="G129" s="162"/>
      <c r="H129" s="134">
        <f t="shared" si="3"/>
        <v>0</v>
      </c>
      <c r="I129" s="100">
        <v>0.0</v>
      </c>
      <c r="J129" s="135" t="str">
        <f t="shared" si="4"/>
        <v>-</v>
      </c>
      <c r="K129" s="152" t="str">
        <f t="shared" si="5"/>
        <v>-</v>
      </c>
      <c r="L129" s="134" t="str">
        <f t="shared" si="6"/>
        <v>-</v>
      </c>
      <c r="M129" s="138"/>
      <c r="N129" s="139">
        <f t="shared" si="7"/>
        <v>0</v>
      </c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</row>
    <row r="130">
      <c r="A130" s="74" t="str">
        <f t="shared" si="1"/>
        <v/>
      </c>
      <c r="B130" s="49"/>
      <c r="C130" s="150"/>
      <c r="D130" s="87"/>
      <c r="E130" s="131"/>
      <c r="F130" s="172"/>
      <c r="G130" s="162"/>
      <c r="H130" s="134">
        <f t="shared" si="3"/>
        <v>0</v>
      </c>
      <c r="I130" s="100">
        <v>0.0</v>
      </c>
      <c r="J130" s="135" t="str">
        <f t="shared" si="4"/>
        <v>-</v>
      </c>
      <c r="K130" s="152" t="str">
        <f t="shared" si="5"/>
        <v>-</v>
      </c>
      <c r="L130" s="134" t="str">
        <f t="shared" si="6"/>
        <v>-</v>
      </c>
      <c r="M130" s="138"/>
      <c r="N130" s="139">
        <f t="shared" si="7"/>
        <v>0</v>
      </c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</row>
    <row r="131">
      <c r="A131" s="74" t="str">
        <f t="shared" si="1"/>
        <v/>
      </c>
      <c r="B131" s="49"/>
      <c r="C131" s="150"/>
      <c r="D131" s="87"/>
      <c r="E131" s="131"/>
      <c r="F131" s="172"/>
      <c r="G131" s="162"/>
      <c r="H131" s="134">
        <f t="shared" si="3"/>
        <v>0</v>
      </c>
      <c r="I131" s="100">
        <v>0.0</v>
      </c>
      <c r="J131" s="135" t="str">
        <f t="shared" si="4"/>
        <v>-</v>
      </c>
      <c r="K131" s="152" t="str">
        <f t="shared" si="5"/>
        <v>-</v>
      </c>
      <c r="L131" s="134" t="str">
        <f t="shared" si="6"/>
        <v>-</v>
      </c>
      <c r="M131" s="138"/>
      <c r="N131" s="139">
        <f t="shared" si="7"/>
        <v>0</v>
      </c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</row>
    <row r="132">
      <c r="A132" s="74" t="str">
        <f t="shared" si="1"/>
        <v/>
      </c>
      <c r="B132" s="49"/>
      <c r="C132" s="86"/>
      <c r="D132" s="87"/>
      <c r="E132" s="131"/>
      <c r="F132" s="172"/>
      <c r="G132" s="162"/>
      <c r="H132" s="134">
        <f t="shared" si="3"/>
        <v>0</v>
      </c>
      <c r="I132" s="100">
        <v>0.0</v>
      </c>
      <c r="J132" s="135" t="str">
        <f t="shared" si="4"/>
        <v>-</v>
      </c>
      <c r="K132" s="152" t="str">
        <f t="shared" si="5"/>
        <v>-</v>
      </c>
      <c r="L132" s="134" t="str">
        <f t="shared" si="6"/>
        <v>-</v>
      </c>
      <c r="M132" s="138"/>
      <c r="N132" s="139">
        <f t="shared" si="7"/>
        <v>0</v>
      </c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</row>
    <row r="133">
      <c r="A133" s="74" t="str">
        <f t="shared" si="1"/>
        <v/>
      </c>
      <c r="B133" s="49"/>
      <c r="C133" s="86"/>
      <c r="D133" s="87"/>
      <c r="E133" s="131"/>
      <c r="F133" s="172"/>
      <c r="G133" s="162"/>
      <c r="H133" s="134">
        <f t="shared" si="3"/>
        <v>0</v>
      </c>
      <c r="I133" s="100">
        <v>0.0</v>
      </c>
      <c r="J133" s="135" t="str">
        <f t="shared" si="4"/>
        <v>-</v>
      </c>
      <c r="K133" s="152" t="str">
        <f t="shared" si="5"/>
        <v>-</v>
      </c>
      <c r="L133" s="134" t="str">
        <f t="shared" si="6"/>
        <v>-</v>
      </c>
      <c r="M133" s="193"/>
      <c r="N133" s="139">
        <f t="shared" si="7"/>
        <v>0</v>
      </c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</row>
    <row r="134">
      <c r="A134" s="74" t="str">
        <f t="shared" si="1"/>
        <v/>
      </c>
      <c r="B134" s="49"/>
      <c r="C134" s="86"/>
      <c r="D134" s="87"/>
      <c r="E134" s="131"/>
      <c r="F134" s="172"/>
      <c r="G134" s="162"/>
      <c r="H134" s="134">
        <f t="shared" si="3"/>
        <v>0</v>
      </c>
      <c r="I134" s="100">
        <v>0.0</v>
      </c>
      <c r="J134" s="135" t="str">
        <f t="shared" si="4"/>
        <v>-</v>
      </c>
      <c r="K134" s="152" t="str">
        <f t="shared" si="5"/>
        <v>-</v>
      </c>
      <c r="L134" s="134" t="str">
        <f t="shared" si="6"/>
        <v>-</v>
      </c>
      <c r="M134" s="154"/>
      <c r="N134" s="139">
        <f t="shared" si="7"/>
        <v>0</v>
      </c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</row>
    <row r="135">
      <c r="A135" s="74" t="str">
        <f t="shared" si="1"/>
        <v/>
      </c>
      <c r="B135" s="49"/>
      <c r="C135" s="86"/>
      <c r="D135" s="87"/>
      <c r="E135" s="131"/>
      <c r="F135" s="172"/>
      <c r="G135" s="162"/>
      <c r="H135" s="134">
        <f t="shared" si="3"/>
        <v>0</v>
      </c>
      <c r="I135" s="100">
        <v>0.0</v>
      </c>
      <c r="J135" s="135" t="str">
        <f t="shared" si="4"/>
        <v>-</v>
      </c>
      <c r="K135" s="152" t="str">
        <f t="shared" si="5"/>
        <v>-</v>
      </c>
      <c r="L135" s="134" t="str">
        <f t="shared" si="6"/>
        <v>-</v>
      </c>
      <c r="M135" s="154"/>
      <c r="N135" s="139">
        <f t="shared" si="7"/>
        <v>0</v>
      </c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</row>
    <row r="136">
      <c r="A136" s="74" t="str">
        <f t="shared" si="1"/>
        <v/>
      </c>
      <c r="B136" s="49"/>
      <c r="C136" s="150"/>
      <c r="D136" s="87"/>
      <c r="E136" s="131"/>
      <c r="F136" s="172"/>
      <c r="G136" s="162"/>
      <c r="H136" s="134">
        <f t="shared" si="3"/>
        <v>0</v>
      </c>
      <c r="I136" s="100">
        <v>0.0</v>
      </c>
      <c r="J136" s="135" t="str">
        <f t="shared" si="4"/>
        <v>-</v>
      </c>
      <c r="K136" s="152" t="str">
        <f t="shared" si="5"/>
        <v>-</v>
      </c>
      <c r="L136" s="174" t="str">
        <f t="shared" si="6"/>
        <v>-</v>
      </c>
      <c r="M136" s="154"/>
      <c r="N136" s="139">
        <f t="shared" si="7"/>
        <v>0</v>
      </c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</row>
    <row r="137">
      <c r="A137" s="74" t="str">
        <f t="shared" si="1"/>
        <v/>
      </c>
      <c r="B137" s="49"/>
      <c r="C137" s="150"/>
      <c r="D137" s="87"/>
      <c r="E137" s="131"/>
      <c r="F137" s="172"/>
      <c r="G137" s="162"/>
      <c r="H137" s="134">
        <f t="shared" si="3"/>
        <v>0</v>
      </c>
      <c r="I137" s="100">
        <v>0.0</v>
      </c>
      <c r="J137" s="135" t="str">
        <f t="shared" si="4"/>
        <v>-</v>
      </c>
      <c r="K137" s="152" t="str">
        <f t="shared" si="5"/>
        <v>-</v>
      </c>
      <c r="L137" s="175" t="str">
        <f t="shared" si="6"/>
        <v>-</v>
      </c>
      <c r="M137" s="154"/>
      <c r="N137" s="139">
        <f t="shared" si="7"/>
        <v>0</v>
      </c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</row>
    <row r="138">
      <c r="A138" s="74" t="str">
        <f t="shared" si="1"/>
        <v/>
      </c>
      <c r="B138" s="49"/>
      <c r="C138" s="86"/>
      <c r="D138" s="87"/>
      <c r="E138" s="131"/>
      <c r="F138" s="172"/>
      <c r="G138" s="162"/>
      <c r="H138" s="134">
        <f t="shared" si="3"/>
        <v>0</v>
      </c>
      <c r="I138" s="100">
        <v>0.0</v>
      </c>
      <c r="J138" s="135" t="str">
        <f t="shared" si="4"/>
        <v>-</v>
      </c>
      <c r="K138" s="152" t="str">
        <f t="shared" si="5"/>
        <v>-</v>
      </c>
      <c r="L138" s="136" t="str">
        <f t="shared" si="6"/>
        <v>-</v>
      </c>
      <c r="M138" s="154"/>
      <c r="N138" s="139">
        <f t="shared" si="7"/>
        <v>0</v>
      </c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</row>
    <row r="139">
      <c r="A139" s="74" t="str">
        <f t="shared" si="1"/>
        <v/>
      </c>
      <c r="B139" s="49"/>
      <c r="C139" s="86"/>
      <c r="D139" s="87"/>
      <c r="E139" s="131"/>
      <c r="F139" s="172"/>
      <c r="G139" s="162"/>
      <c r="H139" s="134">
        <f t="shared" si="3"/>
        <v>0</v>
      </c>
      <c r="I139" s="100">
        <v>0.0</v>
      </c>
      <c r="J139" s="135" t="str">
        <f t="shared" si="4"/>
        <v>-</v>
      </c>
      <c r="K139" s="152" t="str">
        <f t="shared" si="5"/>
        <v>-</v>
      </c>
      <c r="L139" s="174" t="str">
        <f t="shared" si="6"/>
        <v>-</v>
      </c>
      <c r="M139" s="154"/>
      <c r="N139" s="139">
        <f t="shared" si="7"/>
        <v>0</v>
      </c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</row>
    <row r="140">
      <c r="A140" s="74" t="str">
        <f t="shared" si="1"/>
        <v/>
      </c>
      <c r="B140" s="49"/>
      <c r="C140" s="86"/>
      <c r="D140" s="87"/>
      <c r="E140" s="131"/>
      <c r="F140" s="172"/>
      <c r="G140" s="162"/>
      <c r="H140" s="134">
        <f t="shared" si="3"/>
        <v>0</v>
      </c>
      <c r="I140" s="100">
        <v>0.0</v>
      </c>
      <c r="J140" s="135" t="str">
        <f t="shared" si="4"/>
        <v>-</v>
      </c>
      <c r="K140" s="152" t="str">
        <f t="shared" si="5"/>
        <v>-</v>
      </c>
      <c r="L140" s="175" t="str">
        <f t="shared" si="6"/>
        <v>-</v>
      </c>
      <c r="M140" s="154"/>
      <c r="N140" s="139">
        <f t="shared" si="7"/>
        <v>0</v>
      </c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</row>
    <row r="141">
      <c r="A141" s="74" t="str">
        <f t="shared" si="1"/>
        <v/>
      </c>
      <c r="B141" s="49"/>
      <c r="C141" s="86"/>
      <c r="D141" s="87"/>
      <c r="E141" s="131"/>
      <c r="F141" s="172"/>
      <c r="G141" s="162"/>
      <c r="H141" s="134">
        <f t="shared" si="3"/>
        <v>0</v>
      </c>
      <c r="I141" s="100">
        <v>0.0</v>
      </c>
      <c r="J141" s="135" t="str">
        <f t="shared" si="4"/>
        <v>-</v>
      </c>
      <c r="K141" s="152" t="str">
        <f t="shared" si="5"/>
        <v>-</v>
      </c>
      <c r="L141" s="136" t="str">
        <f t="shared" si="6"/>
        <v>-</v>
      </c>
      <c r="M141" s="154"/>
      <c r="N141" s="139">
        <f t="shared" si="7"/>
        <v>0</v>
      </c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  <c r="AB141" s="159"/>
      <c r="AC141" s="159"/>
    </row>
    <row r="142">
      <c r="A142" s="74" t="str">
        <f t="shared" si="1"/>
        <v/>
      </c>
      <c r="B142" s="49"/>
      <c r="C142" s="86"/>
      <c r="D142" s="87"/>
      <c r="E142" s="131"/>
      <c r="F142" s="172"/>
      <c r="G142" s="162"/>
      <c r="H142" s="134">
        <f t="shared" si="3"/>
        <v>0</v>
      </c>
      <c r="I142" s="100">
        <v>0.0</v>
      </c>
      <c r="J142" s="135" t="str">
        <f t="shared" si="4"/>
        <v>-</v>
      </c>
      <c r="K142" s="152" t="str">
        <f t="shared" si="5"/>
        <v>-</v>
      </c>
      <c r="L142" s="136" t="str">
        <f t="shared" si="6"/>
        <v>-</v>
      </c>
      <c r="M142" s="154"/>
      <c r="N142" s="139">
        <f t="shared" si="7"/>
        <v>0</v>
      </c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  <c r="AC142" s="159"/>
    </row>
    <row r="143">
      <c r="A143" s="74" t="str">
        <f t="shared" si="1"/>
        <v/>
      </c>
      <c r="B143" s="49"/>
      <c r="C143" s="86"/>
      <c r="D143" s="87"/>
      <c r="E143" s="131"/>
      <c r="F143" s="172"/>
      <c r="G143" s="162"/>
      <c r="H143" s="134">
        <f t="shared" si="3"/>
        <v>0</v>
      </c>
      <c r="I143" s="100">
        <v>0.0</v>
      </c>
      <c r="J143" s="135" t="str">
        <f t="shared" si="4"/>
        <v>-</v>
      </c>
      <c r="K143" s="152" t="str">
        <f t="shared" si="5"/>
        <v>-</v>
      </c>
      <c r="L143" s="136" t="str">
        <f t="shared" si="6"/>
        <v>-</v>
      </c>
      <c r="M143" s="154"/>
      <c r="N143" s="139">
        <f t="shared" si="7"/>
        <v>0</v>
      </c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  <c r="AB143" s="159"/>
      <c r="AC143" s="159"/>
    </row>
    <row r="144">
      <c r="A144" s="74" t="str">
        <f t="shared" si="1"/>
        <v/>
      </c>
      <c r="B144" s="49"/>
      <c r="C144" s="150"/>
      <c r="D144" s="87"/>
      <c r="E144" s="131"/>
      <c r="F144" s="172"/>
      <c r="G144" s="162"/>
      <c r="H144" s="134">
        <f t="shared" si="3"/>
        <v>0</v>
      </c>
      <c r="I144" s="100">
        <v>0.0</v>
      </c>
      <c r="J144" s="135" t="str">
        <f t="shared" si="4"/>
        <v>-</v>
      </c>
      <c r="K144" s="152" t="str">
        <f t="shared" si="5"/>
        <v>-</v>
      </c>
      <c r="L144" s="136" t="str">
        <f t="shared" si="6"/>
        <v>-</v>
      </c>
      <c r="M144" s="154"/>
      <c r="N144" s="139">
        <f t="shared" si="7"/>
        <v>0</v>
      </c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  <c r="AB144" s="159"/>
      <c r="AC144" s="159"/>
    </row>
    <row r="145">
      <c r="A145" s="74" t="str">
        <f t="shared" si="1"/>
        <v/>
      </c>
      <c r="B145" s="49"/>
      <c r="C145" s="150"/>
      <c r="D145" s="87"/>
      <c r="E145" s="131"/>
      <c r="F145" s="172"/>
      <c r="G145" s="162"/>
      <c r="H145" s="134">
        <f t="shared" si="3"/>
        <v>0</v>
      </c>
      <c r="I145" s="100">
        <v>0.0</v>
      </c>
      <c r="J145" s="135" t="str">
        <f t="shared" si="4"/>
        <v>-</v>
      </c>
      <c r="K145" s="152" t="str">
        <f t="shared" si="5"/>
        <v>-</v>
      </c>
      <c r="L145" s="136" t="str">
        <f t="shared" si="6"/>
        <v>-</v>
      </c>
      <c r="M145" s="154"/>
      <c r="N145" s="139">
        <f t="shared" si="7"/>
        <v>0</v>
      </c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  <c r="AB145" s="159"/>
      <c r="AC145" s="159"/>
    </row>
    <row r="146">
      <c r="A146" s="74" t="str">
        <f t="shared" si="1"/>
        <v/>
      </c>
      <c r="B146" s="155"/>
      <c r="C146" s="150"/>
      <c r="D146" s="87"/>
      <c r="E146" s="131"/>
      <c r="F146" s="172"/>
      <c r="G146" s="162"/>
      <c r="H146" s="134">
        <f t="shared" si="3"/>
        <v>0</v>
      </c>
      <c r="I146" s="100">
        <v>0.0</v>
      </c>
      <c r="J146" s="135" t="str">
        <f t="shared" si="4"/>
        <v>-</v>
      </c>
      <c r="K146" s="152" t="str">
        <f t="shared" si="5"/>
        <v>-</v>
      </c>
      <c r="L146" s="136" t="str">
        <f t="shared" si="6"/>
        <v>-</v>
      </c>
      <c r="M146" s="154"/>
      <c r="N146" s="139">
        <f t="shared" si="7"/>
        <v>0</v>
      </c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  <c r="AB146" s="159"/>
      <c r="AC146" s="159"/>
    </row>
    <row r="147">
      <c r="A147" s="74" t="str">
        <f t="shared" si="1"/>
        <v/>
      </c>
      <c r="B147" s="155"/>
      <c r="C147" s="150"/>
      <c r="D147" s="87"/>
      <c r="E147" s="131"/>
      <c r="F147" s="172"/>
      <c r="G147" s="162"/>
      <c r="H147" s="134">
        <f t="shared" si="3"/>
        <v>0</v>
      </c>
      <c r="I147" s="100">
        <v>0.0</v>
      </c>
      <c r="J147" s="135" t="str">
        <f t="shared" si="4"/>
        <v>-</v>
      </c>
      <c r="K147" s="152" t="str">
        <f t="shared" si="5"/>
        <v>-</v>
      </c>
      <c r="L147" s="136" t="str">
        <f t="shared" si="6"/>
        <v>-</v>
      </c>
      <c r="M147" s="154"/>
      <c r="N147" s="139">
        <f t="shared" si="7"/>
        <v>0</v>
      </c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  <c r="AB147" s="159"/>
      <c r="AC147" s="159"/>
    </row>
    <row r="148">
      <c r="A148" s="74" t="str">
        <f t="shared" si="1"/>
        <v/>
      </c>
      <c r="B148" s="49"/>
      <c r="C148" s="106"/>
      <c r="D148" s="87"/>
      <c r="E148" s="131"/>
      <c r="F148" s="172"/>
      <c r="G148" s="162"/>
      <c r="H148" s="134">
        <f t="shared" si="3"/>
        <v>0</v>
      </c>
      <c r="I148" s="100">
        <v>0.0</v>
      </c>
      <c r="J148" s="135" t="str">
        <f t="shared" si="4"/>
        <v>-</v>
      </c>
      <c r="K148" s="152" t="str">
        <f t="shared" si="5"/>
        <v>-</v>
      </c>
      <c r="L148" s="136" t="str">
        <f t="shared" si="6"/>
        <v>-</v>
      </c>
      <c r="M148" s="176"/>
      <c r="N148" s="139">
        <f t="shared" si="7"/>
        <v>0</v>
      </c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</row>
    <row r="149">
      <c r="A149" s="74" t="str">
        <f t="shared" si="1"/>
        <v/>
      </c>
      <c r="B149" s="49"/>
      <c r="C149" s="106"/>
      <c r="D149" s="87"/>
      <c r="E149" s="131"/>
      <c r="F149" s="172"/>
      <c r="G149" s="162"/>
      <c r="H149" s="134">
        <f t="shared" si="3"/>
        <v>0</v>
      </c>
      <c r="I149" s="100">
        <v>0.0</v>
      </c>
      <c r="J149" s="135" t="str">
        <f t="shared" si="4"/>
        <v>-</v>
      </c>
      <c r="K149" s="152" t="str">
        <f t="shared" si="5"/>
        <v>-</v>
      </c>
      <c r="L149" s="136" t="str">
        <f t="shared" si="6"/>
        <v>-</v>
      </c>
      <c r="M149" s="176"/>
      <c r="N149" s="139">
        <f t="shared" si="7"/>
        <v>0</v>
      </c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</row>
    <row r="150">
      <c r="A150" s="74" t="str">
        <f t="shared" si="1"/>
        <v/>
      </c>
      <c r="B150" s="49"/>
      <c r="C150" s="106"/>
      <c r="D150" s="87"/>
      <c r="E150" s="131"/>
      <c r="F150" s="172"/>
      <c r="G150" s="162"/>
      <c r="H150" s="134">
        <f t="shared" si="3"/>
        <v>0</v>
      </c>
      <c r="I150" s="100">
        <v>0.0</v>
      </c>
      <c r="J150" s="135" t="str">
        <f t="shared" si="4"/>
        <v>-</v>
      </c>
      <c r="K150" s="152" t="str">
        <f t="shared" si="5"/>
        <v>-</v>
      </c>
      <c r="L150" s="136" t="str">
        <f t="shared" si="6"/>
        <v>-</v>
      </c>
      <c r="M150" s="176"/>
      <c r="N150" s="139">
        <f t="shared" si="7"/>
        <v>0</v>
      </c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</row>
    <row r="151">
      <c r="A151" s="74" t="str">
        <f t="shared" si="1"/>
        <v/>
      </c>
      <c r="B151" s="49"/>
      <c r="C151" s="187"/>
      <c r="D151" s="87"/>
      <c r="E151" s="131"/>
      <c r="F151" s="172"/>
      <c r="G151" s="162"/>
      <c r="H151" s="134">
        <f t="shared" si="3"/>
        <v>0</v>
      </c>
      <c r="I151" s="100">
        <v>0.0</v>
      </c>
      <c r="J151" s="135" t="str">
        <f t="shared" si="4"/>
        <v>-</v>
      </c>
      <c r="K151" s="152" t="str">
        <f t="shared" si="5"/>
        <v>-</v>
      </c>
      <c r="L151" s="134" t="str">
        <f t="shared" si="6"/>
        <v>-</v>
      </c>
      <c r="M151" s="138"/>
      <c r="N151" s="139">
        <f t="shared" si="7"/>
        <v>0</v>
      </c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159"/>
      <c r="AC151" s="159"/>
    </row>
    <row r="152">
      <c r="A152" s="74" t="str">
        <f t="shared" si="1"/>
        <v/>
      </c>
      <c r="B152" s="49"/>
      <c r="C152" s="150"/>
      <c r="D152" s="87"/>
      <c r="E152" s="131"/>
      <c r="F152" s="172"/>
      <c r="G152" s="162"/>
      <c r="H152" s="134">
        <f t="shared" si="3"/>
        <v>0</v>
      </c>
      <c r="I152" s="100">
        <v>0.0</v>
      </c>
      <c r="J152" s="135" t="str">
        <f t="shared" si="4"/>
        <v>-</v>
      </c>
      <c r="K152" s="152" t="str">
        <f t="shared" si="5"/>
        <v>-</v>
      </c>
      <c r="L152" s="134" t="str">
        <f t="shared" si="6"/>
        <v>-</v>
      </c>
      <c r="M152" s="138"/>
      <c r="N152" s="139">
        <f t="shared" si="7"/>
        <v>0</v>
      </c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159"/>
      <c r="AC152" s="159"/>
    </row>
    <row r="153">
      <c r="A153" s="74" t="str">
        <f t="shared" si="1"/>
        <v/>
      </c>
      <c r="B153" s="49"/>
      <c r="C153" s="150"/>
      <c r="D153" s="87"/>
      <c r="E153" s="131"/>
      <c r="F153" s="172"/>
      <c r="G153" s="162"/>
      <c r="H153" s="134">
        <f t="shared" si="3"/>
        <v>0</v>
      </c>
      <c r="I153" s="100">
        <v>0.0</v>
      </c>
      <c r="J153" s="135" t="str">
        <f t="shared" si="4"/>
        <v>-</v>
      </c>
      <c r="K153" s="152" t="str">
        <f t="shared" si="5"/>
        <v>-</v>
      </c>
      <c r="L153" s="134" t="str">
        <f t="shared" si="6"/>
        <v>-</v>
      </c>
      <c r="M153" s="138"/>
      <c r="N153" s="139">
        <f t="shared" si="7"/>
        <v>0</v>
      </c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159"/>
      <c r="AC153" s="159"/>
    </row>
    <row r="154">
      <c r="A154" s="74" t="str">
        <f t="shared" si="1"/>
        <v/>
      </c>
      <c r="B154" s="49"/>
      <c r="C154" s="150"/>
      <c r="D154" s="87"/>
      <c r="E154" s="131"/>
      <c r="F154" s="172"/>
      <c r="G154" s="162"/>
      <c r="H154" s="134">
        <f t="shared" si="3"/>
        <v>0</v>
      </c>
      <c r="I154" s="100">
        <v>0.0</v>
      </c>
      <c r="J154" s="135" t="str">
        <f t="shared" si="4"/>
        <v>-</v>
      </c>
      <c r="K154" s="152" t="str">
        <f t="shared" si="5"/>
        <v>-</v>
      </c>
      <c r="L154" s="134" t="str">
        <f t="shared" si="6"/>
        <v>-</v>
      </c>
      <c r="M154" s="138"/>
      <c r="N154" s="139">
        <f t="shared" si="7"/>
        <v>0</v>
      </c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  <c r="AB154" s="159"/>
      <c r="AC154" s="159"/>
    </row>
    <row r="155">
      <c r="A155" s="74" t="str">
        <f t="shared" si="1"/>
        <v/>
      </c>
      <c r="B155" s="49"/>
      <c r="C155" s="150"/>
      <c r="D155" s="87"/>
      <c r="E155" s="131"/>
      <c r="F155" s="172"/>
      <c r="G155" s="162"/>
      <c r="H155" s="134">
        <f t="shared" si="3"/>
        <v>0</v>
      </c>
      <c r="I155" s="100">
        <v>0.0</v>
      </c>
      <c r="J155" s="135" t="str">
        <f t="shared" si="4"/>
        <v>-</v>
      </c>
      <c r="K155" s="152" t="str">
        <f t="shared" si="5"/>
        <v>-</v>
      </c>
      <c r="L155" s="134" t="str">
        <f t="shared" si="6"/>
        <v>-</v>
      </c>
      <c r="M155" s="193"/>
      <c r="N155" s="139">
        <f t="shared" si="7"/>
        <v>0</v>
      </c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  <c r="AB155" s="159"/>
      <c r="AC155" s="159"/>
    </row>
    <row r="156">
      <c r="A156" s="74" t="str">
        <f t="shared" si="1"/>
        <v/>
      </c>
      <c r="B156" s="49"/>
      <c r="C156" s="150"/>
      <c r="D156" s="87"/>
      <c r="E156" s="131"/>
      <c r="F156" s="172"/>
      <c r="G156" s="162"/>
      <c r="H156" s="134">
        <f t="shared" si="3"/>
        <v>0</v>
      </c>
      <c r="I156" s="100">
        <v>0.0</v>
      </c>
      <c r="J156" s="135" t="str">
        <f t="shared" si="4"/>
        <v>-</v>
      </c>
      <c r="K156" s="152" t="str">
        <f t="shared" si="5"/>
        <v>-</v>
      </c>
      <c r="L156" s="134" t="str">
        <f t="shared" si="6"/>
        <v>-</v>
      </c>
      <c r="M156" s="154"/>
      <c r="N156" s="139">
        <f t="shared" si="7"/>
        <v>0</v>
      </c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  <c r="AB156" s="159"/>
      <c r="AC156" s="159"/>
    </row>
    <row r="157">
      <c r="A157" s="74" t="str">
        <f t="shared" si="1"/>
        <v/>
      </c>
      <c r="B157" s="49"/>
      <c r="C157" s="150"/>
      <c r="D157" s="87"/>
      <c r="E157" s="131"/>
      <c r="F157" s="172"/>
      <c r="G157" s="162"/>
      <c r="H157" s="134">
        <f t="shared" si="3"/>
        <v>0</v>
      </c>
      <c r="I157" s="100">
        <v>0.0</v>
      </c>
      <c r="J157" s="135" t="str">
        <f t="shared" si="4"/>
        <v>-</v>
      </c>
      <c r="K157" s="152" t="str">
        <f t="shared" si="5"/>
        <v>-</v>
      </c>
      <c r="L157" s="134" t="str">
        <f t="shared" si="6"/>
        <v>-</v>
      </c>
      <c r="M157" s="154"/>
      <c r="N157" s="139">
        <f t="shared" si="7"/>
        <v>0</v>
      </c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  <c r="AB157" s="159"/>
      <c r="AC157" s="159"/>
    </row>
    <row r="158">
      <c r="A158" s="74" t="str">
        <f t="shared" si="1"/>
        <v/>
      </c>
      <c r="B158" s="49"/>
      <c r="C158" s="150"/>
      <c r="D158" s="87"/>
      <c r="E158" s="131"/>
      <c r="F158" s="172"/>
      <c r="G158" s="162"/>
      <c r="H158" s="134">
        <f t="shared" si="3"/>
        <v>0</v>
      </c>
      <c r="I158" s="100">
        <v>0.0</v>
      </c>
      <c r="J158" s="135" t="str">
        <f t="shared" si="4"/>
        <v>-</v>
      </c>
      <c r="K158" s="152" t="str">
        <f t="shared" si="5"/>
        <v>-</v>
      </c>
      <c r="L158" s="175" t="str">
        <f t="shared" si="6"/>
        <v>-</v>
      </c>
      <c r="M158" s="154"/>
      <c r="N158" s="139">
        <f t="shared" si="7"/>
        <v>0</v>
      </c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  <c r="AB158" s="159"/>
      <c r="AC158" s="159"/>
    </row>
    <row r="159">
      <c r="A159" s="74" t="str">
        <f t="shared" si="1"/>
        <v/>
      </c>
      <c r="B159" s="49"/>
      <c r="C159" s="150"/>
      <c r="D159" s="87"/>
      <c r="E159" s="131"/>
      <c r="F159" s="172"/>
      <c r="G159" s="162"/>
      <c r="H159" s="134">
        <f t="shared" si="3"/>
        <v>0</v>
      </c>
      <c r="I159" s="100">
        <v>0.0</v>
      </c>
      <c r="J159" s="135" t="str">
        <f t="shared" si="4"/>
        <v>-</v>
      </c>
      <c r="K159" s="152" t="str">
        <f t="shared" si="5"/>
        <v>-</v>
      </c>
      <c r="L159" s="136" t="str">
        <f t="shared" si="6"/>
        <v>-</v>
      </c>
      <c r="M159" s="154"/>
      <c r="N159" s="139">
        <f t="shared" si="7"/>
        <v>0</v>
      </c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  <c r="AB159" s="159"/>
      <c r="AC159" s="159"/>
    </row>
    <row r="160">
      <c r="A160" s="74" t="str">
        <f t="shared" si="1"/>
        <v/>
      </c>
      <c r="B160" s="49"/>
      <c r="C160" s="150"/>
      <c r="D160" s="87"/>
      <c r="E160" s="131"/>
      <c r="F160" s="172"/>
      <c r="G160" s="162"/>
      <c r="H160" s="134">
        <f t="shared" si="3"/>
        <v>0</v>
      </c>
      <c r="I160" s="100">
        <v>0.0</v>
      </c>
      <c r="J160" s="135" t="str">
        <f t="shared" si="4"/>
        <v>-</v>
      </c>
      <c r="K160" s="152" t="str">
        <f t="shared" si="5"/>
        <v>-</v>
      </c>
      <c r="L160" s="174" t="str">
        <f t="shared" si="6"/>
        <v>-</v>
      </c>
      <c r="M160" s="154"/>
      <c r="N160" s="139">
        <f t="shared" si="7"/>
        <v>0</v>
      </c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159"/>
      <c r="AC160" s="159"/>
    </row>
    <row r="161">
      <c r="A161" s="74" t="str">
        <f t="shared" si="1"/>
        <v/>
      </c>
      <c r="B161" s="49"/>
      <c r="C161" s="150"/>
      <c r="D161" s="87"/>
      <c r="E161" s="131"/>
      <c r="F161" s="172"/>
      <c r="G161" s="162"/>
      <c r="H161" s="134">
        <f t="shared" si="3"/>
        <v>0</v>
      </c>
      <c r="I161" s="100">
        <v>0.0</v>
      </c>
      <c r="J161" s="135" t="str">
        <f t="shared" si="4"/>
        <v>-</v>
      </c>
      <c r="K161" s="152" t="str">
        <f t="shared" si="5"/>
        <v>-</v>
      </c>
      <c r="L161" s="175" t="str">
        <f t="shared" si="6"/>
        <v>-</v>
      </c>
      <c r="M161" s="154"/>
      <c r="N161" s="139">
        <f t="shared" si="7"/>
        <v>0</v>
      </c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  <c r="AB161" s="159"/>
      <c r="AC161" s="159"/>
    </row>
    <row r="162">
      <c r="A162" s="74" t="str">
        <f t="shared" si="1"/>
        <v/>
      </c>
      <c r="B162" s="49"/>
      <c r="C162" s="150"/>
      <c r="D162" s="87"/>
      <c r="E162" s="131"/>
      <c r="F162" s="172"/>
      <c r="G162" s="162"/>
      <c r="H162" s="134">
        <f t="shared" si="3"/>
        <v>0</v>
      </c>
      <c r="I162" s="100">
        <v>0.0</v>
      </c>
      <c r="J162" s="135" t="str">
        <f t="shared" si="4"/>
        <v>-</v>
      </c>
      <c r="K162" s="152" t="str">
        <f t="shared" si="5"/>
        <v>-</v>
      </c>
      <c r="L162" s="136" t="str">
        <f t="shared" si="6"/>
        <v>-</v>
      </c>
      <c r="M162" s="154"/>
      <c r="N162" s="139">
        <f t="shared" si="7"/>
        <v>0</v>
      </c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  <c r="AB162" s="159"/>
      <c r="AC162" s="159"/>
    </row>
    <row r="163">
      <c r="A163" s="74" t="str">
        <f t="shared" si="1"/>
        <v/>
      </c>
      <c r="B163" s="49"/>
      <c r="C163" s="150"/>
      <c r="D163" s="87"/>
      <c r="E163" s="131"/>
      <c r="F163" s="172"/>
      <c r="G163" s="162"/>
      <c r="H163" s="134">
        <f t="shared" si="3"/>
        <v>0</v>
      </c>
      <c r="I163" s="100">
        <v>0.0</v>
      </c>
      <c r="J163" s="135" t="str">
        <f t="shared" si="4"/>
        <v>-</v>
      </c>
      <c r="K163" s="152" t="str">
        <f t="shared" si="5"/>
        <v>-</v>
      </c>
      <c r="L163" s="136" t="str">
        <f t="shared" si="6"/>
        <v>-</v>
      </c>
      <c r="M163" s="154"/>
      <c r="N163" s="139">
        <f t="shared" si="7"/>
        <v>0</v>
      </c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  <c r="AB163" s="159"/>
      <c r="AC163" s="159"/>
    </row>
    <row r="164">
      <c r="A164" s="74" t="str">
        <f t="shared" si="1"/>
        <v/>
      </c>
      <c r="B164" s="155"/>
      <c r="C164" s="150"/>
      <c r="D164" s="87"/>
      <c r="E164" s="131"/>
      <c r="F164" s="172"/>
      <c r="G164" s="162"/>
      <c r="H164" s="134">
        <f t="shared" si="3"/>
        <v>0</v>
      </c>
      <c r="I164" s="100">
        <v>0.0</v>
      </c>
      <c r="J164" s="135" t="str">
        <f t="shared" si="4"/>
        <v>-</v>
      </c>
      <c r="K164" s="152" t="str">
        <f t="shared" si="5"/>
        <v>-</v>
      </c>
      <c r="L164" s="136" t="str">
        <f t="shared" si="6"/>
        <v>-</v>
      </c>
      <c r="M164" s="154"/>
      <c r="N164" s="139">
        <f t="shared" si="7"/>
        <v>0</v>
      </c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  <c r="AB164" s="159"/>
      <c r="AC164" s="159"/>
    </row>
    <row r="165">
      <c r="A165" s="74" t="str">
        <f t="shared" si="1"/>
        <v/>
      </c>
      <c r="B165" s="155"/>
      <c r="C165" s="150"/>
      <c r="D165" s="87"/>
      <c r="E165" s="131"/>
      <c r="F165" s="172"/>
      <c r="G165" s="162"/>
      <c r="H165" s="134">
        <f t="shared" si="3"/>
        <v>0</v>
      </c>
      <c r="I165" s="100">
        <v>0.0</v>
      </c>
      <c r="J165" s="135" t="str">
        <f t="shared" si="4"/>
        <v>-</v>
      </c>
      <c r="K165" s="152" t="str">
        <f t="shared" si="5"/>
        <v>-</v>
      </c>
      <c r="L165" s="136" t="str">
        <f t="shared" si="6"/>
        <v>-</v>
      </c>
      <c r="M165" s="154"/>
      <c r="N165" s="139">
        <f t="shared" si="7"/>
        <v>0</v>
      </c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  <c r="AB165" s="159"/>
      <c r="AC165" s="159"/>
    </row>
    <row r="166">
      <c r="A166" s="74" t="str">
        <f t="shared" si="1"/>
        <v/>
      </c>
      <c r="B166" s="49"/>
      <c r="C166" s="150"/>
      <c r="D166" s="87"/>
      <c r="E166" s="131"/>
      <c r="F166" s="172"/>
      <c r="G166" s="162"/>
      <c r="H166" s="134">
        <f t="shared" si="3"/>
        <v>0</v>
      </c>
      <c r="I166" s="100">
        <v>0.0</v>
      </c>
      <c r="J166" s="135" t="str">
        <f t="shared" si="4"/>
        <v>-</v>
      </c>
      <c r="K166" s="152" t="str">
        <f t="shared" si="5"/>
        <v>-</v>
      </c>
      <c r="L166" s="136" t="str">
        <f t="shared" si="6"/>
        <v>-</v>
      </c>
      <c r="M166" s="154"/>
      <c r="N166" s="139">
        <f t="shared" si="7"/>
        <v>0</v>
      </c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</row>
    <row r="167">
      <c r="A167" s="74" t="str">
        <f t="shared" si="1"/>
        <v/>
      </c>
      <c r="B167" s="155"/>
      <c r="C167" s="150"/>
      <c r="D167" s="87"/>
      <c r="E167" s="131"/>
      <c r="F167" s="172"/>
      <c r="G167" s="162"/>
      <c r="H167" s="134">
        <f t="shared" si="3"/>
        <v>0</v>
      </c>
      <c r="I167" s="100">
        <v>0.0</v>
      </c>
      <c r="J167" s="135" t="str">
        <f t="shared" si="4"/>
        <v>-</v>
      </c>
      <c r="K167" s="152" t="str">
        <f t="shared" si="5"/>
        <v>-</v>
      </c>
      <c r="L167" s="136" t="str">
        <f t="shared" si="6"/>
        <v>-</v>
      </c>
      <c r="M167" s="154"/>
      <c r="N167" s="139">
        <f t="shared" si="7"/>
        <v>0</v>
      </c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  <c r="AB167" s="159"/>
      <c r="AC167" s="159"/>
    </row>
    <row r="168">
      <c r="A168" s="74" t="str">
        <f t="shared" si="1"/>
        <v/>
      </c>
      <c r="B168" s="155"/>
      <c r="C168" s="150"/>
      <c r="D168" s="87"/>
      <c r="E168" s="131"/>
      <c r="F168" s="172"/>
      <c r="G168" s="162"/>
      <c r="H168" s="134">
        <f t="shared" si="3"/>
        <v>0</v>
      </c>
      <c r="I168" s="100">
        <v>0.0</v>
      </c>
      <c r="J168" s="135" t="str">
        <f t="shared" si="4"/>
        <v>-</v>
      </c>
      <c r="K168" s="152" t="str">
        <f t="shared" si="5"/>
        <v>-</v>
      </c>
      <c r="L168" s="136" t="str">
        <f t="shared" si="6"/>
        <v>-</v>
      </c>
      <c r="M168" s="154"/>
      <c r="N168" s="139">
        <f t="shared" si="7"/>
        <v>0</v>
      </c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  <c r="AB168" s="159"/>
      <c r="AC168" s="159"/>
    </row>
    <row r="169">
      <c r="A169" s="74" t="str">
        <f t="shared" si="1"/>
        <v/>
      </c>
      <c r="B169" s="49"/>
      <c r="C169" s="106"/>
      <c r="D169" s="87"/>
      <c r="E169" s="131"/>
      <c r="F169" s="172"/>
      <c r="G169" s="162"/>
      <c r="H169" s="134">
        <f t="shared" si="3"/>
        <v>0</v>
      </c>
      <c r="I169" s="100">
        <v>0.0</v>
      </c>
      <c r="J169" s="135" t="str">
        <f t="shared" si="4"/>
        <v>-</v>
      </c>
      <c r="K169" s="152" t="str">
        <f t="shared" si="5"/>
        <v>-</v>
      </c>
      <c r="L169" s="136" t="str">
        <f t="shared" si="6"/>
        <v>-</v>
      </c>
      <c r="M169" s="176"/>
      <c r="N169" s="139">
        <f t="shared" si="7"/>
        <v>0</v>
      </c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</row>
    <row r="170">
      <c r="A170" s="74" t="str">
        <f t="shared" si="1"/>
        <v/>
      </c>
      <c r="B170" s="49"/>
      <c r="C170" s="106"/>
      <c r="D170" s="87"/>
      <c r="E170" s="131"/>
      <c r="F170" s="172"/>
      <c r="G170" s="162"/>
      <c r="H170" s="134">
        <f t="shared" si="3"/>
        <v>0</v>
      </c>
      <c r="I170" s="100">
        <v>0.0</v>
      </c>
      <c r="J170" s="135" t="str">
        <f t="shared" si="4"/>
        <v>-</v>
      </c>
      <c r="K170" s="152" t="str">
        <f t="shared" si="5"/>
        <v>-</v>
      </c>
      <c r="L170" s="136" t="str">
        <f t="shared" si="6"/>
        <v>-</v>
      </c>
      <c r="M170" s="176"/>
      <c r="N170" s="139">
        <f t="shared" si="7"/>
        <v>0</v>
      </c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</row>
    <row r="171">
      <c r="A171" s="74" t="str">
        <f t="shared" si="1"/>
        <v/>
      </c>
      <c r="B171" s="49"/>
      <c r="C171" s="106"/>
      <c r="D171" s="87"/>
      <c r="E171" s="131"/>
      <c r="F171" s="172"/>
      <c r="G171" s="162"/>
      <c r="H171" s="134">
        <f t="shared" si="3"/>
        <v>0</v>
      </c>
      <c r="I171" s="100">
        <v>0.0</v>
      </c>
      <c r="J171" s="135" t="str">
        <f t="shared" si="4"/>
        <v>-</v>
      </c>
      <c r="K171" s="152" t="str">
        <f t="shared" si="5"/>
        <v>-</v>
      </c>
      <c r="L171" s="136" t="str">
        <f t="shared" si="6"/>
        <v>-</v>
      </c>
      <c r="M171" s="176"/>
      <c r="N171" s="139">
        <f t="shared" si="7"/>
        <v>0</v>
      </c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</row>
    <row r="172">
      <c r="A172" s="74" t="str">
        <f t="shared" si="1"/>
        <v/>
      </c>
      <c r="B172" s="49"/>
      <c r="C172" s="187"/>
      <c r="D172" s="87"/>
      <c r="E172" s="131"/>
      <c r="F172" s="172"/>
      <c r="G172" s="162"/>
      <c r="H172" s="134">
        <f t="shared" si="3"/>
        <v>0</v>
      </c>
      <c r="I172" s="100">
        <v>0.0</v>
      </c>
      <c r="J172" s="135" t="str">
        <f t="shared" si="4"/>
        <v>-</v>
      </c>
      <c r="K172" s="152" t="str">
        <f t="shared" si="5"/>
        <v>-</v>
      </c>
      <c r="L172" s="134" t="str">
        <f t="shared" si="6"/>
        <v>-</v>
      </c>
      <c r="M172" s="138"/>
      <c r="N172" s="139">
        <f t="shared" si="7"/>
        <v>0</v>
      </c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  <c r="AB172" s="159"/>
      <c r="AC172" s="159"/>
    </row>
    <row r="173">
      <c r="A173" s="74" t="str">
        <f t="shared" si="1"/>
        <v/>
      </c>
      <c r="B173" s="49"/>
      <c r="C173" s="150"/>
      <c r="D173" s="87"/>
      <c r="E173" s="131"/>
      <c r="F173" s="172"/>
      <c r="G173" s="162"/>
      <c r="H173" s="134">
        <f t="shared" si="3"/>
        <v>0</v>
      </c>
      <c r="I173" s="100">
        <v>0.0</v>
      </c>
      <c r="J173" s="135" t="str">
        <f t="shared" si="4"/>
        <v>-</v>
      </c>
      <c r="K173" s="152" t="str">
        <f t="shared" si="5"/>
        <v>-</v>
      </c>
      <c r="L173" s="134" t="str">
        <f t="shared" si="6"/>
        <v>-</v>
      </c>
      <c r="M173" s="138"/>
      <c r="N173" s="139">
        <f t="shared" si="7"/>
        <v>0</v>
      </c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  <c r="AB173" s="159"/>
      <c r="AC173" s="159"/>
    </row>
    <row r="174">
      <c r="A174" s="74" t="str">
        <f t="shared" si="1"/>
        <v/>
      </c>
      <c r="B174" s="49"/>
      <c r="C174" s="150"/>
      <c r="D174" s="87"/>
      <c r="E174" s="131"/>
      <c r="F174" s="172"/>
      <c r="G174" s="162"/>
      <c r="H174" s="134">
        <f t="shared" si="3"/>
        <v>0</v>
      </c>
      <c r="I174" s="100">
        <v>0.0</v>
      </c>
      <c r="J174" s="135" t="str">
        <f t="shared" si="4"/>
        <v>-</v>
      </c>
      <c r="K174" s="152" t="str">
        <f t="shared" si="5"/>
        <v>-</v>
      </c>
      <c r="L174" s="134" t="str">
        <f t="shared" si="6"/>
        <v>-</v>
      </c>
      <c r="M174" s="138"/>
      <c r="N174" s="139">
        <f t="shared" si="7"/>
        <v>0</v>
      </c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  <c r="AB174" s="159"/>
      <c r="AC174" s="159"/>
    </row>
    <row r="175">
      <c r="A175" s="74" t="str">
        <f t="shared" si="1"/>
        <v/>
      </c>
      <c r="B175" s="49"/>
      <c r="C175" s="150"/>
      <c r="D175" s="87"/>
      <c r="E175" s="131"/>
      <c r="F175" s="172"/>
      <c r="G175" s="162"/>
      <c r="H175" s="134">
        <f t="shared" si="3"/>
        <v>0</v>
      </c>
      <c r="I175" s="100">
        <v>0.0</v>
      </c>
      <c r="J175" s="135" t="str">
        <f t="shared" si="4"/>
        <v>-</v>
      </c>
      <c r="K175" s="152" t="str">
        <f t="shared" si="5"/>
        <v>-</v>
      </c>
      <c r="L175" s="134" t="str">
        <f t="shared" si="6"/>
        <v>-</v>
      </c>
      <c r="M175" s="138"/>
      <c r="N175" s="139">
        <f t="shared" si="7"/>
        <v>0</v>
      </c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  <c r="AB175" s="159"/>
      <c r="AC175" s="159"/>
    </row>
    <row r="176">
      <c r="A176" s="74" t="str">
        <f t="shared" si="1"/>
        <v/>
      </c>
      <c r="B176" s="49"/>
      <c r="C176" s="150"/>
      <c r="D176" s="87"/>
      <c r="E176" s="131"/>
      <c r="F176" s="172"/>
      <c r="G176" s="162"/>
      <c r="H176" s="134">
        <f t="shared" si="3"/>
        <v>0</v>
      </c>
      <c r="I176" s="100">
        <v>0.0</v>
      </c>
      <c r="J176" s="135" t="str">
        <f t="shared" si="4"/>
        <v>-</v>
      </c>
      <c r="K176" s="152" t="str">
        <f t="shared" si="5"/>
        <v>-</v>
      </c>
      <c r="L176" s="134" t="str">
        <f t="shared" si="6"/>
        <v>-</v>
      </c>
      <c r="M176" s="193"/>
      <c r="N176" s="139">
        <f t="shared" si="7"/>
        <v>0</v>
      </c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  <c r="AB176" s="159"/>
      <c r="AC176" s="159"/>
    </row>
    <row r="177">
      <c r="A177" s="74" t="str">
        <f t="shared" si="1"/>
        <v/>
      </c>
      <c r="B177" s="49"/>
      <c r="C177" s="150"/>
      <c r="D177" s="87"/>
      <c r="E177" s="131"/>
      <c r="F177" s="172"/>
      <c r="G177" s="162"/>
      <c r="H177" s="134">
        <f t="shared" si="3"/>
        <v>0</v>
      </c>
      <c r="I177" s="100">
        <v>0.0</v>
      </c>
      <c r="J177" s="135" t="str">
        <f t="shared" si="4"/>
        <v>-</v>
      </c>
      <c r="K177" s="152" t="str">
        <f t="shared" si="5"/>
        <v>-</v>
      </c>
      <c r="L177" s="134" t="str">
        <f t="shared" si="6"/>
        <v>-</v>
      </c>
      <c r="M177" s="154"/>
      <c r="N177" s="139">
        <f t="shared" si="7"/>
        <v>0</v>
      </c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  <c r="AB177" s="159"/>
      <c r="AC177" s="159"/>
    </row>
    <row r="178">
      <c r="A178" s="74" t="str">
        <f t="shared" si="1"/>
        <v/>
      </c>
      <c r="B178" s="49"/>
      <c r="C178" s="150"/>
      <c r="D178" s="87"/>
      <c r="E178" s="131"/>
      <c r="F178" s="172"/>
      <c r="G178" s="162"/>
      <c r="H178" s="134">
        <f t="shared" si="3"/>
        <v>0</v>
      </c>
      <c r="I178" s="100">
        <v>0.0</v>
      </c>
      <c r="J178" s="135" t="str">
        <f t="shared" si="4"/>
        <v>-</v>
      </c>
      <c r="K178" s="152" t="str">
        <f t="shared" si="5"/>
        <v>-</v>
      </c>
      <c r="L178" s="134" t="str">
        <f t="shared" si="6"/>
        <v>-</v>
      </c>
      <c r="M178" s="154"/>
      <c r="N178" s="139">
        <f t="shared" si="7"/>
        <v>0</v>
      </c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  <c r="AB178" s="159"/>
      <c r="AC178" s="159"/>
    </row>
    <row r="179">
      <c r="C179" s="104"/>
      <c r="D179" s="221"/>
    </row>
    <row r="180">
      <c r="C180" s="104"/>
      <c r="D180" s="221"/>
    </row>
    <row r="181">
      <c r="C181" s="104"/>
      <c r="D181" s="221"/>
    </row>
    <row r="182">
      <c r="C182" s="104"/>
      <c r="D182" s="221"/>
    </row>
    <row r="183">
      <c r="C183" s="104"/>
      <c r="D183" s="221"/>
    </row>
    <row r="184">
      <c r="C184" s="104"/>
      <c r="D184" s="221"/>
    </row>
    <row r="185">
      <c r="C185" s="104"/>
      <c r="D185" s="221"/>
    </row>
    <row r="186">
      <c r="C186" s="104"/>
      <c r="D186" s="221"/>
    </row>
    <row r="187">
      <c r="C187" s="104"/>
      <c r="D187" s="221"/>
    </row>
    <row r="188">
      <c r="C188" s="104"/>
      <c r="D188" s="221"/>
    </row>
    <row r="189">
      <c r="C189" s="104"/>
      <c r="D189" s="221"/>
    </row>
    <row r="190">
      <c r="C190" s="104"/>
      <c r="D190" s="221"/>
    </row>
    <row r="191">
      <c r="C191" s="104"/>
      <c r="D191" s="221"/>
    </row>
    <row r="192">
      <c r="C192" s="104"/>
      <c r="D192" s="221"/>
    </row>
    <row r="193">
      <c r="C193" s="104"/>
      <c r="D193" s="221"/>
    </row>
    <row r="194">
      <c r="C194" s="104"/>
      <c r="D194" s="221"/>
    </row>
    <row r="195">
      <c r="C195" s="104"/>
      <c r="D195" s="221"/>
    </row>
    <row r="196">
      <c r="C196" s="104"/>
      <c r="D196" s="221"/>
    </row>
    <row r="197">
      <c r="C197" s="104"/>
      <c r="D197" s="221"/>
    </row>
    <row r="198">
      <c r="C198" s="104"/>
      <c r="D198" s="221"/>
    </row>
    <row r="199">
      <c r="C199" s="104"/>
      <c r="D199" s="221"/>
    </row>
    <row r="200">
      <c r="C200" s="104"/>
      <c r="D200" s="221"/>
    </row>
    <row r="201">
      <c r="C201" s="104"/>
      <c r="D201" s="221"/>
    </row>
    <row r="202">
      <c r="C202" s="104"/>
      <c r="D202" s="221"/>
    </row>
    <row r="203">
      <c r="C203" s="104"/>
      <c r="D203" s="221"/>
    </row>
    <row r="204">
      <c r="C204" s="104"/>
      <c r="D204" s="221"/>
    </row>
    <row r="205">
      <c r="C205" s="104"/>
      <c r="D205" s="221"/>
    </row>
    <row r="206">
      <c r="C206" s="104"/>
      <c r="D206" s="221"/>
    </row>
    <row r="207">
      <c r="C207" s="104"/>
      <c r="D207" s="221"/>
    </row>
    <row r="208">
      <c r="C208" s="104"/>
      <c r="D208" s="221"/>
    </row>
    <row r="209">
      <c r="C209" s="104"/>
      <c r="D209" s="221"/>
    </row>
    <row r="210">
      <c r="C210" s="104"/>
      <c r="D210" s="221"/>
    </row>
    <row r="211">
      <c r="C211" s="104"/>
      <c r="D211" s="221"/>
    </row>
    <row r="212">
      <c r="C212" s="104"/>
      <c r="D212" s="221"/>
    </row>
    <row r="213">
      <c r="C213" s="104"/>
      <c r="D213" s="221"/>
    </row>
    <row r="214">
      <c r="C214" s="104"/>
      <c r="D214" s="221"/>
    </row>
    <row r="215">
      <c r="C215" s="104"/>
      <c r="D215" s="221"/>
    </row>
    <row r="216">
      <c r="C216" s="104"/>
      <c r="D216" s="221"/>
    </row>
    <row r="217">
      <c r="C217" s="104"/>
      <c r="D217" s="221"/>
    </row>
    <row r="218">
      <c r="C218" s="104"/>
      <c r="D218" s="221"/>
    </row>
    <row r="219">
      <c r="C219" s="104"/>
      <c r="D219" s="221"/>
    </row>
    <row r="220">
      <c r="C220" s="104"/>
      <c r="D220" s="221"/>
    </row>
    <row r="221">
      <c r="C221" s="104"/>
      <c r="D221" s="221"/>
    </row>
    <row r="222">
      <c r="C222" s="104"/>
      <c r="D222" s="221"/>
    </row>
    <row r="223">
      <c r="C223" s="104"/>
      <c r="D223" s="221"/>
    </row>
    <row r="224">
      <c r="C224" s="104"/>
      <c r="D224" s="221"/>
    </row>
    <row r="225">
      <c r="C225" s="104"/>
      <c r="D225" s="221"/>
    </row>
    <row r="226">
      <c r="C226" s="104"/>
      <c r="D226" s="221"/>
    </row>
    <row r="227">
      <c r="C227" s="104"/>
      <c r="D227" s="221"/>
    </row>
    <row r="228">
      <c r="C228" s="104"/>
      <c r="D228" s="221"/>
    </row>
    <row r="229">
      <c r="C229" s="104"/>
      <c r="D229" s="221"/>
    </row>
    <row r="230">
      <c r="C230" s="104"/>
      <c r="D230" s="221"/>
    </row>
    <row r="231">
      <c r="C231" s="104"/>
      <c r="D231" s="221"/>
    </row>
    <row r="232">
      <c r="C232" s="104"/>
      <c r="D232" s="221"/>
    </row>
    <row r="233">
      <c r="C233" s="104"/>
      <c r="D233" s="221"/>
    </row>
    <row r="234">
      <c r="C234" s="104"/>
      <c r="D234" s="221"/>
    </row>
    <row r="235">
      <c r="C235" s="104"/>
      <c r="D235" s="221"/>
    </row>
    <row r="236">
      <c r="C236" s="104"/>
      <c r="D236" s="221"/>
    </row>
    <row r="237">
      <c r="C237" s="104"/>
      <c r="D237" s="221"/>
    </row>
    <row r="238">
      <c r="C238" s="104"/>
      <c r="D238" s="221"/>
    </row>
    <row r="239">
      <c r="C239" s="104"/>
      <c r="D239" s="221"/>
    </row>
    <row r="240">
      <c r="C240" s="104"/>
      <c r="D240" s="221"/>
    </row>
    <row r="241">
      <c r="C241" s="104"/>
      <c r="D241" s="221"/>
    </row>
    <row r="242">
      <c r="C242" s="104"/>
      <c r="D242" s="221"/>
    </row>
    <row r="243">
      <c r="C243" s="104"/>
      <c r="D243" s="221"/>
    </row>
    <row r="244">
      <c r="C244" s="104"/>
      <c r="D244" s="221"/>
    </row>
    <row r="245">
      <c r="C245" s="104"/>
      <c r="D245" s="221"/>
    </row>
    <row r="246">
      <c r="C246" s="104"/>
      <c r="D246" s="221"/>
    </row>
    <row r="247">
      <c r="C247" s="104"/>
      <c r="D247" s="221"/>
    </row>
    <row r="248">
      <c r="C248" s="104"/>
      <c r="D248" s="221"/>
    </row>
    <row r="249">
      <c r="C249" s="104"/>
      <c r="D249" s="221"/>
    </row>
    <row r="250">
      <c r="C250" s="104"/>
      <c r="D250" s="221"/>
    </row>
    <row r="251">
      <c r="C251" s="104"/>
      <c r="D251" s="221"/>
    </row>
    <row r="252">
      <c r="C252" s="104"/>
      <c r="D252" s="221"/>
    </row>
    <row r="253">
      <c r="C253" s="104"/>
      <c r="D253" s="221"/>
    </row>
    <row r="254">
      <c r="C254" s="104"/>
      <c r="D254" s="221"/>
    </row>
    <row r="255">
      <c r="C255" s="104"/>
      <c r="D255" s="221"/>
    </row>
    <row r="256">
      <c r="C256" s="104"/>
      <c r="D256" s="221"/>
    </row>
    <row r="257">
      <c r="C257" s="104"/>
      <c r="D257" s="221"/>
    </row>
    <row r="258">
      <c r="C258" s="104"/>
      <c r="D258" s="221"/>
    </row>
    <row r="259">
      <c r="C259" s="104"/>
      <c r="D259" s="221"/>
    </row>
    <row r="260">
      <c r="C260" s="104"/>
      <c r="D260" s="221"/>
    </row>
    <row r="261">
      <c r="C261" s="104"/>
      <c r="D261" s="221"/>
    </row>
    <row r="262">
      <c r="C262" s="104"/>
      <c r="D262" s="221"/>
    </row>
    <row r="263">
      <c r="C263" s="104"/>
      <c r="D263" s="221"/>
    </row>
    <row r="264">
      <c r="C264" s="104"/>
      <c r="D264" s="221"/>
    </row>
    <row r="265">
      <c r="C265" s="104"/>
      <c r="D265" s="221"/>
    </row>
    <row r="266">
      <c r="C266" s="104"/>
      <c r="D266" s="221"/>
    </row>
    <row r="267">
      <c r="C267" s="104"/>
      <c r="D267" s="221"/>
    </row>
    <row r="268">
      <c r="C268" s="104"/>
      <c r="D268" s="221"/>
    </row>
    <row r="269">
      <c r="C269" s="104"/>
      <c r="D269" s="221"/>
    </row>
    <row r="270">
      <c r="C270" s="104"/>
      <c r="D270" s="221"/>
    </row>
    <row r="271">
      <c r="C271" s="104"/>
      <c r="D271" s="221"/>
    </row>
    <row r="272">
      <c r="C272" s="104"/>
      <c r="D272" s="221"/>
    </row>
    <row r="273">
      <c r="C273" s="104"/>
      <c r="D273" s="221"/>
    </row>
    <row r="274">
      <c r="C274" s="104"/>
      <c r="D274" s="221"/>
    </row>
    <row r="275">
      <c r="C275" s="104"/>
      <c r="D275" s="221"/>
    </row>
    <row r="276">
      <c r="C276" s="104"/>
      <c r="D276" s="221"/>
    </row>
    <row r="277">
      <c r="C277" s="104"/>
      <c r="D277" s="221"/>
    </row>
    <row r="278">
      <c r="C278" s="104"/>
      <c r="D278" s="221"/>
    </row>
    <row r="279">
      <c r="C279" s="104"/>
      <c r="D279" s="221"/>
    </row>
    <row r="280">
      <c r="C280" s="104"/>
      <c r="D280" s="221"/>
    </row>
    <row r="281">
      <c r="C281" s="104"/>
      <c r="D281" s="221"/>
    </row>
    <row r="282">
      <c r="C282" s="104"/>
      <c r="D282" s="221"/>
    </row>
    <row r="283">
      <c r="C283" s="104"/>
      <c r="D283" s="221"/>
    </row>
    <row r="284">
      <c r="C284" s="104"/>
      <c r="D284" s="221"/>
    </row>
    <row r="285">
      <c r="C285" s="104"/>
      <c r="D285" s="221"/>
    </row>
    <row r="286">
      <c r="C286" s="104"/>
      <c r="D286" s="221"/>
    </row>
    <row r="287">
      <c r="C287" s="104"/>
      <c r="D287" s="221"/>
    </row>
    <row r="288">
      <c r="C288" s="104"/>
      <c r="D288" s="221"/>
    </row>
    <row r="289">
      <c r="C289" s="104"/>
      <c r="D289" s="221"/>
    </row>
    <row r="290">
      <c r="C290" s="104"/>
      <c r="D290" s="221"/>
    </row>
    <row r="291">
      <c r="C291" s="104"/>
      <c r="D291" s="221"/>
    </row>
    <row r="292">
      <c r="C292" s="104"/>
      <c r="D292" s="221"/>
    </row>
    <row r="293">
      <c r="C293" s="104"/>
      <c r="D293" s="221"/>
    </row>
    <row r="294">
      <c r="C294" s="104"/>
      <c r="D294" s="221"/>
    </row>
    <row r="295">
      <c r="C295" s="104"/>
      <c r="D295" s="221"/>
    </row>
    <row r="296">
      <c r="C296" s="104"/>
      <c r="D296" s="221"/>
    </row>
    <row r="297">
      <c r="C297" s="104"/>
      <c r="D297" s="221"/>
    </row>
    <row r="298">
      <c r="C298" s="104"/>
      <c r="D298" s="221"/>
    </row>
    <row r="299">
      <c r="C299" s="104"/>
      <c r="D299" s="221"/>
    </row>
    <row r="300">
      <c r="C300" s="104"/>
      <c r="D300" s="221"/>
    </row>
    <row r="301">
      <c r="C301" s="104"/>
      <c r="D301" s="221"/>
    </row>
    <row r="302">
      <c r="C302" s="104"/>
      <c r="D302" s="221"/>
    </row>
    <row r="303">
      <c r="C303" s="104"/>
      <c r="D303" s="221"/>
    </row>
    <row r="304">
      <c r="C304" s="104"/>
      <c r="D304" s="221"/>
    </row>
    <row r="305">
      <c r="C305" s="104"/>
      <c r="D305" s="221"/>
    </row>
    <row r="306">
      <c r="C306" s="104"/>
      <c r="D306" s="221"/>
    </row>
    <row r="307">
      <c r="C307" s="104"/>
      <c r="D307" s="221"/>
    </row>
    <row r="308">
      <c r="C308" s="104"/>
      <c r="D308" s="221"/>
    </row>
    <row r="309">
      <c r="C309" s="104"/>
      <c r="D309" s="221"/>
    </row>
    <row r="310">
      <c r="C310" s="104"/>
      <c r="D310" s="221"/>
    </row>
    <row r="311">
      <c r="C311" s="104"/>
      <c r="D311" s="221"/>
    </row>
    <row r="312">
      <c r="C312" s="104"/>
      <c r="D312" s="221"/>
    </row>
    <row r="313">
      <c r="C313" s="104"/>
      <c r="D313" s="221"/>
    </row>
    <row r="314">
      <c r="C314" s="104"/>
      <c r="D314" s="221"/>
    </row>
    <row r="315">
      <c r="C315" s="104"/>
      <c r="D315" s="221"/>
    </row>
    <row r="316">
      <c r="C316" s="104"/>
      <c r="D316" s="221"/>
    </row>
    <row r="317">
      <c r="C317" s="104"/>
      <c r="D317" s="221"/>
    </row>
    <row r="318">
      <c r="C318" s="104"/>
      <c r="D318" s="221"/>
    </row>
    <row r="319">
      <c r="C319" s="104"/>
      <c r="D319" s="221"/>
    </row>
    <row r="320">
      <c r="C320" s="104"/>
      <c r="D320" s="221"/>
    </row>
    <row r="321">
      <c r="C321" s="104"/>
      <c r="D321" s="221"/>
    </row>
    <row r="322">
      <c r="C322" s="104"/>
      <c r="D322" s="221"/>
    </row>
    <row r="323">
      <c r="C323" s="104"/>
      <c r="D323" s="221"/>
    </row>
    <row r="324">
      <c r="C324" s="104"/>
      <c r="D324" s="221"/>
    </row>
    <row r="325">
      <c r="C325" s="104"/>
      <c r="D325" s="221"/>
    </row>
    <row r="326">
      <c r="C326" s="104"/>
      <c r="D326" s="221"/>
    </row>
    <row r="327">
      <c r="C327" s="104"/>
      <c r="D327" s="221"/>
    </row>
    <row r="328">
      <c r="C328" s="104"/>
      <c r="D328" s="221"/>
    </row>
    <row r="329">
      <c r="C329" s="104"/>
      <c r="D329" s="221"/>
    </row>
    <row r="330">
      <c r="C330" s="104"/>
      <c r="D330" s="221"/>
    </row>
    <row r="331">
      <c r="C331" s="104"/>
      <c r="D331" s="221"/>
    </row>
    <row r="332">
      <c r="C332" s="104"/>
      <c r="D332" s="221"/>
    </row>
    <row r="333">
      <c r="C333" s="104"/>
      <c r="D333" s="221"/>
    </row>
    <row r="334">
      <c r="C334" s="104"/>
      <c r="D334" s="221"/>
    </row>
    <row r="335">
      <c r="C335" s="104"/>
      <c r="D335" s="221"/>
    </row>
    <row r="336">
      <c r="C336" s="104"/>
      <c r="D336" s="221"/>
    </row>
    <row r="337">
      <c r="C337" s="104"/>
      <c r="D337" s="221"/>
    </row>
    <row r="338">
      <c r="C338" s="104"/>
      <c r="D338" s="221"/>
    </row>
    <row r="339">
      <c r="C339" s="104"/>
      <c r="D339" s="221"/>
    </row>
    <row r="340">
      <c r="C340" s="104"/>
      <c r="D340" s="221"/>
    </row>
    <row r="341">
      <c r="C341" s="104"/>
      <c r="D341" s="221"/>
    </row>
    <row r="342">
      <c r="C342" s="104"/>
      <c r="D342" s="221"/>
    </row>
    <row r="343">
      <c r="C343" s="104"/>
      <c r="D343" s="221"/>
    </row>
    <row r="344">
      <c r="C344" s="104"/>
      <c r="D344" s="221"/>
    </row>
    <row r="345">
      <c r="C345" s="104"/>
      <c r="D345" s="221"/>
    </row>
    <row r="346">
      <c r="C346" s="104"/>
      <c r="D346" s="221"/>
    </row>
    <row r="347">
      <c r="C347" s="104"/>
      <c r="D347" s="221"/>
    </row>
    <row r="348">
      <c r="C348" s="104"/>
      <c r="D348" s="221"/>
    </row>
    <row r="349">
      <c r="C349" s="104"/>
      <c r="D349" s="221"/>
    </row>
    <row r="350">
      <c r="C350" s="104"/>
      <c r="D350" s="221"/>
    </row>
    <row r="351">
      <c r="C351" s="104"/>
      <c r="D351" s="221"/>
    </row>
    <row r="352">
      <c r="C352" s="104"/>
      <c r="D352" s="221"/>
    </row>
    <row r="353">
      <c r="C353" s="104"/>
      <c r="D353" s="221"/>
    </row>
    <row r="354">
      <c r="C354" s="104"/>
      <c r="D354" s="221"/>
    </row>
    <row r="355">
      <c r="C355" s="104"/>
      <c r="D355" s="221"/>
    </row>
    <row r="356">
      <c r="C356" s="104"/>
      <c r="D356" s="221"/>
    </row>
    <row r="357">
      <c r="C357" s="104"/>
      <c r="D357" s="221"/>
    </row>
    <row r="358">
      <c r="C358" s="104"/>
      <c r="D358" s="221"/>
    </row>
    <row r="359">
      <c r="C359" s="104"/>
      <c r="D359" s="221"/>
    </row>
    <row r="360">
      <c r="C360" s="104"/>
      <c r="D360" s="221"/>
    </row>
    <row r="361">
      <c r="C361" s="104"/>
      <c r="D361" s="221"/>
    </row>
    <row r="362">
      <c r="C362" s="104"/>
      <c r="D362" s="221"/>
    </row>
    <row r="363">
      <c r="C363" s="104"/>
      <c r="D363" s="221"/>
    </row>
    <row r="364">
      <c r="C364" s="104"/>
      <c r="D364" s="221"/>
    </row>
    <row r="365">
      <c r="C365" s="104"/>
      <c r="D365" s="221"/>
    </row>
    <row r="366">
      <c r="C366" s="104"/>
      <c r="D366" s="221"/>
    </row>
    <row r="367">
      <c r="C367" s="104"/>
      <c r="D367" s="221"/>
    </row>
    <row r="368">
      <c r="C368" s="104"/>
      <c r="D368" s="221"/>
    </row>
    <row r="369">
      <c r="C369" s="104"/>
      <c r="D369" s="221"/>
    </row>
    <row r="370">
      <c r="C370" s="104"/>
      <c r="D370" s="221"/>
    </row>
    <row r="371">
      <c r="C371" s="104"/>
      <c r="D371" s="221"/>
    </row>
    <row r="372">
      <c r="C372" s="104"/>
      <c r="D372" s="221"/>
    </row>
    <row r="373">
      <c r="C373" s="104"/>
      <c r="D373" s="221"/>
    </row>
    <row r="374">
      <c r="C374" s="104"/>
      <c r="D374" s="221"/>
    </row>
    <row r="375">
      <c r="C375" s="104"/>
      <c r="D375" s="221"/>
    </row>
    <row r="376">
      <c r="C376" s="104"/>
      <c r="D376" s="221"/>
    </row>
    <row r="377">
      <c r="C377" s="104"/>
      <c r="D377" s="221"/>
    </row>
    <row r="378">
      <c r="C378" s="104"/>
      <c r="D378" s="221"/>
    </row>
    <row r="379">
      <c r="C379" s="104"/>
      <c r="D379" s="221"/>
    </row>
    <row r="380">
      <c r="C380" s="104"/>
      <c r="D380" s="221"/>
    </row>
    <row r="381">
      <c r="C381" s="104"/>
      <c r="D381" s="221"/>
    </row>
    <row r="382">
      <c r="C382" s="104"/>
      <c r="D382" s="221"/>
    </row>
    <row r="383">
      <c r="C383" s="104"/>
      <c r="D383" s="221"/>
    </row>
    <row r="384">
      <c r="C384" s="104"/>
      <c r="D384" s="221"/>
    </row>
    <row r="385">
      <c r="C385" s="104"/>
      <c r="D385" s="221"/>
    </row>
    <row r="386">
      <c r="C386" s="104"/>
      <c r="D386" s="221"/>
    </row>
    <row r="387">
      <c r="C387" s="104"/>
      <c r="D387" s="221"/>
    </row>
    <row r="388">
      <c r="C388" s="104"/>
      <c r="D388" s="221"/>
    </row>
    <row r="389">
      <c r="C389" s="104"/>
      <c r="D389" s="221"/>
    </row>
    <row r="390">
      <c r="C390" s="104"/>
      <c r="D390" s="221"/>
    </row>
    <row r="391">
      <c r="C391" s="104"/>
      <c r="D391" s="221"/>
    </row>
    <row r="392">
      <c r="C392" s="104"/>
      <c r="D392" s="221"/>
    </row>
    <row r="393">
      <c r="C393" s="104"/>
      <c r="D393" s="221"/>
    </row>
    <row r="394">
      <c r="C394" s="104"/>
      <c r="D394" s="221"/>
    </row>
    <row r="395">
      <c r="C395" s="104"/>
      <c r="D395" s="221"/>
    </row>
    <row r="396">
      <c r="C396" s="104"/>
      <c r="D396" s="221"/>
    </row>
    <row r="397">
      <c r="C397" s="104"/>
      <c r="D397" s="221"/>
    </row>
    <row r="398">
      <c r="C398" s="104"/>
      <c r="D398" s="221"/>
    </row>
    <row r="399">
      <c r="C399" s="104"/>
      <c r="D399" s="221"/>
    </row>
    <row r="400">
      <c r="C400" s="104"/>
      <c r="D400" s="221"/>
    </row>
    <row r="401">
      <c r="C401" s="104"/>
      <c r="D401" s="221"/>
    </row>
    <row r="402">
      <c r="C402" s="104"/>
      <c r="D402" s="221"/>
    </row>
    <row r="403">
      <c r="C403" s="104"/>
      <c r="D403" s="221"/>
    </row>
    <row r="404">
      <c r="C404" s="104"/>
      <c r="D404" s="221"/>
    </row>
    <row r="405">
      <c r="C405" s="104"/>
      <c r="D405" s="221"/>
    </row>
    <row r="406">
      <c r="C406" s="104"/>
      <c r="D406" s="221"/>
    </row>
    <row r="407">
      <c r="C407" s="104"/>
      <c r="D407" s="221"/>
    </row>
    <row r="408">
      <c r="C408" s="104"/>
      <c r="D408" s="221"/>
    </row>
    <row r="409">
      <c r="C409" s="104"/>
      <c r="D409" s="221"/>
    </row>
    <row r="410">
      <c r="C410" s="104"/>
      <c r="D410" s="221"/>
    </row>
    <row r="411">
      <c r="C411" s="104"/>
      <c r="D411" s="221"/>
    </row>
    <row r="412">
      <c r="C412" s="104"/>
      <c r="D412" s="221"/>
    </row>
    <row r="413">
      <c r="C413" s="104"/>
      <c r="D413" s="221"/>
    </row>
    <row r="414">
      <c r="C414" s="104"/>
      <c r="D414" s="221"/>
    </row>
    <row r="415">
      <c r="C415" s="104"/>
      <c r="D415" s="221"/>
    </row>
    <row r="416">
      <c r="C416" s="104"/>
      <c r="D416" s="221"/>
    </row>
    <row r="417">
      <c r="C417" s="104"/>
      <c r="D417" s="221"/>
    </row>
    <row r="418">
      <c r="C418" s="104"/>
      <c r="D418" s="221"/>
    </row>
    <row r="419">
      <c r="C419" s="104"/>
      <c r="D419" s="221"/>
    </row>
    <row r="420">
      <c r="C420" s="104"/>
      <c r="D420" s="221"/>
    </row>
    <row r="421">
      <c r="C421" s="104"/>
      <c r="D421" s="221"/>
    </row>
    <row r="422">
      <c r="C422" s="104"/>
      <c r="D422" s="221"/>
    </row>
    <row r="423">
      <c r="C423" s="104"/>
      <c r="D423" s="221"/>
    </row>
    <row r="424">
      <c r="C424" s="104"/>
      <c r="D424" s="221"/>
    </row>
    <row r="425">
      <c r="C425" s="104"/>
      <c r="D425" s="221"/>
    </row>
    <row r="426">
      <c r="C426" s="104"/>
      <c r="D426" s="221"/>
    </row>
    <row r="427">
      <c r="C427" s="104"/>
      <c r="D427" s="221"/>
    </row>
    <row r="428">
      <c r="C428" s="104"/>
      <c r="D428" s="221"/>
    </row>
    <row r="429">
      <c r="C429" s="104"/>
      <c r="D429" s="221"/>
    </row>
    <row r="430">
      <c r="C430" s="104"/>
      <c r="D430" s="221"/>
    </row>
    <row r="431">
      <c r="C431" s="104"/>
      <c r="D431" s="221"/>
    </row>
    <row r="432">
      <c r="C432" s="104"/>
      <c r="D432" s="221"/>
    </row>
    <row r="433">
      <c r="C433" s="104"/>
      <c r="D433" s="221"/>
    </row>
    <row r="434">
      <c r="C434" s="104"/>
      <c r="D434" s="221"/>
    </row>
    <row r="435">
      <c r="C435" s="104"/>
      <c r="D435" s="221"/>
    </row>
    <row r="436">
      <c r="C436" s="104"/>
      <c r="D436" s="221"/>
    </row>
    <row r="437">
      <c r="C437" s="104"/>
      <c r="D437" s="221"/>
    </row>
    <row r="438">
      <c r="C438" s="104"/>
      <c r="D438" s="221"/>
    </row>
    <row r="439">
      <c r="C439" s="104"/>
      <c r="D439" s="221"/>
    </row>
    <row r="440">
      <c r="C440" s="104"/>
      <c r="D440" s="221"/>
    </row>
    <row r="441">
      <c r="C441" s="104"/>
      <c r="D441" s="221"/>
    </row>
    <row r="442">
      <c r="C442" s="104"/>
      <c r="D442" s="221"/>
    </row>
    <row r="443">
      <c r="C443" s="104"/>
      <c r="D443" s="221"/>
    </row>
    <row r="444">
      <c r="C444" s="104"/>
      <c r="D444" s="221"/>
    </row>
    <row r="445">
      <c r="C445" s="104"/>
      <c r="D445" s="221"/>
    </row>
    <row r="446">
      <c r="C446" s="104"/>
      <c r="D446" s="221"/>
    </row>
    <row r="447">
      <c r="C447" s="104"/>
      <c r="D447" s="221"/>
    </row>
    <row r="448">
      <c r="C448" s="104"/>
      <c r="D448" s="221"/>
    </row>
    <row r="449">
      <c r="C449" s="104"/>
      <c r="D449" s="221"/>
    </row>
    <row r="450">
      <c r="C450" s="104"/>
      <c r="D450" s="221"/>
    </row>
    <row r="451">
      <c r="C451" s="104"/>
      <c r="D451" s="221"/>
    </row>
    <row r="452">
      <c r="C452" s="104"/>
      <c r="D452" s="221"/>
    </row>
    <row r="453">
      <c r="C453" s="104"/>
      <c r="D453" s="221"/>
    </row>
    <row r="454">
      <c r="C454" s="104"/>
      <c r="D454" s="221"/>
    </row>
    <row r="455">
      <c r="C455" s="104"/>
      <c r="D455" s="221"/>
    </row>
    <row r="456">
      <c r="C456" s="104"/>
      <c r="D456" s="221"/>
    </row>
    <row r="457">
      <c r="C457" s="104"/>
      <c r="D457" s="221"/>
    </row>
    <row r="458">
      <c r="C458" s="104"/>
      <c r="D458" s="221"/>
    </row>
    <row r="459">
      <c r="C459" s="104"/>
      <c r="D459" s="221"/>
    </row>
    <row r="460">
      <c r="C460" s="104"/>
      <c r="D460" s="221"/>
    </row>
    <row r="461">
      <c r="C461" s="104"/>
      <c r="D461" s="221"/>
    </row>
    <row r="462">
      <c r="C462" s="104"/>
      <c r="D462" s="221"/>
    </row>
    <row r="463">
      <c r="C463" s="104"/>
      <c r="D463" s="221"/>
    </row>
    <row r="464">
      <c r="C464" s="104"/>
      <c r="D464" s="221"/>
    </row>
    <row r="465">
      <c r="C465" s="104"/>
      <c r="D465" s="221"/>
    </row>
    <row r="466">
      <c r="C466" s="104"/>
      <c r="D466" s="221"/>
    </row>
    <row r="467">
      <c r="C467" s="104"/>
      <c r="D467" s="221"/>
    </row>
    <row r="468">
      <c r="C468" s="104"/>
      <c r="D468" s="221"/>
    </row>
    <row r="469">
      <c r="C469" s="104"/>
      <c r="D469" s="221"/>
    </row>
    <row r="470">
      <c r="C470" s="104"/>
      <c r="D470" s="221"/>
    </row>
    <row r="471">
      <c r="C471" s="104"/>
      <c r="D471" s="221"/>
    </row>
    <row r="472">
      <c r="C472" s="104"/>
      <c r="D472" s="221"/>
    </row>
    <row r="473">
      <c r="C473" s="104"/>
      <c r="D473" s="221"/>
    </row>
    <row r="474">
      <c r="C474" s="104"/>
      <c r="D474" s="221"/>
    </row>
    <row r="475">
      <c r="C475" s="104"/>
      <c r="D475" s="221"/>
    </row>
    <row r="476">
      <c r="C476" s="104"/>
      <c r="D476" s="221"/>
    </row>
    <row r="477">
      <c r="C477" s="104"/>
      <c r="D477" s="221"/>
    </row>
    <row r="478">
      <c r="C478" s="104"/>
      <c r="D478" s="221"/>
    </row>
    <row r="479">
      <c r="C479" s="104"/>
      <c r="D479" s="221"/>
    </row>
    <row r="480">
      <c r="C480" s="104"/>
      <c r="D480" s="221"/>
    </row>
    <row r="481">
      <c r="C481" s="104"/>
      <c r="D481" s="221"/>
    </row>
    <row r="482">
      <c r="C482" s="104"/>
      <c r="D482" s="221"/>
    </row>
    <row r="483">
      <c r="C483" s="104"/>
      <c r="D483" s="221"/>
    </row>
    <row r="484">
      <c r="C484" s="104"/>
      <c r="D484" s="221"/>
    </row>
    <row r="485">
      <c r="C485" s="104"/>
      <c r="D485" s="221"/>
    </row>
    <row r="486">
      <c r="C486" s="104"/>
      <c r="D486" s="221"/>
    </row>
    <row r="487">
      <c r="C487" s="104"/>
      <c r="D487" s="221"/>
    </row>
    <row r="488">
      <c r="C488" s="104"/>
      <c r="D488" s="221"/>
    </row>
    <row r="489">
      <c r="C489" s="104"/>
      <c r="D489" s="221"/>
    </row>
    <row r="490">
      <c r="C490" s="104"/>
      <c r="D490" s="221"/>
    </row>
    <row r="491">
      <c r="C491" s="104"/>
      <c r="D491" s="221"/>
    </row>
    <row r="492">
      <c r="C492" s="104"/>
      <c r="D492" s="221"/>
    </row>
    <row r="493">
      <c r="C493" s="104"/>
      <c r="D493" s="221"/>
    </row>
    <row r="494">
      <c r="C494" s="104"/>
      <c r="D494" s="221"/>
    </row>
    <row r="495">
      <c r="C495" s="104"/>
      <c r="D495" s="221"/>
    </row>
    <row r="496">
      <c r="C496" s="104"/>
      <c r="D496" s="221"/>
    </row>
    <row r="497">
      <c r="C497" s="104"/>
      <c r="D497" s="221"/>
    </row>
    <row r="498">
      <c r="C498" s="104"/>
      <c r="D498" s="221"/>
    </row>
    <row r="499">
      <c r="C499" s="104"/>
      <c r="D499" s="221"/>
    </row>
    <row r="500">
      <c r="C500" s="104"/>
      <c r="D500" s="221"/>
    </row>
    <row r="501">
      <c r="C501" s="104"/>
      <c r="D501" s="221"/>
    </row>
    <row r="502">
      <c r="C502" s="104"/>
      <c r="D502" s="221"/>
    </row>
    <row r="503">
      <c r="C503" s="104"/>
      <c r="D503" s="221"/>
    </row>
    <row r="504">
      <c r="C504" s="104"/>
      <c r="D504" s="221"/>
    </row>
    <row r="505">
      <c r="C505" s="104"/>
      <c r="D505" s="221"/>
    </row>
    <row r="506">
      <c r="C506" s="104"/>
      <c r="D506" s="221"/>
    </row>
    <row r="507">
      <c r="C507" s="104"/>
      <c r="D507" s="221"/>
    </row>
    <row r="508">
      <c r="C508" s="104"/>
      <c r="D508" s="221"/>
    </row>
    <row r="509">
      <c r="C509" s="104"/>
      <c r="D509" s="221"/>
    </row>
    <row r="510">
      <c r="C510" s="104"/>
      <c r="D510" s="221"/>
    </row>
    <row r="511">
      <c r="C511" s="104"/>
      <c r="D511" s="221"/>
    </row>
    <row r="512">
      <c r="C512" s="104"/>
      <c r="D512" s="221"/>
    </row>
    <row r="513">
      <c r="C513" s="104"/>
      <c r="D513" s="221"/>
    </row>
    <row r="514">
      <c r="C514" s="104"/>
      <c r="D514" s="221"/>
    </row>
    <row r="515">
      <c r="C515" s="104"/>
      <c r="D515" s="221"/>
    </row>
    <row r="516">
      <c r="C516" s="104"/>
      <c r="D516" s="221"/>
    </row>
    <row r="517">
      <c r="C517" s="104"/>
      <c r="D517" s="221"/>
    </row>
    <row r="518">
      <c r="C518" s="104"/>
      <c r="D518" s="221"/>
    </row>
    <row r="519">
      <c r="C519" s="104"/>
      <c r="D519" s="221"/>
    </row>
    <row r="520">
      <c r="C520" s="104"/>
      <c r="D520" s="221"/>
    </row>
    <row r="521">
      <c r="C521" s="104"/>
      <c r="D521" s="221"/>
    </row>
    <row r="522">
      <c r="C522" s="104"/>
      <c r="D522" s="221"/>
    </row>
    <row r="523">
      <c r="C523" s="104"/>
      <c r="D523" s="221"/>
    </row>
    <row r="524">
      <c r="C524" s="104"/>
      <c r="D524" s="221"/>
    </row>
    <row r="525">
      <c r="C525" s="104"/>
      <c r="D525" s="221"/>
    </row>
    <row r="526">
      <c r="C526" s="104"/>
      <c r="D526" s="221"/>
    </row>
    <row r="527">
      <c r="C527" s="104"/>
      <c r="D527" s="221"/>
    </row>
    <row r="528">
      <c r="C528" s="104"/>
      <c r="D528" s="221"/>
    </row>
    <row r="529">
      <c r="C529" s="104"/>
      <c r="D529" s="221"/>
    </row>
    <row r="530">
      <c r="C530" s="104"/>
      <c r="D530" s="221"/>
    </row>
    <row r="531">
      <c r="C531" s="104"/>
      <c r="D531" s="221"/>
    </row>
    <row r="532">
      <c r="C532" s="104"/>
      <c r="D532" s="221"/>
    </row>
    <row r="533">
      <c r="C533" s="104"/>
      <c r="D533" s="221"/>
    </row>
    <row r="534">
      <c r="C534" s="104"/>
      <c r="D534" s="221"/>
    </row>
    <row r="535">
      <c r="C535" s="104"/>
      <c r="D535" s="221"/>
    </row>
    <row r="536">
      <c r="C536" s="104"/>
      <c r="D536" s="221"/>
    </row>
    <row r="537">
      <c r="C537" s="104"/>
      <c r="D537" s="221"/>
    </row>
    <row r="538">
      <c r="C538" s="104"/>
      <c r="D538" s="221"/>
    </row>
    <row r="539">
      <c r="C539" s="104"/>
      <c r="D539" s="221"/>
    </row>
    <row r="540">
      <c r="C540" s="104"/>
      <c r="D540" s="221"/>
    </row>
    <row r="541">
      <c r="C541" s="104"/>
      <c r="D541" s="221"/>
    </row>
    <row r="542">
      <c r="C542" s="104"/>
      <c r="D542" s="221"/>
    </row>
    <row r="543">
      <c r="C543" s="104"/>
      <c r="D543" s="221"/>
    </row>
    <row r="544">
      <c r="C544" s="104"/>
      <c r="D544" s="221"/>
    </row>
    <row r="545">
      <c r="C545" s="104"/>
      <c r="D545" s="221"/>
    </row>
    <row r="546">
      <c r="C546" s="104"/>
      <c r="D546" s="221"/>
    </row>
    <row r="547">
      <c r="C547" s="104"/>
      <c r="D547" s="221"/>
    </row>
    <row r="548">
      <c r="C548" s="104"/>
      <c r="D548" s="221"/>
    </row>
    <row r="549">
      <c r="C549" s="104"/>
      <c r="D549" s="221"/>
    </row>
    <row r="550">
      <c r="C550" s="104"/>
      <c r="D550" s="221"/>
    </row>
    <row r="551">
      <c r="C551" s="104"/>
      <c r="D551" s="221"/>
    </row>
    <row r="552">
      <c r="C552" s="104"/>
      <c r="D552" s="221"/>
    </row>
    <row r="553">
      <c r="C553" s="104"/>
      <c r="D553" s="221"/>
    </row>
    <row r="554">
      <c r="C554" s="104"/>
      <c r="D554" s="221"/>
    </row>
    <row r="555">
      <c r="C555" s="104"/>
      <c r="D555" s="221"/>
    </row>
    <row r="556">
      <c r="C556" s="104"/>
      <c r="D556" s="221"/>
    </row>
    <row r="557">
      <c r="C557" s="104"/>
      <c r="D557" s="221"/>
    </row>
    <row r="558">
      <c r="C558" s="104"/>
      <c r="D558" s="221"/>
    </row>
    <row r="559">
      <c r="C559" s="104"/>
      <c r="D559" s="221"/>
    </row>
    <row r="560">
      <c r="C560" s="104"/>
      <c r="D560" s="221"/>
    </row>
    <row r="561">
      <c r="C561" s="104"/>
      <c r="D561" s="221"/>
    </row>
    <row r="562">
      <c r="C562" s="104"/>
      <c r="D562" s="221"/>
    </row>
    <row r="563">
      <c r="C563" s="104"/>
      <c r="D563" s="221"/>
    </row>
    <row r="564">
      <c r="C564" s="104"/>
      <c r="D564" s="221"/>
    </row>
    <row r="565">
      <c r="C565" s="104"/>
      <c r="D565" s="221"/>
    </row>
    <row r="566">
      <c r="C566" s="104"/>
      <c r="D566" s="221"/>
    </row>
    <row r="567">
      <c r="C567" s="104"/>
      <c r="D567" s="221"/>
    </row>
    <row r="568">
      <c r="C568" s="104"/>
      <c r="D568" s="221"/>
    </row>
    <row r="569">
      <c r="C569" s="104"/>
      <c r="D569" s="221"/>
    </row>
    <row r="570">
      <c r="C570" s="104"/>
      <c r="D570" s="221"/>
    </row>
    <row r="571">
      <c r="C571" s="104"/>
      <c r="D571" s="221"/>
    </row>
    <row r="572">
      <c r="C572" s="104"/>
      <c r="D572" s="221"/>
    </row>
    <row r="573">
      <c r="C573" s="104"/>
      <c r="D573" s="221"/>
    </row>
    <row r="574">
      <c r="C574" s="104"/>
      <c r="D574" s="221"/>
    </row>
    <row r="575">
      <c r="C575" s="104"/>
      <c r="D575" s="221"/>
    </row>
    <row r="576">
      <c r="C576" s="104"/>
      <c r="D576" s="221"/>
    </row>
    <row r="577">
      <c r="C577" s="104"/>
      <c r="D577" s="221"/>
    </row>
    <row r="578">
      <c r="C578" s="104"/>
      <c r="D578" s="221"/>
    </row>
    <row r="579">
      <c r="C579" s="104"/>
      <c r="D579" s="221"/>
    </row>
    <row r="580">
      <c r="C580" s="104"/>
      <c r="D580" s="221"/>
    </row>
    <row r="581">
      <c r="C581" s="104"/>
      <c r="D581" s="221"/>
    </row>
    <row r="582">
      <c r="C582" s="104"/>
      <c r="D582" s="221"/>
    </row>
    <row r="583">
      <c r="C583" s="104"/>
      <c r="D583" s="221"/>
    </row>
    <row r="584">
      <c r="C584" s="104"/>
      <c r="D584" s="221"/>
    </row>
    <row r="585">
      <c r="C585" s="104"/>
      <c r="D585" s="221"/>
    </row>
    <row r="586">
      <c r="C586" s="104"/>
      <c r="D586" s="221"/>
    </row>
    <row r="587">
      <c r="C587" s="104"/>
      <c r="D587" s="221"/>
    </row>
    <row r="588">
      <c r="C588" s="104"/>
      <c r="D588" s="221"/>
    </row>
    <row r="589">
      <c r="C589" s="104"/>
      <c r="D589" s="221"/>
    </row>
    <row r="590">
      <c r="C590" s="104"/>
      <c r="D590" s="221"/>
    </row>
    <row r="591">
      <c r="C591" s="104"/>
      <c r="D591" s="221"/>
    </row>
    <row r="592">
      <c r="C592" s="104"/>
      <c r="D592" s="221"/>
    </row>
    <row r="593">
      <c r="C593" s="104"/>
      <c r="D593" s="221"/>
    </row>
    <row r="594">
      <c r="C594" s="104"/>
      <c r="D594" s="221"/>
    </row>
    <row r="595">
      <c r="C595" s="104"/>
      <c r="D595" s="221"/>
    </row>
    <row r="596">
      <c r="C596" s="104"/>
      <c r="D596" s="221"/>
    </row>
    <row r="597">
      <c r="C597" s="104"/>
      <c r="D597" s="221"/>
    </row>
    <row r="598">
      <c r="C598" s="104"/>
      <c r="D598" s="221"/>
    </row>
    <row r="599">
      <c r="C599" s="104"/>
      <c r="D599" s="221"/>
    </row>
    <row r="600">
      <c r="C600" s="104"/>
      <c r="D600" s="221"/>
    </row>
    <row r="601">
      <c r="C601" s="104"/>
      <c r="D601" s="221"/>
    </row>
    <row r="602">
      <c r="C602" s="104"/>
      <c r="D602" s="221"/>
    </row>
    <row r="603">
      <c r="C603" s="104"/>
      <c r="D603" s="221"/>
    </row>
    <row r="604">
      <c r="C604" s="104"/>
      <c r="D604" s="221"/>
    </row>
    <row r="605">
      <c r="C605" s="104"/>
      <c r="D605" s="221"/>
    </row>
    <row r="606">
      <c r="C606" s="104"/>
      <c r="D606" s="221"/>
    </row>
    <row r="607">
      <c r="C607" s="104"/>
      <c r="D607" s="221"/>
    </row>
    <row r="608">
      <c r="C608" s="104"/>
      <c r="D608" s="221"/>
    </row>
    <row r="609">
      <c r="C609" s="104"/>
      <c r="D609" s="221"/>
    </row>
    <row r="610">
      <c r="C610" s="104"/>
      <c r="D610" s="221"/>
    </row>
    <row r="611">
      <c r="C611" s="104"/>
      <c r="D611" s="221"/>
    </row>
    <row r="612">
      <c r="C612" s="104"/>
      <c r="D612" s="221"/>
    </row>
    <row r="613">
      <c r="C613" s="104"/>
      <c r="D613" s="221"/>
    </row>
    <row r="614">
      <c r="C614" s="104"/>
      <c r="D614" s="221"/>
    </row>
    <row r="615">
      <c r="C615" s="104"/>
      <c r="D615" s="221"/>
    </row>
    <row r="616">
      <c r="C616" s="104"/>
      <c r="D616" s="221"/>
    </row>
    <row r="617">
      <c r="C617" s="104"/>
      <c r="D617" s="221"/>
    </row>
    <row r="618">
      <c r="C618" s="104"/>
      <c r="D618" s="221"/>
    </row>
    <row r="619">
      <c r="C619" s="104"/>
      <c r="D619" s="221"/>
    </row>
    <row r="620">
      <c r="C620" s="104"/>
      <c r="D620" s="221"/>
    </row>
    <row r="621">
      <c r="C621" s="104"/>
      <c r="D621" s="221"/>
    </row>
    <row r="622">
      <c r="C622" s="104"/>
      <c r="D622" s="221"/>
    </row>
    <row r="623">
      <c r="C623" s="104"/>
      <c r="D623" s="221"/>
    </row>
    <row r="624">
      <c r="C624" s="104"/>
      <c r="D624" s="221"/>
    </row>
    <row r="625">
      <c r="C625" s="104"/>
      <c r="D625" s="221"/>
    </row>
    <row r="626">
      <c r="C626" s="104"/>
      <c r="D626" s="221"/>
    </row>
    <row r="627">
      <c r="C627" s="104"/>
      <c r="D627" s="221"/>
    </row>
    <row r="628">
      <c r="C628" s="104"/>
      <c r="D628" s="221"/>
    </row>
    <row r="629">
      <c r="C629" s="104"/>
      <c r="D629" s="221"/>
    </row>
    <row r="630">
      <c r="C630" s="104"/>
      <c r="D630" s="221"/>
    </row>
    <row r="631">
      <c r="C631" s="104"/>
      <c r="D631" s="221"/>
    </row>
    <row r="632">
      <c r="C632" s="104"/>
      <c r="D632" s="221"/>
    </row>
    <row r="633">
      <c r="C633" s="104"/>
      <c r="D633" s="221"/>
    </row>
    <row r="634">
      <c r="C634" s="104"/>
      <c r="D634" s="221"/>
    </row>
    <row r="635">
      <c r="C635" s="104"/>
      <c r="D635" s="221"/>
    </row>
    <row r="636">
      <c r="C636" s="104"/>
      <c r="D636" s="221"/>
    </row>
    <row r="637">
      <c r="C637" s="104"/>
      <c r="D637" s="221"/>
    </row>
    <row r="638">
      <c r="C638" s="104"/>
      <c r="D638" s="221"/>
    </row>
    <row r="639">
      <c r="C639" s="104"/>
      <c r="D639" s="221"/>
    </row>
    <row r="640">
      <c r="C640" s="104"/>
      <c r="D640" s="221"/>
    </row>
    <row r="641">
      <c r="C641" s="104"/>
      <c r="D641" s="221"/>
    </row>
    <row r="642">
      <c r="C642" s="104"/>
      <c r="D642" s="221"/>
    </row>
    <row r="643">
      <c r="C643" s="104"/>
      <c r="D643" s="221"/>
    </row>
    <row r="644">
      <c r="C644" s="104"/>
      <c r="D644" s="221"/>
    </row>
    <row r="645">
      <c r="C645" s="104"/>
      <c r="D645" s="221"/>
    </row>
    <row r="646">
      <c r="C646" s="104"/>
      <c r="D646" s="221"/>
    </row>
    <row r="647">
      <c r="C647" s="104"/>
      <c r="D647" s="221"/>
    </row>
    <row r="648">
      <c r="C648" s="104"/>
      <c r="D648" s="221"/>
    </row>
    <row r="649">
      <c r="C649" s="104"/>
      <c r="D649" s="221"/>
    </row>
    <row r="650">
      <c r="C650" s="104"/>
      <c r="D650" s="221"/>
    </row>
    <row r="651">
      <c r="C651" s="104"/>
      <c r="D651" s="221"/>
    </row>
    <row r="652">
      <c r="C652" s="104"/>
      <c r="D652" s="221"/>
    </row>
    <row r="653">
      <c r="C653" s="104"/>
      <c r="D653" s="221"/>
    </row>
    <row r="654">
      <c r="C654" s="104"/>
      <c r="D654" s="221"/>
    </row>
    <row r="655">
      <c r="C655" s="104"/>
      <c r="D655" s="221"/>
    </row>
    <row r="656">
      <c r="C656" s="104"/>
      <c r="D656" s="221"/>
    </row>
    <row r="657">
      <c r="C657" s="104"/>
      <c r="D657" s="221"/>
    </row>
    <row r="658">
      <c r="C658" s="104"/>
      <c r="D658" s="221"/>
    </row>
    <row r="659">
      <c r="C659" s="104"/>
      <c r="D659" s="221"/>
    </row>
    <row r="660">
      <c r="C660" s="104"/>
      <c r="D660" s="221"/>
    </row>
    <row r="661">
      <c r="C661" s="104"/>
      <c r="D661" s="221"/>
    </row>
    <row r="662">
      <c r="C662" s="104"/>
      <c r="D662" s="221"/>
    </row>
    <row r="663">
      <c r="C663" s="104"/>
      <c r="D663" s="221"/>
    </row>
    <row r="664">
      <c r="C664" s="104"/>
      <c r="D664" s="221"/>
    </row>
    <row r="665">
      <c r="C665" s="104"/>
      <c r="D665" s="221"/>
    </row>
    <row r="666">
      <c r="C666" s="104"/>
      <c r="D666" s="221"/>
    </row>
    <row r="667">
      <c r="C667" s="104"/>
      <c r="D667" s="221"/>
    </row>
    <row r="668">
      <c r="C668" s="104"/>
      <c r="D668" s="221"/>
    </row>
    <row r="669">
      <c r="C669" s="104"/>
      <c r="D669" s="221"/>
    </row>
    <row r="670">
      <c r="C670" s="104"/>
      <c r="D670" s="221"/>
    </row>
    <row r="671">
      <c r="C671" s="104"/>
      <c r="D671" s="221"/>
    </row>
    <row r="672">
      <c r="C672" s="104"/>
      <c r="D672" s="221"/>
    </row>
    <row r="673">
      <c r="C673" s="104"/>
      <c r="D673" s="221"/>
    </row>
    <row r="674">
      <c r="C674" s="104"/>
      <c r="D674" s="221"/>
    </row>
    <row r="675">
      <c r="C675" s="104"/>
      <c r="D675" s="221"/>
    </row>
    <row r="676">
      <c r="C676" s="104"/>
      <c r="D676" s="221"/>
    </row>
    <row r="677">
      <c r="C677" s="104"/>
      <c r="D677" s="221"/>
    </row>
    <row r="678">
      <c r="C678" s="104"/>
      <c r="D678" s="221"/>
    </row>
    <row r="679">
      <c r="C679" s="104"/>
      <c r="D679" s="221"/>
    </row>
    <row r="680">
      <c r="C680" s="104"/>
      <c r="D680" s="221"/>
    </row>
    <row r="681">
      <c r="C681" s="104"/>
      <c r="D681" s="221"/>
    </row>
    <row r="682">
      <c r="C682" s="104"/>
      <c r="D682" s="221"/>
    </row>
    <row r="683">
      <c r="C683" s="104"/>
      <c r="D683" s="221"/>
    </row>
    <row r="684">
      <c r="C684" s="104"/>
      <c r="D684" s="221"/>
    </row>
    <row r="685">
      <c r="C685" s="104"/>
      <c r="D685" s="221"/>
    </row>
    <row r="686">
      <c r="C686" s="104"/>
      <c r="D686" s="221"/>
    </row>
    <row r="687">
      <c r="C687" s="104"/>
      <c r="D687" s="221"/>
    </row>
    <row r="688">
      <c r="C688" s="104"/>
      <c r="D688" s="221"/>
    </row>
    <row r="689">
      <c r="C689" s="104"/>
      <c r="D689" s="221"/>
    </row>
    <row r="690">
      <c r="C690" s="104"/>
      <c r="D690" s="221"/>
    </row>
    <row r="691">
      <c r="C691" s="104"/>
      <c r="D691" s="221"/>
    </row>
    <row r="692">
      <c r="C692" s="104"/>
      <c r="D692" s="221"/>
    </row>
    <row r="693">
      <c r="C693" s="104"/>
      <c r="D693" s="221"/>
    </row>
    <row r="694">
      <c r="C694" s="104"/>
      <c r="D694" s="221"/>
    </row>
    <row r="695">
      <c r="C695" s="104"/>
      <c r="D695" s="221"/>
    </row>
    <row r="696">
      <c r="C696" s="104"/>
      <c r="D696" s="221"/>
    </row>
    <row r="697">
      <c r="C697" s="104"/>
      <c r="D697" s="221"/>
    </row>
    <row r="698">
      <c r="C698" s="104"/>
      <c r="D698" s="221"/>
    </row>
    <row r="699">
      <c r="C699" s="104"/>
      <c r="D699" s="221"/>
    </row>
    <row r="700">
      <c r="C700" s="104"/>
      <c r="D700" s="221"/>
    </row>
    <row r="701">
      <c r="C701" s="104"/>
      <c r="D701" s="221"/>
    </row>
    <row r="702">
      <c r="C702" s="104"/>
      <c r="D702" s="221"/>
    </row>
    <row r="703">
      <c r="C703" s="104"/>
      <c r="D703" s="221"/>
    </row>
    <row r="704">
      <c r="C704" s="104"/>
      <c r="D704" s="221"/>
    </row>
    <row r="705">
      <c r="C705" s="104"/>
      <c r="D705" s="221"/>
    </row>
    <row r="706">
      <c r="C706" s="104"/>
      <c r="D706" s="221"/>
    </row>
    <row r="707">
      <c r="C707" s="104"/>
      <c r="D707" s="221"/>
    </row>
    <row r="708">
      <c r="C708" s="104"/>
      <c r="D708" s="221"/>
    </row>
    <row r="709">
      <c r="C709" s="104"/>
      <c r="D709" s="221"/>
    </row>
    <row r="710">
      <c r="C710" s="104"/>
      <c r="D710" s="221"/>
    </row>
    <row r="711">
      <c r="C711" s="104"/>
      <c r="D711" s="221"/>
    </row>
    <row r="712">
      <c r="C712" s="104"/>
      <c r="D712" s="221"/>
    </row>
    <row r="713">
      <c r="C713" s="104"/>
      <c r="D713" s="221"/>
    </row>
    <row r="714">
      <c r="C714" s="104"/>
      <c r="D714" s="221"/>
    </row>
    <row r="715">
      <c r="C715" s="104"/>
      <c r="D715" s="221"/>
    </row>
    <row r="716">
      <c r="C716" s="104"/>
      <c r="D716" s="221"/>
    </row>
    <row r="717">
      <c r="C717" s="104"/>
      <c r="D717" s="221"/>
    </row>
    <row r="718">
      <c r="C718" s="104"/>
      <c r="D718" s="221"/>
    </row>
    <row r="719">
      <c r="C719" s="104"/>
      <c r="D719" s="221"/>
    </row>
    <row r="720">
      <c r="C720" s="104"/>
      <c r="D720" s="221"/>
    </row>
    <row r="721">
      <c r="C721" s="104"/>
      <c r="D721" s="221"/>
    </row>
    <row r="722">
      <c r="C722" s="104"/>
      <c r="D722" s="221"/>
    </row>
    <row r="723">
      <c r="C723" s="104"/>
      <c r="D723" s="221"/>
    </row>
    <row r="724">
      <c r="C724" s="104"/>
      <c r="D724" s="221"/>
    </row>
    <row r="725">
      <c r="C725" s="104"/>
      <c r="D725" s="221"/>
    </row>
    <row r="726">
      <c r="C726" s="104"/>
      <c r="D726" s="221"/>
    </row>
    <row r="727">
      <c r="C727" s="104"/>
      <c r="D727" s="221"/>
    </row>
    <row r="728">
      <c r="C728" s="104"/>
      <c r="D728" s="221"/>
    </row>
    <row r="729">
      <c r="C729" s="104"/>
      <c r="D729" s="221"/>
    </row>
    <row r="730">
      <c r="C730" s="104"/>
      <c r="D730" s="221"/>
    </row>
    <row r="731">
      <c r="C731" s="104"/>
      <c r="D731" s="221"/>
    </row>
    <row r="732">
      <c r="C732" s="104"/>
      <c r="D732" s="221"/>
    </row>
    <row r="733">
      <c r="C733" s="104"/>
      <c r="D733" s="221"/>
    </row>
    <row r="734">
      <c r="C734" s="104"/>
      <c r="D734" s="221"/>
    </row>
    <row r="735">
      <c r="C735" s="104"/>
      <c r="D735" s="221"/>
    </row>
    <row r="736">
      <c r="C736" s="104"/>
      <c r="D736" s="221"/>
    </row>
    <row r="737">
      <c r="C737" s="104"/>
      <c r="D737" s="221"/>
    </row>
    <row r="738">
      <c r="C738" s="104"/>
      <c r="D738" s="221"/>
    </row>
    <row r="739">
      <c r="C739" s="104"/>
      <c r="D739" s="221"/>
    </row>
    <row r="740">
      <c r="C740" s="104"/>
      <c r="D740" s="221"/>
    </row>
    <row r="741">
      <c r="C741" s="104"/>
      <c r="D741" s="221"/>
    </row>
    <row r="742">
      <c r="C742" s="104"/>
      <c r="D742" s="221"/>
    </row>
    <row r="743">
      <c r="C743" s="104"/>
      <c r="D743" s="221"/>
    </row>
    <row r="744">
      <c r="C744" s="104"/>
      <c r="D744" s="221"/>
    </row>
    <row r="745">
      <c r="C745" s="104"/>
      <c r="D745" s="221"/>
    </row>
    <row r="746">
      <c r="C746" s="104"/>
      <c r="D746" s="221"/>
    </row>
    <row r="747">
      <c r="C747" s="104"/>
      <c r="D747" s="221"/>
    </row>
    <row r="748">
      <c r="C748" s="104"/>
      <c r="D748" s="221"/>
    </row>
    <row r="749">
      <c r="C749" s="104"/>
      <c r="D749" s="221"/>
    </row>
    <row r="750">
      <c r="C750" s="104"/>
      <c r="D750" s="221"/>
    </row>
    <row r="751">
      <c r="C751" s="104"/>
      <c r="D751" s="221"/>
    </row>
    <row r="752">
      <c r="C752" s="104"/>
      <c r="D752" s="221"/>
    </row>
    <row r="753">
      <c r="C753" s="104"/>
      <c r="D753" s="221"/>
    </row>
    <row r="754">
      <c r="C754" s="104"/>
      <c r="D754" s="221"/>
    </row>
    <row r="755">
      <c r="C755" s="104"/>
      <c r="D755" s="221"/>
    </row>
    <row r="756">
      <c r="C756" s="104"/>
      <c r="D756" s="221"/>
    </row>
    <row r="757">
      <c r="C757" s="104"/>
      <c r="D757" s="221"/>
    </row>
    <row r="758">
      <c r="C758" s="104"/>
      <c r="D758" s="221"/>
    </row>
    <row r="759">
      <c r="C759" s="104"/>
      <c r="D759" s="221"/>
    </row>
    <row r="760">
      <c r="C760" s="104"/>
      <c r="D760" s="221"/>
    </row>
    <row r="761">
      <c r="C761" s="104"/>
      <c r="D761" s="221"/>
    </row>
    <row r="762">
      <c r="C762" s="104"/>
      <c r="D762" s="221"/>
    </row>
    <row r="763">
      <c r="C763" s="104"/>
      <c r="D763" s="221"/>
    </row>
    <row r="764">
      <c r="C764" s="104"/>
      <c r="D764" s="221"/>
    </row>
    <row r="765">
      <c r="C765" s="104"/>
      <c r="D765" s="221"/>
    </row>
    <row r="766">
      <c r="C766" s="104"/>
      <c r="D766" s="221"/>
    </row>
    <row r="767">
      <c r="C767" s="104"/>
      <c r="D767" s="221"/>
    </row>
    <row r="768">
      <c r="C768" s="104"/>
      <c r="D768" s="221"/>
    </row>
    <row r="769">
      <c r="C769" s="104"/>
      <c r="D769" s="221"/>
    </row>
    <row r="770">
      <c r="C770" s="104"/>
      <c r="D770" s="221"/>
    </row>
    <row r="771">
      <c r="C771" s="104"/>
      <c r="D771" s="221"/>
    </row>
    <row r="772">
      <c r="C772" s="104"/>
      <c r="D772" s="221"/>
    </row>
    <row r="773">
      <c r="C773" s="104"/>
      <c r="D773" s="221"/>
    </row>
    <row r="774">
      <c r="C774" s="104"/>
      <c r="D774" s="221"/>
    </row>
    <row r="775">
      <c r="C775" s="104"/>
      <c r="D775" s="221"/>
    </row>
    <row r="776">
      <c r="C776" s="104"/>
      <c r="D776" s="221"/>
    </row>
    <row r="777">
      <c r="C777" s="104"/>
      <c r="D777" s="221"/>
    </row>
    <row r="778">
      <c r="C778" s="104"/>
      <c r="D778" s="221"/>
    </row>
    <row r="779">
      <c r="C779" s="104"/>
      <c r="D779" s="221"/>
    </row>
    <row r="780">
      <c r="C780" s="104"/>
      <c r="D780" s="221"/>
    </row>
    <row r="781">
      <c r="C781" s="104"/>
      <c r="D781" s="221"/>
    </row>
    <row r="782">
      <c r="C782" s="104"/>
      <c r="D782" s="221"/>
    </row>
    <row r="783">
      <c r="C783" s="104"/>
      <c r="D783" s="221"/>
    </row>
    <row r="784">
      <c r="C784" s="104"/>
      <c r="D784" s="221"/>
    </row>
    <row r="785">
      <c r="C785" s="104"/>
      <c r="D785" s="221"/>
    </row>
    <row r="786">
      <c r="C786" s="104"/>
      <c r="D786" s="221"/>
    </row>
    <row r="787">
      <c r="C787" s="104"/>
      <c r="D787" s="221"/>
    </row>
    <row r="788">
      <c r="C788" s="104"/>
      <c r="D788" s="221"/>
    </row>
    <row r="789">
      <c r="C789" s="104"/>
      <c r="D789" s="221"/>
    </row>
    <row r="790">
      <c r="C790" s="104"/>
      <c r="D790" s="221"/>
    </row>
    <row r="791">
      <c r="C791" s="104"/>
      <c r="D791" s="221"/>
    </row>
    <row r="792">
      <c r="C792" s="104"/>
      <c r="D792" s="221"/>
    </row>
    <row r="793">
      <c r="C793" s="104"/>
      <c r="D793" s="221"/>
    </row>
    <row r="794">
      <c r="C794" s="104"/>
      <c r="D794" s="221"/>
    </row>
    <row r="795">
      <c r="C795" s="104"/>
      <c r="D795" s="221"/>
    </row>
    <row r="796">
      <c r="C796" s="104"/>
      <c r="D796" s="221"/>
    </row>
    <row r="797">
      <c r="C797" s="104"/>
      <c r="D797" s="221"/>
    </row>
    <row r="798">
      <c r="C798" s="104"/>
      <c r="D798" s="221"/>
    </row>
    <row r="799">
      <c r="C799" s="104"/>
      <c r="D799" s="221"/>
    </row>
    <row r="800">
      <c r="C800" s="104"/>
      <c r="D800" s="221"/>
    </row>
    <row r="801">
      <c r="C801" s="104"/>
      <c r="D801" s="221"/>
    </row>
    <row r="802">
      <c r="C802" s="104"/>
      <c r="D802" s="221"/>
    </row>
    <row r="803">
      <c r="C803" s="104"/>
      <c r="D803" s="221"/>
    </row>
    <row r="804">
      <c r="C804" s="104"/>
      <c r="D804" s="221"/>
    </row>
    <row r="805">
      <c r="C805" s="104"/>
      <c r="D805" s="221"/>
    </row>
    <row r="806">
      <c r="C806" s="104"/>
      <c r="D806" s="221"/>
    </row>
    <row r="807">
      <c r="C807" s="104"/>
      <c r="D807" s="221"/>
    </row>
    <row r="808">
      <c r="C808" s="104"/>
      <c r="D808" s="221"/>
    </row>
    <row r="809">
      <c r="C809" s="104"/>
      <c r="D809" s="221"/>
    </row>
    <row r="810">
      <c r="C810" s="104"/>
      <c r="D810" s="221"/>
    </row>
    <row r="811">
      <c r="C811" s="104"/>
      <c r="D811" s="221"/>
    </row>
    <row r="812">
      <c r="C812" s="104"/>
      <c r="D812" s="221"/>
    </row>
    <row r="813">
      <c r="C813" s="104"/>
      <c r="D813" s="221"/>
    </row>
    <row r="814">
      <c r="C814" s="104"/>
      <c r="D814" s="221"/>
    </row>
    <row r="815">
      <c r="C815" s="104"/>
      <c r="D815" s="221"/>
    </row>
    <row r="816">
      <c r="C816" s="104"/>
      <c r="D816" s="221"/>
    </row>
    <row r="817">
      <c r="C817" s="104"/>
      <c r="D817" s="221"/>
    </row>
    <row r="818">
      <c r="C818" s="104"/>
      <c r="D818" s="221"/>
    </row>
    <row r="819">
      <c r="C819" s="104"/>
      <c r="D819" s="221"/>
    </row>
    <row r="820">
      <c r="C820" s="104"/>
      <c r="D820" s="221"/>
    </row>
    <row r="821">
      <c r="C821" s="104"/>
      <c r="D821" s="221"/>
    </row>
    <row r="822">
      <c r="C822" s="104"/>
      <c r="D822" s="221"/>
    </row>
    <row r="823">
      <c r="C823" s="104"/>
      <c r="D823" s="221"/>
    </row>
    <row r="824">
      <c r="C824" s="104"/>
      <c r="D824" s="221"/>
    </row>
    <row r="825">
      <c r="C825" s="104"/>
      <c r="D825" s="221"/>
    </row>
    <row r="826">
      <c r="C826" s="104"/>
      <c r="D826" s="221"/>
    </row>
    <row r="827">
      <c r="C827" s="104"/>
      <c r="D827" s="221"/>
    </row>
    <row r="828">
      <c r="C828" s="104"/>
      <c r="D828" s="221"/>
    </row>
    <row r="829">
      <c r="C829" s="104"/>
      <c r="D829" s="221"/>
    </row>
    <row r="830">
      <c r="C830" s="104"/>
      <c r="D830" s="221"/>
    </row>
    <row r="831">
      <c r="C831" s="104"/>
      <c r="D831" s="221"/>
    </row>
    <row r="832">
      <c r="C832" s="104"/>
      <c r="D832" s="221"/>
    </row>
    <row r="833">
      <c r="C833" s="104"/>
      <c r="D833" s="221"/>
    </row>
    <row r="834">
      <c r="C834" s="104"/>
      <c r="D834" s="221"/>
    </row>
    <row r="835">
      <c r="C835" s="104"/>
      <c r="D835" s="221"/>
    </row>
    <row r="836">
      <c r="C836" s="104"/>
      <c r="D836" s="221"/>
    </row>
    <row r="837">
      <c r="C837" s="104"/>
      <c r="D837" s="221"/>
    </row>
    <row r="838">
      <c r="C838" s="104"/>
      <c r="D838" s="221"/>
    </row>
    <row r="839">
      <c r="C839" s="104"/>
      <c r="D839" s="221"/>
    </row>
    <row r="840">
      <c r="C840" s="104"/>
      <c r="D840" s="221"/>
    </row>
    <row r="841">
      <c r="C841" s="104"/>
      <c r="D841" s="221"/>
    </row>
    <row r="842">
      <c r="C842" s="104"/>
      <c r="D842" s="221"/>
    </row>
    <row r="843">
      <c r="C843" s="104"/>
      <c r="D843" s="221"/>
    </row>
    <row r="844">
      <c r="C844" s="104"/>
      <c r="D844" s="221"/>
    </row>
    <row r="845">
      <c r="C845" s="104"/>
      <c r="D845" s="221"/>
    </row>
    <row r="846">
      <c r="C846" s="104"/>
      <c r="D846" s="221"/>
    </row>
    <row r="847">
      <c r="C847" s="104"/>
      <c r="D847" s="221"/>
    </row>
    <row r="848">
      <c r="C848" s="104"/>
      <c r="D848" s="221"/>
    </row>
    <row r="849">
      <c r="C849" s="104"/>
      <c r="D849" s="221"/>
    </row>
    <row r="850">
      <c r="C850" s="104"/>
      <c r="D850" s="221"/>
    </row>
    <row r="851">
      <c r="C851" s="104"/>
      <c r="D851" s="221"/>
    </row>
    <row r="852">
      <c r="C852" s="104"/>
      <c r="D852" s="221"/>
    </row>
    <row r="853">
      <c r="C853" s="104"/>
      <c r="D853" s="221"/>
    </row>
    <row r="854">
      <c r="C854" s="104"/>
      <c r="D854" s="221"/>
    </row>
    <row r="855">
      <c r="C855" s="104"/>
      <c r="D855" s="221"/>
    </row>
    <row r="856">
      <c r="C856" s="104"/>
      <c r="D856" s="221"/>
    </row>
    <row r="857">
      <c r="C857" s="104"/>
      <c r="D857" s="221"/>
    </row>
    <row r="858">
      <c r="C858" s="104"/>
      <c r="D858" s="221"/>
    </row>
    <row r="859">
      <c r="C859" s="104"/>
      <c r="D859" s="221"/>
    </row>
    <row r="860">
      <c r="C860" s="104"/>
      <c r="D860" s="221"/>
    </row>
    <row r="861">
      <c r="C861" s="104"/>
      <c r="D861" s="221"/>
    </row>
    <row r="862">
      <c r="C862" s="104"/>
      <c r="D862" s="221"/>
    </row>
    <row r="863">
      <c r="C863" s="104"/>
      <c r="D863" s="221"/>
    </row>
    <row r="864">
      <c r="C864" s="104"/>
      <c r="D864" s="221"/>
    </row>
    <row r="865">
      <c r="C865" s="104"/>
      <c r="D865" s="221"/>
    </row>
    <row r="866">
      <c r="C866" s="104"/>
      <c r="D866" s="221"/>
    </row>
    <row r="867">
      <c r="C867" s="104"/>
      <c r="D867" s="221"/>
    </row>
    <row r="868">
      <c r="C868" s="104"/>
      <c r="D868" s="221"/>
    </row>
    <row r="869">
      <c r="C869" s="104"/>
      <c r="D869" s="221"/>
    </row>
    <row r="870">
      <c r="C870" s="104"/>
      <c r="D870" s="221"/>
    </row>
    <row r="871">
      <c r="C871" s="104"/>
      <c r="D871" s="221"/>
    </row>
    <row r="872">
      <c r="C872" s="104"/>
      <c r="D872" s="221"/>
    </row>
    <row r="873">
      <c r="C873" s="104"/>
      <c r="D873" s="221"/>
    </row>
    <row r="874">
      <c r="C874" s="104"/>
      <c r="D874" s="221"/>
    </row>
    <row r="875">
      <c r="C875" s="104"/>
      <c r="D875" s="221"/>
    </row>
    <row r="876">
      <c r="C876" s="104"/>
      <c r="D876" s="221"/>
    </row>
    <row r="877">
      <c r="C877" s="104"/>
      <c r="D877" s="221"/>
    </row>
    <row r="878">
      <c r="C878" s="104"/>
      <c r="D878" s="221"/>
    </row>
    <row r="879">
      <c r="C879" s="104"/>
      <c r="D879" s="221"/>
    </row>
    <row r="880">
      <c r="C880" s="104"/>
      <c r="D880" s="221"/>
    </row>
    <row r="881">
      <c r="C881" s="104"/>
      <c r="D881" s="221"/>
    </row>
    <row r="882">
      <c r="C882" s="104"/>
      <c r="D882" s="221"/>
    </row>
    <row r="883">
      <c r="C883" s="104"/>
      <c r="D883" s="221"/>
    </row>
    <row r="884">
      <c r="C884" s="104"/>
      <c r="D884" s="221"/>
    </row>
    <row r="885">
      <c r="C885" s="104"/>
      <c r="D885" s="221"/>
    </row>
    <row r="886">
      <c r="C886" s="104"/>
      <c r="D886" s="221"/>
    </row>
    <row r="887">
      <c r="C887" s="104"/>
      <c r="D887" s="221"/>
    </row>
    <row r="888">
      <c r="C888" s="104"/>
      <c r="D888" s="221"/>
    </row>
    <row r="889">
      <c r="C889" s="104"/>
      <c r="D889" s="221"/>
    </row>
    <row r="890">
      <c r="C890" s="104"/>
      <c r="D890" s="221"/>
    </row>
    <row r="891">
      <c r="C891" s="104"/>
      <c r="D891" s="221"/>
    </row>
    <row r="892">
      <c r="C892" s="104"/>
      <c r="D892" s="221"/>
    </row>
    <row r="893">
      <c r="C893" s="104"/>
      <c r="D893" s="221"/>
    </row>
    <row r="894">
      <c r="C894" s="104"/>
      <c r="D894" s="221"/>
    </row>
    <row r="895">
      <c r="C895" s="104"/>
      <c r="D895" s="221"/>
    </row>
    <row r="896">
      <c r="C896" s="104"/>
      <c r="D896" s="221"/>
    </row>
    <row r="897">
      <c r="C897" s="104"/>
      <c r="D897" s="221"/>
    </row>
    <row r="898">
      <c r="C898" s="104"/>
      <c r="D898" s="221"/>
    </row>
    <row r="899">
      <c r="C899" s="104"/>
      <c r="D899" s="221"/>
    </row>
    <row r="900">
      <c r="C900" s="104"/>
      <c r="D900" s="221"/>
    </row>
    <row r="901">
      <c r="C901" s="104"/>
      <c r="D901" s="221"/>
    </row>
    <row r="902">
      <c r="C902" s="104"/>
      <c r="D902" s="221"/>
    </row>
    <row r="903">
      <c r="C903" s="104"/>
      <c r="D903" s="221"/>
    </row>
    <row r="904">
      <c r="C904" s="104"/>
      <c r="D904" s="221"/>
    </row>
    <row r="905">
      <c r="C905" s="104"/>
      <c r="D905" s="221"/>
    </row>
    <row r="906">
      <c r="C906" s="104"/>
      <c r="D906" s="221"/>
    </row>
    <row r="907">
      <c r="C907" s="104"/>
      <c r="D907" s="221"/>
    </row>
    <row r="908">
      <c r="C908" s="104"/>
      <c r="D908" s="221"/>
    </row>
    <row r="909">
      <c r="C909" s="104"/>
      <c r="D909" s="221"/>
    </row>
    <row r="910">
      <c r="C910" s="104"/>
      <c r="D910" s="221"/>
    </row>
    <row r="911">
      <c r="C911" s="104"/>
      <c r="D911" s="221"/>
    </row>
    <row r="912">
      <c r="C912" s="104"/>
      <c r="D912" s="221"/>
    </row>
    <row r="913">
      <c r="C913" s="104"/>
      <c r="D913" s="221"/>
    </row>
    <row r="914">
      <c r="C914" s="104"/>
      <c r="D914" s="221"/>
    </row>
    <row r="915">
      <c r="C915" s="104"/>
      <c r="D915" s="221"/>
    </row>
    <row r="916">
      <c r="C916" s="104"/>
      <c r="D916" s="221"/>
    </row>
    <row r="917">
      <c r="C917" s="104"/>
      <c r="D917" s="221"/>
    </row>
    <row r="918">
      <c r="C918" s="104"/>
      <c r="D918" s="221"/>
    </row>
    <row r="919">
      <c r="C919" s="104"/>
      <c r="D919" s="221"/>
    </row>
    <row r="920">
      <c r="C920" s="104"/>
      <c r="D920" s="221"/>
    </row>
    <row r="921">
      <c r="C921" s="104"/>
      <c r="D921" s="221"/>
    </row>
    <row r="922">
      <c r="C922" s="104"/>
      <c r="D922" s="221"/>
    </row>
    <row r="923">
      <c r="C923" s="104"/>
      <c r="D923" s="221"/>
    </row>
    <row r="924">
      <c r="C924" s="104"/>
      <c r="D924" s="221"/>
    </row>
    <row r="925">
      <c r="C925" s="104"/>
      <c r="D925" s="221"/>
    </row>
    <row r="926">
      <c r="C926" s="104"/>
      <c r="D926" s="221"/>
    </row>
    <row r="927">
      <c r="C927" s="104"/>
      <c r="D927" s="221"/>
    </row>
    <row r="928">
      <c r="C928" s="104"/>
      <c r="D928" s="221"/>
    </row>
    <row r="929">
      <c r="C929" s="104"/>
      <c r="D929" s="221"/>
    </row>
    <row r="930">
      <c r="C930" s="104"/>
      <c r="D930" s="221"/>
    </row>
    <row r="931">
      <c r="C931" s="104"/>
      <c r="D931" s="221"/>
    </row>
    <row r="932">
      <c r="C932" s="104"/>
      <c r="D932" s="221"/>
    </row>
    <row r="933">
      <c r="C933" s="104"/>
      <c r="D933" s="221"/>
    </row>
    <row r="934">
      <c r="C934" s="104"/>
      <c r="D934" s="221"/>
    </row>
    <row r="935">
      <c r="C935" s="104"/>
      <c r="D935" s="221"/>
    </row>
    <row r="936">
      <c r="C936" s="104"/>
      <c r="D936" s="221"/>
    </row>
    <row r="937">
      <c r="C937" s="104"/>
      <c r="D937" s="221"/>
    </row>
    <row r="938">
      <c r="C938" s="104"/>
      <c r="D938" s="221"/>
    </row>
    <row r="939">
      <c r="C939" s="104"/>
      <c r="D939" s="221"/>
    </row>
    <row r="940">
      <c r="C940" s="104"/>
      <c r="D940" s="221"/>
    </row>
    <row r="941">
      <c r="C941" s="104"/>
      <c r="D941" s="221"/>
    </row>
    <row r="942">
      <c r="C942" s="104"/>
      <c r="D942" s="221"/>
    </row>
    <row r="943">
      <c r="C943" s="104"/>
      <c r="D943" s="221"/>
    </row>
    <row r="944">
      <c r="C944" s="104"/>
      <c r="D944" s="221"/>
    </row>
    <row r="945">
      <c r="C945" s="104"/>
      <c r="D945" s="221"/>
    </row>
    <row r="946">
      <c r="C946" s="104"/>
      <c r="D946" s="221"/>
    </row>
    <row r="947">
      <c r="C947" s="104"/>
      <c r="D947" s="221"/>
    </row>
    <row r="948">
      <c r="C948" s="104"/>
      <c r="D948" s="221"/>
    </row>
    <row r="949">
      <c r="C949" s="104"/>
      <c r="D949" s="221"/>
    </row>
    <row r="950">
      <c r="C950" s="104"/>
      <c r="D950" s="221"/>
    </row>
    <row r="951">
      <c r="C951" s="104"/>
      <c r="D951" s="221"/>
    </row>
    <row r="952">
      <c r="C952" s="104"/>
      <c r="D952" s="221"/>
    </row>
    <row r="953">
      <c r="C953" s="104"/>
      <c r="D953" s="221"/>
    </row>
    <row r="954">
      <c r="C954" s="104"/>
      <c r="D954" s="221"/>
    </row>
    <row r="955">
      <c r="C955" s="104"/>
      <c r="D955" s="221"/>
    </row>
    <row r="956">
      <c r="C956" s="104"/>
      <c r="D956" s="221"/>
    </row>
    <row r="957">
      <c r="C957" s="104"/>
      <c r="D957" s="221"/>
    </row>
    <row r="958">
      <c r="C958" s="104"/>
      <c r="D958" s="221"/>
    </row>
    <row r="959">
      <c r="C959" s="104"/>
      <c r="D959" s="221"/>
    </row>
    <row r="960">
      <c r="C960" s="104"/>
      <c r="D960" s="221"/>
    </row>
    <row r="961">
      <c r="C961" s="104"/>
      <c r="D961" s="221"/>
    </row>
    <row r="962">
      <c r="C962" s="104"/>
      <c r="D962" s="221"/>
    </row>
    <row r="963">
      <c r="C963" s="104"/>
      <c r="D963" s="221"/>
    </row>
    <row r="964">
      <c r="C964" s="104"/>
      <c r="D964" s="221"/>
    </row>
    <row r="965">
      <c r="C965" s="104"/>
      <c r="D965" s="221"/>
    </row>
    <row r="966">
      <c r="C966" s="104"/>
      <c r="D966" s="221"/>
    </row>
    <row r="967">
      <c r="C967" s="104"/>
      <c r="D967" s="221"/>
    </row>
    <row r="968">
      <c r="C968" s="104"/>
      <c r="D968" s="221"/>
    </row>
    <row r="969">
      <c r="C969" s="104"/>
      <c r="D969" s="221"/>
    </row>
    <row r="970">
      <c r="C970" s="104"/>
      <c r="D970" s="221"/>
    </row>
    <row r="971">
      <c r="C971" s="104"/>
      <c r="D971" s="221"/>
    </row>
    <row r="972">
      <c r="C972" s="104"/>
      <c r="D972" s="221"/>
    </row>
    <row r="973">
      <c r="C973" s="104"/>
      <c r="D973" s="221"/>
    </row>
    <row r="974">
      <c r="C974" s="104"/>
      <c r="D974" s="221"/>
    </row>
    <row r="975">
      <c r="C975" s="104"/>
      <c r="D975" s="221"/>
    </row>
    <row r="976">
      <c r="C976" s="104"/>
      <c r="D976" s="221"/>
    </row>
    <row r="977">
      <c r="C977" s="104"/>
      <c r="D977" s="221"/>
    </row>
    <row r="978">
      <c r="C978" s="104"/>
      <c r="D978" s="221"/>
    </row>
    <row r="979">
      <c r="C979" s="104"/>
      <c r="D979" s="221"/>
    </row>
    <row r="980">
      <c r="C980" s="104"/>
      <c r="D980" s="221"/>
    </row>
    <row r="981">
      <c r="C981" s="104"/>
      <c r="D981" s="221"/>
    </row>
    <row r="982">
      <c r="C982" s="104"/>
      <c r="D982" s="221"/>
    </row>
    <row r="983">
      <c r="C983" s="104"/>
      <c r="D983" s="221"/>
    </row>
    <row r="984">
      <c r="C984" s="104"/>
      <c r="D984" s="221"/>
    </row>
    <row r="985">
      <c r="C985" s="104"/>
      <c r="D985" s="221"/>
    </row>
    <row r="986">
      <c r="C986" s="104"/>
      <c r="D986" s="221"/>
    </row>
    <row r="987">
      <c r="C987" s="104"/>
      <c r="D987" s="221"/>
    </row>
    <row r="988">
      <c r="C988" s="104"/>
      <c r="D988" s="221"/>
    </row>
    <row r="989">
      <c r="C989" s="104"/>
      <c r="D989" s="221"/>
    </row>
    <row r="990">
      <c r="C990" s="104"/>
      <c r="D990" s="221"/>
    </row>
    <row r="991">
      <c r="C991" s="104"/>
      <c r="D991" s="221"/>
    </row>
    <row r="992">
      <c r="C992" s="104"/>
      <c r="D992" s="221"/>
    </row>
    <row r="993">
      <c r="C993" s="104"/>
      <c r="D993" s="221"/>
    </row>
    <row r="994">
      <c r="C994" s="104"/>
      <c r="D994" s="221"/>
    </row>
    <row r="995">
      <c r="C995" s="104"/>
      <c r="D995" s="221"/>
    </row>
    <row r="996">
      <c r="C996" s="104"/>
      <c r="D996" s="221"/>
    </row>
    <row r="997">
      <c r="C997" s="104"/>
      <c r="D997" s="221"/>
    </row>
    <row r="998">
      <c r="C998" s="104"/>
      <c r="D998" s="221"/>
    </row>
    <row r="999">
      <c r="C999" s="104"/>
      <c r="D999" s="221"/>
    </row>
    <row r="1000">
      <c r="C1000" s="104"/>
      <c r="D1000" s="221"/>
    </row>
  </sheetData>
  <autoFilter ref="$B$1:$Q$12"/>
  <mergeCells count="2">
    <mergeCell ref="D1:L1"/>
    <mergeCell ref="M1:N1"/>
  </mergeCells>
  <conditionalFormatting sqref="L3:L178 N3:N178">
    <cfRule type="cellIs" dxfId="12" priority="1" operator="lessThan">
      <formula>0</formula>
    </cfRule>
  </conditionalFormatting>
  <conditionalFormatting sqref="L3:L178 N3:N178">
    <cfRule type="cellIs" dxfId="5" priority="2" operator="greaterThan">
      <formula>0</formula>
    </cfRule>
  </conditionalFormatting>
  <conditionalFormatting sqref="L3:L178 N3:N178">
    <cfRule type="notContainsBlanks" dxfId="13" priority="3">
      <formula>LEN(TRIM(L3))&gt;0</formula>
    </cfRule>
  </conditionalFormatting>
  <conditionalFormatting sqref="L3:L178 N3:N178">
    <cfRule type="containsBlanks" dxfId="4" priority="4">
      <formula>LEN(TRIM(L3))=0</formula>
    </cfRule>
  </conditionalFormatting>
  <conditionalFormatting sqref="K3:K178">
    <cfRule type="cellIs" dxfId="14" priority="5" operator="lessThan">
      <formula>0</formula>
    </cfRule>
  </conditionalFormatting>
  <conditionalFormatting sqref="M3:M178">
    <cfRule type="containsBlanks" dxfId="15" priority="6">
      <formula>LEN(TRIM(M3))=0</formula>
    </cfRule>
  </conditionalFormatting>
  <conditionalFormatting sqref="I3:I178">
    <cfRule type="notContainsBlanks" dxfId="5" priority="7">
      <formula>LEN(TRIM(I3))&gt;0</formula>
    </cfRule>
  </conditionalFormatting>
  <dataValidations>
    <dataValidation type="list" allowBlank="1" showErrorMessage="1" sqref="I3:I178">
      <formula1>LEGEND!$A$2:$A$5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6.63"/>
    <col customWidth="1" min="3" max="7" width="26.63"/>
    <col customWidth="1" min="8" max="8" width="16.5"/>
    <col customWidth="1" min="9" max="9" width="34.0"/>
    <col customWidth="1" min="10" max="10" width="22.25"/>
    <col customWidth="1" min="11" max="27" width="26.63"/>
  </cols>
  <sheetData>
    <row r="1">
      <c r="A1" s="177" t="s">
        <v>4</v>
      </c>
      <c r="B1" s="177" t="s">
        <v>42</v>
      </c>
      <c r="C1" s="178" t="s">
        <v>65</v>
      </c>
      <c r="D1" s="178" t="s">
        <v>66</v>
      </c>
      <c r="E1" s="178" t="s">
        <v>67</v>
      </c>
      <c r="F1" s="179" t="s">
        <v>68</v>
      </c>
      <c r="G1" s="178" t="s">
        <v>69</v>
      </c>
      <c r="H1" s="178" t="s">
        <v>70</v>
      </c>
      <c r="I1" s="180" t="s">
        <v>71</v>
      </c>
      <c r="J1" s="180" t="s">
        <v>72</v>
      </c>
      <c r="K1" s="180" t="s">
        <v>73</v>
      </c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</row>
    <row r="2" ht="24.0" customHeight="1">
      <c r="A2" s="182">
        <f>IFERROR(__xludf.DUMMYFUNCTION("FILTER(BUY_OCT!H2:I999,BUY_OCT!H2:H999&lt;&gt;"""")"),46297.0)</f>
        <v>46297</v>
      </c>
      <c r="B2" s="183">
        <f>IFERROR(__xludf.DUMMYFUNCTION("""COMPUTED_VALUE"""),1.0)</f>
        <v>1</v>
      </c>
      <c r="C2" s="183" t="str">
        <f t="shared" ref="C2:C110" si="1">IF(B2="","","INV-"&amp;TEXT(A2,"yyyymmdd")&amp;"-"&amp;B2)</f>
        <v>INV-20261002-1</v>
      </c>
      <c r="D2" s="183" t="s">
        <v>74</v>
      </c>
      <c r="E2" s="184" t="s">
        <v>75</v>
      </c>
      <c r="F2" s="185">
        <f t="shared" ref="F2:F110" si="2">A2</f>
        <v>46297</v>
      </c>
      <c r="G2" s="186">
        <f t="shared" ref="G2:G110" si="3">A2</f>
        <v>46297</v>
      </c>
      <c r="H2" s="183" t="s">
        <v>76</v>
      </c>
      <c r="I2" s="188">
        <f>IFERROR(__xludf.DUMMYFUNCTION("FILTER(BUY_OCT!J2:L999,BUY_OCT!J2:J999&lt;&gt;"""")"),112051.57)</f>
        <v>112051.57</v>
      </c>
      <c r="J2" s="189">
        <f>IFERROR(__xludf.DUMMYFUNCTION("""COMPUTED_VALUE"""),1.9990000088000002E9)</f>
        <v>1999000009</v>
      </c>
      <c r="K2" s="190">
        <f>IFERROR(__xludf.DUMMYFUNCTION("""COMPUTED_VALUE"""),17840.0)</f>
        <v>17840</v>
      </c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</row>
    <row r="3" ht="24.0" customHeight="1">
      <c r="A3" s="186">
        <f>IFERROR(__xludf.DUMMYFUNCTION("""COMPUTED_VALUE"""),46297.0)</f>
        <v>46297</v>
      </c>
      <c r="B3" s="192">
        <f>IFERROR(__xludf.DUMMYFUNCTION("""COMPUTED_VALUE"""),2.0)</f>
        <v>2</v>
      </c>
      <c r="C3" s="183" t="str">
        <f t="shared" si="1"/>
        <v>INV-20261002-2</v>
      </c>
      <c r="D3" s="183" t="s">
        <v>74</v>
      </c>
      <c r="E3" s="184" t="s">
        <v>75</v>
      </c>
      <c r="F3" s="185">
        <f t="shared" si="2"/>
        <v>46297</v>
      </c>
      <c r="G3" s="186">
        <f t="shared" si="3"/>
        <v>46297</v>
      </c>
      <c r="H3" s="183" t="s">
        <v>76</v>
      </c>
      <c r="I3" s="188">
        <f>IFERROR(__xludf.DUMMYFUNCTION("""COMPUTED_VALUE"""),306436.73)</f>
        <v>306436.73</v>
      </c>
      <c r="J3" s="189">
        <f>IFERROR(__xludf.DUMMYFUNCTION("""COMPUTED_VALUE"""),5.4515094267E9)</f>
        <v>5451509427</v>
      </c>
      <c r="K3" s="190">
        <f>IFERROR(__xludf.DUMMYFUNCTION("""COMPUTED_VALUE"""),17790.0)</f>
        <v>17790</v>
      </c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</row>
    <row r="4" ht="24.0" customHeight="1">
      <c r="A4" s="186">
        <f>IFERROR(__xludf.DUMMYFUNCTION("""COMPUTED_VALUE"""),46297.0)</f>
        <v>46297</v>
      </c>
      <c r="B4" s="192">
        <f>IFERROR(__xludf.DUMMYFUNCTION("""COMPUTED_VALUE"""),3.0)</f>
        <v>3</v>
      </c>
      <c r="C4" s="183" t="str">
        <f t="shared" si="1"/>
        <v>INV-20261002-3</v>
      </c>
      <c r="D4" s="183" t="s">
        <v>74</v>
      </c>
      <c r="E4" s="184" t="s">
        <v>75</v>
      </c>
      <c r="F4" s="185">
        <f t="shared" si="2"/>
        <v>46297</v>
      </c>
      <c r="G4" s="186">
        <f t="shared" si="3"/>
        <v>46297</v>
      </c>
      <c r="H4" s="183" t="s">
        <v>76</v>
      </c>
      <c r="I4" s="188">
        <f>IFERROR(__xludf.DUMMYFUNCTION("""COMPUTED_VALUE"""),56178.0)</f>
        <v>56178</v>
      </c>
      <c r="J4" s="189">
        <f>IFERROR(__xludf.DUMMYFUNCTION("""COMPUTED_VALUE"""),9.999684E8)</f>
        <v>999968400</v>
      </c>
      <c r="K4" s="190">
        <f>IFERROR(__xludf.DUMMYFUNCTION("""COMPUTED_VALUE"""),17800.0)</f>
        <v>17800</v>
      </c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</row>
    <row r="5" ht="24.0" customHeight="1">
      <c r="A5" s="186">
        <f>IFERROR(__xludf.DUMMYFUNCTION("""COMPUTED_VALUE"""),46298.0)</f>
        <v>46298</v>
      </c>
      <c r="B5" s="192">
        <f>IFERROR(__xludf.DUMMYFUNCTION("""COMPUTED_VALUE"""),1.0)</f>
        <v>1</v>
      </c>
      <c r="C5" s="183" t="str">
        <f t="shared" si="1"/>
        <v>INV-20261003-1</v>
      </c>
      <c r="D5" s="183" t="s">
        <v>74</v>
      </c>
      <c r="E5" s="184" t="s">
        <v>75</v>
      </c>
      <c r="F5" s="185">
        <f t="shared" si="2"/>
        <v>46298</v>
      </c>
      <c r="G5" s="186">
        <f t="shared" si="3"/>
        <v>46298</v>
      </c>
      <c r="H5" s="183" t="s">
        <v>76</v>
      </c>
      <c r="I5" s="188">
        <f>IFERROR(__xludf.DUMMYFUNCTION("""COMPUTED_VALUE"""),13604.0)</f>
        <v>13604</v>
      </c>
      <c r="J5" s="189">
        <f>IFERROR(__xludf.DUMMYFUNCTION("""COMPUTED_VALUE"""),2.4221922E8)</f>
        <v>242219220</v>
      </c>
      <c r="K5" s="190">
        <f>IFERROR(__xludf.DUMMYFUNCTION("""COMPUTED_VALUE"""),17805.0)</f>
        <v>17805</v>
      </c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</row>
    <row r="6" ht="24.0" customHeight="1">
      <c r="A6" s="186">
        <f>IFERROR(__xludf.DUMMYFUNCTION("""COMPUTED_VALUE"""),46299.0)</f>
        <v>46299</v>
      </c>
      <c r="B6" s="192">
        <f>IFERROR(__xludf.DUMMYFUNCTION("""COMPUTED_VALUE"""),1.0)</f>
        <v>1</v>
      </c>
      <c r="C6" s="183" t="str">
        <f t="shared" si="1"/>
        <v>INV-20261004-1</v>
      </c>
      <c r="D6" s="183" t="s">
        <v>74</v>
      </c>
      <c r="E6" s="184" t="s">
        <v>75</v>
      </c>
      <c r="F6" s="185">
        <f t="shared" si="2"/>
        <v>46299</v>
      </c>
      <c r="G6" s="186">
        <f t="shared" si="3"/>
        <v>46299</v>
      </c>
      <c r="H6" s="183" t="s">
        <v>76</v>
      </c>
      <c r="I6" s="188">
        <f>IFERROR(__xludf.DUMMYFUNCTION("""COMPUTED_VALUE"""),140252.45)</f>
        <v>140252.45</v>
      </c>
      <c r="J6" s="189">
        <f>IFERROR(__xludf.DUMMYFUNCTION("""COMPUTED_VALUE"""),2.49999992125E9)</f>
        <v>2499999921</v>
      </c>
      <c r="K6" s="190">
        <f>IFERROR(__xludf.DUMMYFUNCTION("""COMPUTED_VALUE"""),17825.0)</f>
        <v>17825</v>
      </c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</row>
    <row r="7" ht="24.0" customHeight="1">
      <c r="A7" s="186">
        <f>IFERROR(__xludf.DUMMYFUNCTION("""COMPUTED_VALUE"""),46299.0)</f>
        <v>46299</v>
      </c>
      <c r="B7" s="192">
        <f>IFERROR(__xludf.DUMMYFUNCTION("""COMPUTED_VALUE"""),2.0)</f>
        <v>2</v>
      </c>
      <c r="C7" s="183" t="str">
        <f t="shared" si="1"/>
        <v>INV-20261004-2</v>
      </c>
      <c r="D7" s="183" t="s">
        <v>74</v>
      </c>
      <c r="E7" s="184" t="s">
        <v>75</v>
      </c>
      <c r="F7" s="185">
        <f t="shared" si="2"/>
        <v>46299</v>
      </c>
      <c r="G7" s="186">
        <f t="shared" si="3"/>
        <v>46299</v>
      </c>
      <c r="H7" s="183" t="s">
        <v>76</v>
      </c>
      <c r="I7" s="188">
        <f>IFERROR(__xludf.DUMMYFUNCTION("""COMPUTED_VALUE"""),25477.25)</f>
        <v>25477.25</v>
      </c>
      <c r="J7" s="189">
        <f>IFERROR(__xludf.DUMMYFUNCTION("""COMPUTED_VALUE"""),4.537498225E8)</f>
        <v>453749822.5</v>
      </c>
      <c r="K7" s="190">
        <f>IFERROR(__xludf.DUMMYFUNCTION("""COMPUTED_VALUE"""),17810.0)</f>
        <v>17810</v>
      </c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</row>
    <row r="8" ht="24.0" customHeight="1">
      <c r="A8" s="186">
        <f>IFERROR(__xludf.DUMMYFUNCTION("""COMPUTED_VALUE"""),46300.0)</f>
        <v>46300</v>
      </c>
      <c r="B8" s="192">
        <f>IFERROR(__xludf.DUMMYFUNCTION("""COMPUTED_VALUE"""),1.0)</f>
        <v>1</v>
      </c>
      <c r="C8" s="183" t="str">
        <f t="shared" si="1"/>
        <v>INV-20261005-1</v>
      </c>
      <c r="D8" s="183" t="s">
        <v>74</v>
      </c>
      <c r="E8" s="184" t="s">
        <v>75</v>
      </c>
      <c r="F8" s="185">
        <f t="shared" si="2"/>
        <v>46300</v>
      </c>
      <c r="G8" s="186">
        <f t="shared" si="3"/>
        <v>46300</v>
      </c>
      <c r="H8" s="183" t="s">
        <v>76</v>
      </c>
      <c r="I8" s="188">
        <f>IFERROR(__xludf.DUMMYFUNCTION("""COMPUTED_VALUE"""),101249.65)</f>
        <v>101249.65</v>
      </c>
      <c r="J8" s="189">
        <f>IFERROR(__xludf.DUMMYFUNCTION("""COMPUTED_VALUE"""),1.80680000425E9)</f>
        <v>1806800004</v>
      </c>
      <c r="K8" s="190">
        <f>IFERROR(__xludf.DUMMYFUNCTION("""COMPUTED_VALUE"""),17845.0)</f>
        <v>17845</v>
      </c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</row>
    <row r="9" ht="24.0" customHeight="1">
      <c r="A9" s="186">
        <f>IFERROR(__xludf.DUMMYFUNCTION("""COMPUTED_VALUE"""),46300.0)</f>
        <v>46300</v>
      </c>
      <c r="B9" s="192">
        <f>IFERROR(__xludf.DUMMYFUNCTION("""COMPUTED_VALUE"""),2.0)</f>
        <v>2</v>
      </c>
      <c r="C9" s="183" t="str">
        <f t="shared" si="1"/>
        <v>INV-20261005-2</v>
      </c>
      <c r="D9" s="183" t="s">
        <v>74</v>
      </c>
      <c r="E9" s="184" t="s">
        <v>75</v>
      </c>
      <c r="F9" s="185">
        <f t="shared" si="2"/>
        <v>46300</v>
      </c>
      <c r="G9" s="186">
        <f t="shared" si="3"/>
        <v>46300</v>
      </c>
      <c r="H9" s="183" t="s">
        <v>76</v>
      </c>
      <c r="I9" s="188">
        <f>IFERROR(__xludf.DUMMYFUNCTION("""COMPUTED_VALUE"""),22032.5)</f>
        <v>22032.5</v>
      </c>
      <c r="J9" s="189">
        <f>IFERROR(__xludf.DUMMYFUNCTION("""COMPUTED_VALUE"""),3.9350045E8)</f>
        <v>393500450</v>
      </c>
      <c r="K9" s="190">
        <f>IFERROR(__xludf.DUMMYFUNCTION("""COMPUTED_VALUE"""),17860.0)</f>
        <v>17860</v>
      </c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</row>
    <row r="10" ht="24.0" customHeight="1">
      <c r="A10" s="186">
        <f>IFERROR(__xludf.DUMMYFUNCTION("""COMPUTED_VALUE"""),46300.0)</f>
        <v>46300</v>
      </c>
      <c r="B10" s="192">
        <f>IFERROR(__xludf.DUMMYFUNCTION("""COMPUTED_VALUE"""),3.0)</f>
        <v>3</v>
      </c>
      <c r="C10" s="183" t="str">
        <f t="shared" si="1"/>
        <v>INV-20261005-3</v>
      </c>
      <c r="D10" s="183" t="s">
        <v>74</v>
      </c>
      <c r="E10" s="184" t="s">
        <v>75</v>
      </c>
      <c r="F10" s="185">
        <f t="shared" si="2"/>
        <v>46300</v>
      </c>
      <c r="G10" s="186">
        <f t="shared" si="3"/>
        <v>46300</v>
      </c>
      <c r="H10" s="183" t="s">
        <v>76</v>
      </c>
      <c r="I10" s="188">
        <f>IFERROR(__xludf.DUMMYFUNCTION("""COMPUTED_VALUE"""),126597.3)</f>
        <v>126597.3</v>
      </c>
      <c r="J10" s="189">
        <f>IFERROR(__xludf.DUMMYFUNCTION("""COMPUTED_VALUE"""),2.257229859E9)</f>
        <v>2257229859</v>
      </c>
      <c r="K10" s="190">
        <f>IFERROR(__xludf.DUMMYFUNCTION("""COMPUTED_VALUE"""),17830.0)</f>
        <v>17830</v>
      </c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</row>
    <row r="11" ht="24.0" customHeight="1">
      <c r="A11" s="186">
        <f>IFERROR(__xludf.DUMMYFUNCTION("""COMPUTED_VALUE"""),46300.0)</f>
        <v>46300</v>
      </c>
      <c r="B11" s="192">
        <f>IFERROR(__xludf.DUMMYFUNCTION("""COMPUTED_VALUE"""),4.0)</f>
        <v>4</v>
      </c>
      <c r="C11" s="183" t="str">
        <f t="shared" si="1"/>
        <v>INV-20261005-4</v>
      </c>
      <c r="D11" s="183" t="s">
        <v>74</v>
      </c>
      <c r="E11" s="184" t="s">
        <v>75</v>
      </c>
      <c r="F11" s="185">
        <f t="shared" si="2"/>
        <v>46300</v>
      </c>
      <c r="G11" s="186">
        <f t="shared" si="3"/>
        <v>46300</v>
      </c>
      <c r="H11" s="183" t="s">
        <v>76</v>
      </c>
      <c r="I11" s="188">
        <f>IFERROR(__xludf.DUMMYFUNCTION("""COMPUTED_VALUE"""),127558.12)</f>
        <v>127558.12</v>
      </c>
      <c r="J11" s="189">
        <f>IFERROR(__xludf.DUMMYFUNCTION("""COMPUTED_VALUE"""),2.2749990702E9)</f>
        <v>2274999070</v>
      </c>
      <c r="K11" s="190">
        <f>IFERROR(__xludf.DUMMYFUNCTION("""COMPUTED_VALUE"""),17835.0)</f>
        <v>17835</v>
      </c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</row>
    <row r="12" ht="24.0" customHeight="1">
      <c r="A12" s="186">
        <f>IFERROR(__xludf.DUMMYFUNCTION("""COMPUTED_VALUE"""),46300.0)</f>
        <v>46300</v>
      </c>
      <c r="B12" s="192">
        <f>IFERROR(__xludf.DUMMYFUNCTION("""COMPUTED_VALUE"""),5.0)</f>
        <v>5</v>
      </c>
      <c r="C12" s="183" t="str">
        <f t="shared" si="1"/>
        <v>INV-20261005-5</v>
      </c>
      <c r="D12" s="183" t="s">
        <v>74</v>
      </c>
      <c r="E12" s="184" t="s">
        <v>75</v>
      </c>
      <c r="F12" s="185">
        <f t="shared" si="2"/>
        <v>46300</v>
      </c>
      <c r="G12" s="186">
        <f t="shared" si="3"/>
        <v>46300</v>
      </c>
      <c r="H12" s="183" t="s">
        <v>76</v>
      </c>
      <c r="I12" s="188">
        <f>IFERROR(__xludf.DUMMYFUNCTION("""COMPUTED_VALUE"""),27486.25)</f>
        <v>27486.25</v>
      </c>
      <c r="J12" s="189">
        <f>IFERROR(__xludf.DUMMYFUNCTION("""COMPUTED_VALUE"""),4.903547E8)</f>
        <v>490354700</v>
      </c>
      <c r="K12" s="190">
        <f>IFERROR(__xludf.DUMMYFUNCTION("""COMPUTED_VALUE"""),17840.0)</f>
        <v>17840</v>
      </c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</row>
    <row r="13" ht="24.0" customHeight="1">
      <c r="A13" s="186">
        <f>IFERROR(__xludf.DUMMYFUNCTION("""COMPUTED_VALUE"""),46300.0)</f>
        <v>46300</v>
      </c>
      <c r="B13" s="192">
        <f>IFERROR(__xludf.DUMMYFUNCTION("""COMPUTED_VALUE"""),6.0)</f>
        <v>6</v>
      </c>
      <c r="C13" s="183" t="str">
        <f t="shared" si="1"/>
        <v>INV-20261005-6</v>
      </c>
      <c r="D13" s="183" t="s">
        <v>74</v>
      </c>
      <c r="E13" s="184" t="s">
        <v>75</v>
      </c>
      <c r="F13" s="185">
        <f t="shared" si="2"/>
        <v>46300</v>
      </c>
      <c r="G13" s="186">
        <f t="shared" si="3"/>
        <v>46300</v>
      </c>
      <c r="H13" s="183" t="s">
        <v>76</v>
      </c>
      <c r="I13" s="188">
        <f>IFERROR(__xludf.DUMMYFUNCTION("""COMPUTED_VALUE"""),56019.5)</f>
        <v>56019.5</v>
      </c>
      <c r="J13" s="189">
        <f>IFERROR(__xludf.DUMMYFUNCTION("""COMPUTED_VALUE"""),9.99499919E8)</f>
        <v>999499919</v>
      </c>
      <c r="K13" s="190">
        <f>IFERROR(__xludf.DUMMYFUNCTION("""COMPUTED_VALUE"""),17842.0)</f>
        <v>17842</v>
      </c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</row>
    <row r="14" ht="24.0" customHeight="1">
      <c r="A14" s="186">
        <f>IFERROR(__xludf.DUMMYFUNCTION("""COMPUTED_VALUE"""),46300.0)</f>
        <v>46300</v>
      </c>
      <c r="B14" s="192">
        <f>IFERROR(__xludf.DUMMYFUNCTION("""COMPUTED_VALUE"""),7.0)</f>
        <v>7</v>
      </c>
      <c r="C14" s="183" t="str">
        <f t="shared" si="1"/>
        <v>INV-20261005-7</v>
      </c>
      <c r="D14" s="183" t="s">
        <v>74</v>
      </c>
      <c r="E14" s="184" t="s">
        <v>75</v>
      </c>
      <c r="F14" s="185">
        <f t="shared" si="2"/>
        <v>46300</v>
      </c>
      <c r="G14" s="186">
        <f t="shared" si="3"/>
        <v>46300</v>
      </c>
      <c r="H14" s="183" t="s">
        <v>76</v>
      </c>
      <c r="I14" s="188">
        <f>IFERROR(__xludf.DUMMYFUNCTION("""COMPUTED_VALUE"""),77871.14)</f>
        <v>77871.14</v>
      </c>
      <c r="J14" s="189">
        <f>IFERROR(__xludf.DUMMYFUNCTION("""COMPUTED_VALUE"""),1.389999849E9)</f>
        <v>1389999849</v>
      </c>
      <c r="K14" s="190">
        <f>IFERROR(__xludf.DUMMYFUNCTION("""COMPUTED_VALUE"""),17850.0)</f>
        <v>17850</v>
      </c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</row>
    <row r="15" ht="24.0" customHeight="1">
      <c r="A15" s="186">
        <f>IFERROR(__xludf.DUMMYFUNCTION("""COMPUTED_VALUE"""),46310.0)</f>
        <v>46310</v>
      </c>
      <c r="B15" s="192"/>
      <c r="C15" s="183" t="str">
        <f t="shared" si="1"/>
        <v/>
      </c>
      <c r="D15" s="183" t="s">
        <v>74</v>
      </c>
      <c r="E15" s="184" t="s">
        <v>75</v>
      </c>
      <c r="F15" s="185">
        <f t="shared" si="2"/>
        <v>46310</v>
      </c>
      <c r="G15" s="186">
        <f t="shared" si="3"/>
        <v>46310</v>
      </c>
      <c r="H15" s="183" t="s">
        <v>76</v>
      </c>
      <c r="I15" s="188">
        <f>IFERROR(__xludf.DUMMYFUNCTION("""COMPUTED_VALUE"""),0.0)</f>
        <v>0</v>
      </c>
      <c r="J15" s="189">
        <f>IFERROR(__xludf.DUMMYFUNCTION("""COMPUTED_VALUE"""),0.0)</f>
        <v>0</v>
      </c>
      <c r="K15" s="190">
        <f>IFERROR(__xludf.DUMMYFUNCTION("""COMPUTED_VALUE"""),0.0)</f>
        <v>0</v>
      </c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</row>
    <row r="16" ht="24.0" customHeight="1">
      <c r="A16" s="186">
        <f>IFERROR(__xludf.DUMMYFUNCTION("""COMPUTED_VALUE"""),46311.0)</f>
        <v>46311</v>
      </c>
      <c r="B16" s="192"/>
      <c r="C16" s="183" t="str">
        <f t="shared" si="1"/>
        <v/>
      </c>
      <c r="D16" s="183" t="s">
        <v>74</v>
      </c>
      <c r="E16" s="184" t="s">
        <v>75</v>
      </c>
      <c r="F16" s="185">
        <f t="shared" si="2"/>
        <v>46311</v>
      </c>
      <c r="G16" s="186">
        <f t="shared" si="3"/>
        <v>46311</v>
      </c>
      <c r="H16" s="183" t="s">
        <v>76</v>
      </c>
      <c r="I16" s="188">
        <f>IFERROR(__xludf.DUMMYFUNCTION("""COMPUTED_VALUE"""),0.0)</f>
        <v>0</v>
      </c>
      <c r="J16" s="189">
        <f>IFERROR(__xludf.DUMMYFUNCTION("""COMPUTED_VALUE"""),0.0)</f>
        <v>0</v>
      </c>
      <c r="K16" s="190">
        <f>IFERROR(__xludf.DUMMYFUNCTION("""COMPUTED_VALUE"""),0.0)</f>
        <v>0</v>
      </c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</row>
    <row r="17" ht="24.0" customHeight="1">
      <c r="A17" s="186">
        <f>IFERROR(__xludf.DUMMYFUNCTION("""COMPUTED_VALUE"""),46312.0)</f>
        <v>46312</v>
      </c>
      <c r="B17" s="192"/>
      <c r="C17" s="183" t="str">
        <f t="shared" si="1"/>
        <v/>
      </c>
      <c r="D17" s="183" t="s">
        <v>74</v>
      </c>
      <c r="E17" s="184" t="s">
        <v>75</v>
      </c>
      <c r="F17" s="185">
        <f t="shared" si="2"/>
        <v>46312</v>
      </c>
      <c r="G17" s="186">
        <f t="shared" si="3"/>
        <v>46312</v>
      </c>
      <c r="H17" s="183" t="s">
        <v>76</v>
      </c>
      <c r="I17" s="188">
        <f>IFERROR(__xludf.DUMMYFUNCTION("""COMPUTED_VALUE"""),0.0)</f>
        <v>0</v>
      </c>
      <c r="J17" s="189">
        <f>IFERROR(__xludf.DUMMYFUNCTION("""COMPUTED_VALUE"""),0.0)</f>
        <v>0</v>
      </c>
      <c r="K17" s="190">
        <f>IFERROR(__xludf.DUMMYFUNCTION("""COMPUTED_VALUE"""),0.0)</f>
        <v>0</v>
      </c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</row>
    <row r="18" ht="24.0" customHeight="1">
      <c r="A18" s="186">
        <f>IFERROR(__xludf.DUMMYFUNCTION("""COMPUTED_VALUE"""),46313.0)</f>
        <v>46313</v>
      </c>
      <c r="B18" s="192"/>
      <c r="C18" s="183" t="str">
        <f t="shared" si="1"/>
        <v/>
      </c>
      <c r="D18" s="183" t="s">
        <v>74</v>
      </c>
      <c r="E18" s="184" t="s">
        <v>75</v>
      </c>
      <c r="F18" s="185">
        <f t="shared" si="2"/>
        <v>46313</v>
      </c>
      <c r="G18" s="186">
        <f t="shared" si="3"/>
        <v>46313</v>
      </c>
      <c r="H18" s="183" t="s">
        <v>76</v>
      </c>
      <c r="I18" s="188">
        <f>IFERROR(__xludf.DUMMYFUNCTION("""COMPUTED_VALUE"""),0.0)</f>
        <v>0</v>
      </c>
      <c r="J18" s="189">
        <f>IFERROR(__xludf.DUMMYFUNCTION("""COMPUTED_VALUE"""),0.0)</f>
        <v>0</v>
      </c>
      <c r="K18" s="190">
        <f>IFERROR(__xludf.DUMMYFUNCTION("""COMPUTED_VALUE"""),0.0)</f>
        <v>0</v>
      </c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</row>
    <row r="19" ht="24.0" customHeight="1">
      <c r="A19" s="186">
        <f>IFERROR(__xludf.DUMMYFUNCTION("""COMPUTED_VALUE"""),46314.0)</f>
        <v>46314</v>
      </c>
      <c r="B19" s="192"/>
      <c r="C19" s="183" t="str">
        <f t="shared" si="1"/>
        <v/>
      </c>
      <c r="D19" s="183" t="s">
        <v>74</v>
      </c>
      <c r="E19" s="184" t="s">
        <v>75</v>
      </c>
      <c r="F19" s="185">
        <f t="shared" si="2"/>
        <v>46314</v>
      </c>
      <c r="G19" s="186">
        <f t="shared" si="3"/>
        <v>46314</v>
      </c>
      <c r="H19" s="183" t="s">
        <v>76</v>
      </c>
      <c r="I19" s="188">
        <f>IFERROR(__xludf.DUMMYFUNCTION("""COMPUTED_VALUE"""),0.0)</f>
        <v>0</v>
      </c>
      <c r="J19" s="189">
        <f>IFERROR(__xludf.DUMMYFUNCTION("""COMPUTED_VALUE"""),0.0)</f>
        <v>0</v>
      </c>
      <c r="K19" s="190">
        <f>IFERROR(__xludf.DUMMYFUNCTION("""COMPUTED_VALUE"""),0.0)</f>
        <v>0</v>
      </c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</row>
    <row r="20" ht="24.0" customHeight="1">
      <c r="A20" s="186">
        <f>IFERROR(__xludf.DUMMYFUNCTION("""COMPUTED_VALUE"""),46315.0)</f>
        <v>46315</v>
      </c>
      <c r="B20" s="192"/>
      <c r="C20" s="183" t="str">
        <f t="shared" si="1"/>
        <v/>
      </c>
      <c r="D20" s="183" t="s">
        <v>74</v>
      </c>
      <c r="E20" s="184" t="s">
        <v>75</v>
      </c>
      <c r="F20" s="185">
        <f t="shared" si="2"/>
        <v>46315</v>
      </c>
      <c r="G20" s="186">
        <f t="shared" si="3"/>
        <v>46315</v>
      </c>
      <c r="H20" s="183" t="s">
        <v>76</v>
      </c>
      <c r="I20" s="188">
        <f>IFERROR(__xludf.DUMMYFUNCTION("""COMPUTED_VALUE"""),0.0)</f>
        <v>0</v>
      </c>
      <c r="J20" s="189">
        <f>IFERROR(__xludf.DUMMYFUNCTION("""COMPUTED_VALUE"""),0.0)</f>
        <v>0</v>
      </c>
      <c r="K20" s="190">
        <f>IFERROR(__xludf.DUMMYFUNCTION("""COMPUTED_VALUE"""),0.0)</f>
        <v>0</v>
      </c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</row>
    <row r="21" ht="24.0" customHeight="1">
      <c r="A21" s="186">
        <f>IFERROR(__xludf.DUMMYFUNCTION("""COMPUTED_VALUE"""),46316.0)</f>
        <v>46316</v>
      </c>
      <c r="B21" s="192"/>
      <c r="C21" s="183" t="str">
        <f t="shared" si="1"/>
        <v/>
      </c>
      <c r="D21" s="183" t="s">
        <v>74</v>
      </c>
      <c r="E21" s="184" t="s">
        <v>75</v>
      </c>
      <c r="F21" s="185">
        <f t="shared" si="2"/>
        <v>46316</v>
      </c>
      <c r="G21" s="186">
        <f t="shared" si="3"/>
        <v>46316</v>
      </c>
      <c r="H21" s="183" t="s">
        <v>76</v>
      </c>
      <c r="I21" s="188">
        <f>IFERROR(__xludf.DUMMYFUNCTION("""COMPUTED_VALUE"""),0.0)</f>
        <v>0</v>
      </c>
      <c r="J21" s="189">
        <f>IFERROR(__xludf.DUMMYFUNCTION("""COMPUTED_VALUE"""),0.0)</f>
        <v>0</v>
      </c>
      <c r="K21" s="190">
        <f>IFERROR(__xludf.DUMMYFUNCTION("""COMPUTED_VALUE"""),0.0)</f>
        <v>0</v>
      </c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</row>
    <row r="22" ht="24.0" customHeight="1">
      <c r="A22" s="186">
        <f>IFERROR(__xludf.DUMMYFUNCTION("""COMPUTED_VALUE"""),46317.0)</f>
        <v>46317</v>
      </c>
      <c r="B22" s="192"/>
      <c r="C22" s="183" t="str">
        <f t="shared" si="1"/>
        <v/>
      </c>
      <c r="D22" s="183" t="s">
        <v>74</v>
      </c>
      <c r="E22" s="184" t="s">
        <v>75</v>
      </c>
      <c r="F22" s="185">
        <f t="shared" si="2"/>
        <v>46317</v>
      </c>
      <c r="G22" s="186">
        <f t="shared" si="3"/>
        <v>46317</v>
      </c>
      <c r="H22" s="183" t="s">
        <v>76</v>
      </c>
      <c r="I22" s="188">
        <f>IFERROR(__xludf.DUMMYFUNCTION("""COMPUTED_VALUE"""),0.0)</f>
        <v>0</v>
      </c>
      <c r="J22" s="189">
        <f>IFERROR(__xludf.DUMMYFUNCTION("""COMPUTED_VALUE"""),0.0)</f>
        <v>0</v>
      </c>
      <c r="K22" s="190">
        <f>IFERROR(__xludf.DUMMYFUNCTION("""COMPUTED_VALUE"""),0.0)</f>
        <v>0</v>
      </c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</row>
    <row r="23" ht="24.0" customHeight="1">
      <c r="A23" s="186">
        <f>IFERROR(__xludf.DUMMYFUNCTION("""COMPUTED_VALUE"""),46318.0)</f>
        <v>46318</v>
      </c>
      <c r="B23" s="192"/>
      <c r="C23" s="183" t="str">
        <f t="shared" si="1"/>
        <v/>
      </c>
      <c r="D23" s="183" t="s">
        <v>74</v>
      </c>
      <c r="E23" s="184" t="s">
        <v>75</v>
      </c>
      <c r="F23" s="185">
        <f t="shared" si="2"/>
        <v>46318</v>
      </c>
      <c r="G23" s="186">
        <f t="shared" si="3"/>
        <v>46318</v>
      </c>
      <c r="H23" s="183" t="s">
        <v>76</v>
      </c>
      <c r="I23" s="188">
        <f>IFERROR(__xludf.DUMMYFUNCTION("""COMPUTED_VALUE"""),0.0)</f>
        <v>0</v>
      </c>
      <c r="J23" s="189">
        <f>IFERROR(__xludf.DUMMYFUNCTION("""COMPUTED_VALUE"""),0.0)</f>
        <v>0</v>
      </c>
      <c r="K23" s="190">
        <f>IFERROR(__xludf.DUMMYFUNCTION("""COMPUTED_VALUE"""),0.0)</f>
        <v>0</v>
      </c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</row>
    <row r="24" ht="24.0" customHeight="1">
      <c r="A24" s="186">
        <f>IFERROR(__xludf.DUMMYFUNCTION("""COMPUTED_VALUE"""),46319.0)</f>
        <v>46319</v>
      </c>
      <c r="B24" s="192"/>
      <c r="C24" s="183" t="str">
        <f t="shared" si="1"/>
        <v/>
      </c>
      <c r="D24" s="183" t="s">
        <v>74</v>
      </c>
      <c r="E24" s="184" t="s">
        <v>75</v>
      </c>
      <c r="F24" s="185">
        <f t="shared" si="2"/>
        <v>46319</v>
      </c>
      <c r="G24" s="186">
        <f t="shared" si="3"/>
        <v>46319</v>
      </c>
      <c r="H24" s="183" t="s">
        <v>76</v>
      </c>
      <c r="I24" s="188">
        <f>IFERROR(__xludf.DUMMYFUNCTION("""COMPUTED_VALUE"""),0.0)</f>
        <v>0</v>
      </c>
      <c r="J24" s="189">
        <f>IFERROR(__xludf.DUMMYFUNCTION("""COMPUTED_VALUE"""),0.0)</f>
        <v>0</v>
      </c>
      <c r="K24" s="190">
        <f>IFERROR(__xludf.DUMMYFUNCTION("""COMPUTED_VALUE"""),0.0)</f>
        <v>0</v>
      </c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</row>
    <row r="25" ht="24.0" customHeight="1">
      <c r="A25" s="186">
        <f>IFERROR(__xludf.DUMMYFUNCTION("""COMPUTED_VALUE"""),46320.0)</f>
        <v>46320</v>
      </c>
      <c r="B25" s="192"/>
      <c r="C25" s="183" t="str">
        <f t="shared" si="1"/>
        <v/>
      </c>
      <c r="D25" s="183" t="s">
        <v>74</v>
      </c>
      <c r="E25" s="184" t="s">
        <v>75</v>
      </c>
      <c r="F25" s="185">
        <f t="shared" si="2"/>
        <v>46320</v>
      </c>
      <c r="G25" s="186">
        <f t="shared" si="3"/>
        <v>46320</v>
      </c>
      <c r="H25" s="183" t="s">
        <v>76</v>
      </c>
      <c r="I25" s="188">
        <f>IFERROR(__xludf.DUMMYFUNCTION("""COMPUTED_VALUE"""),0.0)</f>
        <v>0</v>
      </c>
      <c r="J25" s="189">
        <f>IFERROR(__xludf.DUMMYFUNCTION("""COMPUTED_VALUE"""),0.0)</f>
        <v>0</v>
      </c>
      <c r="K25" s="190">
        <f>IFERROR(__xludf.DUMMYFUNCTION("""COMPUTED_VALUE"""),0.0)</f>
        <v>0</v>
      </c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</row>
    <row r="26" ht="24.0" customHeight="1">
      <c r="A26" s="186">
        <f>IFERROR(__xludf.DUMMYFUNCTION("""COMPUTED_VALUE"""),46321.0)</f>
        <v>46321</v>
      </c>
      <c r="B26" s="192"/>
      <c r="C26" s="183" t="str">
        <f t="shared" si="1"/>
        <v/>
      </c>
      <c r="D26" s="183" t="s">
        <v>74</v>
      </c>
      <c r="E26" s="184" t="s">
        <v>75</v>
      </c>
      <c r="F26" s="185">
        <f t="shared" si="2"/>
        <v>46321</v>
      </c>
      <c r="G26" s="186">
        <f t="shared" si="3"/>
        <v>46321</v>
      </c>
      <c r="H26" s="183" t="s">
        <v>76</v>
      </c>
      <c r="I26" s="188">
        <f>IFERROR(__xludf.DUMMYFUNCTION("""COMPUTED_VALUE"""),0.0)</f>
        <v>0</v>
      </c>
      <c r="J26" s="189">
        <f>IFERROR(__xludf.DUMMYFUNCTION("""COMPUTED_VALUE"""),0.0)</f>
        <v>0</v>
      </c>
      <c r="K26" s="190">
        <f>IFERROR(__xludf.DUMMYFUNCTION("""COMPUTED_VALUE"""),0.0)</f>
        <v>0</v>
      </c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</row>
    <row r="27" ht="24.0" customHeight="1">
      <c r="A27" s="186">
        <f>IFERROR(__xludf.DUMMYFUNCTION("""COMPUTED_VALUE"""),46322.0)</f>
        <v>46322</v>
      </c>
      <c r="B27" s="192"/>
      <c r="C27" s="183" t="str">
        <f t="shared" si="1"/>
        <v/>
      </c>
      <c r="D27" s="183" t="s">
        <v>74</v>
      </c>
      <c r="E27" s="184" t="s">
        <v>75</v>
      </c>
      <c r="F27" s="185">
        <f t="shared" si="2"/>
        <v>46322</v>
      </c>
      <c r="G27" s="186">
        <f t="shared" si="3"/>
        <v>46322</v>
      </c>
      <c r="H27" s="183" t="s">
        <v>76</v>
      </c>
      <c r="I27" s="188">
        <f>IFERROR(__xludf.DUMMYFUNCTION("""COMPUTED_VALUE"""),0.0)</f>
        <v>0</v>
      </c>
      <c r="J27" s="189">
        <f>IFERROR(__xludf.DUMMYFUNCTION("""COMPUTED_VALUE"""),0.0)</f>
        <v>0</v>
      </c>
      <c r="K27" s="190">
        <f>IFERROR(__xludf.DUMMYFUNCTION("""COMPUTED_VALUE"""),0.0)</f>
        <v>0</v>
      </c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</row>
    <row r="28" ht="24.0" customHeight="1">
      <c r="A28" s="186">
        <f>IFERROR(__xludf.DUMMYFUNCTION("""COMPUTED_VALUE"""),46323.0)</f>
        <v>46323</v>
      </c>
      <c r="B28" s="192"/>
      <c r="C28" s="183" t="str">
        <f t="shared" si="1"/>
        <v/>
      </c>
      <c r="D28" s="183" t="s">
        <v>74</v>
      </c>
      <c r="E28" s="184" t="s">
        <v>75</v>
      </c>
      <c r="F28" s="185">
        <f t="shared" si="2"/>
        <v>46323</v>
      </c>
      <c r="G28" s="186">
        <f t="shared" si="3"/>
        <v>46323</v>
      </c>
      <c r="H28" s="183" t="s">
        <v>76</v>
      </c>
      <c r="I28" s="188">
        <f>IFERROR(__xludf.DUMMYFUNCTION("""COMPUTED_VALUE"""),0.0)</f>
        <v>0</v>
      </c>
      <c r="J28" s="189">
        <f>IFERROR(__xludf.DUMMYFUNCTION("""COMPUTED_VALUE"""),0.0)</f>
        <v>0</v>
      </c>
      <c r="K28" s="190">
        <f>IFERROR(__xludf.DUMMYFUNCTION("""COMPUTED_VALUE"""),0.0)</f>
        <v>0</v>
      </c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</row>
    <row r="29" ht="24.0" customHeight="1">
      <c r="A29" s="186">
        <f>IFERROR(__xludf.DUMMYFUNCTION("""COMPUTED_VALUE"""),46324.0)</f>
        <v>46324</v>
      </c>
      <c r="B29" s="192"/>
      <c r="C29" s="183" t="str">
        <f t="shared" si="1"/>
        <v/>
      </c>
      <c r="D29" s="183" t="s">
        <v>74</v>
      </c>
      <c r="E29" s="184" t="s">
        <v>75</v>
      </c>
      <c r="F29" s="185">
        <f t="shared" si="2"/>
        <v>46324</v>
      </c>
      <c r="G29" s="186">
        <f t="shared" si="3"/>
        <v>46324</v>
      </c>
      <c r="H29" s="183" t="s">
        <v>76</v>
      </c>
      <c r="I29" s="188">
        <f>IFERROR(__xludf.DUMMYFUNCTION("""COMPUTED_VALUE"""),0.0)</f>
        <v>0</v>
      </c>
      <c r="J29" s="189">
        <f>IFERROR(__xludf.DUMMYFUNCTION("""COMPUTED_VALUE"""),0.0)</f>
        <v>0</v>
      </c>
      <c r="K29" s="190">
        <f>IFERROR(__xludf.DUMMYFUNCTION("""COMPUTED_VALUE"""),0.0)</f>
        <v>0</v>
      </c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</row>
    <row r="30" ht="24.0" customHeight="1">
      <c r="A30" s="186">
        <f>IFERROR(__xludf.DUMMYFUNCTION("""COMPUTED_VALUE"""),46325.0)</f>
        <v>46325</v>
      </c>
      <c r="B30" s="192"/>
      <c r="C30" s="183" t="str">
        <f t="shared" si="1"/>
        <v/>
      </c>
      <c r="D30" s="183" t="s">
        <v>74</v>
      </c>
      <c r="E30" s="184" t="s">
        <v>75</v>
      </c>
      <c r="F30" s="185">
        <f t="shared" si="2"/>
        <v>46325</v>
      </c>
      <c r="G30" s="186">
        <f t="shared" si="3"/>
        <v>46325</v>
      </c>
      <c r="H30" s="183" t="s">
        <v>76</v>
      </c>
      <c r="I30" s="188">
        <f>IFERROR(__xludf.DUMMYFUNCTION("""COMPUTED_VALUE"""),0.0)</f>
        <v>0</v>
      </c>
      <c r="J30" s="189">
        <f>IFERROR(__xludf.DUMMYFUNCTION("""COMPUTED_VALUE"""),0.0)</f>
        <v>0</v>
      </c>
      <c r="K30" s="190">
        <f>IFERROR(__xludf.DUMMYFUNCTION("""COMPUTED_VALUE"""),0.0)</f>
        <v>0</v>
      </c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</row>
    <row r="31" ht="24.0" customHeight="1">
      <c r="A31" s="186">
        <f>IFERROR(__xludf.DUMMYFUNCTION("""COMPUTED_VALUE"""),46326.0)</f>
        <v>46326</v>
      </c>
      <c r="B31" s="192"/>
      <c r="C31" s="183" t="str">
        <f t="shared" si="1"/>
        <v/>
      </c>
      <c r="D31" s="183" t="s">
        <v>74</v>
      </c>
      <c r="E31" s="184" t="s">
        <v>75</v>
      </c>
      <c r="F31" s="185">
        <f t="shared" si="2"/>
        <v>46326</v>
      </c>
      <c r="G31" s="186">
        <f t="shared" si="3"/>
        <v>46326</v>
      </c>
      <c r="H31" s="183" t="s">
        <v>76</v>
      </c>
      <c r="I31" s="188">
        <f>IFERROR(__xludf.DUMMYFUNCTION("""COMPUTED_VALUE"""),0.0)</f>
        <v>0</v>
      </c>
      <c r="J31" s="189">
        <f>IFERROR(__xludf.DUMMYFUNCTION("""COMPUTED_VALUE"""),0.0)</f>
        <v>0</v>
      </c>
      <c r="K31" s="190">
        <f>IFERROR(__xludf.DUMMYFUNCTION("""COMPUTED_VALUE"""),0.0)</f>
        <v>0</v>
      </c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</row>
    <row r="32" ht="24.0" customHeight="1">
      <c r="A32" s="192"/>
      <c r="B32" s="192"/>
      <c r="C32" s="183" t="str">
        <f t="shared" si="1"/>
        <v/>
      </c>
      <c r="D32" s="183" t="s">
        <v>74</v>
      </c>
      <c r="E32" s="184" t="s">
        <v>75</v>
      </c>
      <c r="F32" s="185" t="str">
        <f t="shared" si="2"/>
        <v/>
      </c>
      <c r="G32" s="192" t="str">
        <f t="shared" si="3"/>
        <v/>
      </c>
      <c r="H32" s="183" t="s">
        <v>76</v>
      </c>
      <c r="I32" s="188">
        <f>IFERROR(__xludf.DUMMYFUNCTION("""COMPUTED_VALUE"""),0.0)</f>
        <v>0</v>
      </c>
      <c r="J32" s="189">
        <f>IFERROR(__xludf.DUMMYFUNCTION("""COMPUTED_VALUE"""),0.0)</f>
        <v>0</v>
      </c>
      <c r="K32" s="190">
        <f>IFERROR(__xludf.DUMMYFUNCTION("""COMPUTED_VALUE"""),0.0)</f>
        <v>0</v>
      </c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</row>
    <row r="33" ht="24.0" customHeight="1">
      <c r="A33" s="192"/>
      <c r="B33" s="192"/>
      <c r="C33" s="183" t="str">
        <f t="shared" si="1"/>
        <v/>
      </c>
      <c r="D33" s="183" t="s">
        <v>74</v>
      </c>
      <c r="E33" s="184" t="s">
        <v>75</v>
      </c>
      <c r="F33" s="185" t="str">
        <f t="shared" si="2"/>
        <v/>
      </c>
      <c r="G33" s="192" t="str">
        <f t="shared" si="3"/>
        <v/>
      </c>
      <c r="H33" s="183" t="s">
        <v>76</v>
      </c>
      <c r="I33" s="188">
        <f>IFERROR(__xludf.DUMMYFUNCTION("""COMPUTED_VALUE"""),0.0)</f>
        <v>0</v>
      </c>
      <c r="J33" s="189">
        <f>IFERROR(__xludf.DUMMYFUNCTION("""COMPUTED_VALUE"""),0.0)</f>
        <v>0</v>
      </c>
      <c r="K33" s="190">
        <f>IFERROR(__xludf.DUMMYFUNCTION("""COMPUTED_VALUE"""),0.0)</f>
        <v>0</v>
      </c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</row>
    <row r="34" ht="24.0" customHeight="1">
      <c r="A34" s="192"/>
      <c r="B34" s="192"/>
      <c r="C34" s="183" t="str">
        <f t="shared" si="1"/>
        <v/>
      </c>
      <c r="D34" s="183" t="s">
        <v>74</v>
      </c>
      <c r="E34" s="184" t="s">
        <v>75</v>
      </c>
      <c r="F34" s="185" t="str">
        <f t="shared" si="2"/>
        <v/>
      </c>
      <c r="G34" s="192" t="str">
        <f t="shared" si="3"/>
        <v/>
      </c>
      <c r="H34" s="183" t="s">
        <v>76</v>
      </c>
      <c r="I34" s="188">
        <f>IFERROR(__xludf.DUMMYFUNCTION("""COMPUTED_VALUE"""),0.0)</f>
        <v>0</v>
      </c>
      <c r="J34" s="189">
        <f>IFERROR(__xludf.DUMMYFUNCTION("""COMPUTED_VALUE"""),0.0)</f>
        <v>0</v>
      </c>
      <c r="K34" s="190">
        <f>IFERROR(__xludf.DUMMYFUNCTION("""COMPUTED_VALUE"""),0.0)</f>
        <v>0</v>
      </c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</row>
    <row r="35" ht="24.0" customHeight="1">
      <c r="A35" s="192"/>
      <c r="B35" s="192"/>
      <c r="C35" s="183" t="str">
        <f t="shared" si="1"/>
        <v/>
      </c>
      <c r="D35" s="183" t="s">
        <v>74</v>
      </c>
      <c r="E35" s="184" t="s">
        <v>75</v>
      </c>
      <c r="F35" s="185" t="str">
        <f t="shared" si="2"/>
        <v/>
      </c>
      <c r="G35" s="192" t="str">
        <f t="shared" si="3"/>
        <v/>
      </c>
      <c r="H35" s="183" t="s">
        <v>76</v>
      </c>
      <c r="I35" s="188">
        <f>IFERROR(__xludf.DUMMYFUNCTION("""COMPUTED_VALUE"""),0.0)</f>
        <v>0</v>
      </c>
      <c r="J35" s="189">
        <f>IFERROR(__xludf.DUMMYFUNCTION("""COMPUTED_VALUE"""),0.0)</f>
        <v>0</v>
      </c>
      <c r="K35" s="190">
        <f>IFERROR(__xludf.DUMMYFUNCTION("""COMPUTED_VALUE"""),0.0)</f>
        <v>0</v>
      </c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</row>
    <row r="36" ht="24.0" customHeight="1">
      <c r="A36" s="192"/>
      <c r="B36" s="192"/>
      <c r="C36" s="183" t="str">
        <f t="shared" si="1"/>
        <v/>
      </c>
      <c r="D36" s="183" t="s">
        <v>74</v>
      </c>
      <c r="E36" s="184" t="s">
        <v>75</v>
      </c>
      <c r="F36" s="185" t="str">
        <f t="shared" si="2"/>
        <v/>
      </c>
      <c r="G36" s="192" t="str">
        <f t="shared" si="3"/>
        <v/>
      </c>
      <c r="H36" s="183" t="s">
        <v>76</v>
      </c>
      <c r="I36" s="188">
        <f>IFERROR(__xludf.DUMMYFUNCTION("""COMPUTED_VALUE"""),0.0)</f>
        <v>0</v>
      </c>
      <c r="J36" s="189">
        <f>IFERROR(__xludf.DUMMYFUNCTION("""COMPUTED_VALUE"""),0.0)</f>
        <v>0</v>
      </c>
      <c r="K36" s="190">
        <f>IFERROR(__xludf.DUMMYFUNCTION("""COMPUTED_VALUE"""),0.0)</f>
        <v>0</v>
      </c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</row>
    <row r="37" ht="24.0" customHeight="1">
      <c r="A37" s="192"/>
      <c r="B37" s="192"/>
      <c r="C37" s="183" t="str">
        <f t="shared" si="1"/>
        <v/>
      </c>
      <c r="D37" s="183" t="s">
        <v>74</v>
      </c>
      <c r="E37" s="184" t="s">
        <v>75</v>
      </c>
      <c r="F37" s="185" t="str">
        <f t="shared" si="2"/>
        <v/>
      </c>
      <c r="G37" s="192" t="str">
        <f t="shared" si="3"/>
        <v/>
      </c>
      <c r="H37" s="183" t="s">
        <v>76</v>
      </c>
      <c r="I37" s="188">
        <f>IFERROR(__xludf.DUMMYFUNCTION("""COMPUTED_VALUE"""),0.0)</f>
        <v>0</v>
      </c>
      <c r="J37" s="189">
        <f>IFERROR(__xludf.DUMMYFUNCTION("""COMPUTED_VALUE"""),0.0)</f>
        <v>0</v>
      </c>
      <c r="K37" s="190">
        <f>IFERROR(__xludf.DUMMYFUNCTION("""COMPUTED_VALUE"""),0.0)</f>
        <v>0</v>
      </c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</row>
    <row r="38" ht="24.0" customHeight="1">
      <c r="A38" s="192"/>
      <c r="B38" s="192"/>
      <c r="C38" s="183" t="str">
        <f t="shared" si="1"/>
        <v/>
      </c>
      <c r="D38" s="183" t="s">
        <v>74</v>
      </c>
      <c r="E38" s="184" t="s">
        <v>75</v>
      </c>
      <c r="F38" s="185" t="str">
        <f t="shared" si="2"/>
        <v/>
      </c>
      <c r="G38" s="192" t="str">
        <f t="shared" si="3"/>
        <v/>
      </c>
      <c r="H38" s="183" t="s">
        <v>76</v>
      </c>
      <c r="I38" s="188">
        <f>IFERROR(__xludf.DUMMYFUNCTION("""COMPUTED_VALUE"""),0.0)</f>
        <v>0</v>
      </c>
      <c r="J38" s="189">
        <f>IFERROR(__xludf.DUMMYFUNCTION("""COMPUTED_VALUE"""),0.0)</f>
        <v>0</v>
      </c>
      <c r="K38" s="190">
        <f>IFERROR(__xludf.DUMMYFUNCTION("""COMPUTED_VALUE"""),0.0)</f>
        <v>0</v>
      </c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</row>
    <row r="39" ht="24.0" customHeight="1">
      <c r="A39" s="192"/>
      <c r="B39" s="192"/>
      <c r="C39" s="183" t="str">
        <f t="shared" si="1"/>
        <v/>
      </c>
      <c r="D39" s="183" t="s">
        <v>74</v>
      </c>
      <c r="E39" s="184" t="s">
        <v>75</v>
      </c>
      <c r="F39" s="185" t="str">
        <f t="shared" si="2"/>
        <v/>
      </c>
      <c r="G39" s="192" t="str">
        <f t="shared" si="3"/>
        <v/>
      </c>
      <c r="H39" s="183" t="s">
        <v>76</v>
      </c>
      <c r="I39" s="188">
        <f>IFERROR(__xludf.DUMMYFUNCTION("""COMPUTED_VALUE"""),0.0)</f>
        <v>0</v>
      </c>
      <c r="J39" s="189">
        <f>IFERROR(__xludf.DUMMYFUNCTION("""COMPUTED_VALUE"""),0.0)</f>
        <v>0</v>
      </c>
      <c r="K39" s="190">
        <f>IFERROR(__xludf.DUMMYFUNCTION("""COMPUTED_VALUE"""),0.0)</f>
        <v>0</v>
      </c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</row>
    <row r="40" ht="24.0" customHeight="1">
      <c r="A40" s="192"/>
      <c r="B40" s="192"/>
      <c r="C40" s="183" t="str">
        <f t="shared" si="1"/>
        <v/>
      </c>
      <c r="D40" s="183" t="s">
        <v>74</v>
      </c>
      <c r="E40" s="184" t="s">
        <v>75</v>
      </c>
      <c r="F40" s="185" t="str">
        <f t="shared" si="2"/>
        <v/>
      </c>
      <c r="G40" s="192" t="str">
        <f t="shared" si="3"/>
        <v/>
      </c>
      <c r="H40" s="183" t="s">
        <v>76</v>
      </c>
      <c r="I40" s="188">
        <f>IFERROR(__xludf.DUMMYFUNCTION("""COMPUTED_VALUE"""),0.0)</f>
        <v>0</v>
      </c>
      <c r="J40" s="189">
        <f>IFERROR(__xludf.DUMMYFUNCTION("""COMPUTED_VALUE"""),0.0)</f>
        <v>0</v>
      </c>
      <c r="K40" s="190">
        <f>IFERROR(__xludf.DUMMYFUNCTION("""COMPUTED_VALUE"""),0.0)</f>
        <v>0</v>
      </c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</row>
    <row r="41" ht="24.0" customHeight="1">
      <c r="A41" s="192"/>
      <c r="B41" s="192"/>
      <c r="C41" s="183" t="str">
        <f t="shared" si="1"/>
        <v/>
      </c>
      <c r="D41" s="183" t="s">
        <v>74</v>
      </c>
      <c r="E41" s="184" t="s">
        <v>75</v>
      </c>
      <c r="F41" s="185" t="str">
        <f t="shared" si="2"/>
        <v/>
      </c>
      <c r="G41" s="192" t="str">
        <f t="shared" si="3"/>
        <v/>
      </c>
      <c r="H41" s="183" t="s">
        <v>76</v>
      </c>
      <c r="I41" s="188">
        <f>IFERROR(__xludf.DUMMYFUNCTION("""COMPUTED_VALUE"""),0.0)</f>
        <v>0</v>
      </c>
      <c r="J41" s="189">
        <f>IFERROR(__xludf.DUMMYFUNCTION("""COMPUTED_VALUE"""),0.0)</f>
        <v>0</v>
      </c>
      <c r="K41" s="190">
        <f>IFERROR(__xludf.DUMMYFUNCTION("""COMPUTED_VALUE"""),0.0)</f>
        <v>0</v>
      </c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</row>
    <row r="42" ht="24.0" customHeight="1">
      <c r="A42" s="192"/>
      <c r="B42" s="192"/>
      <c r="C42" s="183" t="str">
        <f t="shared" si="1"/>
        <v/>
      </c>
      <c r="D42" s="183" t="s">
        <v>74</v>
      </c>
      <c r="E42" s="184" t="s">
        <v>75</v>
      </c>
      <c r="F42" s="185" t="str">
        <f t="shared" si="2"/>
        <v/>
      </c>
      <c r="G42" s="192" t="str">
        <f t="shared" si="3"/>
        <v/>
      </c>
      <c r="H42" s="183" t="s">
        <v>76</v>
      </c>
      <c r="I42" s="188">
        <f>IFERROR(__xludf.DUMMYFUNCTION("""COMPUTED_VALUE"""),0.0)</f>
        <v>0</v>
      </c>
      <c r="J42" s="189">
        <f>IFERROR(__xludf.DUMMYFUNCTION("""COMPUTED_VALUE"""),0.0)</f>
        <v>0</v>
      </c>
      <c r="K42" s="190">
        <f>IFERROR(__xludf.DUMMYFUNCTION("""COMPUTED_VALUE"""),0.0)</f>
        <v>0</v>
      </c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</row>
    <row r="43" ht="24.0" customHeight="1">
      <c r="A43" s="192"/>
      <c r="B43" s="192"/>
      <c r="C43" s="183" t="str">
        <f t="shared" si="1"/>
        <v/>
      </c>
      <c r="D43" s="183" t="s">
        <v>74</v>
      </c>
      <c r="E43" s="184" t="s">
        <v>75</v>
      </c>
      <c r="F43" s="185" t="str">
        <f t="shared" si="2"/>
        <v/>
      </c>
      <c r="G43" s="192" t="str">
        <f t="shared" si="3"/>
        <v/>
      </c>
      <c r="H43" s="183" t="s">
        <v>76</v>
      </c>
      <c r="I43" s="188">
        <f>IFERROR(__xludf.DUMMYFUNCTION("""COMPUTED_VALUE"""),0.0)</f>
        <v>0</v>
      </c>
      <c r="J43" s="189">
        <f>IFERROR(__xludf.DUMMYFUNCTION("""COMPUTED_VALUE"""),0.0)</f>
        <v>0</v>
      </c>
      <c r="K43" s="190">
        <f>IFERROR(__xludf.DUMMYFUNCTION("""COMPUTED_VALUE"""),0.0)</f>
        <v>0</v>
      </c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</row>
    <row r="44" ht="24.0" customHeight="1">
      <c r="A44" s="192"/>
      <c r="B44" s="192"/>
      <c r="C44" s="183" t="str">
        <f t="shared" si="1"/>
        <v/>
      </c>
      <c r="D44" s="183" t="s">
        <v>74</v>
      </c>
      <c r="E44" s="184" t="s">
        <v>75</v>
      </c>
      <c r="F44" s="185" t="str">
        <f t="shared" si="2"/>
        <v/>
      </c>
      <c r="G44" s="192" t="str">
        <f t="shared" si="3"/>
        <v/>
      </c>
      <c r="H44" s="183" t="s">
        <v>76</v>
      </c>
      <c r="I44" s="188">
        <f>IFERROR(__xludf.DUMMYFUNCTION("""COMPUTED_VALUE"""),0.0)</f>
        <v>0</v>
      </c>
      <c r="J44" s="189">
        <f>IFERROR(__xludf.DUMMYFUNCTION("""COMPUTED_VALUE"""),0.0)</f>
        <v>0</v>
      </c>
      <c r="K44" s="190">
        <f>IFERROR(__xludf.DUMMYFUNCTION("""COMPUTED_VALUE"""),0.0)</f>
        <v>0</v>
      </c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</row>
    <row r="45" ht="24.0" customHeight="1">
      <c r="A45" s="192"/>
      <c r="B45" s="192"/>
      <c r="C45" s="183" t="str">
        <f t="shared" si="1"/>
        <v/>
      </c>
      <c r="D45" s="183" t="s">
        <v>74</v>
      </c>
      <c r="E45" s="184" t="s">
        <v>75</v>
      </c>
      <c r="F45" s="185" t="str">
        <f t="shared" si="2"/>
        <v/>
      </c>
      <c r="G45" s="192" t="str">
        <f t="shared" si="3"/>
        <v/>
      </c>
      <c r="H45" s="183" t="s">
        <v>76</v>
      </c>
      <c r="I45" s="188">
        <f>IFERROR(__xludf.DUMMYFUNCTION("""COMPUTED_VALUE"""),0.0)</f>
        <v>0</v>
      </c>
      <c r="J45" s="189">
        <f>IFERROR(__xludf.DUMMYFUNCTION("""COMPUTED_VALUE"""),0.0)</f>
        <v>0</v>
      </c>
      <c r="K45" s="190">
        <f>IFERROR(__xludf.DUMMYFUNCTION("""COMPUTED_VALUE"""),0.0)</f>
        <v>0</v>
      </c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</row>
    <row r="46" ht="24.0" customHeight="1">
      <c r="A46" s="192"/>
      <c r="B46" s="192"/>
      <c r="C46" s="183" t="str">
        <f t="shared" si="1"/>
        <v/>
      </c>
      <c r="D46" s="183" t="s">
        <v>74</v>
      </c>
      <c r="E46" s="184" t="s">
        <v>75</v>
      </c>
      <c r="F46" s="185" t="str">
        <f t="shared" si="2"/>
        <v/>
      </c>
      <c r="G46" s="192" t="str">
        <f t="shared" si="3"/>
        <v/>
      </c>
      <c r="H46" s="183" t="s">
        <v>76</v>
      </c>
      <c r="I46" s="188">
        <f>IFERROR(__xludf.DUMMYFUNCTION("""COMPUTED_VALUE"""),0.0)</f>
        <v>0</v>
      </c>
      <c r="J46" s="189">
        <f>IFERROR(__xludf.DUMMYFUNCTION("""COMPUTED_VALUE"""),0.0)</f>
        <v>0</v>
      </c>
      <c r="K46" s="190">
        <f>IFERROR(__xludf.DUMMYFUNCTION("""COMPUTED_VALUE"""),0.0)</f>
        <v>0</v>
      </c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</row>
    <row r="47" ht="24.0" customHeight="1">
      <c r="A47" s="192"/>
      <c r="B47" s="192"/>
      <c r="C47" s="183" t="str">
        <f t="shared" si="1"/>
        <v/>
      </c>
      <c r="D47" s="183" t="s">
        <v>74</v>
      </c>
      <c r="E47" s="184" t="s">
        <v>75</v>
      </c>
      <c r="F47" s="185" t="str">
        <f t="shared" si="2"/>
        <v/>
      </c>
      <c r="G47" s="192" t="str">
        <f t="shared" si="3"/>
        <v/>
      </c>
      <c r="H47" s="183" t="s">
        <v>76</v>
      </c>
      <c r="I47" s="188">
        <f>IFERROR(__xludf.DUMMYFUNCTION("""COMPUTED_VALUE"""),0.0)</f>
        <v>0</v>
      </c>
      <c r="J47" s="189">
        <f>IFERROR(__xludf.DUMMYFUNCTION("""COMPUTED_VALUE"""),0.0)</f>
        <v>0</v>
      </c>
      <c r="K47" s="190">
        <f>IFERROR(__xludf.DUMMYFUNCTION("""COMPUTED_VALUE"""),0.0)</f>
        <v>0</v>
      </c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</row>
    <row r="48" ht="24.0" customHeight="1">
      <c r="A48" s="192"/>
      <c r="B48" s="192"/>
      <c r="C48" s="183" t="str">
        <f t="shared" si="1"/>
        <v/>
      </c>
      <c r="D48" s="183" t="s">
        <v>74</v>
      </c>
      <c r="E48" s="184" t="s">
        <v>75</v>
      </c>
      <c r="F48" s="185" t="str">
        <f t="shared" si="2"/>
        <v/>
      </c>
      <c r="G48" s="192" t="str">
        <f t="shared" si="3"/>
        <v/>
      </c>
      <c r="H48" s="183" t="s">
        <v>76</v>
      </c>
      <c r="I48" s="188">
        <f>IFERROR(__xludf.DUMMYFUNCTION("""COMPUTED_VALUE"""),0.0)</f>
        <v>0</v>
      </c>
      <c r="J48" s="189">
        <f>IFERROR(__xludf.DUMMYFUNCTION("""COMPUTED_VALUE"""),0.0)</f>
        <v>0</v>
      </c>
      <c r="K48" s="190">
        <f>IFERROR(__xludf.DUMMYFUNCTION("""COMPUTED_VALUE"""),0.0)</f>
        <v>0</v>
      </c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</row>
    <row r="49" ht="24.0" customHeight="1">
      <c r="A49" s="192"/>
      <c r="B49" s="192"/>
      <c r="C49" s="183" t="str">
        <f t="shared" si="1"/>
        <v/>
      </c>
      <c r="D49" s="183" t="s">
        <v>74</v>
      </c>
      <c r="E49" s="184" t="s">
        <v>75</v>
      </c>
      <c r="F49" s="185" t="str">
        <f t="shared" si="2"/>
        <v/>
      </c>
      <c r="G49" s="192" t="str">
        <f t="shared" si="3"/>
        <v/>
      </c>
      <c r="H49" s="183" t="s">
        <v>76</v>
      </c>
      <c r="I49" s="188">
        <f>IFERROR(__xludf.DUMMYFUNCTION("""COMPUTED_VALUE"""),0.0)</f>
        <v>0</v>
      </c>
      <c r="J49" s="189">
        <f>IFERROR(__xludf.DUMMYFUNCTION("""COMPUTED_VALUE"""),0.0)</f>
        <v>0</v>
      </c>
      <c r="K49" s="190">
        <f>IFERROR(__xludf.DUMMYFUNCTION("""COMPUTED_VALUE"""),0.0)</f>
        <v>0</v>
      </c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</row>
    <row r="50" ht="24.0" customHeight="1">
      <c r="A50" s="192"/>
      <c r="B50" s="192"/>
      <c r="C50" s="183" t="str">
        <f t="shared" si="1"/>
        <v/>
      </c>
      <c r="D50" s="183" t="s">
        <v>74</v>
      </c>
      <c r="E50" s="184" t="s">
        <v>75</v>
      </c>
      <c r="F50" s="185" t="str">
        <f t="shared" si="2"/>
        <v/>
      </c>
      <c r="G50" s="192" t="str">
        <f t="shared" si="3"/>
        <v/>
      </c>
      <c r="H50" s="183" t="s">
        <v>76</v>
      </c>
      <c r="I50" s="188">
        <f>IFERROR(__xludf.DUMMYFUNCTION("""COMPUTED_VALUE"""),0.0)</f>
        <v>0</v>
      </c>
      <c r="J50" s="189">
        <f>IFERROR(__xludf.DUMMYFUNCTION("""COMPUTED_VALUE"""),0.0)</f>
        <v>0</v>
      </c>
      <c r="K50" s="190">
        <f>IFERROR(__xludf.DUMMYFUNCTION("""COMPUTED_VALUE"""),0.0)</f>
        <v>0</v>
      </c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</row>
    <row r="51" ht="24.0" customHeight="1">
      <c r="A51" s="192"/>
      <c r="B51" s="192"/>
      <c r="C51" s="183" t="str">
        <f t="shared" si="1"/>
        <v/>
      </c>
      <c r="D51" s="183" t="s">
        <v>74</v>
      </c>
      <c r="E51" s="184" t="s">
        <v>75</v>
      </c>
      <c r="F51" s="185" t="str">
        <f t="shared" si="2"/>
        <v/>
      </c>
      <c r="G51" s="192" t="str">
        <f t="shared" si="3"/>
        <v/>
      </c>
      <c r="H51" s="183" t="s">
        <v>76</v>
      </c>
      <c r="I51" s="188">
        <f>IFERROR(__xludf.DUMMYFUNCTION("""COMPUTED_VALUE"""),0.0)</f>
        <v>0</v>
      </c>
      <c r="J51" s="189">
        <f>IFERROR(__xludf.DUMMYFUNCTION("""COMPUTED_VALUE"""),0.0)</f>
        <v>0</v>
      </c>
      <c r="K51" s="190">
        <f>IFERROR(__xludf.DUMMYFUNCTION("""COMPUTED_VALUE"""),0.0)</f>
        <v>0</v>
      </c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</row>
    <row r="52" ht="24.0" customHeight="1">
      <c r="A52" s="192"/>
      <c r="B52" s="192"/>
      <c r="C52" s="183" t="str">
        <f t="shared" si="1"/>
        <v/>
      </c>
      <c r="D52" s="183" t="s">
        <v>74</v>
      </c>
      <c r="E52" s="184" t="s">
        <v>75</v>
      </c>
      <c r="F52" s="185" t="str">
        <f t="shared" si="2"/>
        <v/>
      </c>
      <c r="G52" s="192" t="str">
        <f t="shared" si="3"/>
        <v/>
      </c>
      <c r="H52" s="183" t="s">
        <v>76</v>
      </c>
      <c r="I52" s="188">
        <f>IFERROR(__xludf.DUMMYFUNCTION("""COMPUTED_VALUE"""),0.0)</f>
        <v>0</v>
      </c>
      <c r="J52" s="189">
        <f>IFERROR(__xludf.DUMMYFUNCTION("""COMPUTED_VALUE"""),0.0)</f>
        <v>0</v>
      </c>
      <c r="K52" s="190">
        <f>IFERROR(__xludf.DUMMYFUNCTION("""COMPUTED_VALUE"""),0.0)</f>
        <v>0</v>
      </c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</row>
    <row r="53" ht="24.0" customHeight="1">
      <c r="A53" s="192"/>
      <c r="B53" s="192"/>
      <c r="C53" s="183" t="str">
        <f t="shared" si="1"/>
        <v/>
      </c>
      <c r="D53" s="183" t="s">
        <v>74</v>
      </c>
      <c r="E53" s="184" t="s">
        <v>75</v>
      </c>
      <c r="F53" s="185" t="str">
        <f t="shared" si="2"/>
        <v/>
      </c>
      <c r="G53" s="192" t="str">
        <f t="shared" si="3"/>
        <v/>
      </c>
      <c r="H53" s="183" t="s">
        <v>76</v>
      </c>
      <c r="I53" s="188">
        <f>IFERROR(__xludf.DUMMYFUNCTION("""COMPUTED_VALUE"""),0.0)</f>
        <v>0</v>
      </c>
      <c r="J53" s="189">
        <f>IFERROR(__xludf.DUMMYFUNCTION("""COMPUTED_VALUE"""),0.0)</f>
        <v>0</v>
      </c>
      <c r="K53" s="190">
        <f>IFERROR(__xludf.DUMMYFUNCTION("""COMPUTED_VALUE"""),0.0)</f>
        <v>0</v>
      </c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</row>
    <row r="54" ht="24.0" customHeight="1">
      <c r="A54" s="192"/>
      <c r="B54" s="192"/>
      <c r="C54" s="183" t="str">
        <f t="shared" si="1"/>
        <v/>
      </c>
      <c r="D54" s="183" t="s">
        <v>74</v>
      </c>
      <c r="E54" s="184" t="s">
        <v>75</v>
      </c>
      <c r="F54" s="185" t="str">
        <f t="shared" si="2"/>
        <v/>
      </c>
      <c r="G54" s="192" t="str">
        <f t="shared" si="3"/>
        <v/>
      </c>
      <c r="H54" s="183" t="s">
        <v>76</v>
      </c>
      <c r="I54" s="188">
        <f>IFERROR(__xludf.DUMMYFUNCTION("""COMPUTED_VALUE"""),0.0)</f>
        <v>0</v>
      </c>
      <c r="J54" s="189">
        <f>IFERROR(__xludf.DUMMYFUNCTION("""COMPUTED_VALUE"""),0.0)</f>
        <v>0</v>
      </c>
      <c r="K54" s="190">
        <f>IFERROR(__xludf.DUMMYFUNCTION("""COMPUTED_VALUE"""),0.0)</f>
        <v>0</v>
      </c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</row>
    <row r="55" ht="24.0" customHeight="1">
      <c r="A55" s="192"/>
      <c r="B55" s="192"/>
      <c r="C55" s="183" t="str">
        <f t="shared" si="1"/>
        <v/>
      </c>
      <c r="D55" s="183" t="s">
        <v>74</v>
      </c>
      <c r="E55" s="184" t="s">
        <v>75</v>
      </c>
      <c r="F55" s="185" t="str">
        <f t="shared" si="2"/>
        <v/>
      </c>
      <c r="G55" s="192" t="str">
        <f t="shared" si="3"/>
        <v/>
      </c>
      <c r="H55" s="183" t="s">
        <v>76</v>
      </c>
      <c r="I55" s="188">
        <f>IFERROR(__xludf.DUMMYFUNCTION("""COMPUTED_VALUE"""),0.0)</f>
        <v>0</v>
      </c>
      <c r="J55" s="189">
        <f>IFERROR(__xludf.DUMMYFUNCTION("""COMPUTED_VALUE"""),0.0)</f>
        <v>0</v>
      </c>
      <c r="K55" s="190">
        <f>IFERROR(__xludf.DUMMYFUNCTION("""COMPUTED_VALUE"""),0.0)</f>
        <v>0</v>
      </c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</row>
    <row r="56" ht="24.0" customHeight="1">
      <c r="A56" s="192"/>
      <c r="B56" s="192"/>
      <c r="C56" s="183" t="str">
        <f t="shared" si="1"/>
        <v/>
      </c>
      <c r="D56" s="183" t="s">
        <v>74</v>
      </c>
      <c r="E56" s="184" t="s">
        <v>75</v>
      </c>
      <c r="F56" s="185" t="str">
        <f t="shared" si="2"/>
        <v/>
      </c>
      <c r="G56" s="192" t="str">
        <f t="shared" si="3"/>
        <v/>
      </c>
      <c r="H56" s="183" t="s">
        <v>76</v>
      </c>
      <c r="I56" s="188">
        <f>IFERROR(__xludf.DUMMYFUNCTION("""COMPUTED_VALUE"""),0.0)</f>
        <v>0</v>
      </c>
      <c r="J56" s="189">
        <f>IFERROR(__xludf.DUMMYFUNCTION("""COMPUTED_VALUE"""),0.0)</f>
        <v>0</v>
      </c>
      <c r="K56" s="190">
        <f>IFERROR(__xludf.DUMMYFUNCTION("""COMPUTED_VALUE"""),0.0)</f>
        <v>0</v>
      </c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</row>
    <row r="57" ht="24.0" customHeight="1">
      <c r="A57" s="192"/>
      <c r="B57" s="192"/>
      <c r="C57" s="183" t="str">
        <f t="shared" si="1"/>
        <v/>
      </c>
      <c r="D57" s="183" t="s">
        <v>74</v>
      </c>
      <c r="E57" s="184" t="s">
        <v>75</v>
      </c>
      <c r="F57" s="185" t="str">
        <f t="shared" si="2"/>
        <v/>
      </c>
      <c r="G57" s="192" t="str">
        <f t="shared" si="3"/>
        <v/>
      </c>
      <c r="H57" s="183" t="s">
        <v>76</v>
      </c>
      <c r="I57" s="188">
        <f>IFERROR(__xludf.DUMMYFUNCTION("""COMPUTED_VALUE"""),0.0)</f>
        <v>0</v>
      </c>
      <c r="J57" s="189">
        <f>IFERROR(__xludf.DUMMYFUNCTION("""COMPUTED_VALUE"""),0.0)</f>
        <v>0</v>
      </c>
      <c r="K57" s="190">
        <f>IFERROR(__xludf.DUMMYFUNCTION("""COMPUTED_VALUE"""),0.0)</f>
        <v>0</v>
      </c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</row>
    <row r="58" ht="24.0" customHeight="1">
      <c r="A58" s="192"/>
      <c r="B58" s="192"/>
      <c r="C58" s="183" t="str">
        <f t="shared" si="1"/>
        <v/>
      </c>
      <c r="D58" s="183" t="s">
        <v>74</v>
      </c>
      <c r="E58" s="184" t="s">
        <v>75</v>
      </c>
      <c r="F58" s="185" t="str">
        <f t="shared" si="2"/>
        <v/>
      </c>
      <c r="G58" s="192" t="str">
        <f t="shared" si="3"/>
        <v/>
      </c>
      <c r="H58" s="183" t="s">
        <v>76</v>
      </c>
      <c r="I58" s="188">
        <f>IFERROR(__xludf.DUMMYFUNCTION("""COMPUTED_VALUE"""),0.0)</f>
        <v>0</v>
      </c>
      <c r="J58" s="189">
        <f>IFERROR(__xludf.DUMMYFUNCTION("""COMPUTED_VALUE"""),0.0)</f>
        <v>0</v>
      </c>
      <c r="K58" s="190">
        <f>IFERROR(__xludf.DUMMYFUNCTION("""COMPUTED_VALUE"""),0.0)</f>
        <v>0</v>
      </c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</row>
    <row r="59" ht="24.0" customHeight="1">
      <c r="A59" s="192"/>
      <c r="B59" s="192"/>
      <c r="C59" s="183" t="str">
        <f t="shared" si="1"/>
        <v/>
      </c>
      <c r="D59" s="183" t="s">
        <v>74</v>
      </c>
      <c r="E59" s="184" t="s">
        <v>75</v>
      </c>
      <c r="F59" s="185" t="str">
        <f t="shared" si="2"/>
        <v/>
      </c>
      <c r="G59" s="192" t="str">
        <f t="shared" si="3"/>
        <v/>
      </c>
      <c r="H59" s="183" t="s">
        <v>76</v>
      </c>
      <c r="I59" s="188">
        <f>IFERROR(__xludf.DUMMYFUNCTION("""COMPUTED_VALUE"""),0.0)</f>
        <v>0</v>
      </c>
      <c r="J59" s="189">
        <f>IFERROR(__xludf.DUMMYFUNCTION("""COMPUTED_VALUE"""),0.0)</f>
        <v>0</v>
      </c>
      <c r="K59" s="190">
        <f>IFERROR(__xludf.DUMMYFUNCTION("""COMPUTED_VALUE"""),0.0)</f>
        <v>0</v>
      </c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</row>
    <row r="60" ht="24.0" customHeight="1">
      <c r="A60" s="192"/>
      <c r="B60" s="192"/>
      <c r="C60" s="183" t="str">
        <f t="shared" si="1"/>
        <v/>
      </c>
      <c r="D60" s="183" t="s">
        <v>74</v>
      </c>
      <c r="E60" s="184" t="s">
        <v>75</v>
      </c>
      <c r="F60" s="185" t="str">
        <f t="shared" si="2"/>
        <v/>
      </c>
      <c r="G60" s="192" t="str">
        <f t="shared" si="3"/>
        <v/>
      </c>
      <c r="H60" s="183" t="s">
        <v>76</v>
      </c>
      <c r="I60" s="188">
        <f>IFERROR(__xludf.DUMMYFUNCTION("""COMPUTED_VALUE"""),0.0)</f>
        <v>0</v>
      </c>
      <c r="J60" s="189">
        <f>IFERROR(__xludf.DUMMYFUNCTION("""COMPUTED_VALUE"""),0.0)</f>
        <v>0</v>
      </c>
      <c r="K60" s="190">
        <f>IFERROR(__xludf.DUMMYFUNCTION("""COMPUTED_VALUE"""),0.0)</f>
        <v>0</v>
      </c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</row>
    <row r="61" ht="24.0" customHeight="1">
      <c r="A61" s="192"/>
      <c r="B61" s="192"/>
      <c r="C61" s="183" t="str">
        <f t="shared" si="1"/>
        <v/>
      </c>
      <c r="D61" s="183" t="s">
        <v>74</v>
      </c>
      <c r="E61" s="184" t="s">
        <v>75</v>
      </c>
      <c r="F61" s="185" t="str">
        <f t="shared" si="2"/>
        <v/>
      </c>
      <c r="G61" s="192" t="str">
        <f t="shared" si="3"/>
        <v/>
      </c>
      <c r="H61" s="183" t="s">
        <v>76</v>
      </c>
      <c r="I61" s="188">
        <f>IFERROR(__xludf.DUMMYFUNCTION("""COMPUTED_VALUE"""),0.0)</f>
        <v>0</v>
      </c>
      <c r="J61" s="189">
        <f>IFERROR(__xludf.DUMMYFUNCTION("""COMPUTED_VALUE"""),0.0)</f>
        <v>0</v>
      </c>
      <c r="K61" s="190">
        <f>IFERROR(__xludf.DUMMYFUNCTION("""COMPUTED_VALUE"""),0.0)</f>
        <v>0</v>
      </c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</row>
    <row r="62" ht="24.0" customHeight="1">
      <c r="A62" s="192"/>
      <c r="B62" s="192"/>
      <c r="C62" s="183" t="str">
        <f t="shared" si="1"/>
        <v/>
      </c>
      <c r="D62" s="183" t="s">
        <v>74</v>
      </c>
      <c r="E62" s="184" t="s">
        <v>75</v>
      </c>
      <c r="F62" s="185" t="str">
        <f t="shared" si="2"/>
        <v/>
      </c>
      <c r="G62" s="192" t="str">
        <f t="shared" si="3"/>
        <v/>
      </c>
      <c r="H62" s="183" t="s">
        <v>76</v>
      </c>
      <c r="I62" s="188">
        <f>IFERROR(__xludf.DUMMYFUNCTION("""COMPUTED_VALUE"""),0.0)</f>
        <v>0</v>
      </c>
      <c r="J62" s="189">
        <f>IFERROR(__xludf.DUMMYFUNCTION("""COMPUTED_VALUE"""),0.0)</f>
        <v>0</v>
      </c>
      <c r="K62" s="190">
        <f>IFERROR(__xludf.DUMMYFUNCTION("""COMPUTED_VALUE"""),0.0)</f>
        <v>0</v>
      </c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</row>
    <row r="63" ht="24.0" customHeight="1">
      <c r="A63" s="192"/>
      <c r="B63" s="192"/>
      <c r="C63" s="183" t="str">
        <f t="shared" si="1"/>
        <v/>
      </c>
      <c r="D63" s="183" t="s">
        <v>74</v>
      </c>
      <c r="E63" s="184" t="s">
        <v>75</v>
      </c>
      <c r="F63" s="185" t="str">
        <f t="shared" si="2"/>
        <v/>
      </c>
      <c r="G63" s="192" t="str">
        <f t="shared" si="3"/>
        <v/>
      </c>
      <c r="H63" s="183" t="s">
        <v>76</v>
      </c>
      <c r="I63" s="188">
        <f>IFERROR(__xludf.DUMMYFUNCTION("""COMPUTED_VALUE"""),0.0)</f>
        <v>0</v>
      </c>
      <c r="J63" s="189">
        <f>IFERROR(__xludf.DUMMYFUNCTION("""COMPUTED_VALUE"""),0.0)</f>
        <v>0</v>
      </c>
      <c r="K63" s="190">
        <f>IFERROR(__xludf.DUMMYFUNCTION("""COMPUTED_VALUE"""),0.0)</f>
        <v>0</v>
      </c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</row>
    <row r="64" ht="24.0" customHeight="1">
      <c r="A64" s="192"/>
      <c r="B64" s="192"/>
      <c r="C64" s="183" t="str">
        <f t="shared" si="1"/>
        <v/>
      </c>
      <c r="D64" s="183" t="s">
        <v>74</v>
      </c>
      <c r="E64" s="184" t="s">
        <v>75</v>
      </c>
      <c r="F64" s="185" t="str">
        <f t="shared" si="2"/>
        <v/>
      </c>
      <c r="G64" s="192" t="str">
        <f t="shared" si="3"/>
        <v/>
      </c>
      <c r="H64" s="183" t="s">
        <v>76</v>
      </c>
      <c r="I64" s="188">
        <f>IFERROR(__xludf.DUMMYFUNCTION("""COMPUTED_VALUE"""),0.0)</f>
        <v>0</v>
      </c>
      <c r="J64" s="189">
        <f>IFERROR(__xludf.DUMMYFUNCTION("""COMPUTED_VALUE"""),0.0)</f>
        <v>0</v>
      </c>
      <c r="K64" s="190">
        <f>IFERROR(__xludf.DUMMYFUNCTION("""COMPUTED_VALUE"""),0.0)</f>
        <v>0</v>
      </c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</row>
    <row r="65" ht="24.0" customHeight="1">
      <c r="A65" s="192"/>
      <c r="B65" s="192"/>
      <c r="C65" s="183" t="str">
        <f t="shared" si="1"/>
        <v/>
      </c>
      <c r="D65" s="183" t="s">
        <v>74</v>
      </c>
      <c r="E65" s="184" t="s">
        <v>75</v>
      </c>
      <c r="F65" s="185" t="str">
        <f t="shared" si="2"/>
        <v/>
      </c>
      <c r="G65" s="192" t="str">
        <f t="shared" si="3"/>
        <v/>
      </c>
      <c r="H65" s="183" t="s">
        <v>76</v>
      </c>
      <c r="I65" s="188">
        <f>IFERROR(__xludf.DUMMYFUNCTION("""COMPUTED_VALUE"""),0.0)</f>
        <v>0</v>
      </c>
      <c r="J65" s="189">
        <f>IFERROR(__xludf.DUMMYFUNCTION("""COMPUTED_VALUE"""),0.0)</f>
        <v>0</v>
      </c>
      <c r="K65" s="190">
        <f>IFERROR(__xludf.DUMMYFUNCTION("""COMPUTED_VALUE"""),0.0)</f>
        <v>0</v>
      </c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</row>
    <row r="66" ht="24.0" customHeight="1">
      <c r="A66" s="192"/>
      <c r="B66" s="192"/>
      <c r="C66" s="183" t="str">
        <f t="shared" si="1"/>
        <v/>
      </c>
      <c r="D66" s="183" t="s">
        <v>74</v>
      </c>
      <c r="E66" s="184" t="s">
        <v>75</v>
      </c>
      <c r="F66" s="185" t="str">
        <f t="shared" si="2"/>
        <v/>
      </c>
      <c r="G66" s="192" t="str">
        <f t="shared" si="3"/>
        <v/>
      </c>
      <c r="H66" s="183" t="s">
        <v>76</v>
      </c>
      <c r="I66" s="188">
        <f>IFERROR(__xludf.DUMMYFUNCTION("""COMPUTED_VALUE"""),0.0)</f>
        <v>0</v>
      </c>
      <c r="J66" s="189">
        <f>IFERROR(__xludf.DUMMYFUNCTION("""COMPUTED_VALUE"""),0.0)</f>
        <v>0</v>
      </c>
      <c r="K66" s="190">
        <f>IFERROR(__xludf.DUMMYFUNCTION("""COMPUTED_VALUE"""),0.0)</f>
        <v>0</v>
      </c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</row>
    <row r="67" ht="24.0" customHeight="1">
      <c r="A67" s="192"/>
      <c r="B67" s="192"/>
      <c r="C67" s="183" t="str">
        <f t="shared" si="1"/>
        <v/>
      </c>
      <c r="D67" s="183" t="s">
        <v>74</v>
      </c>
      <c r="E67" s="184" t="s">
        <v>75</v>
      </c>
      <c r="F67" s="185" t="str">
        <f t="shared" si="2"/>
        <v/>
      </c>
      <c r="G67" s="192" t="str">
        <f t="shared" si="3"/>
        <v/>
      </c>
      <c r="H67" s="183" t="s">
        <v>76</v>
      </c>
      <c r="I67" s="188">
        <f>IFERROR(__xludf.DUMMYFUNCTION("""COMPUTED_VALUE"""),0.0)</f>
        <v>0</v>
      </c>
      <c r="J67" s="189">
        <f>IFERROR(__xludf.DUMMYFUNCTION("""COMPUTED_VALUE"""),0.0)</f>
        <v>0</v>
      </c>
      <c r="K67" s="190">
        <f>IFERROR(__xludf.DUMMYFUNCTION("""COMPUTED_VALUE"""),0.0)</f>
        <v>0</v>
      </c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</row>
    <row r="68" ht="24.0" customHeight="1">
      <c r="A68" s="192"/>
      <c r="B68" s="192"/>
      <c r="C68" s="183" t="str">
        <f t="shared" si="1"/>
        <v/>
      </c>
      <c r="D68" s="183" t="s">
        <v>74</v>
      </c>
      <c r="E68" s="184" t="s">
        <v>75</v>
      </c>
      <c r="F68" s="185" t="str">
        <f t="shared" si="2"/>
        <v/>
      </c>
      <c r="G68" s="192" t="str">
        <f t="shared" si="3"/>
        <v/>
      </c>
      <c r="H68" s="183" t="s">
        <v>76</v>
      </c>
      <c r="I68" s="188">
        <f>IFERROR(__xludf.DUMMYFUNCTION("""COMPUTED_VALUE"""),0.0)</f>
        <v>0</v>
      </c>
      <c r="J68" s="189">
        <f>IFERROR(__xludf.DUMMYFUNCTION("""COMPUTED_VALUE"""),0.0)</f>
        <v>0</v>
      </c>
      <c r="K68" s="190">
        <f>IFERROR(__xludf.DUMMYFUNCTION("""COMPUTED_VALUE"""),0.0)</f>
        <v>0</v>
      </c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</row>
    <row r="69" ht="24.0" customHeight="1">
      <c r="A69" s="192"/>
      <c r="B69" s="192"/>
      <c r="C69" s="183" t="str">
        <f t="shared" si="1"/>
        <v/>
      </c>
      <c r="D69" s="183" t="s">
        <v>74</v>
      </c>
      <c r="E69" s="184" t="s">
        <v>75</v>
      </c>
      <c r="F69" s="185" t="str">
        <f t="shared" si="2"/>
        <v/>
      </c>
      <c r="G69" s="192" t="str">
        <f t="shared" si="3"/>
        <v/>
      </c>
      <c r="H69" s="183" t="s">
        <v>76</v>
      </c>
      <c r="I69" s="188">
        <f>IFERROR(__xludf.DUMMYFUNCTION("""COMPUTED_VALUE"""),0.0)</f>
        <v>0</v>
      </c>
      <c r="J69" s="189">
        <f>IFERROR(__xludf.DUMMYFUNCTION("""COMPUTED_VALUE"""),0.0)</f>
        <v>0</v>
      </c>
      <c r="K69" s="190">
        <f>IFERROR(__xludf.DUMMYFUNCTION("""COMPUTED_VALUE"""),0.0)</f>
        <v>0</v>
      </c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</row>
    <row r="70" ht="24.0" customHeight="1">
      <c r="A70" s="192"/>
      <c r="B70" s="192"/>
      <c r="C70" s="183" t="str">
        <f t="shared" si="1"/>
        <v/>
      </c>
      <c r="D70" s="183" t="s">
        <v>74</v>
      </c>
      <c r="E70" s="184" t="s">
        <v>75</v>
      </c>
      <c r="F70" s="185" t="str">
        <f t="shared" si="2"/>
        <v/>
      </c>
      <c r="G70" s="192" t="str">
        <f t="shared" si="3"/>
        <v/>
      </c>
      <c r="H70" s="183" t="s">
        <v>76</v>
      </c>
      <c r="I70" s="188">
        <f>IFERROR(__xludf.DUMMYFUNCTION("""COMPUTED_VALUE"""),0.0)</f>
        <v>0</v>
      </c>
      <c r="J70" s="189">
        <f>IFERROR(__xludf.DUMMYFUNCTION("""COMPUTED_VALUE"""),0.0)</f>
        <v>0</v>
      </c>
      <c r="K70" s="190">
        <f>IFERROR(__xludf.DUMMYFUNCTION("""COMPUTED_VALUE"""),0.0)</f>
        <v>0</v>
      </c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</row>
    <row r="71" ht="24.0" customHeight="1">
      <c r="A71" s="192"/>
      <c r="B71" s="192"/>
      <c r="C71" s="183" t="str">
        <f t="shared" si="1"/>
        <v/>
      </c>
      <c r="D71" s="183" t="s">
        <v>74</v>
      </c>
      <c r="E71" s="184" t="s">
        <v>75</v>
      </c>
      <c r="F71" s="185" t="str">
        <f t="shared" si="2"/>
        <v/>
      </c>
      <c r="G71" s="192" t="str">
        <f t="shared" si="3"/>
        <v/>
      </c>
      <c r="H71" s="183" t="s">
        <v>76</v>
      </c>
      <c r="I71" s="188">
        <f>IFERROR(__xludf.DUMMYFUNCTION("""COMPUTED_VALUE"""),0.0)</f>
        <v>0</v>
      </c>
      <c r="J71" s="189">
        <f>IFERROR(__xludf.DUMMYFUNCTION("""COMPUTED_VALUE"""),0.0)</f>
        <v>0</v>
      </c>
      <c r="K71" s="190">
        <f>IFERROR(__xludf.DUMMYFUNCTION("""COMPUTED_VALUE"""),0.0)</f>
        <v>0</v>
      </c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</row>
    <row r="72" ht="24.0" customHeight="1">
      <c r="A72" s="192"/>
      <c r="B72" s="192"/>
      <c r="C72" s="183" t="str">
        <f t="shared" si="1"/>
        <v/>
      </c>
      <c r="D72" s="183" t="s">
        <v>74</v>
      </c>
      <c r="E72" s="184" t="s">
        <v>75</v>
      </c>
      <c r="F72" s="185" t="str">
        <f t="shared" si="2"/>
        <v/>
      </c>
      <c r="G72" s="192" t="str">
        <f t="shared" si="3"/>
        <v/>
      </c>
      <c r="H72" s="183" t="s">
        <v>76</v>
      </c>
      <c r="I72" s="188">
        <f>IFERROR(__xludf.DUMMYFUNCTION("""COMPUTED_VALUE"""),0.0)</f>
        <v>0</v>
      </c>
      <c r="J72" s="189">
        <f>IFERROR(__xludf.DUMMYFUNCTION("""COMPUTED_VALUE"""),0.0)</f>
        <v>0</v>
      </c>
      <c r="K72" s="190">
        <f>IFERROR(__xludf.DUMMYFUNCTION("""COMPUTED_VALUE"""),0.0)</f>
        <v>0</v>
      </c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</row>
    <row r="73" ht="24.0" customHeight="1">
      <c r="A73" s="192"/>
      <c r="B73" s="192"/>
      <c r="C73" s="183" t="str">
        <f t="shared" si="1"/>
        <v/>
      </c>
      <c r="D73" s="183" t="s">
        <v>74</v>
      </c>
      <c r="E73" s="184" t="s">
        <v>75</v>
      </c>
      <c r="F73" s="185" t="str">
        <f t="shared" si="2"/>
        <v/>
      </c>
      <c r="G73" s="192" t="str">
        <f t="shared" si="3"/>
        <v/>
      </c>
      <c r="H73" s="183" t="s">
        <v>76</v>
      </c>
      <c r="I73" s="188">
        <f>IFERROR(__xludf.DUMMYFUNCTION("""COMPUTED_VALUE"""),0.0)</f>
        <v>0</v>
      </c>
      <c r="J73" s="189">
        <f>IFERROR(__xludf.DUMMYFUNCTION("""COMPUTED_VALUE"""),0.0)</f>
        <v>0</v>
      </c>
      <c r="K73" s="190">
        <f>IFERROR(__xludf.DUMMYFUNCTION("""COMPUTED_VALUE"""),0.0)</f>
        <v>0</v>
      </c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</row>
    <row r="74" ht="24.0" customHeight="1">
      <c r="A74" s="192"/>
      <c r="B74" s="192"/>
      <c r="C74" s="183" t="str">
        <f t="shared" si="1"/>
        <v/>
      </c>
      <c r="D74" s="183" t="s">
        <v>74</v>
      </c>
      <c r="E74" s="184" t="s">
        <v>75</v>
      </c>
      <c r="F74" s="185" t="str">
        <f t="shared" si="2"/>
        <v/>
      </c>
      <c r="G74" s="192" t="str">
        <f t="shared" si="3"/>
        <v/>
      </c>
      <c r="H74" s="183" t="s">
        <v>76</v>
      </c>
      <c r="I74" s="188">
        <f>IFERROR(__xludf.DUMMYFUNCTION("""COMPUTED_VALUE"""),0.0)</f>
        <v>0</v>
      </c>
      <c r="J74" s="189">
        <f>IFERROR(__xludf.DUMMYFUNCTION("""COMPUTED_VALUE"""),0.0)</f>
        <v>0</v>
      </c>
      <c r="K74" s="190">
        <f>IFERROR(__xludf.DUMMYFUNCTION("""COMPUTED_VALUE"""),0.0)</f>
        <v>0</v>
      </c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</row>
    <row r="75" ht="24.0" customHeight="1">
      <c r="A75" s="192"/>
      <c r="B75" s="192"/>
      <c r="C75" s="183" t="str">
        <f t="shared" si="1"/>
        <v/>
      </c>
      <c r="D75" s="183" t="s">
        <v>74</v>
      </c>
      <c r="E75" s="184" t="s">
        <v>75</v>
      </c>
      <c r="F75" s="185" t="str">
        <f t="shared" si="2"/>
        <v/>
      </c>
      <c r="G75" s="192" t="str">
        <f t="shared" si="3"/>
        <v/>
      </c>
      <c r="H75" s="183" t="s">
        <v>76</v>
      </c>
      <c r="I75" s="188">
        <f>IFERROR(__xludf.DUMMYFUNCTION("""COMPUTED_VALUE"""),0.0)</f>
        <v>0</v>
      </c>
      <c r="J75" s="189">
        <f>IFERROR(__xludf.DUMMYFUNCTION("""COMPUTED_VALUE"""),0.0)</f>
        <v>0</v>
      </c>
      <c r="K75" s="190">
        <f>IFERROR(__xludf.DUMMYFUNCTION("""COMPUTED_VALUE"""),0.0)</f>
        <v>0</v>
      </c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</row>
    <row r="76" ht="24.0" customHeight="1">
      <c r="A76" s="192"/>
      <c r="B76" s="192"/>
      <c r="C76" s="183" t="str">
        <f t="shared" si="1"/>
        <v/>
      </c>
      <c r="D76" s="183" t="s">
        <v>74</v>
      </c>
      <c r="E76" s="184" t="s">
        <v>75</v>
      </c>
      <c r="F76" s="185" t="str">
        <f t="shared" si="2"/>
        <v/>
      </c>
      <c r="G76" s="192" t="str">
        <f t="shared" si="3"/>
        <v/>
      </c>
      <c r="H76" s="183" t="s">
        <v>76</v>
      </c>
      <c r="I76" s="188">
        <f>IFERROR(__xludf.DUMMYFUNCTION("""COMPUTED_VALUE"""),0.0)</f>
        <v>0</v>
      </c>
      <c r="J76" s="189">
        <f>IFERROR(__xludf.DUMMYFUNCTION("""COMPUTED_VALUE"""),0.0)</f>
        <v>0</v>
      </c>
      <c r="K76" s="190">
        <f>IFERROR(__xludf.DUMMYFUNCTION("""COMPUTED_VALUE"""),0.0)</f>
        <v>0</v>
      </c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</row>
    <row r="77" ht="24.0" customHeight="1">
      <c r="A77" s="192"/>
      <c r="B77" s="192"/>
      <c r="C77" s="183" t="str">
        <f t="shared" si="1"/>
        <v/>
      </c>
      <c r="D77" s="183" t="s">
        <v>74</v>
      </c>
      <c r="E77" s="184" t="s">
        <v>75</v>
      </c>
      <c r="F77" s="185" t="str">
        <f t="shared" si="2"/>
        <v/>
      </c>
      <c r="G77" s="192" t="str">
        <f t="shared" si="3"/>
        <v/>
      </c>
      <c r="H77" s="183" t="s">
        <v>76</v>
      </c>
      <c r="I77" s="188">
        <f>IFERROR(__xludf.DUMMYFUNCTION("""COMPUTED_VALUE"""),0.0)</f>
        <v>0</v>
      </c>
      <c r="J77" s="189">
        <f>IFERROR(__xludf.DUMMYFUNCTION("""COMPUTED_VALUE"""),0.0)</f>
        <v>0</v>
      </c>
      <c r="K77" s="190">
        <f>IFERROR(__xludf.DUMMYFUNCTION("""COMPUTED_VALUE"""),0.0)</f>
        <v>0</v>
      </c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</row>
    <row r="78" ht="24.0" customHeight="1">
      <c r="A78" s="192"/>
      <c r="B78" s="192"/>
      <c r="C78" s="183" t="str">
        <f t="shared" si="1"/>
        <v/>
      </c>
      <c r="D78" s="183" t="s">
        <v>74</v>
      </c>
      <c r="E78" s="184" t="s">
        <v>75</v>
      </c>
      <c r="F78" s="185" t="str">
        <f t="shared" si="2"/>
        <v/>
      </c>
      <c r="G78" s="192" t="str">
        <f t="shared" si="3"/>
        <v/>
      </c>
      <c r="H78" s="183" t="s">
        <v>76</v>
      </c>
      <c r="I78" s="188">
        <f>IFERROR(__xludf.DUMMYFUNCTION("""COMPUTED_VALUE"""),0.0)</f>
        <v>0</v>
      </c>
      <c r="J78" s="189">
        <f>IFERROR(__xludf.DUMMYFUNCTION("""COMPUTED_VALUE"""),0.0)</f>
        <v>0</v>
      </c>
      <c r="K78" s="190">
        <f>IFERROR(__xludf.DUMMYFUNCTION("""COMPUTED_VALUE"""),0.0)</f>
        <v>0</v>
      </c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</row>
    <row r="79" ht="24.0" customHeight="1">
      <c r="A79" s="192"/>
      <c r="B79" s="192"/>
      <c r="C79" s="183" t="str">
        <f t="shared" si="1"/>
        <v/>
      </c>
      <c r="D79" s="183" t="s">
        <v>74</v>
      </c>
      <c r="E79" s="184" t="s">
        <v>75</v>
      </c>
      <c r="F79" s="185" t="str">
        <f t="shared" si="2"/>
        <v/>
      </c>
      <c r="G79" s="192" t="str">
        <f t="shared" si="3"/>
        <v/>
      </c>
      <c r="H79" s="183" t="s">
        <v>76</v>
      </c>
      <c r="I79" s="188">
        <f>IFERROR(__xludf.DUMMYFUNCTION("""COMPUTED_VALUE"""),0.0)</f>
        <v>0</v>
      </c>
      <c r="J79" s="189">
        <f>IFERROR(__xludf.DUMMYFUNCTION("""COMPUTED_VALUE"""),0.0)</f>
        <v>0</v>
      </c>
      <c r="K79" s="190">
        <f>IFERROR(__xludf.DUMMYFUNCTION("""COMPUTED_VALUE"""),0.0)</f>
        <v>0</v>
      </c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</row>
    <row r="80" ht="24.0" customHeight="1">
      <c r="A80" s="192"/>
      <c r="B80" s="192"/>
      <c r="C80" s="183" t="str">
        <f t="shared" si="1"/>
        <v/>
      </c>
      <c r="D80" s="183" t="s">
        <v>74</v>
      </c>
      <c r="E80" s="184" t="s">
        <v>75</v>
      </c>
      <c r="F80" s="185" t="str">
        <f t="shared" si="2"/>
        <v/>
      </c>
      <c r="G80" s="192" t="str">
        <f t="shared" si="3"/>
        <v/>
      </c>
      <c r="H80" s="183" t="s">
        <v>76</v>
      </c>
      <c r="I80" s="188">
        <f>IFERROR(__xludf.DUMMYFUNCTION("""COMPUTED_VALUE"""),0.0)</f>
        <v>0</v>
      </c>
      <c r="J80" s="189">
        <f>IFERROR(__xludf.DUMMYFUNCTION("""COMPUTED_VALUE"""),0.0)</f>
        <v>0</v>
      </c>
      <c r="K80" s="190">
        <f>IFERROR(__xludf.DUMMYFUNCTION("""COMPUTED_VALUE"""),0.0)</f>
        <v>0</v>
      </c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</row>
    <row r="81" ht="24.0" customHeight="1">
      <c r="A81" s="192"/>
      <c r="B81" s="192"/>
      <c r="C81" s="183" t="str">
        <f t="shared" si="1"/>
        <v/>
      </c>
      <c r="D81" s="183" t="s">
        <v>74</v>
      </c>
      <c r="E81" s="184" t="s">
        <v>75</v>
      </c>
      <c r="F81" s="185" t="str">
        <f t="shared" si="2"/>
        <v/>
      </c>
      <c r="G81" s="192" t="str">
        <f t="shared" si="3"/>
        <v/>
      </c>
      <c r="H81" s="183" t="s">
        <v>76</v>
      </c>
      <c r="I81" s="188">
        <f>IFERROR(__xludf.DUMMYFUNCTION("""COMPUTED_VALUE"""),0.0)</f>
        <v>0</v>
      </c>
      <c r="J81" s="189">
        <f>IFERROR(__xludf.DUMMYFUNCTION("""COMPUTED_VALUE"""),0.0)</f>
        <v>0</v>
      </c>
      <c r="K81" s="190">
        <f>IFERROR(__xludf.DUMMYFUNCTION("""COMPUTED_VALUE"""),0.0)</f>
        <v>0</v>
      </c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</row>
    <row r="82" ht="24.0" customHeight="1">
      <c r="A82" s="192"/>
      <c r="B82" s="192"/>
      <c r="C82" s="183" t="str">
        <f t="shared" si="1"/>
        <v/>
      </c>
      <c r="D82" s="183" t="s">
        <v>74</v>
      </c>
      <c r="E82" s="184" t="s">
        <v>75</v>
      </c>
      <c r="F82" s="185" t="str">
        <f t="shared" si="2"/>
        <v/>
      </c>
      <c r="G82" s="192" t="str">
        <f t="shared" si="3"/>
        <v/>
      </c>
      <c r="H82" s="183" t="s">
        <v>76</v>
      </c>
      <c r="I82" s="188">
        <f>IFERROR(__xludf.DUMMYFUNCTION("""COMPUTED_VALUE"""),0.0)</f>
        <v>0</v>
      </c>
      <c r="J82" s="189">
        <f>IFERROR(__xludf.DUMMYFUNCTION("""COMPUTED_VALUE"""),0.0)</f>
        <v>0</v>
      </c>
      <c r="K82" s="190">
        <f>IFERROR(__xludf.DUMMYFUNCTION("""COMPUTED_VALUE"""),0.0)</f>
        <v>0</v>
      </c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</row>
    <row r="83" ht="24.0" customHeight="1">
      <c r="A83" s="192"/>
      <c r="B83" s="192"/>
      <c r="C83" s="183" t="str">
        <f t="shared" si="1"/>
        <v/>
      </c>
      <c r="D83" s="183" t="s">
        <v>74</v>
      </c>
      <c r="E83" s="184" t="s">
        <v>75</v>
      </c>
      <c r="F83" s="185" t="str">
        <f t="shared" si="2"/>
        <v/>
      </c>
      <c r="G83" s="192" t="str">
        <f t="shared" si="3"/>
        <v/>
      </c>
      <c r="H83" s="183" t="s">
        <v>76</v>
      </c>
      <c r="I83" s="188">
        <f>IFERROR(__xludf.DUMMYFUNCTION("""COMPUTED_VALUE"""),0.0)</f>
        <v>0</v>
      </c>
      <c r="J83" s="189">
        <f>IFERROR(__xludf.DUMMYFUNCTION("""COMPUTED_VALUE"""),0.0)</f>
        <v>0</v>
      </c>
      <c r="K83" s="190">
        <f>IFERROR(__xludf.DUMMYFUNCTION("""COMPUTED_VALUE"""),0.0)</f>
        <v>0</v>
      </c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</row>
    <row r="84" ht="24.0" customHeight="1">
      <c r="A84" s="192"/>
      <c r="B84" s="192"/>
      <c r="C84" s="183" t="str">
        <f t="shared" si="1"/>
        <v/>
      </c>
      <c r="D84" s="183" t="s">
        <v>74</v>
      </c>
      <c r="E84" s="184" t="s">
        <v>75</v>
      </c>
      <c r="F84" s="185" t="str">
        <f t="shared" si="2"/>
        <v/>
      </c>
      <c r="G84" s="192" t="str">
        <f t="shared" si="3"/>
        <v/>
      </c>
      <c r="H84" s="183" t="s">
        <v>76</v>
      </c>
      <c r="I84" s="188">
        <f>IFERROR(__xludf.DUMMYFUNCTION("""COMPUTED_VALUE"""),0.0)</f>
        <v>0</v>
      </c>
      <c r="J84" s="189">
        <f>IFERROR(__xludf.DUMMYFUNCTION("""COMPUTED_VALUE"""),0.0)</f>
        <v>0</v>
      </c>
      <c r="K84" s="190">
        <f>IFERROR(__xludf.DUMMYFUNCTION("""COMPUTED_VALUE"""),0.0)</f>
        <v>0</v>
      </c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</row>
    <row r="85" ht="24.0" customHeight="1">
      <c r="A85" s="192"/>
      <c r="B85" s="192"/>
      <c r="C85" s="183" t="str">
        <f t="shared" si="1"/>
        <v/>
      </c>
      <c r="D85" s="183" t="s">
        <v>74</v>
      </c>
      <c r="E85" s="184" t="s">
        <v>75</v>
      </c>
      <c r="F85" s="185" t="str">
        <f t="shared" si="2"/>
        <v/>
      </c>
      <c r="G85" s="192" t="str">
        <f t="shared" si="3"/>
        <v/>
      </c>
      <c r="H85" s="183" t="s">
        <v>76</v>
      </c>
      <c r="I85" s="188">
        <f>IFERROR(__xludf.DUMMYFUNCTION("""COMPUTED_VALUE"""),0.0)</f>
        <v>0</v>
      </c>
      <c r="J85" s="189">
        <f>IFERROR(__xludf.DUMMYFUNCTION("""COMPUTED_VALUE"""),0.0)</f>
        <v>0</v>
      </c>
      <c r="K85" s="190">
        <f>IFERROR(__xludf.DUMMYFUNCTION("""COMPUTED_VALUE"""),0.0)</f>
        <v>0</v>
      </c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</row>
    <row r="86" ht="24.0" customHeight="1">
      <c r="A86" s="192"/>
      <c r="B86" s="192"/>
      <c r="C86" s="183" t="str">
        <f t="shared" si="1"/>
        <v/>
      </c>
      <c r="D86" s="183" t="s">
        <v>74</v>
      </c>
      <c r="E86" s="184" t="s">
        <v>75</v>
      </c>
      <c r="F86" s="185" t="str">
        <f t="shared" si="2"/>
        <v/>
      </c>
      <c r="G86" s="192" t="str">
        <f t="shared" si="3"/>
        <v/>
      </c>
      <c r="H86" s="183" t="s">
        <v>76</v>
      </c>
      <c r="I86" s="188">
        <f>IFERROR(__xludf.DUMMYFUNCTION("""COMPUTED_VALUE"""),0.0)</f>
        <v>0</v>
      </c>
      <c r="J86" s="189">
        <f>IFERROR(__xludf.DUMMYFUNCTION("""COMPUTED_VALUE"""),0.0)</f>
        <v>0</v>
      </c>
      <c r="K86" s="190">
        <f>IFERROR(__xludf.DUMMYFUNCTION("""COMPUTED_VALUE"""),0.0)</f>
        <v>0</v>
      </c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</row>
    <row r="87" ht="24.0" customHeight="1">
      <c r="A87" s="192"/>
      <c r="B87" s="192"/>
      <c r="C87" s="183" t="str">
        <f t="shared" si="1"/>
        <v/>
      </c>
      <c r="D87" s="183" t="s">
        <v>74</v>
      </c>
      <c r="E87" s="184" t="s">
        <v>75</v>
      </c>
      <c r="F87" s="185" t="str">
        <f t="shared" si="2"/>
        <v/>
      </c>
      <c r="G87" s="192" t="str">
        <f t="shared" si="3"/>
        <v/>
      </c>
      <c r="H87" s="183" t="s">
        <v>76</v>
      </c>
      <c r="I87" s="188">
        <f>IFERROR(__xludf.DUMMYFUNCTION("""COMPUTED_VALUE"""),0.0)</f>
        <v>0</v>
      </c>
      <c r="J87" s="189">
        <f>IFERROR(__xludf.DUMMYFUNCTION("""COMPUTED_VALUE"""),0.0)</f>
        <v>0</v>
      </c>
      <c r="K87" s="190">
        <f>IFERROR(__xludf.DUMMYFUNCTION("""COMPUTED_VALUE"""),0.0)</f>
        <v>0</v>
      </c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</row>
    <row r="88" ht="24.0" customHeight="1">
      <c r="A88" s="192"/>
      <c r="B88" s="192"/>
      <c r="C88" s="183" t="str">
        <f t="shared" si="1"/>
        <v/>
      </c>
      <c r="D88" s="183" t="s">
        <v>74</v>
      </c>
      <c r="E88" s="184" t="s">
        <v>75</v>
      </c>
      <c r="F88" s="185" t="str">
        <f t="shared" si="2"/>
        <v/>
      </c>
      <c r="G88" s="192" t="str">
        <f t="shared" si="3"/>
        <v/>
      </c>
      <c r="H88" s="183" t="s">
        <v>76</v>
      </c>
      <c r="I88" s="188">
        <f>IFERROR(__xludf.DUMMYFUNCTION("""COMPUTED_VALUE"""),0.0)</f>
        <v>0</v>
      </c>
      <c r="J88" s="189">
        <f>IFERROR(__xludf.DUMMYFUNCTION("""COMPUTED_VALUE"""),0.0)</f>
        <v>0</v>
      </c>
      <c r="K88" s="190">
        <f>IFERROR(__xludf.DUMMYFUNCTION("""COMPUTED_VALUE"""),0.0)</f>
        <v>0</v>
      </c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</row>
    <row r="89" ht="24.0" customHeight="1">
      <c r="A89" s="192"/>
      <c r="B89" s="192"/>
      <c r="C89" s="183" t="str">
        <f t="shared" si="1"/>
        <v/>
      </c>
      <c r="D89" s="183" t="s">
        <v>74</v>
      </c>
      <c r="E89" s="184" t="s">
        <v>75</v>
      </c>
      <c r="F89" s="185" t="str">
        <f t="shared" si="2"/>
        <v/>
      </c>
      <c r="G89" s="192" t="str">
        <f t="shared" si="3"/>
        <v/>
      </c>
      <c r="H89" s="183" t="s">
        <v>76</v>
      </c>
      <c r="I89" s="188">
        <f>IFERROR(__xludf.DUMMYFUNCTION("""COMPUTED_VALUE"""),0.0)</f>
        <v>0</v>
      </c>
      <c r="J89" s="189">
        <f>IFERROR(__xludf.DUMMYFUNCTION("""COMPUTED_VALUE"""),0.0)</f>
        <v>0</v>
      </c>
      <c r="K89" s="190">
        <f>IFERROR(__xludf.DUMMYFUNCTION("""COMPUTED_VALUE"""),0.0)</f>
        <v>0</v>
      </c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</row>
    <row r="90" ht="24.0" customHeight="1">
      <c r="A90" s="192"/>
      <c r="B90" s="192"/>
      <c r="C90" s="183" t="str">
        <f t="shared" si="1"/>
        <v/>
      </c>
      <c r="D90" s="183" t="s">
        <v>74</v>
      </c>
      <c r="E90" s="184" t="s">
        <v>75</v>
      </c>
      <c r="F90" s="185" t="str">
        <f t="shared" si="2"/>
        <v/>
      </c>
      <c r="G90" s="192" t="str">
        <f t="shared" si="3"/>
        <v/>
      </c>
      <c r="H90" s="183" t="s">
        <v>76</v>
      </c>
      <c r="I90" s="188">
        <f>IFERROR(__xludf.DUMMYFUNCTION("""COMPUTED_VALUE"""),0.0)</f>
        <v>0</v>
      </c>
      <c r="J90" s="189">
        <f>IFERROR(__xludf.DUMMYFUNCTION("""COMPUTED_VALUE"""),0.0)</f>
        <v>0</v>
      </c>
      <c r="K90" s="190">
        <f>IFERROR(__xludf.DUMMYFUNCTION("""COMPUTED_VALUE"""),0.0)</f>
        <v>0</v>
      </c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</row>
    <row r="91" ht="24.0" customHeight="1">
      <c r="A91" s="192"/>
      <c r="B91" s="192"/>
      <c r="C91" s="183" t="str">
        <f t="shared" si="1"/>
        <v/>
      </c>
      <c r="D91" s="183" t="s">
        <v>74</v>
      </c>
      <c r="E91" s="184" t="s">
        <v>75</v>
      </c>
      <c r="F91" s="185" t="str">
        <f t="shared" si="2"/>
        <v/>
      </c>
      <c r="G91" s="192" t="str">
        <f t="shared" si="3"/>
        <v/>
      </c>
      <c r="H91" s="183" t="s">
        <v>76</v>
      </c>
      <c r="I91" s="188">
        <f>IFERROR(__xludf.DUMMYFUNCTION("""COMPUTED_VALUE"""),0.0)</f>
        <v>0</v>
      </c>
      <c r="J91" s="189">
        <f>IFERROR(__xludf.DUMMYFUNCTION("""COMPUTED_VALUE"""),0.0)</f>
        <v>0</v>
      </c>
      <c r="K91" s="190">
        <f>IFERROR(__xludf.DUMMYFUNCTION("""COMPUTED_VALUE"""),0.0)</f>
        <v>0</v>
      </c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</row>
    <row r="92" ht="24.0" customHeight="1">
      <c r="A92" s="192"/>
      <c r="B92" s="192"/>
      <c r="C92" s="183" t="str">
        <f t="shared" si="1"/>
        <v/>
      </c>
      <c r="D92" s="183" t="s">
        <v>74</v>
      </c>
      <c r="E92" s="184" t="s">
        <v>75</v>
      </c>
      <c r="F92" s="185" t="str">
        <f t="shared" si="2"/>
        <v/>
      </c>
      <c r="G92" s="192" t="str">
        <f t="shared" si="3"/>
        <v/>
      </c>
      <c r="H92" s="183" t="s">
        <v>76</v>
      </c>
      <c r="I92" s="188">
        <f>IFERROR(__xludf.DUMMYFUNCTION("""COMPUTED_VALUE"""),0.0)</f>
        <v>0</v>
      </c>
      <c r="J92" s="189">
        <f>IFERROR(__xludf.DUMMYFUNCTION("""COMPUTED_VALUE"""),0.0)</f>
        <v>0</v>
      </c>
      <c r="K92" s="190">
        <f>IFERROR(__xludf.DUMMYFUNCTION("""COMPUTED_VALUE"""),0.0)</f>
        <v>0</v>
      </c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</row>
    <row r="93" ht="24.0" customHeight="1">
      <c r="A93" s="192"/>
      <c r="B93" s="192"/>
      <c r="C93" s="183" t="str">
        <f t="shared" si="1"/>
        <v/>
      </c>
      <c r="D93" s="183" t="s">
        <v>74</v>
      </c>
      <c r="E93" s="184" t="s">
        <v>75</v>
      </c>
      <c r="F93" s="185" t="str">
        <f t="shared" si="2"/>
        <v/>
      </c>
      <c r="G93" s="192" t="str">
        <f t="shared" si="3"/>
        <v/>
      </c>
      <c r="H93" s="183" t="s">
        <v>76</v>
      </c>
      <c r="I93" s="188">
        <f>IFERROR(__xludf.DUMMYFUNCTION("""COMPUTED_VALUE"""),0.0)</f>
        <v>0</v>
      </c>
      <c r="J93" s="189">
        <f>IFERROR(__xludf.DUMMYFUNCTION("""COMPUTED_VALUE"""),0.0)</f>
        <v>0</v>
      </c>
      <c r="K93" s="190">
        <f>IFERROR(__xludf.DUMMYFUNCTION("""COMPUTED_VALUE"""),0.0)</f>
        <v>0</v>
      </c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</row>
    <row r="94" ht="24.0" customHeight="1">
      <c r="A94" s="192"/>
      <c r="B94" s="192"/>
      <c r="C94" s="183" t="str">
        <f t="shared" si="1"/>
        <v/>
      </c>
      <c r="D94" s="183" t="s">
        <v>74</v>
      </c>
      <c r="E94" s="184" t="s">
        <v>75</v>
      </c>
      <c r="F94" s="185" t="str">
        <f t="shared" si="2"/>
        <v/>
      </c>
      <c r="G94" s="192" t="str">
        <f t="shared" si="3"/>
        <v/>
      </c>
      <c r="H94" s="183" t="s">
        <v>76</v>
      </c>
      <c r="I94" s="188">
        <f>IFERROR(__xludf.DUMMYFUNCTION("""COMPUTED_VALUE"""),0.0)</f>
        <v>0</v>
      </c>
      <c r="J94" s="189">
        <f>IFERROR(__xludf.DUMMYFUNCTION("""COMPUTED_VALUE"""),0.0)</f>
        <v>0</v>
      </c>
      <c r="K94" s="190">
        <f>IFERROR(__xludf.DUMMYFUNCTION("""COMPUTED_VALUE"""),0.0)</f>
        <v>0</v>
      </c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</row>
    <row r="95" ht="24.0" customHeight="1">
      <c r="A95" s="192"/>
      <c r="B95" s="192"/>
      <c r="C95" s="183" t="str">
        <f t="shared" si="1"/>
        <v/>
      </c>
      <c r="D95" s="183" t="s">
        <v>74</v>
      </c>
      <c r="E95" s="184" t="s">
        <v>75</v>
      </c>
      <c r="F95" s="185" t="str">
        <f t="shared" si="2"/>
        <v/>
      </c>
      <c r="G95" s="192" t="str">
        <f t="shared" si="3"/>
        <v/>
      </c>
      <c r="H95" s="183" t="s">
        <v>76</v>
      </c>
      <c r="I95" s="188">
        <f>IFERROR(__xludf.DUMMYFUNCTION("""COMPUTED_VALUE"""),0.0)</f>
        <v>0</v>
      </c>
      <c r="J95" s="189">
        <f>IFERROR(__xludf.DUMMYFUNCTION("""COMPUTED_VALUE"""),0.0)</f>
        <v>0</v>
      </c>
      <c r="K95" s="190">
        <f>IFERROR(__xludf.DUMMYFUNCTION("""COMPUTED_VALUE"""),0.0)</f>
        <v>0</v>
      </c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</row>
    <row r="96" ht="24.0" customHeight="1">
      <c r="A96" s="192"/>
      <c r="B96" s="192"/>
      <c r="C96" s="183" t="str">
        <f t="shared" si="1"/>
        <v/>
      </c>
      <c r="D96" s="183" t="s">
        <v>74</v>
      </c>
      <c r="E96" s="184" t="s">
        <v>75</v>
      </c>
      <c r="F96" s="185" t="str">
        <f t="shared" si="2"/>
        <v/>
      </c>
      <c r="G96" s="192" t="str">
        <f t="shared" si="3"/>
        <v/>
      </c>
      <c r="H96" s="183" t="s">
        <v>76</v>
      </c>
      <c r="I96" s="188">
        <f>IFERROR(__xludf.DUMMYFUNCTION("""COMPUTED_VALUE"""),0.0)</f>
        <v>0</v>
      </c>
      <c r="J96" s="189">
        <f>IFERROR(__xludf.DUMMYFUNCTION("""COMPUTED_VALUE"""),0.0)</f>
        <v>0</v>
      </c>
      <c r="K96" s="190">
        <f>IFERROR(__xludf.DUMMYFUNCTION("""COMPUTED_VALUE"""),0.0)</f>
        <v>0</v>
      </c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</row>
    <row r="97" ht="24.0" customHeight="1">
      <c r="A97" s="192"/>
      <c r="B97" s="192"/>
      <c r="C97" s="183" t="str">
        <f t="shared" si="1"/>
        <v/>
      </c>
      <c r="D97" s="183" t="s">
        <v>74</v>
      </c>
      <c r="E97" s="184" t="s">
        <v>75</v>
      </c>
      <c r="F97" s="185" t="str">
        <f t="shared" si="2"/>
        <v/>
      </c>
      <c r="G97" s="192" t="str">
        <f t="shared" si="3"/>
        <v/>
      </c>
      <c r="H97" s="183" t="s">
        <v>76</v>
      </c>
      <c r="I97" s="188">
        <f>IFERROR(__xludf.DUMMYFUNCTION("""COMPUTED_VALUE"""),0.0)</f>
        <v>0</v>
      </c>
      <c r="J97" s="189">
        <f>IFERROR(__xludf.DUMMYFUNCTION("""COMPUTED_VALUE"""),0.0)</f>
        <v>0</v>
      </c>
      <c r="K97" s="190">
        <f>IFERROR(__xludf.DUMMYFUNCTION("""COMPUTED_VALUE"""),0.0)</f>
        <v>0</v>
      </c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</row>
    <row r="98" ht="24.0" customHeight="1">
      <c r="A98" s="192"/>
      <c r="B98" s="192"/>
      <c r="C98" s="183" t="str">
        <f t="shared" si="1"/>
        <v/>
      </c>
      <c r="D98" s="183" t="s">
        <v>74</v>
      </c>
      <c r="E98" s="184" t="s">
        <v>75</v>
      </c>
      <c r="F98" s="185" t="str">
        <f t="shared" si="2"/>
        <v/>
      </c>
      <c r="G98" s="192" t="str">
        <f t="shared" si="3"/>
        <v/>
      </c>
      <c r="H98" s="183" t="s">
        <v>76</v>
      </c>
      <c r="I98" s="188">
        <f>IFERROR(__xludf.DUMMYFUNCTION("""COMPUTED_VALUE"""),0.0)</f>
        <v>0</v>
      </c>
      <c r="J98" s="189">
        <f>IFERROR(__xludf.DUMMYFUNCTION("""COMPUTED_VALUE"""),0.0)</f>
        <v>0</v>
      </c>
      <c r="K98" s="190">
        <f>IFERROR(__xludf.DUMMYFUNCTION("""COMPUTED_VALUE"""),0.0)</f>
        <v>0</v>
      </c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</row>
    <row r="99" ht="24.0" customHeight="1">
      <c r="A99" s="192"/>
      <c r="B99" s="192"/>
      <c r="C99" s="183" t="str">
        <f t="shared" si="1"/>
        <v/>
      </c>
      <c r="D99" s="183" t="s">
        <v>74</v>
      </c>
      <c r="E99" s="184" t="s">
        <v>75</v>
      </c>
      <c r="F99" s="185" t="str">
        <f t="shared" si="2"/>
        <v/>
      </c>
      <c r="G99" s="192" t="str">
        <f t="shared" si="3"/>
        <v/>
      </c>
      <c r="H99" s="183" t="s">
        <v>76</v>
      </c>
      <c r="I99" s="188">
        <f>IFERROR(__xludf.DUMMYFUNCTION("""COMPUTED_VALUE"""),0.0)</f>
        <v>0</v>
      </c>
      <c r="J99" s="189">
        <f>IFERROR(__xludf.DUMMYFUNCTION("""COMPUTED_VALUE"""),0.0)</f>
        <v>0</v>
      </c>
      <c r="K99" s="190">
        <f>IFERROR(__xludf.DUMMYFUNCTION("""COMPUTED_VALUE"""),0.0)</f>
        <v>0</v>
      </c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</row>
    <row r="100" ht="24.0" customHeight="1">
      <c r="A100" s="192"/>
      <c r="B100" s="192"/>
      <c r="C100" s="183" t="str">
        <f t="shared" si="1"/>
        <v/>
      </c>
      <c r="D100" s="183" t="s">
        <v>74</v>
      </c>
      <c r="E100" s="184" t="s">
        <v>75</v>
      </c>
      <c r="F100" s="185" t="str">
        <f t="shared" si="2"/>
        <v/>
      </c>
      <c r="G100" s="192" t="str">
        <f t="shared" si="3"/>
        <v/>
      </c>
      <c r="H100" s="183" t="s">
        <v>76</v>
      </c>
      <c r="I100" s="188">
        <f>IFERROR(__xludf.DUMMYFUNCTION("""COMPUTED_VALUE"""),0.0)</f>
        <v>0</v>
      </c>
      <c r="J100" s="189">
        <f>IFERROR(__xludf.DUMMYFUNCTION("""COMPUTED_VALUE"""),0.0)</f>
        <v>0</v>
      </c>
      <c r="K100" s="190">
        <f>IFERROR(__xludf.DUMMYFUNCTION("""COMPUTED_VALUE"""),0.0)</f>
        <v>0</v>
      </c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</row>
    <row r="101" ht="24.0" customHeight="1">
      <c r="A101" s="196"/>
      <c r="B101" s="196"/>
      <c r="C101" s="183" t="str">
        <f t="shared" si="1"/>
        <v/>
      </c>
      <c r="D101" s="183" t="s">
        <v>74</v>
      </c>
      <c r="E101" s="184" t="s">
        <v>75</v>
      </c>
      <c r="F101" s="185" t="str">
        <f t="shared" si="2"/>
        <v/>
      </c>
      <c r="G101" s="192" t="str">
        <f t="shared" si="3"/>
        <v/>
      </c>
      <c r="H101" s="183" t="s">
        <v>76</v>
      </c>
      <c r="I101" s="197">
        <f>IFERROR(__xludf.DUMMYFUNCTION("""COMPUTED_VALUE"""),0.0)</f>
        <v>0</v>
      </c>
      <c r="J101" s="198">
        <f>IFERROR(__xludf.DUMMYFUNCTION("""COMPUTED_VALUE"""),0.0)</f>
        <v>0</v>
      </c>
      <c r="K101" s="199">
        <f>IFERROR(__xludf.DUMMYFUNCTION("""COMPUTED_VALUE"""),0.0)</f>
        <v>0</v>
      </c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  <c r="AA101" s="200"/>
    </row>
    <row r="102" ht="24.0" customHeight="1">
      <c r="A102" s="196"/>
      <c r="B102" s="196"/>
      <c r="C102" s="183" t="str">
        <f t="shared" si="1"/>
        <v/>
      </c>
      <c r="D102" s="183" t="s">
        <v>74</v>
      </c>
      <c r="E102" s="184" t="s">
        <v>75</v>
      </c>
      <c r="F102" s="185" t="str">
        <f t="shared" si="2"/>
        <v/>
      </c>
      <c r="G102" s="192" t="str">
        <f t="shared" si="3"/>
        <v/>
      </c>
      <c r="H102" s="183" t="s">
        <v>76</v>
      </c>
      <c r="I102" s="197">
        <f>IFERROR(__xludf.DUMMYFUNCTION("""COMPUTED_VALUE"""),0.0)</f>
        <v>0</v>
      </c>
      <c r="J102" s="198">
        <f>IFERROR(__xludf.DUMMYFUNCTION("""COMPUTED_VALUE"""),0.0)</f>
        <v>0</v>
      </c>
      <c r="K102" s="199">
        <f>IFERROR(__xludf.DUMMYFUNCTION("""COMPUTED_VALUE"""),0.0)</f>
        <v>0</v>
      </c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  <c r="AA102" s="200"/>
    </row>
    <row r="103" ht="24.0" customHeight="1">
      <c r="A103" s="196"/>
      <c r="B103" s="196"/>
      <c r="C103" s="183" t="str">
        <f t="shared" si="1"/>
        <v/>
      </c>
      <c r="D103" s="183" t="s">
        <v>74</v>
      </c>
      <c r="E103" s="184" t="s">
        <v>75</v>
      </c>
      <c r="F103" s="185" t="str">
        <f t="shared" si="2"/>
        <v/>
      </c>
      <c r="G103" s="192" t="str">
        <f t="shared" si="3"/>
        <v/>
      </c>
      <c r="H103" s="183" t="s">
        <v>76</v>
      </c>
      <c r="I103" s="197">
        <f>IFERROR(__xludf.DUMMYFUNCTION("""COMPUTED_VALUE"""),0.0)</f>
        <v>0</v>
      </c>
      <c r="J103" s="198">
        <f>IFERROR(__xludf.DUMMYFUNCTION("""COMPUTED_VALUE"""),0.0)</f>
        <v>0</v>
      </c>
      <c r="K103" s="199">
        <f>IFERROR(__xludf.DUMMYFUNCTION("""COMPUTED_VALUE"""),0.0)</f>
        <v>0</v>
      </c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  <c r="AA103" s="200"/>
    </row>
    <row r="104" ht="24.0" customHeight="1">
      <c r="A104" s="196"/>
      <c r="B104" s="196"/>
      <c r="C104" s="183" t="str">
        <f t="shared" si="1"/>
        <v/>
      </c>
      <c r="D104" s="183" t="s">
        <v>74</v>
      </c>
      <c r="E104" s="184" t="s">
        <v>75</v>
      </c>
      <c r="F104" s="185" t="str">
        <f t="shared" si="2"/>
        <v/>
      </c>
      <c r="G104" s="192" t="str">
        <f t="shared" si="3"/>
        <v/>
      </c>
      <c r="H104" s="183" t="s">
        <v>76</v>
      </c>
      <c r="I104" s="197">
        <f>IFERROR(__xludf.DUMMYFUNCTION("""COMPUTED_VALUE"""),0.0)</f>
        <v>0</v>
      </c>
      <c r="J104" s="198">
        <f>IFERROR(__xludf.DUMMYFUNCTION("""COMPUTED_VALUE"""),0.0)</f>
        <v>0</v>
      </c>
      <c r="K104" s="199">
        <f>IFERROR(__xludf.DUMMYFUNCTION("""COMPUTED_VALUE"""),0.0)</f>
        <v>0</v>
      </c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</row>
    <row r="105" ht="24.0" customHeight="1">
      <c r="A105" s="196"/>
      <c r="B105" s="196"/>
      <c r="C105" s="183" t="str">
        <f t="shared" si="1"/>
        <v/>
      </c>
      <c r="D105" s="183" t="s">
        <v>74</v>
      </c>
      <c r="E105" s="184" t="s">
        <v>75</v>
      </c>
      <c r="F105" s="185" t="str">
        <f t="shared" si="2"/>
        <v/>
      </c>
      <c r="G105" s="192" t="str">
        <f t="shared" si="3"/>
        <v/>
      </c>
      <c r="H105" s="183" t="s">
        <v>76</v>
      </c>
      <c r="I105" s="197">
        <f>IFERROR(__xludf.DUMMYFUNCTION("""COMPUTED_VALUE"""),0.0)</f>
        <v>0</v>
      </c>
      <c r="J105" s="198">
        <f>IFERROR(__xludf.DUMMYFUNCTION("""COMPUTED_VALUE"""),0.0)</f>
        <v>0</v>
      </c>
      <c r="K105" s="199">
        <f>IFERROR(__xludf.DUMMYFUNCTION("""COMPUTED_VALUE"""),0.0)</f>
        <v>0</v>
      </c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</row>
    <row r="106" ht="24.0" customHeight="1">
      <c r="A106" s="196"/>
      <c r="B106" s="196"/>
      <c r="C106" s="183" t="str">
        <f t="shared" si="1"/>
        <v/>
      </c>
      <c r="D106" s="183" t="s">
        <v>74</v>
      </c>
      <c r="E106" s="184" t="s">
        <v>75</v>
      </c>
      <c r="F106" s="185" t="str">
        <f t="shared" si="2"/>
        <v/>
      </c>
      <c r="G106" s="192" t="str">
        <f t="shared" si="3"/>
        <v/>
      </c>
      <c r="H106" s="183" t="s">
        <v>76</v>
      </c>
      <c r="I106" s="197">
        <f>IFERROR(__xludf.DUMMYFUNCTION("""COMPUTED_VALUE"""),0.0)</f>
        <v>0</v>
      </c>
      <c r="J106" s="198">
        <f>IFERROR(__xludf.DUMMYFUNCTION("""COMPUTED_VALUE"""),0.0)</f>
        <v>0</v>
      </c>
      <c r="K106" s="199">
        <f>IFERROR(__xludf.DUMMYFUNCTION("""COMPUTED_VALUE"""),0.0)</f>
        <v>0</v>
      </c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  <c r="AA106" s="200"/>
    </row>
    <row r="107" ht="24.0" customHeight="1">
      <c r="A107" s="196"/>
      <c r="B107" s="196"/>
      <c r="C107" s="183" t="str">
        <f t="shared" si="1"/>
        <v/>
      </c>
      <c r="D107" s="183" t="s">
        <v>74</v>
      </c>
      <c r="E107" s="184" t="s">
        <v>75</v>
      </c>
      <c r="F107" s="185" t="str">
        <f t="shared" si="2"/>
        <v/>
      </c>
      <c r="G107" s="192" t="str">
        <f t="shared" si="3"/>
        <v/>
      </c>
      <c r="H107" s="183" t="s">
        <v>76</v>
      </c>
      <c r="I107" s="197">
        <f>IFERROR(__xludf.DUMMYFUNCTION("""COMPUTED_VALUE"""),0.0)</f>
        <v>0</v>
      </c>
      <c r="J107" s="198">
        <f>IFERROR(__xludf.DUMMYFUNCTION("""COMPUTED_VALUE"""),0.0)</f>
        <v>0</v>
      </c>
      <c r="K107" s="199">
        <f>IFERROR(__xludf.DUMMYFUNCTION("""COMPUTED_VALUE"""),0.0)</f>
        <v>0</v>
      </c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  <c r="AA107" s="200"/>
    </row>
    <row r="108" ht="24.0" customHeight="1">
      <c r="A108" s="196"/>
      <c r="B108" s="196"/>
      <c r="C108" s="183" t="str">
        <f t="shared" si="1"/>
        <v/>
      </c>
      <c r="D108" s="183" t="s">
        <v>74</v>
      </c>
      <c r="E108" s="184" t="s">
        <v>75</v>
      </c>
      <c r="F108" s="185" t="str">
        <f t="shared" si="2"/>
        <v/>
      </c>
      <c r="G108" s="192" t="str">
        <f t="shared" si="3"/>
        <v/>
      </c>
      <c r="H108" s="183" t="s">
        <v>76</v>
      </c>
      <c r="I108" s="197">
        <f>IFERROR(__xludf.DUMMYFUNCTION("""COMPUTED_VALUE"""),0.0)</f>
        <v>0</v>
      </c>
      <c r="J108" s="198">
        <f>IFERROR(__xludf.DUMMYFUNCTION("""COMPUTED_VALUE"""),0.0)</f>
        <v>0</v>
      </c>
      <c r="K108" s="199">
        <f>IFERROR(__xludf.DUMMYFUNCTION("""COMPUTED_VALUE"""),0.0)</f>
        <v>0</v>
      </c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  <c r="AA108" s="200"/>
    </row>
    <row r="109" ht="24.0" customHeight="1">
      <c r="A109" s="196"/>
      <c r="B109" s="196"/>
      <c r="C109" s="183" t="str">
        <f t="shared" si="1"/>
        <v/>
      </c>
      <c r="D109" s="183" t="s">
        <v>74</v>
      </c>
      <c r="E109" s="184" t="s">
        <v>75</v>
      </c>
      <c r="F109" s="185" t="str">
        <f t="shared" si="2"/>
        <v/>
      </c>
      <c r="G109" s="192" t="str">
        <f t="shared" si="3"/>
        <v/>
      </c>
      <c r="H109" s="183" t="s">
        <v>76</v>
      </c>
      <c r="I109" s="197">
        <f>IFERROR(__xludf.DUMMYFUNCTION("""COMPUTED_VALUE"""),0.0)</f>
        <v>0</v>
      </c>
      <c r="J109" s="198">
        <f>IFERROR(__xludf.DUMMYFUNCTION("""COMPUTED_VALUE"""),0.0)</f>
        <v>0</v>
      </c>
      <c r="K109" s="199">
        <f>IFERROR(__xludf.DUMMYFUNCTION("""COMPUTED_VALUE"""),0.0)</f>
        <v>0</v>
      </c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  <c r="AA109" s="200"/>
    </row>
    <row r="110" ht="24.0" customHeight="1">
      <c r="A110" s="196"/>
      <c r="B110" s="196"/>
      <c r="C110" s="183" t="str">
        <f t="shared" si="1"/>
        <v/>
      </c>
      <c r="D110" s="196"/>
      <c r="E110" s="203"/>
      <c r="F110" s="185" t="str">
        <f t="shared" si="2"/>
        <v/>
      </c>
      <c r="G110" s="192" t="str">
        <f t="shared" si="3"/>
        <v/>
      </c>
      <c r="H110" s="196"/>
      <c r="I110" s="197">
        <f>IFERROR(__xludf.DUMMYFUNCTION("""COMPUTED_VALUE"""),0.0)</f>
        <v>0</v>
      </c>
      <c r="J110" s="198">
        <f>IFERROR(__xludf.DUMMYFUNCTION("""COMPUTED_VALUE"""),0.0)</f>
        <v>0</v>
      </c>
      <c r="K110" s="199">
        <f>IFERROR(__xludf.DUMMYFUNCTION("""COMPUTED_VALUE"""),0.0)</f>
        <v>0</v>
      </c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  <c r="AA110" s="200"/>
    </row>
    <row r="111">
      <c r="A111" s="200"/>
      <c r="B111" s="200"/>
      <c r="C111" s="200"/>
      <c r="D111" s="200"/>
      <c r="E111" s="200"/>
      <c r="F111" s="204"/>
      <c r="G111" s="200"/>
      <c r="H111" s="200"/>
      <c r="I111" s="205">
        <f>IFERROR(__xludf.DUMMYFUNCTION("""COMPUTED_VALUE"""),0.0)</f>
        <v>0</v>
      </c>
      <c r="J111" s="206">
        <f>IFERROR(__xludf.DUMMYFUNCTION("""COMPUTED_VALUE"""),0.0)</f>
        <v>0</v>
      </c>
      <c r="K111" s="207">
        <f>IFERROR(__xludf.DUMMYFUNCTION("""COMPUTED_VALUE"""),0.0)</f>
        <v>0</v>
      </c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  <c r="AA111" s="200"/>
    </row>
    <row r="112">
      <c r="A112" s="200"/>
      <c r="B112" s="200"/>
      <c r="C112" s="200"/>
      <c r="D112" s="200"/>
      <c r="E112" s="200"/>
      <c r="F112" s="204"/>
      <c r="G112" s="200"/>
      <c r="H112" s="200"/>
      <c r="I112" s="205">
        <f>IFERROR(__xludf.DUMMYFUNCTION("""COMPUTED_VALUE"""),0.0)</f>
        <v>0</v>
      </c>
      <c r="J112" s="206">
        <f>IFERROR(__xludf.DUMMYFUNCTION("""COMPUTED_VALUE"""),0.0)</f>
        <v>0</v>
      </c>
      <c r="K112" s="207">
        <f>IFERROR(__xludf.DUMMYFUNCTION("""COMPUTED_VALUE"""),0.0)</f>
        <v>0</v>
      </c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/>
    </row>
    <row r="113">
      <c r="A113" s="200"/>
      <c r="B113" s="200"/>
      <c r="C113" s="200"/>
      <c r="D113" s="200"/>
      <c r="E113" s="200"/>
      <c r="F113" s="204"/>
      <c r="G113" s="200"/>
      <c r="H113" s="200"/>
      <c r="I113" s="205">
        <f>IFERROR(__xludf.DUMMYFUNCTION("""COMPUTED_VALUE"""),0.0)</f>
        <v>0</v>
      </c>
      <c r="J113" s="206">
        <f>IFERROR(__xludf.DUMMYFUNCTION("""COMPUTED_VALUE"""),0.0)</f>
        <v>0</v>
      </c>
      <c r="K113" s="207">
        <f>IFERROR(__xludf.DUMMYFUNCTION("""COMPUTED_VALUE"""),0.0)</f>
        <v>0</v>
      </c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/>
    </row>
    <row r="114">
      <c r="A114" s="200"/>
      <c r="B114" s="200"/>
      <c r="C114" s="200"/>
      <c r="D114" s="200"/>
      <c r="E114" s="200"/>
      <c r="F114" s="204"/>
      <c r="G114" s="200"/>
      <c r="H114" s="200"/>
      <c r="I114" s="205">
        <f>IFERROR(__xludf.DUMMYFUNCTION("""COMPUTED_VALUE"""),0.0)</f>
        <v>0</v>
      </c>
      <c r="J114" s="206">
        <f>IFERROR(__xludf.DUMMYFUNCTION("""COMPUTED_VALUE"""),0.0)</f>
        <v>0</v>
      </c>
      <c r="K114" s="207">
        <f>IFERROR(__xludf.DUMMYFUNCTION("""COMPUTED_VALUE"""),0.0)</f>
        <v>0</v>
      </c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/>
    </row>
    <row r="115">
      <c r="A115" s="200"/>
      <c r="B115" s="200"/>
      <c r="C115" s="200"/>
      <c r="D115" s="200"/>
      <c r="E115" s="200"/>
      <c r="F115" s="204"/>
      <c r="G115" s="200"/>
      <c r="H115" s="200"/>
      <c r="I115" s="205">
        <f>IFERROR(__xludf.DUMMYFUNCTION("""COMPUTED_VALUE"""),0.0)</f>
        <v>0</v>
      </c>
      <c r="J115" s="206">
        <f>IFERROR(__xludf.DUMMYFUNCTION("""COMPUTED_VALUE"""),0.0)</f>
        <v>0</v>
      </c>
      <c r="K115" s="207">
        <f>IFERROR(__xludf.DUMMYFUNCTION("""COMPUTED_VALUE"""),0.0)</f>
        <v>0</v>
      </c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</row>
    <row r="116">
      <c r="A116" s="200"/>
      <c r="B116" s="200"/>
      <c r="C116" s="200"/>
      <c r="D116" s="200"/>
      <c r="E116" s="200"/>
      <c r="F116" s="204"/>
      <c r="G116" s="200"/>
      <c r="H116" s="200"/>
      <c r="I116" s="205">
        <f>IFERROR(__xludf.DUMMYFUNCTION("""COMPUTED_VALUE"""),0.0)</f>
        <v>0</v>
      </c>
      <c r="J116" s="206">
        <f>IFERROR(__xludf.DUMMYFUNCTION("""COMPUTED_VALUE"""),0.0)</f>
        <v>0</v>
      </c>
      <c r="K116" s="207">
        <f>IFERROR(__xludf.DUMMYFUNCTION("""COMPUTED_VALUE"""),0.0)</f>
        <v>0</v>
      </c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</row>
    <row r="117">
      <c r="A117" s="200"/>
      <c r="B117" s="200"/>
      <c r="C117" s="200"/>
      <c r="D117" s="200"/>
      <c r="E117" s="200"/>
      <c r="F117" s="204"/>
      <c r="G117" s="200"/>
      <c r="H117" s="200"/>
      <c r="I117" s="205">
        <f>IFERROR(__xludf.DUMMYFUNCTION("""COMPUTED_VALUE"""),0.0)</f>
        <v>0</v>
      </c>
      <c r="J117" s="206">
        <f>IFERROR(__xludf.DUMMYFUNCTION("""COMPUTED_VALUE"""),0.0)</f>
        <v>0</v>
      </c>
      <c r="K117" s="207">
        <f>IFERROR(__xludf.DUMMYFUNCTION("""COMPUTED_VALUE"""),0.0)</f>
        <v>0</v>
      </c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</row>
    <row r="118">
      <c r="A118" s="200"/>
      <c r="B118" s="200"/>
      <c r="C118" s="200"/>
      <c r="D118" s="200"/>
      <c r="E118" s="200"/>
      <c r="F118" s="204"/>
      <c r="G118" s="200"/>
      <c r="H118" s="200"/>
      <c r="I118" s="205">
        <f>IFERROR(__xludf.DUMMYFUNCTION("""COMPUTED_VALUE"""),0.0)</f>
        <v>0</v>
      </c>
      <c r="J118" s="206">
        <f>IFERROR(__xludf.DUMMYFUNCTION("""COMPUTED_VALUE"""),0.0)</f>
        <v>0</v>
      </c>
      <c r="K118" s="207">
        <f>IFERROR(__xludf.DUMMYFUNCTION("""COMPUTED_VALUE"""),0.0)</f>
        <v>0</v>
      </c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</row>
    <row r="119">
      <c r="A119" s="200"/>
      <c r="B119" s="200"/>
      <c r="C119" s="200"/>
      <c r="D119" s="200"/>
      <c r="E119" s="200"/>
      <c r="F119" s="204"/>
      <c r="G119" s="200"/>
      <c r="H119" s="200"/>
      <c r="I119" s="205">
        <f>IFERROR(__xludf.DUMMYFUNCTION("""COMPUTED_VALUE"""),0.0)</f>
        <v>0</v>
      </c>
      <c r="J119" s="206">
        <f>IFERROR(__xludf.DUMMYFUNCTION("""COMPUTED_VALUE"""),0.0)</f>
        <v>0</v>
      </c>
      <c r="K119" s="207">
        <f>IFERROR(__xludf.DUMMYFUNCTION("""COMPUTED_VALUE"""),0.0)</f>
        <v>0</v>
      </c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0"/>
    </row>
    <row r="120">
      <c r="A120" s="200"/>
      <c r="B120" s="200"/>
      <c r="C120" s="200"/>
      <c r="D120" s="200"/>
      <c r="E120" s="200"/>
      <c r="F120" s="204"/>
      <c r="G120" s="200"/>
      <c r="H120" s="200"/>
      <c r="I120" s="205">
        <f>IFERROR(__xludf.DUMMYFUNCTION("""COMPUTED_VALUE"""),0.0)</f>
        <v>0</v>
      </c>
      <c r="J120" s="206">
        <f>IFERROR(__xludf.DUMMYFUNCTION("""COMPUTED_VALUE"""),0.0)</f>
        <v>0</v>
      </c>
      <c r="K120" s="207">
        <f>IFERROR(__xludf.DUMMYFUNCTION("""COMPUTED_VALUE"""),0.0)</f>
        <v>0</v>
      </c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</row>
    <row r="121">
      <c r="A121" s="200"/>
      <c r="B121" s="200"/>
      <c r="C121" s="200"/>
      <c r="D121" s="200"/>
      <c r="E121" s="200"/>
      <c r="F121" s="204"/>
      <c r="G121" s="200"/>
      <c r="H121" s="200"/>
      <c r="I121" s="205">
        <f>IFERROR(__xludf.DUMMYFUNCTION("""COMPUTED_VALUE"""),0.0)</f>
        <v>0</v>
      </c>
      <c r="J121" s="206">
        <f>IFERROR(__xludf.DUMMYFUNCTION("""COMPUTED_VALUE"""),0.0)</f>
        <v>0</v>
      </c>
      <c r="K121" s="207">
        <f>IFERROR(__xludf.DUMMYFUNCTION("""COMPUTED_VALUE"""),0.0)</f>
        <v>0</v>
      </c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</row>
    <row r="122">
      <c r="A122" s="200"/>
      <c r="B122" s="200"/>
      <c r="C122" s="200"/>
      <c r="D122" s="200"/>
      <c r="E122" s="200"/>
      <c r="F122" s="204"/>
      <c r="G122" s="200"/>
      <c r="H122" s="200"/>
      <c r="I122" s="205">
        <f>IFERROR(__xludf.DUMMYFUNCTION("""COMPUTED_VALUE"""),0.0)</f>
        <v>0</v>
      </c>
      <c r="J122" s="206">
        <f>IFERROR(__xludf.DUMMYFUNCTION("""COMPUTED_VALUE"""),0.0)</f>
        <v>0</v>
      </c>
      <c r="K122" s="207">
        <f>IFERROR(__xludf.DUMMYFUNCTION("""COMPUTED_VALUE"""),0.0)</f>
        <v>0</v>
      </c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</row>
    <row r="123">
      <c r="A123" s="200"/>
      <c r="B123" s="200"/>
      <c r="C123" s="200"/>
      <c r="D123" s="200"/>
      <c r="E123" s="200"/>
      <c r="F123" s="204"/>
      <c r="G123" s="200"/>
      <c r="H123" s="200"/>
      <c r="I123" s="205">
        <f>IFERROR(__xludf.DUMMYFUNCTION("""COMPUTED_VALUE"""),0.0)</f>
        <v>0</v>
      </c>
      <c r="J123" s="206">
        <f>IFERROR(__xludf.DUMMYFUNCTION("""COMPUTED_VALUE"""),0.0)</f>
        <v>0</v>
      </c>
      <c r="K123" s="207">
        <f>IFERROR(__xludf.DUMMYFUNCTION("""COMPUTED_VALUE"""),0.0)</f>
        <v>0</v>
      </c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  <c r="AA123" s="200"/>
    </row>
    <row r="124">
      <c r="A124" s="200"/>
      <c r="B124" s="200"/>
      <c r="C124" s="200"/>
      <c r="D124" s="200"/>
      <c r="E124" s="200"/>
      <c r="F124" s="204"/>
      <c r="G124" s="200"/>
      <c r="H124" s="200"/>
      <c r="I124" s="205">
        <f>IFERROR(__xludf.DUMMYFUNCTION("""COMPUTED_VALUE"""),0.0)</f>
        <v>0</v>
      </c>
      <c r="J124" s="206">
        <f>IFERROR(__xludf.DUMMYFUNCTION("""COMPUTED_VALUE"""),0.0)</f>
        <v>0</v>
      </c>
      <c r="K124" s="207">
        <f>IFERROR(__xludf.DUMMYFUNCTION("""COMPUTED_VALUE"""),0.0)</f>
        <v>0</v>
      </c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</row>
    <row r="125">
      <c r="A125" s="200"/>
      <c r="B125" s="200"/>
      <c r="C125" s="200"/>
      <c r="D125" s="200"/>
      <c r="E125" s="200"/>
      <c r="F125" s="204"/>
      <c r="G125" s="200"/>
      <c r="H125" s="200"/>
      <c r="I125" s="205">
        <f>IFERROR(__xludf.DUMMYFUNCTION("""COMPUTED_VALUE"""),0.0)</f>
        <v>0</v>
      </c>
      <c r="J125" s="206">
        <f>IFERROR(__xludf.DUMMYFUNCTION("""COMPUTED_VALUE"""),0.0)</f>
        <v>0</v>
      </c>
      <c r="K125" s="207">
        <f>IFERROR(__xludf.DUMMYFUNCTION("""COMPUTED_VALUE"""),0.0)</f>
        <v>0</v>
      </c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</row>
    <row r="126">
      <c r="A126" s="200"/>
      <c r="B126" s="200"/>
      <c r="C126" s="200"/>
      <c r="D126" s="200"/>
      <c r="E126" s="200"/>
      <c r="F126" s="204"/>
      <c r="G126" s="200"/>
      <c r="H126" s="200"/>
      <c r="I126" s="205">
        <f>IFERROR(__xludf.DUMMYFUNCTION("""COMPUTED_VALUE"""),0.0)</f>
        <v>0</v>
      </c>
      <c r="J126" s="206">
        <f>IFERROR(__xludf.DUMMYFUNCTION("""COMPUTED_VALUE"""),0.0)</f>
        <v>0</v>
      </c>
      <c r="K126" s="207">
        <f>IFERROR(__xludf.DUMMYFUNCTION("""COMPUTED_VALUE"""),0.0)</f>
        <v>0</v>
      </c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</row>
    <row r="127">
      <c r="A127" s="200"/>
      <c r="B127" s="200"/>
      <c r="C127" s="200"/>
      <c r="D127" s="200"/>
      <c r="E127" s="200"/>
      <c r="F127" s="204"/>
      <c r="G127" s="200"/>
      <c r="H127" s="200"/>
      <c r="I127" s="205">
        <f>IFERROR(__xludf.DUMMYFUNCTION("""COMPUTED_VALUE"""),0.0)</f>
        <v>0</v>
      </c>
      <c r="J127" s="206">
        <f>IFERROR(__xludf.DUMMYFUNCTION("""COMPUTED_VALUE"""),0.0)</f>
        <v>0</v>
      </c>
      <c r="K127" s="207">
        <f>IFERROR(__xludf.DUMMYFUNCTION("""COMPUTED_VALUE"""),0.0)</f>
        <v>0</v>
      </c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</row>
    <row r="128">
      <c r="A128" s="200"/>
      <c r="B128" s="200"/>
      <c r="C128" s="200"/>
      <c r="D128" s="200"/>
      <c r="E128" s="200"/>
      <c r="F128" s="204"/>
      <c r="G128" s="200"/>
      <c r="H128" s="200"/>
      <c r="I128" s="205">
        <f>IFERROR(__xludf.DUMMYFUNCTION("""COMPUTED_VALUE"""),0.0)</f>
        <v>0</v>
      </c>
      <c r="J128" s="206">
        <f>IFERROR(__xludf.DUMMYFUNCTION("""COMPUTED_VALUE"""),0.0)</f>
        <v>0</v>
      </c>
      <c r="K128" s="207">
        <f>IFERROR(__xludf.DUMMYFUNCTION("""COMPUTED_VALUE"""),0.0)</f>
        <v>0</v>
      </c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0"/>
    </row>
    <row r="129">
      <c r="A129" s="200"/>
      <c r="B129" s="200"/>
      <c r="C129" s="200"/>
      <c r="D129" s="200"/>
      <c r="E129" s="200"/>
      <c r="F129" s="204"/>
      <c r="G129" s="200"/>
      <c r="H129" s="200"/>
      <c r="I129" s="205">
        <f>IFERROR(__xludf.DUMMYFUNCTION("""COMPUTED_VALUE"""),0.0)</f>
        <v>0</v>
      </c>
      <c r="J129" s="206">
        <f>IFERROR(__xludf.DUMMYFUNCTION("""COMPUTED_VALUE"""),0.0)</f>
        <v>0</v>
      </c>
      <c r="K129" s="207">
        <f>IFERROR(__xludf.DUMMYFUNCTION("""COMPUTED_VALUE"""),0.0)</f>
        <v>0</v>
      </c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  <c r="AA129" s="200"/>
    </row>
    <row r="130">
      <c r="A130" s="200"/>
      <c r="B130" s="200"/>
      <c r="C130" s="200"/>
      <c r="D130" s="200"/>
      <c r="E130" s="200"/>
      <c r="F130" s="204"/>
      <c r="G130" s="200"/>
      <c r="H130" s="200"/>
      <c r="I130" s="205">
        <f>IFERROR(__xludf.DUMMYFUNCTION("""COMPUTED_VALUE"""),0.0)</f>
        <v>0</v>
      </c>
      <c r="J130" s="206">
        <f>IFERROR(__xludf.DUMMYFUNCTION("""COMPUTED_VALUE"""),0.0)</f>
        <v>0</v>
      </c>
      <c r="K130" s="207">
        <f>IFERROR(__xludf.DUMMYFUNCTION("""COMPUTED_VALUE"""),0.0)</f>
        <v>0</v>
      </c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  <c r="AA130" s="200"/>
    </row>
    <row r="131">
      <c r="A131" s="200"/>
      <c r="B131" s="200"/>
      <c r="C131" s="200"/>
      <c r="D131" s="200"/>
      <c r="E131" s="200"/>
      <c r="F131" s="204"/>
      <c r="G131" s="200"/>
      <c r="H131" s="200"/>
      <c r="I131" s="205">
        <f>IFERROR(__xludf.DUMMYFUNCTION("""COMPUTED_VALUE"""),0.0)</f>
        <v>0</v>
      </c>
      <c r="J131" s="206">
        <f>IFERROR(__xludf.DUMMYFUNCTION("""COMPUTED_VALUE"""),0.0)</f>
        <v>0</v>
      </c>
      <c r="K131" s="207">
        <f>IFERROR(__xludf.DUMMYFUNCTION("""COMPUTED_VALUE"""),0.0)</f>
        <v>0</v>
      </c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  <c r="AA131" s="200"/>
    </row>
    <row r="132">
      <c r="A132" s="200"/>
      <c r="B132" s="200"/>
      <c r="C132" s="200"/>
      <c r="D132" s="200"/>
      <c r="E132" s="200"/>
      <c r="F132" s="204"/>
      <c r="G132" s="200"/>
      <c r="H132" s="200"/>
      <c r="I132" s="205">
        <f>IFERROR(__xludf.DUMMYFUNCTION("""COMPUTED_VALUE"""),0.0)</f>
        <v>0</v>
      </c>
      <c r="J132" s="206">
        <f>IFERROR(__xludf.DUMMYFUNCTION("""COMPUTED_VALUE"""),0.0)</f>
        <v>0</v>
      </c>
      <c r="K132" s="207">
        <f>IFERROR(__xludf.DUMMYFUNCTION("""COMPUTED_VALUE"""),0.0)</f>
        <v>0</v>
      </c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</row>
    <row r="133">
      <c r="A133" s="200"/>
      <c r="B133" s="200"/>
      <c r="C133" s="200"/>
      <c r="D133" s="200"/>
      <c r="E133" s="200"/>
      <c r="F133" s="204"/>
      <c r="G133" s="200"/>
      <c r="H133" s="200"/>
      <c r="I133" s="205">
        <f>IFERROR(__xludf.DUMMYFUNCTION("""COMPUTED_VALUE"""),0.0)</f>
        <v>0</v>
      </c>
      <c r="J133" s="206">
        <f>IFERROR(__xludf.DUMMYFUNCTION("""COMPUTED_VALUE"""),0.0)</f>
        <v>0</v>
      </c>
      <c r="K133" s="207">
        <f>IFERROR(__xludf.DUMMYFUNCTION("""COMPUTED_VALUE"""),0.0)</f>
        <v>0</v>
      </c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</row>
    <row r="134">
      <c r="A134" s="200"/>
      <c r="B134" s="200"/>
      <c r="C134" s="200"/>
      <c r="D134" s="200"/>
      <c r="E134" s="200"/>
      <c r="F134" s="204"/>
      <c r="G134" s="200"/>
      <c r="H134" s="200"/>
      <c r="I134" s="205">
        <f>IFERROR(__xludf.DUMMYFUNCTION("""COMPUTED_VALUE"""),0.0)</f>
        <v>0</v>
      </c>
      <c r="J134" s="206">
        <f>IFERROR(__xludf.DUMMYFUNCTION("""COMPUTED_VALUE"""),0.0)</f>
        <v>0</v>
      </c>
      <c r="K134" s="207">
        <f>IFERROR(__xludf.DUMMYFUNCTION("""COMPUTED_VALUE"""),0.0)</f>
        <v>0</v>
      </c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</row>
    <row r="135">
      <c r="A135" s="200"/>
      <c r="B135" s="200"/>
      <c r="C135" s="200"/>
      <c r="D135" s="200"/>
      <c r="E135" s="200"/>
      <c r="F135" s="204"/>
      <c r="G135" s="200"/>
      <c r="H135" s="200"/>
      <c r="I135" s="205">
        <f>IFERROR(__xludf.DUMMYFUNCTION("""COMPUTED_VALUE"""),0.0)</f>
        <v>0</v>
      </c>
      <c r="J135" s="206">
        <f>IFERROR(__xludf.DUMMYFUNCTION("""COMPUTED_VALUE"""),0.0)</f>
        <v>0</v>
      </c>
      <c r="K135" s="207">
        <f>IFERROR(__xludf.DUMMYFUNCTION("""COMPUTED_VALUE"""),0.0)</f>
        <v>0</v>
      </c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  <c r="AA135" s="200"/>
    </row>
    <row r="136">
      <c r="A136" s="200"/>
      <c r="B136" s="200"/>
      <c r="C136" s="200"/>
      <c r="D136" s="200"/>
      <c r="E136" s="200"/>
      <c r="F136" s="204"/>
      <c r="G136" s="200"/>
      <c r="H136" s="200"/>
      <c r="I136" s="205">
        <f>IFERROR(__xludf.DUMMYFUNCTION("""COMPUTED_VALUE"""),0.0)</f>
        <v>0</v>
      </c>
      <c r="J136" s="206">
        <f>IFERROR(__xludf.DUMMYFUNCTION("""COMPUTED_VALUE"""),0.0)</f>
        <v>0</v>
      </c>
      <c r="K136" s="207">
        <f>IFERROR(__xludf.DUMMYFUNCTION("""COMPUTED_VALUE"""),0.0)</f>
        <v>0</v>
      </c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</row>
    <row r="137">
      <c r="A137" s="200"/>
      <c r="B137" s="200"/>
      <c r="C137" s="200"/>
      <c r="D137" s="200"/>
      <c r="E137" s="200"/>
      <c r="F137" s="204"/>
      <c r="G137" s="200"/>
      <c r="H137" s="200"/>
      <c r="I137" s="205">
        <f>IFERROR(__xludf.DUMMYFUNCTION("""COMPUTED_VALUE"""),0.0)</f>
        <v>0</v>
      </c>
      <c r="J137" s="206">
        <f>IFERROR(__xludf.DUMMYFUNCTION("""COMPUTED_VALUE"""),0.0)</f>
        <v>0</v>
      </c>
      <c r="K137" s="207">
        <f>IFERROR(__xludf.DUMMYFUNCTION("""COMPUTED_VALUE"""),0.0)</f>
        <v>0</v>
      </c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</row>
    <row r="138">
      <c r="A138" s="200"/>
      <c r="B138" s="200"/>
      <c r="C138" s="200"/>
      <c r="D138" s="200"/>
      <c r="E138" s="200"/>
      <c r="F138" s="204"/>
      <c r="G138" s="200"/>
      <c r="H138" s="200"/>
      <c r="I138" s="205">
        <f>IFERROR(__xludf.DUMMYFUNCTION("""COMPUTED_VALUE"""),0.0)</f>
        <v>0</v>
      </c>
      <c r="J138" s="206">
        <f>IFERROR(__xludf.DUMMYFUNCTION("""COMPUTED_VALUE"""),0.0)</f>
        <v>0</v>
      </c>
      <c r="K138" s="207">
        <f>IFERROR(__xludf.DUMMYFUNCTION("""COMPUTED_VALUE"""),0.0)</f>
        <v>0</v>
      </c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0"/>
    </row>
    <row r="139">
      <c r="A139" s="200"/>
      <c r="B139" s="200"/>
      <c r="C139" s="200"/>
      <c r="D139" s="200"/>
      <c r="E139" s="200"/>
      <c r="F139" s="204"/>
      <c r="G139" s="200"/>
      <c r="H139" s="200"/>
      <c r="I139" s="205">
        <f>IFERROR(__xludf.DUMMYFUNCTION("""COMPUTED_VALUE"""),0.0)</f>
        <v>0</v>
      </c>
      <c r="J139" s="206">
        <f>IFERROR(__xludf.DUMMYFUNCTION("""COMPUTED_VALUE"""),0.0)</f>
        <v>0</v>
      </c>
      <c r="K139" s="207">
        <f>IFERROR(__xludf.DUMMYFUNCTION("""COMPUTED_VALUE"""),0.0)</f>
        <v>0</v>
      </c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</row>
    <row r="140">
      <c r="A140" s="200"/>
      <c r="B140" s="200"/>
      <c r="C140" s="200"/>
      <c r="D140" s="200"/>
      <c r="E140" s="200"/>
      <c r="F140" s="204"/>
      <c r="G140" s="200"/>
      <c r="H140" s="200"/>
      <c r="I140" s="205">
        <f>IFERROR(__xludf.DUMMYFUNCTION("""COMPUTED_VALUE"""),0.0)</f>
        <v>0</v>
      </c>
      <c r="J140" s="206">
        <f>IFERROR(__xludf.DUMMYFUNCTION("""COMPUTED_VALUE"""),0.0)</f>
        <v>0</v>
      </c>
      <c r="K140" s="207">
        <f>IFERROR(__xludf.DUMMYFUNCTION("""COMPUTED_VALUE"""),0.0)</f>
        <v>0</v>
      </c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</row>
    <row r="141">
      <c r="A141" s="200"/>
      <c r="B141" s="200"/>
      <c r="C141" s="200"/>
      <c r="D141" s="200"/>
      <c r="E141" s="200"/>
      <c r="F141" s="204"/>
      <c r="G141" s="200"/>
      <c r="H141" s="200"/>
      <c r="I141" s="205">
        <f>IFERROR(__xludf.DUMMYFUNCTION("""COMPUTED_VALUE"""),0.0)</f>
        <v>0</v>
      </c>
      <c r="J141" s="206">
        <f>IFERROR(__xludf.DUMMYFUNCTION("""COMPUTED_VALUE"""),0.0)</f>
        <v>0</v>
      </c>
      <c r="K141" s="207">
        <f>IFERROR(__xludf.DUMMYFUNCTION("""COMPUTED_VALUE"""),0.0)</f>
        <v>0</v>
      </c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  <c r="AA141" s="200"/>
    </row>
    <row r="142">
      <c r="A142" s="200"/>
      <c r="B142" s="200"/>
      <c r="C142" s="200"/>
      <c r="D142" s="200"/>
      <c r="E142" s="200"/>
      <c r="F142" s="204"/>
      <c r="G142" s="200"/>
      <c r="H142" s="200"/>
      <c r="I142" s="205">
        <f>IFERROR(__xludf.DUMMYFUNCTION("""COMPUTED_VALUE"""),0.0)</f>
        <v>0</v>
      </c>
      <c r="J142" s="206">
        <f>IFERROR(__xludf.DUMMYFUNCTION("""COMPUTED_VALUE"""),0.0)</f>
        <v>0</v>
      </c>
      <c r="K142" s="207">
        <f>IFERROR(__xludf.DUMMYFUNCTION("""COMPUTED_VALUE"""),0.0)</f>
        <v>0</v>
      </c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  <c r="AA142" s="200"/>
    </row>
    <row r="143">
      <c r="A143" s="200"/>
      <c r="B143" s="200"/>
      <c r="C143" s="200"/>
      <c r="D143" s="200"/>
      <c r="E143" s="200"/>
      <c r="F143" s="204"/>
      <c r="G143" s="200"/>
      <c r="H143" s="200"/>
      <c r="I143" s="205">
        <f>IFERROR(__xludf.DUMMYFUNCTION("""COMPUTED_VALUE"""),0.0)</f>
        <v>0</v>
      </c>
      <c r="J143" s="206">
        <f>IFERROR(__xludf.DUMMYFUNCTION("""COMPUTED_VALUE"""),0.0)</f>
        <v>0</v>
      </c>
      <c r="K143" s="207">
        <f>IFERROR(__xludf.DUMMYFUNCTION("""COMPUTED_VALUE"""),0.0)</f>
        <v>0</v>
      </c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  <c r="AA143" s="200"/>
    </row>
    <row r="144">
      <c r="A144" s="200"/>
      <c r="B144" s="200"/>
      <c r="C144" s="200"/>
      <c r="D144" s="200"/>
      <c r="E144" s="200"/>
      <c r="F144" s="204"/>
      <c r="G144" s="200"/>
      <c r="H144" s="200"/>
      <c r="I144" s="205">
        <f>IFERROR(__xludf.DUMMYFUNCTION("""COMPUTED_VALUE"""),0.0)</f>
        <v>0</v>
      </c>
      <c r="J144" s="206">
        <f>IFERROR(__xludf.DUMMYFUNCTION("""COMPUTED_VALUE"""),0.0)</f>
        <v>0</v>
      </c>
      <c r="K144" s="207">
        <f>IFERROR(__xludf.DUMMYFUNCTION("""COMPUTED_VALUE"""),0.0)</f>
        <v>0</v>
      </c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0"/>
    </row>
    <row r="145">
      <c r="A145" s="200"/>
      <c r="B145" s="200"/>
      <c r="C145" s="200"/>
      <c r="D145" s="200"/>
      <c r="E145" s="200"/>
      <c r="F145" s="204"/>
      <c r="G145" s="200"/>
      <c r="H145" s="200"/>
      <c r="I145" s="205">
        <f>IFERROR(__xludf.DUMMYFUNCTION("""COMPUTED_VALUE"""),0.0)</f>
        <v>0</v>
      </c>
      <c r="J145" s="206">
        <f>IFERROR(__xludf.DUMMYFUNCTION("""COMPUTED_VALUE"""),0.0)</f>
        <v>0</v>
      </c>
      <c r="K145" s="207">
        <f>IFERROR(__xludf.DUMMYFUNCTION("""COMPUTED_VALUE"""),0.0)</f>
        <v>0</v>
      </c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  <c r="AA145" s="200"/>
    </row>
    <row r="146">
      <c r="A146" s="200"/>
      <c r="B146" s="200"/>
      <c r="C146" s="200"/>
      <c r="D146" s="200"/>
      <c r="E146" s="200"/>
      <c r="F146" s="204"/>
      <c r="G146" s="200"/>
      <c r="H146" s="200"/>
      <c r="I146" s="205">
        <f>IFERROR(__xludf.DUMMYFUNCTION("""COMPUTED_VALUE"""),0.0)</f>
        <v>0</v>
      </c>
      <c r="J146" s="206">
        <f>IFERROR(__xludf.DUMMYFUNCTION("""COMPUTED_VALUE"""),0.0)</f>
        <v>0</v>
      </c>
      <c r="K146" s="207">
        <f>IFERROR(__xludf.DUMMYFUNCTION("""COMPUTED_VALUE"""),0.0)</f>
        <v>0</v>
      </c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  <c r="AA146" s="200"/>
    </row>
    <row r="147">
      <c r="A147" s="200"/>
      <c r="B147" s="200"/>
      <c r="C147" s="200"/>
      <c r="D147" s="200"/>
      <c r="E147" s="200"/>
      <c r="F147" s="204"/>
      <c r="G147" s="200"/>
      <c r="H147" s="200"/>
      <c r="I147" s="205">
        <f>IFERROR(__xludf.DUMMYFUNCTION("""COMPUTED_VALUE"""),0.0)</f>
        <v>0</v>
      </c>
      <c r="J147" s="206">
        <f>IFERROR(__xludf.DUMMYFUNCTION("""COMPUTED_VALUE"""),0.0)</f>
        <v>0</v>
      </c>
      <c r="K147" s="207">
        <f>IFERROR(__xludf.DUMMYFUNCTION("""COMPUTED_VALUE"""),0.0)</f>
        <v>0</v>
      </c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  <c r="AA147" s="200"/>
    </row>
    <row r="148">
      <c r="A148" s="200"/>
      <c r="B148" s="200"/>
      <c r="C148" s="200"/>
      <c r="D148" s="200"/>
      <c r="E148" s="200"/>
      <c r="F148" s="204"/>
      <c r="G148" s="200"/>
      <c r="H148" s="200"/>
      <c r="I148" s="205">
        <f>IFERROR(__xludf.DUMMYFUNCTION("""COMPUTED_VALUE"""),0.0)</f>
        <v>0</v>
      </c>
      <c r="J148" s="206">
        <f>IFERROR(__xludf.DUMMYFUNCTION("""COMPUTED_VALUE"""),0.0)</f>
        <v>0</v>
      </c>
      <c r="K148" s="207">
        <f>IFERROR(__xludf.DUMMYFUNCTION("""COMPUTED_VALUE"""),0.0)</f>
        <v>0</v>
      </c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  <c r="AA148" s="200"/>
    </row>
    <row r="149">
      <c r="A149" s="200"/>
      <c r="B149" s="200"/>
      <c r="C149" s="200"/>
      <c r="D149" s="200"/>
      <c r="E149" s="200"/>
      <c r="F149" s="204"/>
      <c r="G149" s="200"/>
      <c r="H149" s="200"/>
      <c r="I149" s="205">
        <f>IFERROR(__xludf.DUMMYFUNCTION("""COMPUTED_VALUE"""),0.0)</f>
        <v>0</v>
      </c>
      <c r="J149" s="206">
        <f>IFERROR(__xludf.DUMMYFUNCTION("""COMPUTED_VALUE"""),0.0)</f>
        <v>0</v>
      </c>
      <c r="K149" s="207">
        <f>IFERROR(__xludf.DUMMYFUNCTION("""COMPUTED_VALUE"""),0.0)</f>
        <v>0</v>
      </c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</row>
    <row r="150">
      <c r="A150" s="200"/>
      <c r="B150" s="200"/>
      <c r="C150" s="200"/>
      <c r="D150" s="200"/>
      <c r="E150" s="200"/>
      <c r="F150" s="204"/>
      <c r="G150" s="200"/>
      <c r="H150" s="200"/>
      <c r="I150" s="205">
        <f>IFERROR(__xludf.DUMMYFUNCTION("""COMPUTED_VALUE"""),0.0)</f>
        <v>0</v>
      </c>
      <c r="J150" s="206">
        <f>IFERROR(__xludf.DUMMYFUNCTION("""COMPUTED_VALUE"""),0.0)</f>
        <v>0</v>
      </c>
      <c r="K150" s="207">
        <f>IFERROR(__xludf.DUMMYFUNCTION("""COMPUTED_VALUE"""),0.0)</f>
        <v>0</v>
      </c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</row>
    <row r="151">
      <c r="A151" s="200"/>
      <c r="B151" s="200"/>
      <c r="C151" s="200"/>
      <c r="D151" s="200"/>
      <c r="E151" s="200"/>
      <c r="F151" s="204"/>
      <c r="G151" s="200"/>
      <c r="H151" s="200"/>
      <c r="I151" s="205">
        <f>IFERROR(__xludf.DUMMYFUNCTION("""COMPUTED_VALUE"""),0.0)</f>
        <v>0</v>
      </c>
      <c r="J151" s="206">
        <f>IFERROR(__xludf.DUMMYFUNCTION("""COMPUTED_VALUE"""),0.0)</f>
        <v>0</v>
      </c>
      <c r="K151" s="207">
        <f>IFERROR(__xludf.DUMMYFUNCTION("""COMPUTED_VALUE"""),0.0)</f>
        <v>0</v>
      </c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  <c r="AA151" s="200"/>
    </row>
    <row r="152">
      <c r="A152" s="200"/>
      <c r="B152" s="200"/>
      <c r="C152" s="200"/>
      <c r="D152" s="200"/>
      <c r="E152" s="200"/>
      <c r="F152" s="204"/>
      <c r="G152" s="200"/>
      <c r="H152" s="200"/>
      <c r="I152" s="205">
        <f>IFERROR(__xludf.DUMMYFUNCTION("""COMPUTED_VALUE"""),0.0)</f>
        <v>0</v>
      </c>
      <c r="J152" s="206">
        <f>IFERROR(__xludf.DUMMYFUNCTION("""COMPUTED_VALUE"""),0.0)</f>
        <v>0</v>
      </c>
      <c r="K152" s="207">
        <f>IFERROR(__xludf.DUMMYFUNCTION("""COMPUTED_VALUE"""),0.0)</f>
        <v>0</v>
      </c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</row>
    <row r="153">
      <c r="A153" s="200"/>
      <c r="B153" s="200"/>
      <c r="C153" s="200"/>
      <c r="D153" s="200"/>
      <c r="E153" s="200"/>
      <c r="F153" s="204"/>
      <c r="G153" s="200"/>
      <c r="H153" s="200"/>
      <c r="I153" s="205">
        <f>IFERROR(__xludf.DUMMYFUNCTION("""COMPUTED_VALUE"""),0.0)</f>
        <v>0</v>
      </c>
      <c r="J153" s="206">
        <f>IFERROR(__xludf.DUMMYFUNCTION("""COMPUTED_VALUE"""),0.0)</f>
        <v>0</v>
      </c>
      <c r="K153" s="207">
        <f>IFERROR(__xludf.DUMMYFUNCTION("""COMPUTED_VALUE"""),0.0)</f>
        <v>0</v>
      </c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</row>
    <row r="154">
      <c r="A154" s="200"/>
      <c r="B154" s="200"/>
      <c r="C154" s="200"/>
      <c r="D154" s="200"/>
      <c r="E154" s="200"/>
      <c r="F154" s="204"/>
      <c r="G154" s="200"/>
      <c r="H154" s="200"/>
      <c r="I154" s="205">
        <f>IFERROR(__xludf.DUMMYFUNCTION("""COMPUTED_VALUE"""),0.0)</f>
        <v>0</v>
      </c>
      <c r="J154" s="206">
        <f>IFERROR(__xludf.DUMMYFUNCTION("""COMPUTED_VALUE"""),0.0)</f>
        <v>0</v>
      </c>
      <c r="K154" s="207">
        <f>IFERROR(__xludf.DUMMYFUNCTION("""COMPUTED_VALUE"""),0.0)</f>
        <v>0</v>
      </c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  <c r="AA154" s="200"/>
    </row>
    <row r="155">
      <c r="A155" s="200"/>
      <c r="B155" s="200"/>
      <c r="C155" s="200"/>
      <c r="D155" s="200"/>
      <c r="E155" s="200"/>
      <c r="F155" s="204"/>
      <c r="G155" s="200"/>
      <c r="H155" s="200"/>
      <c r="I155" s="205">
        <f>IFERROR(__xludf.DUMMYFUNCTION("""COMPUTED_VALUE"""),0.0)</f>
        <v>0</v>
      </c>
      <c r="J155" s="206">
        <f>IFERROR(__xludf.DUMMYFUNCTION("""COMPUTED_VALUE"""),0.0)</f>
        <v>0</v>
      </c>
      <c r="K155" s="207">
        <f>IFERROR(__xludf.DUMMYFUNCTION("""COMPUTED_VALUE"""),0.0)</f>
        <v>0</v>
      </c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200"/>
    </row>
    <row r="156">
      <c r="A156" s="200"/>
      <c r="B156" s="200"/>
      <c r="C156" s="200"/>
      <c r="D156" s="200"/>
      <c r="E156" s="200"/>
      <c r="F156" s="204"/>
      <c r="G156" s="200"/>
      <c r="H156" s="200"/>
      <c r="I156" s="205">
        <f>IFERROR(__xludf.DUMMYFUNCTION("""COMPUTED_VALUE"""),0.0)</f>
        <v>0</v>
      </c>
      <c r="J156" s="206">
        <f>IFERROR(__xludf.DUMMYFUNCTION("""COMPUTED_VALUE"""),0.0)</f>
        <v>0</v>
      </c>
      <c r="K156" s="207">
        <f>IFERROR(__xludf.DUMMYFUNCTION("""COMPUTED_VALUE"""),0.0)</f>
        <v>0</v>
      </c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  <c r="AA156" s="200"/>
    </row>
    <row r="157">
      <c r="A157" s="200"/>
      <c r="B157" s="200"/>
      <c r="C157" s="200"/>
      <c r="D157" s="200"/>
      <c r="E157" s="200"/>
      <c r="F157" s="204"/>
      <c r="G157" s="200"/>
      <c r="H157" s="200"/>
      <c r="I157" s="205">
        <f>IFERROR(__xludf.DUMMYFUNCTION("""COMPUTED_VALUE"""),0.0)</f>
        <v>0</v>
      </c>
      <c r="J157" s="206">
        <f>IFERROR(__xludf.DUMMYFUNCTION("""COMPUTED_VALUE"""),0.0)</f>
        <v>0</v>
      </c>
      <c r="K157" s="207">
        <f>IFERROR(__xludf.DUMMYFUNCTION("""COMPUTED_VALUE"""),0.0)</f>
        <v>0</v>
      </c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  <c r="AA157" s="200"/>
    </row>
    <row r="158">
      <c r="A158" s="200"/>
      <c r="B158" s="200"/>
      <c r="C158" s="200"/>
      <c r="D158" s="200"/>
      <c r="E158" s="200"/>
      <c r="F158" s="204"/>
      <c r="G158" s="200"/>
      <c r="H158" s="200"/>
      <c r="I158" s="205">
        <f>IFERROR(__xludf.DUMMYFUNCTION("""COMPUTED_VALUE"""),0.0)</f>
        <v>0</v>
      </c>
      <c r="J158" s="206">
        <f>IFERROR(__xludf.DUMMYFUNCTION("""COMPUTED_VALUE"""),0.0)</f>
        <v>0</v>
      </c>
      <c r="K158" s="207">
        <f>IFERROR(__xludf.DUMMYFUNCTION("""COMPUTED_VALUE"""),0.0)</f>
        <v>0</v>
      </c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  <c r="AA158" s="200"/>
    </row>
    <row r="159">
      <c r="A159" s="200"/>
      <c r="B159" s="200"/>
      <c r="C159" s="200"/>
      <c r="D159" s="200"/>
      <c r="E159" s="200"/>
      <c r="F159" s="204"/>
      <c r="G159" s="200"/>
      <c r="H159" s="200"/>
      <c r="I159" s="205">
        <f>IFERROR(__xludf.DUMMYFUNCTION("""COMPUTED_VALUE"""),0.0)</f>
        <v>0</v>
      </c>
      <c r="J159" s="206">
        <f>IFERROR(__xludf.DUMMYFUNCTION("""COMPUTED_VALUE"""),0.0)</f>
        <v>0</v>
      </c>
      <c r="K159" s="207">
        <f>IFERROR(__xludf.DUMMYFUNCTION("""COMPUTED_VALUE"""),0.0)</f>
        <v>0</v>
      </c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  <c r="AA159" s="200"/>
    </row>
    <row r="160">
      <c r="A160" s="200"/>
      <c r="B160" s="200"/>
      <c r="C160" s="200"/>
      <c r="D160" s="200"/>
      <c r="E160" s="200"/>
      <c r="F160" s="204"/>
      <c r="G160" s="200"/>
      <c r="H160" s="200"/>
      <c r="I160" s="205">
        <f>IFERROR(__xludf.DUMMYFUNCTION("""COMPUTED_VALUE"""),0.0)</f>
        <v>0</v>
      </c>
      <c r="J160" s="206">
        <f>IFERROR(__xludf.DUMMYFUNCTION("""COMPUTED_VALUE"""),0.0)</f>
        <v>0</v>
      </c>
      <c r="K160" s="207">
        <f>IFERROR(__xludf.DUMMYFUNCTION("""COMPUTED_VALUE"""),0.0)</f>
        <v>0</v>
      </c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  <c r="AA160" s="200"/>
    </row>
    <row r="161">
      <c r="A161" s="200"/>
      <c r="B161" s="200"/>
      <c r="C161" s="200"/>
      <c r="D161" s="200"/>
      <c r="E161" s="200"/>
      <c r="F161" s="204"/>
      <c r="G161" s="200"/>
      <c r="H161" s="200"/>
      <c r="I161" s="205">
        <f>IFERROR(__xludf.DUMMYFUNCTION("""COMPUTED_VALUE"""),0.0)</f>
        <v>0</v>
      </c>
      <c r="J161" s="206">
        <f>IFERROR(__xludf.DUMMYFUNCTION("""COMPUTED_VALUE"""),0.0)</f>
        <v>0</v>
      </c>
      <c r="K161" s="207">
        <f>IFERROR(__xludf.DUMMYFUNCTION("""COMPUTED_VALUE"""),0.0)</f>
        <v>0</v>
      </c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  <c r="AA161" s="200"/>
    </row>
    <row r="162">
      <c r="A162" s="200"/>
      <c r="B162" s="200"/>
      <c r="C162" s="200"/>
      <c r="D162" s="200"/>
      <c r="E162" s="200"/>
      <c r="F162" s="204"/>
      <c r="G162" s="200"/>
      <c r="H162" s="200"/>
      <c r="I162" s="205">
        <f>IFERROR(__xludf.DUMMYFUNCTION("""COMPUTED_VALUE"""),0.0)</f>
        <v>0</v>
      </c>
      <c r="J162" s="206">
        <f>IFERROR(__xludf.DUMMYFUNCTION("""COMPUTED_VALUE"""),0.0)</f>
        <v>0</v>
      </c>
      <c r="K162" s="207">
        <f>IFERROR(__xludf.DUMMYFUNCTION("""COMPUTED_VALUE"""),0.0)</f>
        <v>0</v>
      </c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  <c r="AA162" s="200"/>
    </row>
    <row r="163">
      <c r="A163" s="200"/>
      <c r="B163" s="200"/>
      <c r="C163" s="200"/>
      <c r="D163" s="200"/>
      <c r="E163" s="200"/>
      <c r="F163" s="204"/>
      <c r="G163" s="200"/>
      <c r="H163" s="200"/>
      <c r="I163" s="205">
        <f>IFERROR(__xludf.DUMMYFUNCTION("""COMPUTED_VALUE"""),0.0)</f>
        <v>0</v>
      </c>
      <c r="J163" s="206">
        <f>IFERROR(__xludf.DUMMYFUNCTION("""COMPUTED_VALUE"""),0.0)</f>
        <v>0</v>
      </c>
      <c r="K163" s="207">
        <f>IFERROR(__xludf.DUMMYFUNCTION("""COMPUTED_VALUE"""),0.0)</f>
        <v>0</v>
      </c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  <c r="AA163" s="200"/>
    </row>
    <row r="164">
      <c r="A164" s="200"/>
      <c r="B164" s="200"/>
      <c r="C164" s="200"/>
      <c r="D164" s="200"/>
      <c r="E164" s="200"/>
      <c r="F164" s="204"/>
      <c r="G164" s="200"/>
      <c r="H164" s="200"/>
      <c r="I164" s="205">
        <f>IFERROR(__xludf.DUMMYFUNCTION("""COMPUTED_VALUE"""),0.0)</f>
        <v>0</v>
      </c>
      <c r="J164" s="206">
        <f>IFERROR(__xludf.DUMMYFUNCTION("""COMPUTED_VALUE"""),0.0)</f>
        <v>0</v>
      </c>
      <c r="K164" s="207">
        <f>IFERROR(__xludf.DUMMYFUNCTION("""COMPUTED_VALUE"""),0.0)</f>
        <v>0</v>
      </c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  <c r="AA164" s="200"/>
    </row>
    <row r="165">
      <c r="A165" s="200"/>
      <c r="B165" s="200"/>
      <c r="C165" s="200"/>
      <c r="D165" s="200"/>
      <c r="E165" s="200"/>
      <c r="F165" s="204"/>
      <c r="G165" s="200"/>
      <c r="H165" s="200"/>
      <c r="I165" s="205">
        <f>IFERROR(__xludf.DUMMYFUNCTION("""COMPUTED_VALUE"""),0.0)</f>
        <v>0</v>
      </c>
      <c r="J165" s="206">
        <f>IFERROR(__xludf.DUMMYFUNCTION("""COMPUTED_VALUE"""),0.0)</f>
        <v>0</v>
      </c>
      <c r="K165" s="207">
        <f>IFERROR(__xludf.DUMMYFUNCTION("""COMPUTED_VALUE"""),0.0)</f>
        <v>0</v>
      </c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</row>
    <row r="166">
      <c r="A166" s="200"/>
      <c r="B166" s="200"/>
      <c r="C166" s="200"/>
      <c r="D166" s="200"/>
      <c r="E166" s="200"/>
      <c r="F166" s="204"/>
      <c r="G166" s="200"/>
      <c r="H166" s="200"/>
      <c r="I166" s="205">
        <f>IFERROR(__xludf.DUMMYFUNCTION("""COMPUTED_VALUE"""),0.0)</f>
        <v>0</v>
      </c>
      <c r="J166" s="206">
        <f>IFERROR(__xludf.DUMMYFUNCTION("""COMPUTED_VALUE"""),0.0)</f>
        <v>0</v>
      </c>
      <c r="K166" s="207">
        <f>IFERROR(__xludf.DUMMYFUNCTION("""COMPUTED_VALUE"""),0.0)</f>
        <v>0</v>
      </c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</row>
    <row r="167">
      <c r="A167" s="200"/>
      <c r="B167" s="200"/>
      <c r="C167" s="200"/>
      <c r="D167" s="200"/>
      <c r="E167" s="200"/>
      <c r="F167" s="204"/>
      <c r="G167" s="200"/>
      <c r="H167" s="200"/>
      <c r="I167" s="205">
        <f>IFERROR(__xludf.DUMMYFUNCTION("""COMPUTED_VALUE"""),0.0)</f>
        <v>0</v>
      </c>
      <c r="J167" s="206">
        <f>IFERROR(__xludf.DUMMYFUNCTION("""COMPUTED_VALUE"""),0.0)</f>
        <v>0</v>
      </c>
      <c r="K167" s="207">
        <f>IFERROR(__xludf.DUMMYFUNCTION("""COMPUTED_VALUE"""),0.0)</f>
        <v>0</v>
      </c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  <c r="AA167" s="200"/>
    </row>
    <row r="168">
      <c r="A168" s="200"/>
      <c r="B168" s="200"/>
      <c r="C168" s="200"/>
      <c r="D168" s="200"/>
      <c r="E168" s="200"/>
      <c r="F168" s="204"/>
      <c r="G168" s="200"/>
      <c r="H168" s="200"/>
      <c r="I168" s="205">
        <f>IFERROR(__xludf.DUMMYFUNCTION("""COMPUTED_VALUE"""),0.0)</f>
        <v>0</v>
      </c>
      <c r="J168" s="206">
        <f>IFERROR(__xludf.DUMMYFUNCTION("""COMPUTED_VALUE"""),0.0)</f>
        <v>0</v>
      </c>
      <c r="K168" s="207">
        <f>IFERROR(__xludf.DUMMYFUNCTION("""COMPUTED_VALUE"""),0.0)</f>
        <v>0</v>
      </c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  <c r="AA168" s="200"/>
    </row>
    <row r="169">
      <c r="A169" s="200"/>
      <c r="B169" s="200"/>
      <c r="C169" s="200"/>
      <c r="D169" s="200"/>
      <c r="E169" s="200"/>
      <c r="F169" s="204"/>
      <c r="G169" s="200"/>
      <c r="H169" s="200"/>
      <c r="I169" s="205">
        <f>IFERROR(__xludf.DUMMYFUNCTION("""COMPUTED_VALUE"""),0.0)</f>
        <v>0</v>
      </c>
      <c r="J169" s="206">
        <f>IFERROR(__xludf.DUMMYFUNCTION("""COMPUTED_VALUE"""),0.0)</f>
        <v>0</v>
      </c>
      <c r="K169" s="207">
        <f>IFERROR(__xludf.DUMMYFUNCTION("""COMPUTED_VALUE"""),0.0)</f>
        <v>0</v>
      </c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  <c r="AA169" s="200"/>
    </row>
    <row r="170">
      <c r="A170" s="200"/>
      <c r="B170" s="200"/>
      <c r="C170" s="200"/>
      <c r="D170" s="200"/>
      <c r="E170" s="200"/>
      <c r="F170" s="204"/>
      <c r="G170" s="200"/>
      <c r="H170" s="200"/>
      <c r="I170" s="205">
        <f>IFERROR(__xludf.DUMMYFUNCTION("""COMPUTED_VALUE"""),0.0)</f>
        <v>0</v>
      </c>
      <c r="J170" s="206">
        <f>IFERROR(__xludf.DUMMYFUNCTION("""COMPUTED_VALUE"""),0.0)</f>
        <v>0</v>
      </c>
      <c r="K170" s="207">
        <f>IFERROR(__xludf.DUMMYFUNCTION("""COMPUTED_VALUE"""),0.0)</f>
        <v>0</v>
      </c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  <c r="AA170" s="200"/>
    </row>
    <row r="171">
      <c r="A171" s="200"/>
      <c r="B171" s="200"/>
      <c r="C171" s="200"/>
      <c r="D171" s="200"/>
      <c r="E171" s="200"/>
      <c r="F171" s="204"/>
      <c r="G171" s="200"/>
      <c r="H171" s="200"/>
      <c r="I171" s="205">
        <f>IFERROR(__xludf.DUMMYFUNCTION("""COMPUTED_VALUE"""),0.0)</f>
        <v>0</v>
      </c>
      <c r="J171" s="206">
        <f>IFERROR(__xludf.DUMMYFUNCTION("""COMPUTED_VALUE"""),0.0)</f>
        <v>0</v>
      </c>
      <c r="K171" s="207">
        <f>IFERROR(__xludf.DUMMYFUNCTION("""COMPUTED_VALUE"""),0.0)</f>
        <v>0</v>
      </c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  <c r="AA171" s="200"/>
    </row>
    <row r="172">
      <c r="A172" s="200"/>
      <c r="B172" s="200"/>
      <c r="C172" s="200"/>
      <c r="D172" s="200"/>
      <c r="E172" s="200"/>
      <c r="F172" s="204"/>
      <c r="G172" s="200"/>
      <c r="H172" s="200"/>
      <c r="I172" s="205">
        <f>IFERROR(__xludf.DUMMYFUNCTION("""COMPUTED_VALUE"""),0.0)</f>
        <v>0</v>
      </c>
      <c r="J172" s="206">
        <f>IFERROR(__xludf.DUMMYFUNCTION("""COMPUTED_VALUE"""),0.0)</f>
        <v>0</v>
      </c>
      <c r="K172" s="207">
        <f>IFERROR(__xludf.DUMMYFUNCTION("""COMPUTED_VALUE"""),0.0)</f>
        <v>0</v>
      </c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  <c r="AA172" s="200"/>
    </row>
    <row r="173">
      <c r="A173" s="200"/>
      <c r="B173" s="200"/>
      <c r="C173" s="200"/>
      <c r="D173" s="200"/>
      <c r="E173" s="200"/>
      <c r="F173" s="204"/>
      <c r="G173" s="200"/>
      <c r="H173" s="200"/>
      <c r="I173" s="205">
        <f>IFERROR(__xludf.DUMMYFUNCTION("""COMPUTED_VALUE"""),0.0)</f>
        <v>0</v>
      </c>
      <c r="J173" s="206">
        <f>IFERROR(__xludf.DUMMYFUNCTION("""COMPUTED_VALUE"""),0.0)</f>
        <v>0</v>
      </c>
      <c r="K173" s="207">
        <f>IFERROR(__xludf.DUMMYFUNCTION("""COMPUTED_VALUE"""),0.0)</f>
        <v>0</v>
      </c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  <c r="AA173" s="200"/>
    </row>
    <row r="174">
      <c r="A174" s="200"/>
      <c r="B174" s="200"/>
      <c r="C174" s="200"/>
      <c r="D174" s="200"/>
      <c r="E174" s="200"/>
      <c r="F174" s="204"/>
      <c r="G174" s="200"/>
      <c r="H174" s="200"/>
      <c r="I174" s="205">
        <f>IFERROR(__xludf.DUMMYFUNCTION("""COMPUTED_VALUE"""),0.0)</f>
        <v>0</v>
      </c>
      <c r="J174" s="206">
        <f>IFERROR(__xludf.DUMMYFUNCTION("""COMPUTED_VALUE"""),0.0)</f>
        <v>0</v>
      </c>
      <c r="K174" s="207">
        <f>IFERROR(__xludf.DUMMYFUNCTION("""COMPUTED_VALUE"""),0.0)</f>
        <v>0</v>
      </c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  <c r="AA174" s="200"/>
    </row>
    <row r="175">
      <c r="A175" s="200"/>
      <c r="B175" s="200"/>
      <c r="C175" s="200"/>
      <c r="D175" s="200"/>
      <c r="E175" s="200"/>
      <c r="F175" s="204"/>
      <c r="G175" s="200"/>
      <c r="H175" s="200"/>
      <c r="I175" s="205">
        <f>IFERROR(__xludf.DUMMYFUNCTION("""COMPUTED_VALUE"""),0.0)</f>
        <v>0</v>
      </c>
      <c r="J175" s="206">
        <f>IFERROR(__xludf.DUMMYFUNCTION("""COMPUTED_VALUE"""),0.0)</f>
        <v>0</v>
      </c>
      <c r="K175" s="207">
        <f>IFERROR(__xludf.DUMMYFUNCTION("""COMPUTED_VALUE"""),0.0)</f>
        <v>0</v>
      </c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  <c r="AA175" s="200"/>
    </row>
    <row r="176">
      <c r="A176" s="200"/>
      <c r="B176" s="200"/>
      <c r="C176" s="200"/>
      <c r="D176" s="200"/>
      <c r="E176" s="200"/>
      <c r="F176" s="204"/>
      <c r="G176" s="200"/>
      <c r="H176" s="200"/>
      <c r="I176" s="205">
        <f>IFERROR(__xludf.DUMMYFUNCTION("""COMPUTED_VALUE"""),0.0)</f>
        <v>0</v>
      </c>
      <c r="J176" s="206">
        <f>IFERROR(__xludf.DUMMYFUNCTION("""COMPUTED_VALUE"""),0.0)</f>
        <v>0</v>
      </c>
      <c r="K176" s="207">
        <f>IFERROR(__xludf.DUMMYFUNCTION("""COMPUTED_VALUE"""),0.0)</f>
        <v>0</v>
      </c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  <c r="AA176" s="200"/>
    </row>
    <row r="177">
      <c r="A177" s="200"/>
      <c r="B177" s="200"/>
      <c r="C177" s="200"/>
      <c r="D177" s="200"/>
      <c r="E177" s="200"/>
      <c r="F177" s="204"/>
      <c r="G177" s="200"/>
      <c r="H177" s="200"/>
      <c r="I177" s="205">
        <f>IFERROR(__xludf.DUMMYFUNCTION("""COMPUTED_VALUE"""),0.0)</f>
        <v>0</v>
      </c>
      <c r="J177" s="206">
        <f>IFERROR(__xludf.DUMMYFUNCTION("""COMPUTED_VALUE"""),0.0)</f>
        <v>0</v>
      </c>
      <c r="K177" s="207">
        <f>IFERROR(__xludf.DUMMYFUNCTION("""COMPUTED_VALUE"""),0.0)</f>
        <v>0</v>
      </c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</row>
    <row r="178">
      <c r="A178" s="200"/>
      <c r="B178" s="200"/>
      <c r="C178" s="200"/>
      <c r="D178" s="200"/>
      <c r="E178" s="200"/>
      <c r="F178" s="204"/>
      <c r="G178" s="200"/>
      <c r="H178" s="200"/>
      <c r="I178" s="205">
        <f>IFERROR(__xludf.DUMMYFUNCTION("""COMPUTED_VALUE"""),0.0)</f>
        <v>0</v>
      </c>
      <c r="J178" s="206">
        <f>IFERROR(__xludf.DUMMYFUNCTION("""COMPUTED_VALUE"""),0.0)</f>
        <v>0</v>
      </c>
      <c r="K178" s="207">
        <f>IFERROR(__xludf.DUMMYFUNCTION("""COMPUTED_VALUE"""),0.0)</f>
        <v>0</v>
      </c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</row>
    <row r="179">
      <c r="A179" s="200"/>
      <c r="B179" s="200"/>
      <c r="C179" s="200"/>
      <c r="D179" s="200"/>
      <c r="E179" s="200"/>
      <c r="F179" s="204"/>
      <c r="G179" s="200"/>
      <c r="H179" s="200"/>
      <c r="I179" s="205">
        <f>IFERROR(__xludf.DUMMYFUNCTION("""COMPUTED_VALUE"""),0.0)</f>
        <v>0</v>
      </c>
      <c r="J179" s="206">
        <f>IFERROR(__xludf.DUMMYFUNCTION("""COMPUTED_VALUE"""),0.0)</f>
        <v>0</v>
      </c>
      <c r="K179" s="207">
        <f>IFERROR(__xludf.DUMMYFUNCTION("""COMPUTED_VALUE"""),0.0)</f>
        <v>0</v>
      </c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  <c r="AA179" s="200"/>
    </row>
    <row r="180">
      <c r="A180" s="200"/>
      <c r="B180" s="200"/>
      <c r="C180" s="200"/>
      <c r="D180" s="200"/>
      <c r="E180" s="200"/>
      <c r="F180" s="204"/>
      <c r="G180" s="200"/>
      <c r="H180" s="200"/>
      <c r="I180" s="205">
        <f>IFERROR(__xludf.DUMMYFUNCTION("""COMPUTED_VALUE"""),0.0)</f>
        <v>0</v>
      </c>
      <c r="J180" s="206">
        <f>IFERROR(__xludf.DUMMYFUNCTION("""COMPUTED_VALUE"""),0.0)</f>
        <v>0</v>
      </c>
      <c r="K180" s="207">
        <f>IFERROR(__xludf.DUMMYFUNCTION("""COMPUTED_VALUE"""),0.0)</f>
        <v>0</v>
      </c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  <c r="AA180" s="200"/>
    </row>
    <row r="181">
      <c r="A181" s="200"/>
      <c r="B181" s="200"/>
      <c r="C181" s="200"/>
      <c r="D181" s="200"/>
      <c r="E181" s="200"/>
      <c r="F181" s="204"/>
      <c r="G181" s="200"/>
      <c r="H181" s="200"/>
      <c r="I181" s="205">
        <f>IFERROR(__xludf.DUMMYFUNCTION("""COMPUTED_VALUE"""),0.0)</f>
        <v>0</v>
      </c>
      <c r="J181" s="206">
        <f>IFERROR(__xludf.DUMMYFUNCTION("""COMPUTED_VALUE"""),0.0)</f>
        <v>0</v>
      </c>
      <c r="K181" s="207">
        <f>IFERROR(__xludf.DUMMYFUNCTION("""COMPUTED_VALUE"""),0.0)</f>
        <v>0</v>
      </c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  <c r="AA181" s="200"/>
    </row>
    <row r="182">
      <c r="A182" s="200"/>
      <c r="B182" s="200"/>
      <c r="C182" s="200"/>
      <c r="D182" s="200"/>
      <c r="E182" s="200"/>
      <c r="F182" s="204"/>
      <c r="G182" s="200"/>
      <c r="H182" s="200"/>
      <c r="I182" s="205">
        <f>IFERROR(__xludf.DUMMYFUNCTION("""COMPUTED_VALUE"""),0.0)</f>
        <v>0</v>
      </c>
      <c r="J182" s="206">
        <f>IFERROR(__xludf.DUMMYFUNCTION("""COMPUTED_VALUE"""),0.0)</f>
        <v>0</v>
      </c>
      <c r="K182" s="207">
        <f>IFERROR(__xludf.DUMMYFUNCTION("""COMPUTED_VALUE"""),0.0)</f>
        <v>0</v>
      </c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  <c r="AA182" s="200"/>
    </row>
    <row r="183">
      <c r="A183" s="200"/>
      <c r="B183" s="200"/>
      <c r="C183" s="200"/>
      <c r="D183" s="200"/>
      <c r="E183" s="200"/>
      <c r="F183" s="204"/>
      <c r="G183" s="200"/>
      <c r="H183" s="200"/>
      <c r="I183" s="205">
        <f>IFERROR(__xludf.DUMMYFUNCTION("""COMPUTED_VALUE"""),0.0)</f>
        <v>0</v>
      </c>
      <c r="J183" s="206">
        <f>IFERROR(__xludf.DUMMYFUNCTION("""COMPUTED_VALUE"""),0.0)</f>
        <v>0</v>
      </c>
      <c r="K183" s="207">
        <f>IFERROR(__xludf.DUMMYFUNCTION("""COMPUTED_VALUE"""),0.0)</f>
        <v>0</v>
      </c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  <c r="AA183" s="200"/>
    </row>
    <row r="184">
      <c r="A184" s="200"/>
      <c r="B184" s="200"/>
      <c r="C184" s="200"/>
      <c r="D184" s="200"/>
      <c r="E184" s="200"/>
      <c r="F184" s="204"/>
      <c r="G184" s="200"/>
      <c r="H184" s="200"/>
      <c r="I184" s="205">
        <f>IFERROR(__xludf.DUMMYFUNCTION("""COMPUTED_VALUE"""),0.0)</f>
        <v>0</v>
      </c>
      <c r="J184" s="206">
        <f>IFERROR(__xludf.DUMMYFUNCTION("""COMPUTED_VALUE"""),0.0)</f>
        <v>0</v>
      </c>
      <c r="K184" s="207">
        <f>IFERROR(__xludf.DUMMYFUNCTION("""COMPUTED_VALUE"""),0.0)</f>
        <v>0</v>
      </c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  <c r="AA184" s="200"/>
    </row>
    <row r="185">
      <c r="A185" s="200"/>
      <c r="B185" s="200"/>
      <c r="C185" s="200"/>
      <c r="D185" s="200"/>
      <c r="E185" s="200"/>
      <c r="F185" s="204"/>
      <c r="G185" s="200"/>
      <c r="H185" s="200"/>
      <c r="I185" s="205">
        <f>IFERROR(__xludf.DUMMYFUNCTION("""COMPUTED_VALUE"""),0.0)</f>
        <v>0</v>
      </c>
      <c r="J185" s="206">
        <f>IFERROR(__xludf.DUMMYFUNCTION("""COMPUTED_VALUE"""),0.0)</f>
        <v>0</v>
      </c>
      <c r="K185" s="207">
        <f>IFERROR(__xludf.DUMMYFUNCTION("""COMPUTED_VALUE"""),0.0)</f>
        <v>0</v>
      </c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  <c r="AA185" s="200"/>
    </row>
    <row r="186">
      <c r="A186" s="200"/>
      <c r="B186" s="200"/>
      <c r="C186" s="200"/>
      <c r="D186" s="200"/>
      <c r="E186" s="200"/>
      <c r="F186" s="204"/>
      <c r="G186" s="200"/>
      <c r="H186" s="200"/>
      <c r="I186" s="205">
        <f>IFERROR(__xludf.DUMMYFUNCTION("""COMPUTED_VALUE"""),0.0)</f>
        <v>0</v>
      </c>
      <c r="J186" s="206">
        <f>IFERROR(__xludf.DUMMYFUNCTION("""COMPUTED_VALUE"""),0.0)</f>
        <v>0</v>
      </c>
      <c r="K186" s="207">
        <f>IFERROR(__xludf.DUMMYFUNCTION("""COMPUTED_VALUE"""),0.0)</f>
        <v>0</v>
      </c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200"/>
    </row>
    <row r="187">
      <c r="A187" s="200"/>
      <c r="B187" s="200"/>
      <c r="C187" s="200"/>
      <c r="D187" s="200"/>
      <c r="E187" s="200"/>
      <c r="F187" s="204"/>
      <c r="G187" s="200"/>
      <c r="H187" s="200"/>
      <c r="I187" s="205">
        <f>IFERROR(__xludf.DUMMYFUNCTION("""COMPUTED_VALUE"""),0.0)</f>
        <v>0</v>
      </c>
      <c r="J187" s="206">
        <f>IFERROR(__xludf.DUMMYFUNCTION("""COMPUTED_VALUE"""),0.0)</f>
        <v>0</v>
      </c>
      <c r="K187" s="207">
        <f>IFERROR(__xludf.DUMMYFUNCTION("""COMPUTED_VALUE"""),0.0)</f>
        <v>0</v>
      </c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  <c r="AA187" s="200"/>
    </row>
    <row r="188">
      <c r="A188" s="200"/>
      <c r="B188" s="200"/>
      <c r="C188" s="200"/>
      <c r="D188" s="200"/>
      <c r="E188" s="200"/>
      <c r="F188" s="204"/>
      <c r="G188" s="200"/>
      <c r="H188" s="200"/>
      <c r="I188" s="205">
        <f>IFERROR(__xludf.DUMMYFUNCTION("""COMPUTED_VALUE"""),0.0)</f>
        <v>0</v>
      </c>
      <c r="J188" s="206">
        <f>IFERROR(__xludf.DUMMYFUNCTION("""COMPUTED_VALUE"""),0.0)</f>
        <v>0</v>
      </c>
      <c r="K188" s="207">
        <f>IFERROR(__xludf.DUMMYFUNCTION("""COMPUTED_VALUE"""),0.0)</f>
        <v>0</v>
      </c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  <c r="AA188" s="200"/>
    </row>
    <row r="189">
      <c r="A189" s="200"/>
      <c r="B189" s="200"/>
      <c r="C189" s="200"/>
      <c r="D189" s="200"/>
      <c r="E189" s="200"/>
      <c r="F189" s="204"/>
      <c r="G189" s="200"/>
      <c r="H189" s="200"/>
      <c r="I189" s="205">
        <f>IFERROR(__xludf.DUMMYFUNCTION("""COMPUTED_VALUE"""),0.0)</f>
        <v>0</v>
      </c>
      <c r="J189" s="206">
        <f>IFERROR(__xludf.DUMMYFUNCTION("""COMPUTED_VALUE"""),0.0)</f>
        <v>0</v>
      </c>
      <c r="K189" s="207">
        <f>IFERROR(__xludf.DUMMYFUNCTION("""COMPUTED_VALUE"""),0.0)</f>
        <v>0</v>
      </c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  <c r="AA189" s="200"/>
    </row>
    <row r="190">
      <c r="A190" s="200"/>
      <c r="B190" s="200"/>
      <c r="C190" s="200"/>
      <c r="D190" s="200"/>
      <c r="E190" s="200"/>
      <c r="F190" s="204"/>
      <c r="G190" s="200"/>
      <c r="H190" s="200"/>
      <c r="I190" s="205">
        <f>IFERROR(__xludf.DUMMYFUNCTION("""COMPUTED_VALUE"""),0.0)</f>
        <v>0</v>
      </c>
      <c r="J190" s="206">
        <f>IFERROR(__xludf.DUMMYFUNCTION("""COMPUTED_VALUE"""),0.0)</f>
        <v>0</v>
      </c>
      <c r="K190" s="207">
        <f>IFERROR(__xludf.DUMMYFUNCTION("""COMPUTED_VALUE"""),0.0)</f>
        <v>0</v>
      </c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  <c r="AA190" s="200"/>
    </row>
    <row r="191">
      <c r="A191" s="200"/>
      <c r="B191" s="200"/>
      <c r="C191" s="200"/>
      <c r="D191" s="200"/>
      <c r="E191" s="200"/>
      <c r="F191" s="204"/>
      <c r="G191" s="200"/>
      <c r="H191" s="200"/>
      <c r="I191" s="205">
        <f>IFERROR(__xludf.DUMMYFUNCTION("""COMPUTED_VALUE"""),0.0)</f>
        <v>0</v>
      </c>
      <c r="J191" s="206">
        <f>IFERROR(__xludf.DUMMYFUNCTION("""COMPUTED_VALUE"""),0.0)</f>
        <v>0</v>
      </c>
      <c r="K191" s="207">
        <f>IFERROR(__xludf.DUMMYFUNCTION("""COMPUTED_VALUE"""),0.0)</f>
        <v>0</v>
      </c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  <c r="AA191" s="200"/>
    </row>
    <row r="192">
      <c r="A192" s="200"/>
      <c r="B192" s="200"/>
      <c r="C192" s="200"/>
      <c r="D192" s="200"/>
      <c r="E192" s="200"/>
      <c r="F192" s="204"/>
      <c r="G192" s="200"/>
      <c r="H192" s="200"/>
      <c r="I192" s="205">
        <f>IFERROR(__xludf.DUMMYFUNCTION("""COMPUTED_VALUE"""),0.0)</f>
        <v>0</v>
      </c>
      <c r="J192" s="206">
        <f>IFERROR(__xludf.DUMMYFUNCTION("""COMPUTED_VALUE"""),0.0)</f>
        <v>0</v>
      </c>
      <c r="K192" s="207">
        <f>IFERROR(__xludf.DUMMYFUNCTION("""COMPUTED_VALUE"""),0.0)</f>
        <v>0</v>
      </c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  <c r="AA192" s="200"/>
    </row>
    <row r="193">
      <c r="A193" s="200"/>
      <c r="B193" s="200"/>
      <c r="C193" s="200"/>
      <c r="D193" s="200"/>
      <c r="E193" s="200"/>
      <c r="F193" s="204"/>
      <c r="G193" s="200"/>
      <c r="H193" s="200"/>
      <c r="I193" s="205">
        <f>IFERROR(__xludf.DUMMYFUNCTION("""COMPUTED_VALUE"""),0.0)</f>
        <v>0</v>
      </c>
      <c r="J193" s="206">
        <f>IFERROR(__xludf.DUMMYFUNCTION("""COMPUTED_VALUE"""),0.0)</f>
        <v>0</v>
      </c>
      <c r="K193" s="207">
        <f>IFERROR(__xludf.DUMMYFUNCTION("""COMPUTED_VALUE"""),0.0)</f>
        <v>0</v>
      </c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  <c r="AA193" s="200"/>
    </row>
    <row r="194">
      <c r="A194" s="200"/>
      <c r="B194" s="200"/>
      <c r="C194" s="200"/>
      <c r="D194" s="200"/>
      <c r="E194" s="200"/>
      <c r="F194" s="204"/>
      <c r="G194" s="200"/>
      <c r="H194" s="200"/>
      <c r="I194" s="205">
        <f>IFERROR(__xludf.DUMMYFUNCTION("""COMPUTED_VALUE"""),0.0)</f>
        <v>0</v>
      </c>
      <c r="J194" s="206">
        <f>IFERROR(__xludf.DUMMYFUNCTION("""COMPUTED_VALUE"""),0.0)</f>
        <v>0</v>
      </c>
      <c r="K194" s="207">
        <f>IFERROR(__xludf.DUMMYFUNCTION("""COMPUTED_VALUE"""),0.0)</f>
        <v>0</v>
      </c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  <c r="AA194" s="200"/>
    </row>
    <row r="195">
      <c r="A195" s="200"/>
      <c r="B195" s="200"/>
      <c r="C195" s="200"/>
      <c r="D195" s="200"/>
      <c r="E195" s="200"/>
      <c r="F195" s="204"/>
      <c r="G195" s="200"/>
      <c r="H195" s="200"/>
      <c r="I195" s="205">
        <f>IFERROR(__xludf.DUMMYFUNCTION("""COMPUTED_VALUE"""),0.0)</f>
        <v>0</v>
      </c>
      <c r="J195" s="206">
        <f>IFERROR(__xludf.DUMMYFUNCTION("""COMPUTED_VALUE"""),0.0)</f>
        <v>0</v>
      </c>
      <c r="K195" s="207">
        <f>IFERROR(__xludf.DUMMYFUNCTION("""COMPUTED_VALUE"""),0.0)</f>
        <v>0</v>
      </c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  <c r="AA195" s="200"/>
    </row>
    <row r="196">
      <c r="A196" s="200"/>
      <c r="B196" s="200"/>
      <c r="C196" s="200"/>
      <c r="D196" s="200"/>
      <c r="E196" s="200"/>
      <c r="F196" s="204"/>
      <c r="G196" s="200"/>
      <c r="H196" s="200"/>
      <c r="I196" s="205">
        <f>IFERROR(__xludf.DUMMYFUNCTION("""COMPUTED_VALUE"""),0.0)</f>
        <v>0</v>
      </c>
      <c r="J196" s="206">
        <f>IFERROR(__xludf.DUMMYFUNCTION("""COMPUTED_VALUE"""),0.0)</f>
        <v>0</v>
      </c>
      <c r="K196" s="207">
        <f>IFERROR(__xludf.DUMMYFUNCTION("""COMPUTED_VALUE"""),0.0)</f>
        <v>0</v>
      </c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  <c r="AA196" s="200"/>
    </row>
    <row r="197">
      <c r="A197" s="200"/>
      <c r="B197" s="200"/>
      <c r="C197" s="200"/>
      <c r="D197" s="200"/>
      <c r="E197" s="200"/>
      <c r="F197" s="204"/>
      <c r="G197" s="200"/>
      <c r="H197" s="200"/>
      <c r="I197" s="205">
        <f>IFERROR(__xludf.DUMMYFUNCTION("""COMPUTED_VALUE"""),0.0)</f>
        <v>0</v>
      </c>
      <c r="J197" s="206">
        <f>IFERROR(__xludf.DUMMYFUNCTION("""COMPUTED_VALUE"""),0.0)</f>
        <v>0</v>
      </c>
      <c r="K197" s="207">
        <f>IFERROR(__xludf.DUMMYFUNCTION("""COMPUTED_VALUE"""),0.0)</f>
        <v>0</v>
      </c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200"/>
    </row>
    <row r="198">
      <c r="A198" s="200"/>
      <c r="B198" s="200"/>
      <c r="C198" s="200"/>
      <c r="D198" s="200"/>
      <c r="E198" s="200"/>
      <c r="F198" s="204"/>
      <c r="G198" s="200"/>
      <c r="H198" s="200"/>
      <c r="I198" s="205">
        <f>IFERROR(__xludf.DUMMYFUNCTION("""COMPUTED_VALUE"""),0.0)</f>
        <v>0</v>
      </c>
      <c r="J198" s="206">
        <f>IFERROR(__xludf.DUMMYFUNCTION("""COMPUTED_VALUE"""),0.0)</f>
        <v>0</v>
      </c>
      <c r="K198" s="207">
        <f>IFERROR(__xludf.DUMMYFUNCTION("""COMPUTED_VALUE"""),0.0)</f>
        <v>0</v>
      </c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200"/>
    </row>
    <row r="199">
      <c r="A199" s="200"/>
      <c r="B199" s="200"/>
      <c r="C199" s="200"/>
      <c r="D199" s="200"/>
      <c r="E199" s="200"/>
      <c r="F199" s="204"/>
      <c r="G199" s="200"/>
      <c r="H199" s="200"/>
      <c r="I199" s="205">
        <f>IFERROR(__xludf.DUMMYFUNCTION("""COMPUTED_VALUE"""),0.0)</f>
        <v>0</v>
      </c>
      <c r="J199" s="206">
        <f>IFERROR(__xludf.DUMMYFUNCTION("""COMPUTED_VALUE"""),0.0)</f>
        <v>0</v>
      </c>
      <c r="K199" s="207">
        <f>IFERROR(__xludf.DUMMYFUNCTION("""COMPUTED_VALUE"""),0.0)</f>
        <v>0</v>
      </c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  <c r="AA199" s="200"/>
    </row>
    <row r="200">
      <c r="A200" s="200"/>
      <c r="B200" s="200"/>
      <c r="C200" s="200"/>
      <c r="D200" s="200"/>
      <c r="E200" s="200"/>
      <c r="F200" s="204"/>
      <c r="G200" s="200"/>
      <c r="H200" s="200"/>
      <c r="I200" s="205">
        <f>IFERROR(__xludf.DUMMYFUNCTION("""COMPUTED_VALUE"""),0.0)</f>
        <v>0</v>
      </c>
      <c r="J200" s="206">
        <f>IFERROR(__xludf.DUMMYFUNCTION("""COMPUTED_VALUE"""),0.0)</f>
        <v>0</v>
      </c>
      <c r="K200" s="207">
        <f>IFERROR(__xludf.DUMMYFUNCTION("""COMPUTED_VALUE"""),0.0)</f>
        <v>0</v>
      </c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  <c r="AA200" s="200"/>
    </row>
    <row r="201">
      <c r="A201" s="200"/>
      <c r="B201" s="200"/>
      <c r="C201" s="200"/>
      <c r="D201" s="200"/>
      <c r="E201" s="200"/>
      <c r="F201" s="204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  <c r="AA201" s="200"/>
    </row>
    <row r="202">
      <c r="A202" s="200"/>
      <c r="B202" s="200"/>
      <c r="C202" s="200"/>
      <c r="D202" s="200"/>
      <c r="E202" s="200"/>
      <c r="F202" s="204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  <c r="AA202" s="200"/>
    </row>
    <row r="203">
      <c r="A203" s="200"/>
      <c r="B203" s="200"/>
      <c r="C203" s="200"/>
      <c r="D203" s="200"/>
      <c r="E203" s="200"/>
      <c r="F203" s="204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  <c r="AA203" s="200"/>
    </row>
    <row r="204">
      <c r="A204" s="200"/>
      <c r="B204" s="200"/>
      <c r="C204" s="200"/>
      <c r="D204" s="200"/>
      <c r="E204" s="200"/>
      <c r="F204" s="204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  <c r="AA204" s="200"/>
    </row>
    <row r="205">
      <c r="A205" s="200"/>
      <c r="B205" s="200"/>
      <c r="C205" s="200"/>
      <c r="D205" s="200"/>
      <c r="E205" s="200"/>
      <c r="F205" s="204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  <c r="AA205" s="200"/>
    </row>
    <row r="206">
      <c r="A206" s="200"/>
      <c r="B206" s="200"/>
      <c r="C206" s="200"/>
      <c r="D206" s="200"/>
      <c r="E206" s="200"/>
      <c r="F206" s="204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  <c r="AA206" s="200"/>
    </row>
    <row r="207">
      <c r="A207" s="200"/>
      <c r="B207" s="200"/>
      <c r="C207" s="200"/>
      <c r="D207" s="200"/>
      <c r="E207" s="200"/>
      <c r="F207" s="204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  <c r="AA207" s="200"/>
    </row>
    <row r="208">
      <c r="A208" s="200"/>
      <c r="B208" s="200"/>
      <c r="C208" s="200"/>
      <c r="D208" s="200"/>
      <c r="E208" s="200"/>
      <c r="F208" s="204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  <c r="AA208" s="200"/>
    </row>
    <row r="209">
      <c r="A209" s="200"/>
      <c r="B209" s="200"/>
      <c r="C209" s="200"/>
      <c r="D209" s="200"/>
      <c r="E209" s="200"/>
      <c r="F209" s="204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200"/>
    </row>
    <row r="210">
      <c r="A210" s="200"/>
      <c r="B210" s="200"/>
      <c r="C210" s="200"/>
      <c r="D210" s="200"/>
      <c r="E210" s="200"/>
      <c r="F210" s="204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  <c r="AA210" s="200"/>
    </row>
    <row r="211">
      <c r="A211" s="200"/>
      <c r="B211" s="200"/>
      <c r="C211" s="200"/>
      <c r="D211" s="200"/>
      <c r="E211" s="200"/>
      <c r="F211" s="204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200"/>
    </row>
    <row r="212">
      <c r="A212" s="200"/>
      <c r="B212" s="200"/>
      <c r="C212" s="200"/>
      <c r="D212" s="200"/>
      <c r="E212" s="200"/>
      <c r="F212" s="204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</row>
    <row r="213">
      <c r="A213" s="200"/>
      <c r="B213" s="200"/>
      <c r="C213" s="200"/>
      <c r="D213" s="200"/>
      <c r="E213" s="200"/>
      <c r="F213" s="204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</row>
    <row r="214">
      <c r="A214" s="200"/>
      <c r="B214" s="200"/>
      <c r="C214" s="200"/>
      <c r="D214" s="200"/>
      <c r="E214" s="200"/>
      <c r="F214" s="204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  <c r="AA214" s="200"/>
    </row>
    <row r="215">
      <c r="A215" s="200"/>
      <c r="B215" s="200"/>
      <c r="C215" s="200"/>
      <c r="D215" s="200"/>
      <c r="E215" s="200"/>
      <c r="F215" s="204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</row>
    <row r="216">
      <c r="A216" s="200"/>
      <c r="B216" s="200"/>
      <c r="C216" s="200"/>
      <c r="D216" s="200"/>
      <c r="E216" s="200"/>
      <c r="F216" s="204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</row>
    <row r="217">
      <c r="A217" s="200"/>
      <c r="B217" s="200"/>
      <c r="C217" s="200"/>
      <c r="D217" s="200"/>
      <c r="E217" s="200"/>
      <c r="F217" s="204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  <c r="AA217" s="200"/>
    </row>
    <row r="218">
      <c r="A218" s="200"/>
      <c r="B218" s="200"/>
      <c r="C218" s="200"/>
      <c r="D218" s="200"/>
      <c r="E218" s="200"/>
      <c r="F218" s="204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  <c r="AA218" s="200"/>
    </row>
    <row r="219">
      <c r="A219" s="200"/>
      <c r="B219" s="200"/>
      <c r="C219" s="200"/>
      <c r="D219" s="200"/>
      <c r="E219" s="200"/>
      <c r="F219" s="204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  <c r="AA219" s="200"/>
    </row>
    <row r="220">
      <c r="A220" s="200"/>
      <c r="B220" s="200"/>
      <c r="C220" s="200"/>
      <c r="D220" s="200"/>
      <c r="E220" s="200"/>
      <c r="F220" s="204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</row>
    <row r="221">
      <c r="A221" s="200"/>
      <c r="B221" s="200"/>
      <c r="C221" s="200"/>
      <c r="D221" s="200"/>
      <c r="E221" s="200"/>
      <c r="F221" s="204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  <c r="AA221" s="200"/>
    </row>
    <row r="222">
      <c r="A222" s="200"/>
      <c r="B222" s="200"/>
      <c r="C222" s="200"/>
      <c r="D222" s="200"/>
      <c r="E222" s="200"/>
      <c r="F222" s="204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  <c r="AA222" s="200"/>
    </row>
    <row r="223">
      <c r="A223" s="200"/>
      <c r="B223" s="200"/>
      <c r="C223" s="200"/>
      <c r="D223" s="200"/>
      <c r="E223" s="200"/>
      <c r="F223" s="204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</row>
    <row r="224">
      <c r="A224" s="200"/>
      <c r="B224" s="200"/>
      <c r="C224" s="200"/>
      <c r="D224" s="200"/>
      <c r="E224" s="200"/>
      <c r="F224" s="204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</row>
    <row r="225">
      <c r="A225" s="200"/>
      <c r="B225" s="200"/>
      <c r="C225" s="200"/>
      <c r="D225" s="200"/>
      <c r="E225" s="200"/>
      <c r="F225" s="204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  <c r="AA225" s="200"/>
    </row>
    <row r="226">
      <c r="A226" s="200"/>
      <c r="B226" s="200"/>
      <c r="C226" s="200"/>
      <c r="D226" s="200"/>
      <c r="E226" s="200"/>
      <c r="F226" s="204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</row>
    <row r="227">
      <c r="A227" s="200"/>
      <c r="B227" s="200"/>
      <c r="C227" s="200"/>
      <c r="D227" s="200"/>
      <c r="E227" s="200"/>
      <c r="F227" s="204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</row>
    <row r="228">
      <c r="A228" s="200"/>
      <c r="B228" s="200"/>
      <c r="C228" s="200"/>
      <c r="D228" s="200"/>
      <c r="E228" s="200"/>
      <c r="F228" s="204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  <c r="AA228" s="200"/>
    </row>
    <row r="229">
      <c r="A229" s="200"/>
      <c r="B229" s="200"/>
      <c r="C229" s="200"/>
      <c r="D229" s="200"/>
      <c r="E229" s="200"/>
      <c r="F229" s="204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  <c r="AA229" s="200"/>
    </row>
    <row r="230">
      <c r="A230" s="200"/>
      <c r="B230" s="200"/>
      <c r="C230" s="200"/>
      <c r="D230" s="200"/>
      <c r="E230" s="200"/>
      <c r="F230" s="204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  <c r="AA230" s="200"/>
    </row>
    <row r="231">
      <c r="A231" s="200"/>
      <c r="B231" s="200"/>
      <c r="C231" s="200"/>
      <c r="D231" s="200"/>
      <c r="E231" s="200"/>
      <c r="F231" s="204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  <c r="AA231" s="200"/>
    </row>
    <row r="232">
      <c r="A232" s="200"/>
      <c r="B232" s="200"/>
      <c r="C232" s="200"/>
      <c r="D232" s="200"/>
      <c r="E232" s="200"/>
      <c r="F232" s="204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  <c r="AA232" s="200"/>
    </row>
    <row r="233">
      <c r="A233" s="200"/>
      <c r="B233" s="200"/>
      <c r="C233" s="200"/>
      <c r="D233" s="200"/>
      <c r="E233" s="200"/>
      <c r="F233" s="204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  <c r="AA233" s="200"/>
    </row>
    <row r="234">
      <c r="A234" s="200"/>
      <c r="B234" s="200"/>
      <c r="C234" s="200"/>
      <c r="D234" s="200"/>
      <c r="E234" s="200"/>
      <c r="F234" s="204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  <c r="AA234" s="200"/>
    </row>
    <row r="235">
      <c r="A235" s="200"/>
      <c r="B235" s="200"/>
      <c r="C235" s="200"/>
      <c r="D235" s="200"/>
      <c r="E235" s="200"/>
      <c r="F235" s="204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  <c r="AA235" s="200"/>
    </row>
    <row r="236">
      <c r="A236" s="200"/>
      <c r="B236" s="200"/>
      <c r="C236" s="200"/>
      <c r="D236" s="200"/>
      <c r="E236" s="200"/>
      <c r="F236" s="204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  <c r="AA236" s="200"/>
    </row>
    <row r="237">
      <c r="A237" s="200"/>
      <c r="B237" s="200"/>
      <c r="C237" s="200"/>
      <c r="D237" s="200"/>
      <c r="E237" s="200"/>
      <c r="F237" s="204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  <c r="AA237" s="200"/>
    </row>
    <row r="238">
      <c r="A238" s="200"/>
      <c r="B238" s="200"/>
      <c r="C238" s="200"/>
      <c r="D238" s="200"/>
      <c r="E238" s="200"/>
      <c r="F238" s="204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  <c r="AA238" s="200"/>
    </row>
    <row r="239">
      <c r="A239" s="200"/>
      <c r="B239" s="200"/>
      <c r="C239" s="200"/>
      <c r="D239" s="200"/>
      <c r="E239" s="200"/>
      <c r="F239" s="204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</row>
    <row r="240">
      <c r="A240" s="200"/>
      <c r="B240" s="200"/>
      <c r="C240" s="200"/>
      <c r="D240" s="200"/>
      <c r="E240" s="200"/>
      <c r="F240" s="204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</row>
    <row r="241">
      <c r="A241" s="200"/>
      <c r="B241" s="200"/>
      <c r="C241" s="200"/>
      <c r="D241" s="200"/>
      <c r="E241" s="200"/>
      <c r="F241" s="204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  <c r="AA241" s="200"/>
    </row>
    <row r="242">
      <c r="A242" s="200"/>
      <c r="B242" s="200"/>
      <c r="C242" s="200"/>
      <c r="D242" s="200"/>
      <c r="E242" s="200"/>
      <c r="F242" s="204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  <c r="AA242" s="200"/>
    </row>
    <row r="243">
      <c r="A243" s="200"/>
      <c r="B243" s="200"/>
      <c r="C243" s="200"/>
      <c r="D243" s="200"/>
      <c r="E243" s="200"/>
      <c r="F243" s="204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  <c r="AA243" s="200"/>
    </row>
    <row r="244">
      <c r="A244" s="200"/>
      <c r="B244" s="200"/>
      <c r="C244" s="200"/>
      <c r="D244" s="200"/>
      <c r="E244" s="200"/>
      <c r="F244" s="204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  <c r="AA244" s="200"/>
    </row>
    <row r="245">
      <c r="A245" s="200"/>
      <c r="B245" s="200"/>
      <c r="C245" s="200"/>
      <c r="D245" s="200"/>
      <c r="E245" s="200"/>
      <c r="F245" s="204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  <c r="AA245" s="200"/>
    </row>
    <row r="246">
      <c r="A246" s="200"/>
      <c r="B246" s="200"/>
      <c r="C246" s="200"/>
      <c r="D246" s="200"/>
      <c r="E246" s="200"/>
      <c r="F246" s="204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  <c r="AA246" s="200"/>
    </row>
    <row r="247">
      <c r="A247" s="200"/>
      <c r="B247" s="200"/>
      <c r="C247" s="200"/>
      <c r="D247" s="200"/>
      <c r="E247" s="200"/>
      <c r="F247" s="204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  <c r="AA247" s="200"/>
    </row>
    <row r="248">
      <c r="A248" s="200"/>
      <c r="B248" s="200"/>
      <c r="C248" s="200"/>
      <c r="D248" s="200"/>
      <c r="E248" s="200"/>
      <c r="F248" s="204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</row>
    <row r="249">
      <c r="A249" s="200"/>
      <c r="B249" s="200"/>
      <c r="C249" s="200"/>
      <c r="D249" s="200"/>
      <c r="E249" s="200"/>
      <c r="F249" s="204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</row>
    <row r="250">
      <c r="A250" s="200"/>
      <c r="B250" s="200"/>
      <c r="C250" s="200"/>
      <c r="D250" s="200"/>
      <c r="E250" s="200"/>
      <c r="F250" s="204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</row>
    <row r="251">
      <c r="A251" s="200"/>
      <c r="B251" s="200"/>
      <c r="C251" s="200"/>
      <c r="D251" s="200"/>
      <c r="E251" s="200"/>
      <c r="F251" s="204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  <c r="AA251" s="200"/>
    </row>
    <row r="252">
      <c r="A252" s="200"/>
      <c r="B252" s="200"/>
      <c r="C252" s="200"/>
      <c r="D252" s="200"/>
      <c r="E252" s="200"/>
      <c r="F252" s="204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</row>
    <row r="253">
      <c r="A253" s="200"/>
      <c r="B253" s="200"/>
      <c r="C253" s="200"/>
      <c r="D253" s="200"/>
      <c r="E253" s="200"/>
      <c r="F253" s="204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</row>
    <row r="254">
      <c r="A254" s="200"/>
      <c r="B254" s="200"/>
      <c r="C254" s="200"/>
      <c r="D254" s="200"/>
      <c r="E254" s="200"/>
      <c r="F254" s="204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  <c r="AA254" s="200"/>
    </row>
    <row r="255">
      <c r="A255" s="200"/>
      <c r="B255" s="200"/>
      <c r="C255" s="200"/>
      <c r="D255" s="200"/>
      <c r="E255" s="200"/>
      <c r="F255" s="204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  <c r="AA255" s="200"/>
    </row>
    <row r="256">
      <c r="A256" s="200"/>
      <c r="B256" s="200"/>
      <c r="C256" s="200"/>
      <c r="D256" s="200"/>
      <c r="E256" s="200"/>
      <c r="F256" s="204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  <c r="AA256" s="200"/>
    </row>
    <row r="257">
      <c r="A257" s="200"/>
      <c r="B257" s="200"/>
      <c r="C257" s="200"/>
      <c r="D257" s="200"/>
      <c r="E257" s="200"/>
      <c r="F257" s="204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  <c r="AA257" s="200"/>
    </row>
    <row r="258">
      <c r="A258" s="200"/>
      <c r="B258" s="200"/>
      <c r="C258" s="200"/>
      <c r="D258" s="200"/>
      <c r="E258" s="200"/>
      <c r="F258" s="204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  <c r="AA258" s="200"/>
    </row>
    <row r="259">
      <c r="A259" s="200"/>
      <c r="B259" s="200"/>
      <c r="C259" s="200"/>
      <c r="D259" s="200"/>
      <c r="E259" s="200"/>
      <c r="F259" s="204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  <c r="AA259" s="200"/>
    </row>
    <row r="260">
      <c r="A260" s="200"/>
      <c r="B260" s="200"/>
      <c r="C260" s="200"/>
      <c r="D260" s="200"/>
      <c r="E260" s="200"/>
      <c r="F260" s="204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</row>
    <row r="261">
      <c r="A261" s="200"/>
      <c r="B261" s="200"/>
      <c r="C261" s="200"/>
      <c r="D261" s="200"/>
      <c r="E261" s="200"/>
      <c r="F261" s="204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</row>
    <row r="262">
      <c r="A262" s="200"/>
      <c r="B262" s="200"/>
      <c r="C262" s="200"/>
      <c r="D262" s="200"/>
      <c r="E262" s="200"/>
      <c r="F262" s="204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</row>
    <row r="263">
      <c r="A263" s="200"/>
      <c r="B263" s="200"/>
      <c r="C263" s="200"/>
      <c r="D263" s="200"/>
      <c r="E263" s="200"/>
      <c r="F263" s="204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</row>
    <row r="264">
      <c r="A264" s="200"/>
      <c r="B264" s="200"/>
      <c r="C264" s="200"/>
      <c r="D264" s="200"/>
      <c r="E264" s="200"/>
      <c r="F264" s="204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  <c r="AA264" s="200"/>
    </row>
    <row r="265">
      <c r="A265" s="200"/>
      <c r="B265" s="200"/>
      <c r="C265" s="200"/>
      <c r="D265" s="200"/>
      <c r="E265" s="200"/>
      <c r="F265" s="204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  <c r="AA265" s="200"/>
    </row>
    <row r="266">
      <c r="A266" s="200"/>
      <c r="B266" s="200"/>
      <c r="C266" s="200"/>
      <c r="D266" s="200"/>
      <c r="E266" s="200"/>
      <c r="F266" s="204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  <c r="AA266" s="200"/>
    </row>
    <row r="267">
      <c r="A267" s="200"/>
      <c r="B267" s="200"/>
      <c r="C267" s="200"/>
      <c r="D267" s="200"/>
      <c r="E267" s="200"/>
      <c r="F267" s="204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  <c r="AA267" s="200"/>
    </row>
    <row r="268">
      <c r="A268" s="200"/>
      <c r="B268" s="200"/>
      <c r="C268" s="200"/>
      <c r="D268" s="200"/>
      <c r="E268" s="200"/>
      <c r="F268" s="204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  <c r="AA268" s="200"/>
    </row>
    <row r="269">
      <c r="A269" s="200"/>
      <c r="B269" s="200"/>
      <c r="C269" s="200"/>
      <c r="D269" s="200"/>
      <c r="E269" s="200"/>
      <c r="F269" s="204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  <c r="AA269" s="200"/>
    </row>
    <row r="270">
      <c r="A270" s="200"/>
      <c r="B270" s="200"/>
      <c r="C270" s="200"/>
      <c r="D270" s="200"/>
      <c r="E270" s="200"/>
      <c r="F270" s="204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  <c r="AA270" s="200"/>
    </row>
    <row r="271">
      <c r="A271" s="200"/>
      <c r="B271" s="200"/>
      <c r="C271" s="200"/>
      <c r="D271" s="200"/>
      <c r="E271" s="200"/>
      <c r="F271" s="204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  <c r="AA271" s="200"/>
    </row>
    <row r="272">
      <c r="A272" s="200"/>
      <c r="B272" s="200"/>
      <c r="C272" s="200"/>
      <c r="D272" s="200"/>
      <c r="E272" s="200"/>
      <c r="F272" s="204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  <c r="AA272" s="200"/>
    </row>
    <row r="273">
      <c r="A273" s="200"/>
      <c r="B273" s="200"/>
      <c r="C273" s="200"/>
      <c r="D273" s="200"/>
      <c r="E273" s="200"/>
      <c r="F273" s="204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  <c r="AA273" s="200"/>
    </row>
    <row r="274">
      <c r="A274" s="200"/>
      <c r="B274" s="200"/>
      <c r="C274" s="200"/>
      <c r="D274" s="200"/>
      <c r="E274" s="200"/>
      <c r="F274" s="204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  <c r="AA274" s="200"/>
    </row>
    <row r="275">
      <c r="A275" s="200"/>
      <c r="B275" s="200"/>
      <c r="C275" s="200"/>
      <c r="D275" s="200"/>
      <c r="E275" s="200"/>
      <c r="F275" s="204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  <c r="AA275" s="200"/>
    </row>
    <row r="276">
      <c r="A276" s="200"/>
      <c r="B276" s="200"/>
      <c r="C276" s="200"/>
      <c r="D276" s="200"/>
      <c r="E276" s="200"/>
      <c r="F276" s="204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  <c r="AA276" s="200"/>
    </row>
    <row r="277">
      <c r="A277" s="200"/>
      <c r="B277" s="200"/>
      <c r="C277" s="200"/>
      <c r="D277" s="200"/>
      <c r="E277" s="200"/>
      <c r="F277" s="204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  <c r="AA277" s="200"/>
    </row>
    <row r="278">
      <c r="A278" s="200"/>
      <c r="B278" s="200"/>
      <c r="C278" s="200"/>
      <c r="D278" s="200"/>
      <c r="E278" s="200"/>
      <c r="F278" s="204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  <c r="AA278" s="200"/>
    </row>
    <row r="279">
      <c r="A279" s="200"/>
      <c r="B279" s="200"/>
      <c r="C279" s="200"/>
      <c r="D279" s="200"/>
      <c r="E279" s="200"/>
      <c r="F279" s="204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  <c r="AA279" s="200"/>
    </row>
    <row r="280">
      <c r="A280" s="200"/>
      <c r="B280" s="200"/>
      <c r="C280" s="200"/>
      <c r="D280" s="200"/>
      <c r="E280" s="200"/>
      <c r="F280" s="204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  <c r="AA280" s="200"/>
    </row>
    <row r="281">
      <c r="A281" s="200"/>
      <c r="B281" s="200"/>
      <c r="C281" s="200"/>
      <c r="D281" s="200"/>
      <c r="E281" s="200"/>
      <c r="F281" s="204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  <c r="AA281" s="200"/>
    </row>
    <row r="282">
      <c r="A282" s="200"/>
      <c r="B282" s="200"/>
      <c r="C282" s="200"/>
      <c r="D282" s="200"/>
      <c r="E282" s="200"/>
      <c r="F282" s="204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  <c r="AA282" s="200"/>
    </row>
    <row r="283">
      <c r="A283" s="200"/>
      <c r="B283" s="200"/>
      <c r="C283" s="200"/>
      <c r="D283" s="200"/>
      <c r="E283" s="200"/>
      <c r="F283" s="204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  <c r="AA283" s="200"/>
    </row>
    <row r="284">
      <c r="A284" s="200"/>
      <c r="B284" s="200"/>
      <c r="C284" s="200"/>
      <c r="D284" s="200"/>
      <c r="E284" s="200"/>
      <c r="F284" s="204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  <c r="AA284" s="200"/>
    </row>
    <row r="285">
      <c r="A285" s="200"/>
      <c r="B285" s="200"/>
      <c r="C285" s="200"/>
      <c r="D285" s="200"/>
      <c r="E285" s="200"/>
      <c r="F285" s="204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  <c r="AA285" s="200"/>
    </row>
    <row r="286">
      <c r="A286" s="200"/>
      <c r="B286" s="200"/>
      <c r="C286" s="200"/>
      <c r="D286" s="200"/>
      <c r="E286" s="200"/>
      <c r="F286" s="204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  <c r="AA286" s="200"/>
    </row>
    <row r="287">
      <c r="A287" s="200"/>
      <c r="B287" s="200"/>
      <c r="C287" s="200"/>
      <c r="D287" s="200"/>
      <c r="E287" s="200"/>
      <c r="F287" s="204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  <c r="AA287" s="200"/>
    </row>
    <row r="288">
      <c r="A288" s="200"/>
      <c r="B288" s="200"/>
      <c r="C288" s="200"/>
      <c r="D288" s="200"/>
      <c r="E288" s="200"/>
      <c r="F288" s="204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  <c r="AA288" s="200"/>
    </row>
    <row r="289">
      <c r="A289" s="200"/>
      <c r="B289" s="200"/>
      <c r="C289" s="200"/>
      <c r="D289" s="200"/>
      <c r="E289" s="200"/>
      <c r="F289" s="204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  <c r="AA289" s="200"/>
    </row>
    <row r="290">
      <c r="A290" s="200"/>
      <c r="B290" s="200"/>
      <c r="C290" s="200"/>
      <c r="D290" s="200"/>
      <c r="E290" s="200"/>
      <c r="F290" s="204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  <c r="AA290" s="200"/>
    </row>
    <row r="291">
      <c r="A291" s="200"/>
      <c r="B291" s="200"/>
      <c r="C291" s="200"/>
      <c r="D291" s="200"/>
      <c r="E291" s="200"/>
      <c r="F291" s="204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  <c r="AA291" s="200"/>
    </row>
    <row r="292">
      <c r="A292" s="200"/>
      <c r="B292" s="200"/>
      <c r="C292" s="200"/>
      <c r="D292" s="200"/>
      <c r="E292" s="200"/>
      <c r="F292" s="204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  <c r="AA292" s="200"/>
    </row>
    <row r="293">
      <c r="A293" s="200"/>
      <c r="B293" s="200"/>
      <c r="C293" s="200"/>
      <c r="D293" s="200"/>
      <c r="E293" s="200"/>
      <c r="F293" s="204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  <c r="AA293" s="200"/>
    </row>
    <row r="294">
      <c r="A294" s="200"/>
      <c r="B294" s="200"/>
      <c r="C294" s="200"/>
      <c r="D294" s="200"/>
      <c r="E294" s="200"/>
      <c r="F294" s="204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  <c r="AA294" s="200"/>
    </row>
    <row r="295">
      <c r="A295" s="200"/>
      <c r="B295" s="200"/>
      <c r="C295" s="200"/>
      <c r="D295" s="200"/>
      <c r="E295" s="200"/>
      <c r="F295" s="204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  <c r="AA295" s="200"/>
    </row>
    <row r="296">
      <c r="A296" s="200"/>
      <c r="B296" s="200"/>
      <c r="C296" s="200"/>
      <c r="D296" s="200"/>
      <c r="E296" s="200"/>
      <c r="F296" s="204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  <c r="AA296" s="200"/>
    </row>
    <row r="297">
      <c r="A297" s="200"/>
      <c r="B297" s="200"/>
      <c r="C297" s="200"/>
      <c r="D297" s="200"/>
      <c r="E297" s="200"/>
      <c r="F297" s="204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  <c r="AA297" s="200"/>
    </row>
    <row r="298">
      <c r="A298" s="200"/>
      <c r="B298" s="200"/>
      <c r="C298" s="200"/>
      <c r="D298" s="200"/>
      <c r="E298" s="200"/>
      <c r="F298" s="204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  <c r="AA298" s="200"/>
    </row>
    <row r="299">
      <c r="A299" s="200"/>
      <c r="B299" s="200"/>
      <c r="C299" s="200"/>
      <c r="D299" s="200"/>
      <c r="E299" s="200"/>
      <c r="F299" s="204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  <c r="AA299" s="200"/>
    </row>
    <row r="300">
      <c r="A300" s="200"/>
      <c r="B300" s="200"/>
      <c r="C300" s="200"/>
      <c r="D300" s="200"/>
      <c r="E300" s="200"/>
      <c r="F300" s="204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  <c r="AA300" s="200"/>
    </row>
    <row r="301">
      <c r="A301" s="200"/>
      <c r="B301" s="200"/>
      <c r="C301" s="200"/>
      <c r="D301" s="200"/>
      <c r="E301" s="200"/>
      <c r="F301" s="204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  <c r="AA301" s="200"/>
    </row>
    <row r="302">
      <c r="A302" s="200"/>
      <c r="B302" s="200"/>
      <c r="C302" s="200"/>
      <c r="D302" s="200"/>
      <c r="E302" s="200"/>
      <c r="F302" s="204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  <c r="AA302" s="200"/>
    </row>
    <row r="303">
      <c r="A303" s="200"/>
      <c r="B303" s="200"/>
      <c r="C303" s="200"/>
      <c r="D303" s="200"/>
      <c r="E303" s="200"/>
      <c r="F303" s="204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  <c r="AA303" s="200"/>
    </row>
    <row r="304">
      <c r="A304" s="200"/>
      <c r="B304" s="200"/>
      <c r="C304" s="200"/>
      <c r="D304" s="200"/>
      <c r="E304" s="200"/>
      <c r="F304" s="204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  <c r="AA304" s="200"/>
    </row>
    <row r="305">
      <c r="A305" s="200"/>
      <c r="B305" s="200"/>
      <c r="C305" s="200"/>
      <c r="D305" s="200"/>
      <c r="E305" s="200"/>
      <c r="F305" s="204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  <c r="AA305" s="200"/>
    </row>
    <row r="306">
      <c r="A306" s="200"/>
      <c r="B306" s="200"/>
      <c r="C306" s="200"/>
      <c r="D306" s="200"/>
      <c r="E306" s="200"/>
      <c r="F306" s="204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  <c r="AA306" s="200"/>
    </row>
    <row r="307">
      <c r="A307" s="200"/>
      <c r="B307" s="200"/>
      <c r="C307" s="200"/>
      <c r="D307" s="200"/>
      <c r="E307" s="200"/>
      <c r="F307" s="204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  <c r="AA307" s="200"/>
    </row>
    <row r="308">
      <c r="A308" s="200"/>
      <c r="B308" s="200"/>
      <c r="C308" s="200"/>
      <c r="D308" s="200"/>
      <c r="E308" s="200"/>
      <c r="F308" s="204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  <c r="AA308" s="200"/>
    </row>
    <row r="309">
      <c r="A309" s="200"/>
      <c r="B309" s="200"/>
      <c r="C309" s="200"/>
      <c r="D309" s="200"/>
      <c r="E309" s="200"/>
      <c r="F309" s="204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  <c r="AA309" s="200"/>
    </row>
    <row r="310">
      <c r="A310" s="200"/>
      <c r="B310" s="200"/>
      <c r="C310" s="200"/>
      <c r="D310" s="200"/>
      <c r="E310" s="200"/>
      <c r="F310" s="204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  <c r="AA310" s="200"/>
    </row>
    <row r="311">
      <c r="A311" s="200"/>
      <c r="B311" s="200"/>
      <c r="C311" s="200"/>
      <c r="D311" s="200"/>
      <c r="E311" s="200"/>
      <c r="F311" s="204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  <c r="AA311" s="200"/>
    </row>
    <row r="312">
      <c r="A312" s="200"/>
      <c r="B312" s="200"/>
      <c r="C312" s="200"/>
      <c r="D312" s="200"/>
      <c r="E312" s="200"/>
      <c r="F312" s="204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  <c r="AA312" s="200"/>
    </row>
    <row r="313">
      <c r="A313" s="200"/>
      <c r="B313" s="200"/>
      <c r="C313" s="200"/>
      <c r="D313" s="200"/>
      <c r="E313" s="200"/>
      <c r="F313" s="204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  <c r="AA313" s="200"/>
    </row>
    <row r="314">
      <c r="A314" s="200"/>
      <c r="B314" s="200"/>
      <c r="C314" s="200"/>
      <c r="D314" s="200"/>
      <c r="E314" s="200"/>
      <c r="F314" s="204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  <c r="AA314" s="200"/>
    </row>
    <row r="315">
      <c r="A315" s="200"/>
      <c r="B315" s="200"/>
      <c r="C315" s="200"/>
      <c r="D315" s="200"/>
      <c r="E315" s="200"/>
      <c r="F315" s="204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  <c r="AA315" s="200"/>
    </row>
    <row r="316">
      <c r="A316" s="200"/>
      <c r="B316" s="200"/>
      <c r="C316" s="200"/>
      <c r="D316" s="200"/>
      <c r="E316" s="200"/>
      <c r="F316" s="204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  <c r="AA316" s="200"/>
    </row>
    <row r="317">
      <c r="A317" s="200"/>
      <c r="B317" s="200"/>
      <c r="C317" s="200"/>
      <c r="D317" s="200"/>
      <c r="E317" s="200"/>
      <c r="F317" s="204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  <c r="AA317" s="200"/>
    </row>
    <row r="318">
      <c r="A318" s="200"/>
      <c r="B318" s="200"/>
      <c r="C318" s="200"/>
      <c r="D318" s="200"/>
      <c r="E318" s="200"/>
      <c r="F318" s="204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  <c r="AA318" s="200"/>
    </row>
    <row r="319">
      <c r="A319" s="200"/>
      <c r="B319" s="200"/>
      <c r="C319" s="200"/>
      <c r="D319" s="200"/>
      <c r="E319" s="200"/>
      <c r="F319" s="204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  <c r="AA319" s="200"/>
    </row>
    <row r="320">
      <c r="A320" s="200"/>
      <c r="B320" s="200"/>
      <c r="C320" s="200"/>
      <c r="D320" s="200"/>
      <c r="E320" s="200"/>
      <c r="F320" s="204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  <c r="AA320" s="200"/>
    </row>
    <row r="321">
      <c r="A321" s="200"/>
      <c r="B321" s="200"/>
      <c r="C321" s="200"/>
      <c r="D321" s="200"/>
      <c r="E321" s="200"/>
      <c r="F321" s="204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  <c r="AA321" s="200"/>
    </row>
    <row r="322">
      <c r="A322" s="200"/>
      <c r="B322" s="200"/>
      <c r="C322" s="200"/>
      <c r="D322" s="200"/>
      <c r="E322" s="200"/>
      <c r="F322" s="204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  <c r="AA322" s="200"/>
    </row>
    <row r="323">
      <c r="A323" s="200"/>
      <c r="B323" s="200"/>
      <c r="C323" s="200"/>
      <c r="D323" s="200"/>
      <c r="E323" s="200"/>
      <c r="F323" s="204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  <c r="AA323" s="200"/>
    </row>
    <row r="324">
      <c r="A324" s="200"/>
      <c r="B324" s="200"/>
      <c r="C324" s="200"/>
      <c r="D324" s="200"/>
      <c r="E324" s="200"/>
      <c r="F324" s="204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  <c r="AA324" s="200"/>
    </row>
    <row r="325">
      <c r="A325" s="200"/>
      <c r="B325" s="200"/>
      <c r="C325" s="200"/>
      <c r="D325" s="200"/>
      <c r="E325" s="200"/>
      <c r="F325" s="204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  <c r="AA325" s="200"/>
    </row>
    <row r="326">
      <c r="A326" s="200"/>
      <c r="B326" s="200"/>
      <c r="C326" s="200"/>
      <c r="D326" s="200"/>
      <c r="E326" s="200"/>
      <c r="F326" s="204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  <c r="AA326" s="200"/>
    </row>
    <row r="327">
      <c r="A327" s="200"/>
      <c r="B327" s="200"/>
      <c r="C327" s="200"/>
      <c r="D327" s="200"/>
      <c r="E327" s="200"/>
      <c r="F327" s="204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  <c r="AA327" s="200"/>
    </row>
    <row r="328">
      <c r="A328" s="200"/>
      <c r="B328" s="200"/>
      <c r="C328" s="200"/>
      <c r="D328" s="200"/>
      <c r="E328" s="200"/>
      <c r="F328" s="204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  <c r="AA328" s="200"/>
    </row>
    <row r="329">
      <c r="A329" s="200"/>
      <c r="B329" s="200"/>
      <c r="C329" s="200"/>
      <c r="D329" s="200"/>
      <c r="E329" s="200"/>
      <c r="F329" s="204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  <c r="AA329" s="200"/>
    </row>
    <row r="330">
      <c r="A330" s="200"/>
      <c r="B330" s="200"/>
      <c r="C330" s="200"/>
      <c r="D330" s="200"/>
      <c r="E330" s="200"/>
      <c r="F330" s="204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  <c r="AA330" s="200"/>
    </row>
    <row r="331">
      <c r="A331" s="200"/>
      <c r="B331" s="200"/>
      <c r="C331" s="200"/>
      <c r="D331" s="200"/>
      <c r="E331" s="200"/>
      <c r="F331" s="204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  <c r="AA331" s="200"/>
    </row>
    <row r="332">
      <c r="A332" s="200"/>
      <c r="B332" s="200"/>
      <c r="C332" s="200"/>
      <c r="D332" s="200"/>
      <c r="E332" s="200"/>
      <c r="F332" s="204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  <c r="AA332" s="200"/>
    </row>
    <row r="333">
      <c r="A333" s="200"/>
      <c r="B333" s="200"/>
      <c r="C333" s="200"/>
      <c r="D333" s="200"/>
      <c r="E333" s="200"/>
      <c r="F333" s="204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  <c r="AA333" s="200"/>
    </row>
    <row r="334">
      <c r="A334" s="200"/>
      <c r="B334" s="200"/>
      <c r="C334" s="200"/>
      <c r="D334" s="200"/>
      <c r="E334" s="200"/>
      <c r="F334" s="204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  <c r="AA334" s="200"/>
    </row>
    <row r="335">
      <c r="A335" s="200"/>
      <c r="B335" s="200"/>
      <c r="C335" s="200"/>
      <c r="D335" s="200"/>
      <c r="E335" s="200"/>
      <c r="F335" s="204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  <c r="AA335" s="200"/>
    </row>
    <row r="336">
      <c r="A336" s="200"/>
      <c r="B336" s="200"/>
      <c r="C336" s="200"/>
      <c r="D336" s="200"/>
      <c r="E336" s="200"/>
      <c r="F336" s="204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  <c r="AA336" s="200"/>
    </row>
    <row r="337">
      <c r="A337" s="200"/>
      <c r="B337" s="200"/>
      <c r="C337" s="200"/>
      <c r="D337" s="200"/>
      <c r="E337" s="200"/>
      <c r="F337" s="204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  <c r="AA337" s="200"/>
    </row>
    <row r="338">
      <c r="A338" s="200"/>
      <c r="B338" s="200"/>
      <c r="C338" s="200"/>
      <c r="D338" s="200"/>
      <c r="E338" s="200"/>
      <c r="F338" s="204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  <c r="AA338" s="200"/>
    </row>
    <row r="339">
      <c r="A339" s="200"/>
      <c r="B339" s="200"/>
      <c r="C339" s="200"/>
      <c r="D339" s="200"/>
      <c r="E339" s="200"/>
      <c r="F339" s="204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  <c r="AA339" s="200"/>
    </row>
    <row r="340">
      <c r="A340" s="200"/>
      <c r="B340" s="200"/>
      <c r="C340" s="200"/>
      <c r="D340" s="200"/>
      <c r="E340" s="200"/>
      <c r="F340" s="204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  <c r="AA340" s="200"/>
    </row>
    <row r="341">
      <c r="A341" s="200"/>
      <c r="B341" s="200"/>
      <c r="C341" s="200"/>
      <c r="D341" s="200"/>
      <c r="E341" s="200"/>
      <c r="F341" s="204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  <c r="AA341" s="200"/>
    </row>
    <row r="342">
      <c r="A342" s="200"/>
      <c r="B342" s="200"/>
      <c r="C342" s="200"/>
      <c r="D342" s="200"/>
      <c r="E342" s="200"/>
      <c r="F342" s="204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  <c r="AA342" s="200"/>
    </row>
    <row r="343">
      <c r="A343" s="200"/>
      <c r="B343" s="200"/>
      <c r="C343" s="200"/>
      <c r="D343" s="200"/>
      <c r="E343" s="200"/>
      <c r="F343" s="204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  <c r="AA343" s="200"/>
    </row>
    <row r="344">
      <c r="A344" s="200"/>
      <c r="B344" s="200"/>
      <c r="C344" s="200"/>
      <c r="D344" s="200"/>
      <c r="E344" s="200"/>
      <c r="F344" s="204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  <c r="AA344" s="200"/>
    </row>
    <row r="345">
      <c r="A345" s="200"/>
      <c r="B345" s="200"/>
      <c r="C345" s="200"/>
      <c r="D345" s="200"/>
      <c r="E345" s="200"/>
      <c r="F345" s="204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  <c r="AA345" s="200"/>
    </row>
    <row r="346">
      <c r="A346" s="200"/>
      <c r="B346" s="200"/>
      <c r="C346" s="200"/>
      <c r="D346" s="200"/>
      <c r="E346" s="200"/>
      <c r="F346" s="204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  <c r="AA346" s="200"/>
    </row>
    <row r="347">
      <c r="A347" s="200"/>
      <c r="B347" s="200"/>
      <c r="C347" s="200"/>
      <c r="D347" s="200"/>
      <c r="E347" s="200"/>
      <c r="F347" s="204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  <c r="AA347" s="200"/>
    </row>
    <row r="348">
      <c r="A348" s="200"/>
      <c r="B348" s="200"/>
      <c r="C348" s="200"/>
      <c r="D348" s="200"/>
      <c r="E348" s="200"/>
      <c r="F348" s="204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  <c r="AA348" s="200"/>
    </row>
    <row r="349">
      <c r="A349" s="200"/>
      <c r="B349" s="200"/>
      <c r="C349" s="200"/>
      <c r="D349" s="200"/>
      <c r="E349" s="200"/>
      <c r="F349" s="204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  <c r="AA349" s="200"/>
    </row>
    <row r="350">
      <c r="A350" s="200"/>
      <c r="B350" s="200"/>
      <c r="C350" s="200"/>
      <c r="D350" s="200"/>
      <c r="E350" s="200"/>
      <c r="F350" s="204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  <c r="AA350" s="200"/>
    </row>
    <row r="351">
      <c r="A351" s="200"/>
      <c r="B351" s="200"/>
      <c r="C351" s="200"/>
      <c r="D351" s="200"/>
      <c r="E351" s="200"/>
      <c r="F351" s="204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  <c r="AA351" s="200"/>
    </row>
    <row r="352">
      <c r="A352" s="200"/>
      <c r="B352" s="200"/>
      <c r="C352" s="200"/>
      <c r="D352" s="200"/>
      <c r="E352" s="200"/>
      <c r="F352" s="204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  <c r="AA352" s="200"/>
    </row>
    <row r="353">
      <c r="A353" s="200"/>
      <c r="B353" s="200"/>
      <c r="C353" s="200"/>
      <c r="D353" s="200"/>
      <c r="E353" s="200"/>
      <c r="F353" s="204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  <c r="AA353" s="200"/>
    </row>
    <row r="354">
      <c r="A354" s="200"/>
      <c r="B354" s="200"/>
      <c r="C354" s="200"/>
      <c r="D354" s="200"/>
      <c r="E354" s="200"/>
      <c r="F354" s="204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  <c r="AA354" s="200"/>
    </row>
    <row r="355">
      <c r="A355" s="200"/>
      <c r="B355" s="200"/>
      <c r="C355" s="200"/>
      <c r="D355" s="200"/>
      <c r="E355" s="200"/>
      <c r="F355" s="204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  <c r="AA355" s="200"/>
    </row>
    <row r="356">
      <c r="A356" s="200"/>
      <c r="B356" s="200"/>
      <c r="C356" s="200"/>
      <c r="D356" s="200"/>
      <c r="E356" s="200"/>
      <c r="F356" s="204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  <c r="AA356" s="200"/>
    </row>
    <row r="357">
      <c r="A357" s="200"/>
      <c r="B357" s="200"/>
      <c r="C357" s="200"/>
      <c r="D357" s="200"/>
      <c r="E357" s="200"/>
      <c r="F357" s="204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  <c r="AA357" s="200"/>
    </row>
    <row r="358">
      <c r="A358" s="200"/>
      <c r="B358" s="200"/>
      <c r="C358" s="200"/>
      <c r="D358" s="200"/>
      <c r="E358" s="200"/>
      <c r="F358" s="204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  <c r="AA358" s="200"/>
    </row>
    <row r="359">
      <c r="A359" s="200"/>
      <c r="B359" s="200"/>
      <c r="C359" s="200"/>
      <c r="D359" s="200"/>
      <c r="E359" s="200"/>
      <c r="F359" s="204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  <c r="AA359" s="200"/>
    </row>
    <row r="360">
      <c r="A360" s="200"/>
      <c r="B360" s="200"/>
      <c r="C360" s="200"/>
      <c r="D360" s="200"/>
      <c r="E360" s="200"/>
      <c r="F360" s="204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  <c r="AA360" s="200"/>
    </row>
    <row r="361">
      <c r="A361" s="200"/>
      <c r="B361" s="200"/>
      <c r="C361" s="200"/>
      <c r="D361" s="200"/>
      <c r="E361" s="200"/>
      <c r="F361" s="204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  <c r="AA361" s="200"/>
    </row>
    <row r="362">
      <c r="A362" s="200"/>
      <c r="B362" s="200"/>
      <c r="C362" s="200"/>
      <c r="D362" s="200"/>
      <c r="E362" s="200"/>
      <c r="F362" s="204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  <c r="AA362" s="200"/>
    </row>
    <row r="363">
      <c r="A363" s="200"/>
      <c r="B363" s="200"/>
      <c r="C363" s="200"/>
      <c r="D363" s="200"/>
      <c r="E363" s="200"/>
      <c r="F363" s="204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  <c r="AA363" s="200"/>
    </row>
    <row r="364">
      <c r="A364" s="200"/>
      <c r="B364" s="200"/>
      <c r="C364" s="200"/>
      <c r="D364" s="200"/>
      <c r="E364" s="200"/>
      <c r="F364" s="204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  <c r="AA364" s="200"/>
    </row>
    <row r="365">
      <c r="A365" s="200"/>
      <c r="B365" s="200"/>
      <c r="C365" s="200"/>
      <c r="D365" s="200"/>
      <c r="E365" s="200"/>
      <c r="F365" s="204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  <c r="AA365" s="200"/>
    </row>
    <row r="366">
      <c r="A366" s="200"/>
      <c r="B366" s="200"/>
      <c r="C366" s="200"/>
      <c r="D366" s="200"/>
      <c r="E366" s="200"/>
      <c r="F366" s="204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  <c r="AA366" s="200"/>
    </row>
    <row r="367">
      <c r="A367" s="200"/>
      <c r="B367" s="200"/>
      <c r="C367" s="200"/>
      <c r="D367" s="200"/>
      <c r="E367" s="200"/>
      <c r="F367" s="204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  <c r="AA367" s="200"/>
    </row>
    <row r="368">
      <c r="A368" s="200"/>
      <c r="B368" s="200"/>
      <c r="C368" s="200"/>
      <c r="D368" s="200"/>
      <c r="E368" s="200"/>
      <c r="F368" s="204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  <c r="AA368" s="200"/>
    </row>
    <row r="369">
      <c r="A369" s="200"/>
      <c r="B369" s="200"/>
      <c r="C369" s="200"/>
      <c r="D369" s="200"/>
      <c r="E369" s="200"/>
      <c r="F369" s="204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  <c r="AA369" s="200"/>
    </row>
    <row r="370">
      <c r="A370" s="200"/>
      <c r="B370" s="200"/>
      <c r="C370" s="200"/>
      <c r="D370" s="200"/>
      <c r="E370" s="200"/>
      <c r="F370" s="204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  <c r="AA370" s="200"/>
    </row>
    <row r="371">
      <c r="A371" s="200"/>
      <c r="B371" s="200"/>
      <c r="C371" s="200"/>
      <c r="D371" s="200"/>
      <c r="E371" s="200"/>
      <c r="F371" s="204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  <c r="AA371" s="200"/>
    </row>
    <row r="372">
      <c r="A372" s="200"/>
      <c r="B372" s="200"/>
      <c r="C372" s="200"/>
      <c r="D372" s="200"/>
      <c r="E372" s="200"/>
      <c r="F372" s="204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  <c r="AA372" s="200"/>
    </row>
    <row r="373">
      <c r="A373" s="200"/>
      <c r="B373" s="200"/>
      <c r="C373" s="200"/>
      <c r="D373" s="200"/>
      <c r="E373" s="200"/>
      <c r="F373" s="204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  <c r="AA373" s="200"/>
    </row>
    <row r="374">
      <c r="A374" s="200"/>
      <c r="B374" s="200"/>
      <c r="C374" s="200"/>
      <c r="D374" s="200"/>
      <c r="E374" s="200"/>
      <c r="F374" s="204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  <c r="AA374" s="200"/>
    </row>
    <row r="375">
      <c r="A375" s="200"/>
      <c r="B375" s="200"/>
      <c r="C375" s="200"/>
      <c r="D375" s="200"/>
      <c r="E375" s="200"/>
      <c r="F375" s="204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  <c r="AA375" s="200"/>
    </row>
    <row r="376">
      <c r="A376" s="200"/>
      <c r="B376" s="200"/>
      <c r="C376" s="200"/>
      <c r="D376" s="200"/>
      <c r="E376" s="200"/>
      <c r="F376" s="204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  <c r="AA376" s="200"/>
    </row>
    <row r="377">
      <c r="A377" s="200"/>
      <c r="B377" s="200"/>
      <c r="C377" s="200"/>
      <c r="D377" s="200"/>
      <c r="E377" s="200"/>
      <c r="F377" s="204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  <c r="AA377" s="200"/>
    </row>
    <row r="378">
      <c r="A378" s="200"/>
      <c r="B378" s="200"/>
      <c r="C378" s="200"/>
      <c r="D378" s="200"/>
      <c r="E378" s="200"/>
      <c r="F378" s="204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  <c r="AA378" s="200"/>
    </row>
    <row r="379">
      <c r="A379" s="200"/>
      <c r="B379" s="200"/>
      <c r="C379" s="200"/>
      <c r="D379" s="200"/>
      <c r="E379" s="200"/>
      <c r="F379" s="204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  <c r="AA379" s="200"/>
    </row>
    <row r="380">
      <c r="A380" s="200"/>
      <c r="B380" s="200"/>
      <c r="C380" s="200"/>
      <c r="D380" s="200"/>
      <c r="E380" s="200"/>
      <c r="F380" s="204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  <c r="AA380" s="200"/>
    </row>
    <row r="381">
      <c r="A381" s="200"/>
      <c r="B381" s="200"/>
      <c r="C381" s="200"/>
      <c r="D381" s="200"/>
      <c r="E381" s="200"/>
      <c r="F381" s="204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  <c r="AA381" s="200"/>
    </row>
    <row r="382">
      <c r="A382" s="200"/>
      <c r="B382" s="200"/>
      <c r="C382" s="200"/>
      <c r="D382" s="200"/>
      <c r="E382" s="200"/>
      <c r="F382" s="204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  <c r="AA382" s="200"/>
    </row>
    <row r="383">
      <c r="A383" s="200"/>
      <c r="B383" s="200"/>
      <c r="C383" s="200"/>
      <c r="D383" s="200"/>
      <c r="E383" s="200"/>
      <c r="F383" s="204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  <c r="AA383" s="200"/>
    </row>
    <row r="384">
      <c r="A384" s="200"/>
      <c r="B384" s="200"/>
      <c r="C384" s="200"/>
      <c r="D384" s="200"/>
      <c r="E384" s="200"/>
      <c r="F384" s="204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  <c r="AA384" s="200"/>
    </row>
    <row r="385">
      <c r="A385" s="200"/>
      <c r="B385" s="200"/>
      <c r="C385" s="200"/>
      <c r="D385" s="200"/>
      <c r="E385" s="200"/>
      <c r="F385" s="204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  <c r="AA385" s="200"/>
    </row>
    <row r="386">
      <c r="A386" s="200"/>
      <c r="B386" s="200"/>
      <c r="C386" s="200"/>
      <c r="D386" s="200"/>
      <c r="E386" s="200"/>
      <c r="F386" s="204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  <c r="AA386" s="200"/>
    </row>
    <row r="387">
      <c r="A387" s="200"/>
      <c r="B387" s="200"/>
      <c r="C387" s="200"/>
      <c r="D387" s="200"/>
      <c r="E387" s="200"/>
      <c r="F387" s="204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  <c r="AA387" s="200"/>
    </row>
    <row r="388">
      <c r="A388" s="200"/>
      <c r="B388" s="200"/>
      <c r="C388" s="200"/>
      <c r="D388" s="200"/>
      <c r="E388" s="200"/>
      <c r="F388" s="204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  <c r="AA388" s="200"/>
    </row>
    <row r="389">
      <c r="A389" s="200"/>
      <c r="B389" s="200"/>
      <c r="C389" s="200"/>
      <c r="D389" s="200"/>
      <c r="E389" s="200"/>
      <c r="F389" s="204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  <c r="AA389" s="200"/>
    </row>
    <row r="390">
      <c r="A390" s="200"/>
      <c r="B390" s="200"/>
      <c r="C390" s="200"/>
      <c r="D390" s="200"/>
      <c r="E390" s="200"/>
      <c r="F390" s="204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  <c r="AA390" s="200"/>
    </row>
    <row r="391">
      <c r="A391" s="200"/>
      <c r="B391" s="200"/>
      <c r="C391" s="200"/>
      <c r="D391" s="200"/>
      <c r="E391" s="200"/>
      <c r="F391" s="204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  <c r="AA391" s="200"/>
    </row>
    <row r="392">
      <c r="A392" s="200"/>
      <c r="B392" s="200"/>
      <c r="C392" s="200"/>
      <c r="D392" s="200"/>
      <c r="E392" s="200"/>
      <c r="F392" s="204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  <c r="AA392" s="200"/>
    </row>
    <row r="393">
      <c r="A393" s="200"/>
      <c r="B393" s="200"/>
      <c r="C393" s="200"/>
      <c r="D393" s="200"/>
      <c r="E393" s="200"/>
      <c r="F393" s="204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  <c r="AA393" s="200"/>
    </row>
    <row r="394">
      <c r="A394" s="200"/>
      <c r="B394" s="200"/>
      <c r="C394" s="200"/>
      <c r="D394" s="200"/>
      <c r="E394" s="200"/>
      <c r="F394" s="204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  <c r="AA394" s="200"/>
    </row>
    <row r="395">
      <c r="A395" s="200"/>
      <c r="B395" s="200"/>
      <c r="C395" s="200"/>
      <c r="D395" s="200"/>
      <c r="E395" s="200"/>
      <c r="F395" s="204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  <c r="AA395" s="200"/>
    </row>
    <row r="396">
      <c r="A396" s="200"/>
      <c r="B396" s="200"/>
      <c r="C396" s="200"/>
      <c r="D396" s="200"/>
      <c r="E396" s="200"/>
      <c r="F396" s="204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  <c r="AA396" s="200"/>
    </row>
    <row r="397">
      <c r="A397" s="200"/>
      <c r="B397" s="200"/>
      <c r="C397" s="200"/>
      <c r="D397" s="200"/>
      <c r="E397" s="200"/>
      <c r="F397" s="204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  <c r="AA397" s="200"/>
    </row>
    <row r="398">
      <c r="A398" s="200"/>
      <c r="B398" s="200"/>
      <c r="C398" s="200"/>
      <c r="D398" s="200"/>
      <c r="E398" s="200"/>
      <c r="F398" s="204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  <c r="AA398" s="200"/>
    </row>
    <row r="399">
      <c r="A399" s="200"/>
      <c r="B399" s="200"/>
      <c r="C399" s="200"/>
      <c r="D399" s="200"/>
      <c r="E399" s="200"/>
      <c r="F399" s="204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  <c r="AA399" s="200"/>
    </row>
    <row r="400">
      <c r="A400" s="200"/>
      <c r="B400" s="200"/>
      <c r="C400" s="200"/>
      <c r="D400" s="200"/>
      <c r="E400" s="200"/>
      <c r="F400" s="204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  <c r="AA400" s="200"/>
    </row>
    <row r="401">
      <c r="A401" s="200"/>
      <c r="B401" s="200"/>
      <c r="C401" s="200"/>
      <c r="D401" s="200"/>
      <c r="E401" s="200"/>
      <c r="F401" s="204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  <c r="AA401" s="200"/>
    </row>
    <row r="402">
      <c r="A402" s="200"/>
      <c r="B402" s="200"/>
      <c r="C402" s="200"/>
      <c r="D402" s="200"/>
      <c r="E402" s="200"/>
      <c r="F402" s="204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  <c r="AA402" s="200"/>
    </row>
    <row r="403">
      <c r="A403" s="200"/>
      <c r="B403" s="200"/>
      <c r="C403" s="200"/>
      <c r="D403" s="200"/>
      <c r="E403" s="200"/>
      <c r="F403" s="204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  <c r="AA403" s="200"/>
    </row>
    <row r="404">
      <c r="A404" s="200"/>
      <c r="B404" s="200"/>
      <c r="C404" s="200"/>
      <c r="D404" s="200"/>
      <c r="E404" s="200"/>
      <c r="F404" s="204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  <c r="AA404" s="200"/>
    </row>
    <row r="405">
      <c r="A405" s="200"/>
      <c r="B405" s="200"/>
      <c r="C405" s="200"/>
      <c r="D405" s="200"/>
      <c r="E405" s="200"/>
      <c r="F405" s="204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  <c r="AA405" s="200"/>
    </row>
    <row r="406">
      <c r="A406" s="200"/>
      <c r="B406" s="200"/>
      <c r="C406" s="200"/>
      <c r="D406" s="200"/>
      <c r="E406" s="200"/>
      <c r="F406" s="204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  <c r="AA406" s="200"/>
    </row>
    <row r="407">
      <c r="A407" s="200"/>
      <c r="B407" s="200"/>
      <c r="C407" s="200"/>
      <c r="D407" s="200"/>
      <c r="E407" s="200"/>
      <c r="F407" s="204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  <c r="AA407" s="200"/>
    </row>
    <row r="408">
      <c r="A408" s="200"/>
      <c r="B408" s="200"/>
      <c r="C408" s="200"/>
      <c r="D408" s="200"/>
      <c r="E408" s="200"/>
      <c r="F408" s="204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  <c r="AA408" s="200"/>
    </row>
    <row r="409">
      <c r="A409" s="200"/>
      <c r="B409" s="200"/>
      <c r="C409" s="200"/>
      <c r="D409" s="200"/>
      <c r="E409" s="200"/>
      <c r="F409" s="204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  <c r="AA409" s="200"/>
    </row>
    <row r="410">
      <c r="A410" s="200"/>
      <c r="B410" s="200"/>
      <c r="C410" s="200"/>
      <c r="D410" s="200"/>
      <c r="E410" s="200"/>
      <c r="F410" s="204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  <c r="AA410" s="200"/>
    </row>
    <row r="411">
      <c r="A411" s="200"/>
      <c r="B411" s="200"/>
      <c r="C411" s="200"/>
      <c r="D411" s="200"/>
      <c r="E411" s="200"/>
      <c r="F411" s="204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  <c r="AA411" s="200"/>
    </row>
    <row r="412">
      <c r="A412" s="200"/>
      <c r="B412" s="200"/>
      <c r="C412" s="200"/>
      <c r="D412" s="200"/>
      <c r="E412" s="200"/>
      <c r="F412" s="204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  <c r="AA412" s="200"/>
    </row>
    <row r="413">
      <c r="A413" s="200"/>
      <c r="B413" s="200"/>
      <c r="C413" s="200"/>
      <c r="D413" s="200"/>
      <c r="E413" s="200"/>
      <c r="F413" s="204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  <c r="AA413" s="200"/>
    </row>
    <row r="414">
      <c r="A414" s="200"/>
      <c r="B414" s="200"/>
      <c r="C414" s="200"/>
      <c r="D414" s="200"/>
      <c r="E414" s="200"/>
      <c r="F414" s="204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  <c r="AA414" s="200"/>
    </row>
    <row r="415">
      <c r="A415" s="200"/>
      <c r="B415" s="200"/>
      <c r="C415" s="200"/>
      <c r="D415" s="200"/>
      <c r="E415" s="200"/>
      <c r="F415" s="204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  <c r="AA415" s="200"/>
    </row>
    <row r="416">
      <c r="A416" s="200"/>
      <c r="B416" s="200"/>
      <c r="C416" s="200"/>
      <c r="D416" s="200"/>
      <c r="E416" s="200"/>
      <c r="F416" s="204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  <c r="AA416" s="200"/>
    </row>
    <row r="417">
      <c r="A417" s="200"/>
      <c r="B417" s="200"/>
      <c r="C417" s="200"/>
      <c r="D417" s="200"/>
      <c r="E417" s="200"/>
      <c r="F417" s="204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  <c r="AA417" s="200"/>
    </row>
    <row r="418">
      <c r="A418" s="200"/>
      <c r="B418" s="200"/>
      <c r="C418" s="200"/>
      <c r="D418" s="200"/>
      <c r="E418" s="200"/>
      <c r="F418" s="204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  <c r="AA418" s="200"/>
    </row>
    <row r="419">
      <c r="A419" s="200"/>
      <c r="B419" s="200"/>
      <c r="C419" s="200"/>
      <c r="D419" s="200"/>
      <c r="E419" s="200"/>
      <c r="F419" s="204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  <c r="AA419" s="200"/>
    </row>
    <row r="420">
      <c r="A420" s="200"/>
      <c r="B420" s="200"/>
      <c r="C420" s="200"/>
      <c r="D420" s="200"/>
      <c r="E420" s="200"/>
      <c r="F420" s="204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  <c r="AA420" s="200"/>
    </row>
    <row r="421">
      <c r="A421" s="200"/>
      <c r="B421" s="200"/>
      <c r="C421" s="200"/>
      <c r="D421" s="200"/>
      <c r="E421" s="200"/>
      <c r="F421" s="204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  <c r="AA421" s="200"/>
    </row>
    <row r="422">
      <c r="A422" s="200"/>
      <c r="B422" s="200"/>
      <c r="C422" s="200"/>
      <c r="D422" s="200"/>
      <c r="E422" s="200"/>
      <c r="F422" s="204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  <c r="AA422" s="200"/>
    </row>
    <row r="423">
      <c r="A423" s="200"/>
      <c r="B423" s="200"/>
      <c r="C423" s="200"/>
      <c r="D423" s="200"/>
      <c r="E423" s="200"/>
      <c r="F423" s="204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  <c r="AA423" s="200"/>
    </row>
    <row r="424">
      <c r="A424" s="200"/>
      <c r="B424" s="200"/>
      <c r="C424" s="200"/>
      <c r="D424" s="200"/>
      <c r="E424" s="200"/>
      <c r="F424" s="204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  <c r="AA424" s="200"/>
    </row>
    <row r="425">
      <c r="A425" s="200"/>
      <c r="B425" s="200"/>
      <c r="C425" s="200"/>
      <c r="D425" s="200"/>
      <c r="E425" s="200"/>
      <c r="F425" s="204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  <c r="AA425" s="200"/>
    </row>
    <row r="426">
      <c r="A426" s="200"/>
      <c r="B426" s="200"/>
      <c r="C426" s="200"/>
      <c r="D426" s="200"/>
      <c r="E426" s="200"/>
      <c r="F426" s="204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  <c r="AA426" s="200"/>
    </row>
    <row r="427">
      <c r="A427" s="200"/>
      <c r="B427" s="200"/>
      <c r="C427" s="200"/>
      <c r="D427" s="200"/>
      <c r="E427" s="200"/>
      <c r="F427" s="204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  <c r="AA427" s="200"/>
    </row>
    <row r="428">
      <c r="A428" s="200"/>
      <c r="B428" s="200"/>
      <c r="C428" s="200"/>
      <c r="D428" s="200"/>
      <c r="E428" s="200"/>
      <c r="F428" s="204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  <c r="AA428" s="200"/>
    </row>
    <row r="429">
      <c r="A429" s="200"/>
      <c r="B429" s="200"/>
      <c r="C429" s="200"/>
      <c r="D429" s="200"/>
      <c r="E429" s="200"/>
      <c r="F429" s="204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  <c r="AA429" s="200"/>
    </row>
    <row r="430">
      <c r="A430" s="200"/>
      <c r="B430" s="200"/>
      <c r="C430" s="200"/>
      <c r="D430" s="200"/>
      <c r="E430" s="200"/>
      <c r="F430" s="204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  <c r="AA430" s="200"/>
    </row>
    <row r="431">
      <c r="A431" s="200"/>
      <c r="B431" s="200"/>
      <c r="C431" s="200"/>
      <c r="D431" s="200"/>
      <c r="E431" s="200"/>
      <c r="F431" s="204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  <c r="AA431" s="200"/>
    </row>
    <row r="432">
      <c r="A432" s="200"/>
      <c r="B432" s="200"/>
      <c r="C432" s="200"/>
      <c r="D432" s="200"/>
      <c r="E432" s="200"/>
      <c r="F432" s="204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  <c r="AA432" s="200"/>
    </row>
    <row r="433">
      <c r="A433" s="200"/>
      <c r="B433" s="200"/>
      <c r="C433" s="200"/>
      <c r="D433" s="200"/>
      <c r="E433" s="200"/>
      <c r="F433" s="204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  <c r="AA433" s="200"/>
    </row>
    <row r="434">
      <c r="A434" s="200"/>
      <c r="B434" s="200"/>
      <c r="C434" s="200"/>
      <c r="D434" s="200"/>
      <c r="E434" s="200"/>
      <c r="F434" s="204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  <c r="AA434" s="200"/>
    </row>
    <row r="435">
      <c r="A435" s="200"/>
      <c r="B435" s="200"/>
      <c r="C435" s="200"/>
      <c r="D435" s="200"/>
      <c r="E435" s="200"/>
      <c r="F435" s="204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  <c r="AA435" s="200"/>
    </row>
    <row r="436">
      <c r="A436" s="200"/>
      <c r="B436" s="200"/>
      <c r="C436" s="200"/>
      <c r="D436" s="200"/>
      <c r="E436" s="200"/>
      <c r="F436" s="204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  <c r="AA436" s="200"/>
    </row>
    <row r="437">
      <c r="A437" s="200"/>
      <c r="B437" s="200"/>
      <c r="C437" s="200"/>
      <c r="D437" s="200"/>
      <c r="E437" s="200"/>
      <c r="F437" s="204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  <c r="AA437" s="200"/>
    </row>
    <row r="438">
      <c r="A438" s="200"/>
      <c r="B438" s="200"/>
      <c r="C438" s="200"/>
      <c r="D438" s="200"/>
      <c r="E438" s="200"/>
      <c r="F438" s="204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  <c r="AA438" s="200"/>
    </row>
    <row r="439">
      <c r="A439" s="200"/>
      <c r="B439" s="200"/>
      <c r="C439" s="200"/>
      <c r="D439" s="200"/>
      <c r="E439" s="200"/>
      <c r="F439" s="204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  <c r="AA439" s="200"/>
    </row>
    <row r="440">
      <c r="A440" s="200"/>
      <c r="B440" s="200"/>
      <c r="C440" s="200"/>
      <c r="D440" s="200"/>
      <c r="E440" s="200"/>
      <c r="F440" s="204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  <c r="AA440" s="200"/>
    </row>
    <row r="441">
      <c r="A441" s="200"/>
      <c r="B441" s="200"/>
      <c r="C441" s="200"/>
      <c r="D441" s="200"/>
      <c r="E441" s="200"/>
      <c r="F441" s="204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  <c r="AA441" s="200"/>
    </row>
    <row r="442">
      <c r="A442" s="200"/>
      <c r="B442" s="200"/>
      <c r="C442" s="200"/>
      <c r="D442" s="200"/>
      <c r="E442" s="200"/>
      <c r="F442" s="204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  <c r="AA442" s="200"/>
    </row>
    <row r="443">
      <c r="A443" s="200"/>
      <c r="B443" s="200"/>
      <c r="C443" s="200"/>
      <c r="D443" s="200"/>
      <c r="E443" s="200"/>
      <c r="F443" s="204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  <c r="AA443" s="200"/>
    </row>
    <row r="444">
      <c r="A444" s="200"/>
      <c r="B444" s="200"/>
      <c r="C444" s="200"/>
      <c r="D444" s="200"/>
      <c r="E444" s="200"/>
      <c r="F444" s="204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  <c r="AA444" s="200"/>
    </row>
    <row r="445">
      <c r="A445" s="200"/>
      <c r="B445" s="200"/>
      <c r="C445" s="200"/>
      <c r="D445" s="200"/>
      <c r="E445" s="200"/>
      <c r="F445" s="204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  <c r="AA445" s="200"/>
    </row>
    <row r="446">
      <c r="A446" s="200"/>
      <c r="B446" s="200"/>
      <c r="C446" s="200"/>
      <c r="D446" s="200"/>
      <c r="E446" s="200"/>
      <c r="F446" s="204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  <c r="AA446" s="200"/>
    </row>
    <row r="447">
      <c r="A447" s="200"/>
      <c r="B447" s="200"/>
      <c r="C447" s="200"/>
      <c r="D447" s="200"/>
      <c r="E447" s="200"/>
      <c r="F447" s="204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  <c r="AA447" s="200"/>
    </row>
    <row r="448">
      <c r="A448" s="200"/>
      <c r="B448" s="200"/>
      <c r="C448" s="200"/>
      <c r="D448" s="200"/>
      <c r="E448" s="200"/>
      <c r="F448" s="204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  <c r="AA448" s="200"/>
    </row>
    <row r="449">
      <c r="A449" s="200"/>
      <c r="B449" s="200"/>
      <c r="C449" s="200"/>
      <c r="D449" s="200"/>
      <c r="E449" s="200"/>
      <c r="F449" s="204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  <c r="AA449" s="200"/>
    </row>
    <row r="450">
      <c r="A450" s="200"/>
      <c r="B450" s="200"/>
      <c r="C450" s="200"/>
      <c r="D450" s="200"/>
      <c r="E450" s="200"/>
      <c r="F450" s="204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  <c r="AA450" s="200"/>
    </row>
    <row r="451">
      <c r="A451" s="200"/>
      <c r="B451" s="200"/>
      <c r="C451" s="200"/>
      <c r="D451" s="200"/>
      <c r="E451" s="200"/>
      <c r="F451" s="204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  <c r="AA451" s="200"/>
    </row>
    <row r="452">
      <c r="A452" s="200"/>
      <c r="B452" s="200"/>
      <c r="C452" s="200"/>
      <c r="D452" s="200"/>
      <c r="E452" s="200"/>
      <c r="F452" s="204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  <c r="AA452" s="200"/>
    </row>
    <row r="453">
      <c r="A453" s="200"/>
      <c r="B453" s="200"/>
      <c r="C453" s="200"/>
      <c r="D453" s="200"/>
      <c r="E453" s="200"/>
      <c r="F453" s="204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  <c r="AA453" s="200"/>
    </row>
    <row r="454">
      <c r="A454" s="200"/>
      <c r="B454" s="200"/>
      <c r="C454" s="200"/>
      <c r="D454" s="200"/>
      <c r="E454" s="200"/>
      <c r="F454" s="204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  <c r="AA454" s="200"/>
    </row>
    <row r="455">
      <c r="A455" s="200"/>
      <c r="B455" s="200"/>
      <c r="C455" s="200"/>
      <c r="D455" s="200"/>
      <c r="E455" s="200"/>
      <c r="F455" s="204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  <c r="AA455" s="200"/>
    </row>
    <row r="456">
      <c r="A456" s="200"/>
      <c r="B456" s="200"/>
      <c r="C456" s="200"/>
      <c r="D456" s="200"/>
      <c r="E456" s="200"/>
      <c r="F456" s="204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  <c r="AA456" s="200"/>
    </row>
    <row r="457">
      <c r="A457" s="200"/>
      <c r="B457" s="200"/>
      <c r="C457" s="200"/>
      <c r="D457" s="200"/>
      <c r="E457" s="200"/>
      <c r="F457" s="204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  <c r="AA457" s="200"/>
    </row>
    <row r="458">
      <c r="A458" s="200"/>
      <c r="B458" s="200"/>
      <c r="C458" s="200"/>
      <c r="D458" s="200"/>
      <c r="E458" s="200"/>
      <c r="F458" s="204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  <c r="AA458" s="200"/>
    </row>
    <row r="459">
      <c r="A459" s="200"/>
      <c r="B459" s="200"/>
      <c r="C459" s="200"/>
      <c r="D459" s="200"/>
      <c r="E459" s="200"/>
      <c r="F459" s="204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  <c r="AA459" s="200"/>
    </row>
    <row r="460">
      <c r="A460" s="200"/>
      <c r="B460" s="200"/>
      <c r="C460" s="200"/>
      <c r="D460" s="200"/>
      <c r="E460" s="200"/>
      <c r="F460" s="204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  <c r="AA460" s="200"/>
    </row>
    <row r="461">
      <c r="A461" s="200"/>
      <c r="B461" s="200"/>
      <c r="C461" s="200"/>
      <c r="D461" s="200"/>
      <c r="E461" s="200"/>
      <c r="F461" s="204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  <c r="AA461" s="200"/>
    </row>
    <row r="462">
      <c r="A462" s="200"/>
      <c r="B462" s="200"/>
      <c r="C462" s="200"/>
      <c r="D462" s="200"/>
      <c r="E462" s="200"/>
      <c r="F462" s="204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  <c r="AA462" s="200"/>
    </row>
    <row r="463">
      <c r="A463" s="200"/>
      <c r="B463" s="200"/>
      <c r="C463" s="200"/>
      <c r="D463" s="200"/>
      <c r="E463" s="200"/>
      <c r="F463" s="204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  <c r="AA463" s="200"/>
    </row>
    <row r="464">
      <c r="A464" s="200"/>
      <c r="B464" s="200"/>
      <c r="C464" s="200"/>
      <c r="D464" s="200"/>
      <c r="E464" s="200"/>
      <c r="F464" s="204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  <c r="AA464" s="200"/>
    </row>
    <row r="465">
      <c r="A465" s="200"/>
      <c r="B465" s="200"/>
      <c r="C465" s="200"/>
      <c r="D465" s="200"/>
      <c r="E465" s="200"/>
      <c r="F465" s="204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  <c r="AA465" s="200"/>
    </row>
    <row r="466">
      <c r="A466" s="200"/>
      <c r="B466" s="200"/>
      <c r="C466" s="200"/>
      <c r="D466" s="200"/>
      <c r="E466" s="200"/>
      <c r="F466" s="204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  <c r="AA466" s="200"/>
    </row>
    <row r="467">
      <c r="A467" s="200"/>
      <c r="B467" s="200"/>
      <c r="C467" s="200"/>
      <c r="D467" s="200"/>
      <c r="E467" s="200"/>
      <c r="F467" s="204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  <c r="AA467" s="200"/>
    </row>
    <row r="468">
      <c r="A468" s="200"/>
      <c r="B468" s="200"/>
      <c r="C468" s="200"/>
      <c r="D468" s="200"/>
      <c r="E468" s="200"/>
      <c r="F468" s="204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  <c r="AA468" s="200"/>
    </row>
    <row r="469">
      <c r="A469" s="200"/>
      <c r="B469" s="200"/>
      <c r="C469" s="200"/>
      <c r="D469" s="200"/>
      <c r="E469" s="200"/>
      <c r="F469" s="204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  <c r="AA469" s="200"/>
    </row>
    <row r="470">
      <c r="A470" s="200"/>
      <c r="B470" s="200"/>
      <c r="C470" s="200"/>
      <c r="D470" s="200"/>
      <c r="E470" s="200"/>
      <c r="F470" s="204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  <c r="AA470" s="200"/>
    </row>
    <row r="471">
      <c r="A471" s="200"/>
      <c r="B471" s="200"/>
      <c r="C471" s="200"/>
      <c r="D471" s="200"/>
      <c r="E471" s="200"/>
      <c r="F471" s="204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  <c r="AA471" s="200"/>
    </row>
    <row r="472">
      <c r="A472" s="200"/>
      <c r="B472" s="200"/>
      <c r="C472" s="200"/>
      <c r="D472" s="200"/>
      <c r="E472" s="200"/>
      <c r="F472" s="204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  <c r="AA472" s="200"/>
    </row>
    <row r="473">
      <c r="A473" s="200"/>
      <c r="B473" s="200"/>
      <c r="C473" s="200"/>
      <c r="D473" s="200"/>
      <c r="E473" s="200"/>
      <c r="F473" s="204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  <c r="AA473" s="200"/>
    </row>
    <row r="474">
      <c r="A474" s="200"/>
      <c r="B474" s="200"/>
      <c r="C474" s="200"/>
      <c r="D474" s="200"/>
      <c r="E474" s="200"/>
      <c r="F474" s="204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  <c r="AA474" s="200"/>
    </row>
    <row r="475">
      <c r="A475" s="200"/>
      <c r="B475" s="200"/>
      <c r="C475" s="200"/>
      <c r="D475" s="200"/>
      <c r="E475" s="200"/>
      <c r="F475" s="204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  <c r="AA475" s="200"/>
    </row>
    <row r="476">
      <c r="A476" s="200"/>
      <c r="B476" s="200"/>
      <c r="C476" s="200"/>
      <c r="D476" s="200"/>
      <c r="E476" s="200"/>
      <c r="F476" s="204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  <c r="AA476" s="200"/>
    </row>
    <row r="477">
      <c r="A477" s="200"/>
      <c r="B477" s="200"/>
      <c r="C477" s="200"/>
      <c r="D477" s="200"/>
      <c r="E477" s="200"/>
      <c r="F477" s="204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  <c r="AA477" s="200"/>
    </row>
    <row r="478">
      <c r="A478" s="200"/>
      <c r="B478" s="200"/>
      <c r="C478" s="200"/>
      <c r="D478" s="200"/>
      <c r="E478" s="200"/>
      <c r="F478" s="204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  <c r="AA478" s="200"/>
    </row>
    <row r="479">
      <c r="A479" s="200"/>
      <c r="B479" s="200"/>
      <c r="C479" s="200"/>
      <c r="D479" s="200"/>
      <c r="E479" s="200"/>
      <c r="F479" s="204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  <c r="AA479" s="200"/>
    </row>
    <row r="480">
      <c r="A480" s="200"/>
      <c r="B480" s="200"/>
      <c r="C480" s="200"/>
      <c r="D480" s="200"/>
      <c r="E480" s="200"/>
      <c r="F480" s="204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  <c r="AA480" s="200"/>
    </row>
    <row r="481">
      <c r="A481" s="200"/>
      <c r="B481" s="200"/>
      <c r="C481" s="200"/>
      <c r="D481" s="200"/>
      <c r="E481" s="200"/>
      <c r="F481" s="204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  <c r="AA481" s="200"/>
    </row>
    <row r="482">
      <c r="A482" s="200"/>
      <c r="B482" s="200"/>
      <c r="C482" s="200"/>
      <c r="D482" s="200"/>
      <c r="E482" s="200"/>
      <c r="F482" s="204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  <c r="AA482" s="200"/>
    </row>
    <row r="483">
      <c r="A483" s="200"/>
      <c r="B483" s="200"/>
      <c r="C483" s="200"/>
      <c r="D483" s="200"/>
      <c r="E483" s="200"/>
      <c r="F483" s="204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  <c r="AA483" s="200"/>
    </row>
    <row r="484">
      <c r="A484" s="200"/>
      <c r="B484" s="200"/>
      <c r="C484" s="200"/>
      <c r="D484" s="200"/>
      <c r="E484" s="200"/>
      <c r="F484" s="204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  <c r="AA484" s="200"/>
    </row>
    <row r="485">
      <c r="A485" s="200"/>
      <c r="B485" s="200"/>
      <c r="C485" s="200"/>
      <c r="D485" s="200"/>
      <c r="E485" s="200"/>
      <c r="F485" s="204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  <c r="AA485" s="200"/>
    </row>
    <row r="486">
      <c r="A486" s="200"/>
      <c r="B486" s="200"/>
      <c r="C486" s="200"/>
      <c r="D486" s="200"/>
      <c r="E486" s="200"/>
      <c r="F486" s="204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  <c r="AA486" s="200"/>
    </row>
    <row r="487">
      <c r="A487" s="200"/>
      <c r="B487" s="200"/>
      <c r="C487" s="200"/>
      <c r="D487" s="200"/>
      <c r="E487" s="200"/>
      <c r="F487" s="204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  <c r="AA487" s="200"/>
    </row>
    <row r="488">
      <c r="A488" s="200"/>
      <c r="B488" s="200"/>
      <c r="C488" s="200"/>
      <c r="D488" s="200"/>
      <c r="E488" s="200"/>
      <c r="F488" s="204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  <c r="AA488" s="200"/>
    </row>
    <row r="489">
      <c r="A489" s="200"/>
      <c r="B489" s="200"/>
      <c r="C489" s="200"/>
      <c r="D489" s="200"/>
      <c r="E489" s="200"/>
      <c r="F489" s="204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  <c r="AA489" s="200"/>
    </row>
    <row r="490">
      <c r="A490" s="200"/>
      <c r="B490" s="200"/>
      <c r="C490" s="200"/>
      <c r="D490" s="200"/>
      <c r="E490" s="200"/>
      <c r="F490" s="204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  <c r="AA490" s="200"/>
    </row>
    <row r="491">
      <c r="A491" s="200"/>
      <c r="B491" s="200"/>
      <c r="C491" s="200"/>
      <c r="D491" s="200"/>
      <c r="E491" s="200"/>
      <c r="F491" s="204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  <c r="AA491" s="200"/>
    </row>
    <row r="492">
      <c r="A492" s="200"/>
      <c r="B492" s="200"/>
      <c r="C492" s="200"/>
      <c r="D492" s="200"/>
      <c r="E492" s="200"/>
      <c r="F492" s="204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  <c r="AA492" s="200"/>
    </row>
    <row r="493">
      <c r="A493" s="200"/>
      <c r="B493" s="200"/>
      <c r="C493" s="200"/>
      <c r="D493" s="200"/>
      <c r="E493" s="200"/>
      <c r="F493" s="204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  <c r="AA493" s="200"/>
    </row>
    <row r="494">
      <c r="A494" s="200"/>
      <c r="B494" s="200"/>
      <c r="C494" s="200"/>
      <c r="D494" s="200"/>
      <c r="E494" s="200"/>
      <c r="F494" s="204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</row>
    <row r="495">
      <c r="A495" s="200"/>
      <c r="B495" s="200"/>
      <c r="C495" s="200"/>
      <c r="D495" s="200"/>
      <c r="E495" s="200"/>
      <c r="F495" s="204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  <c r="AA495" s="200"/>
    </row>
    <row r="496">
      <c r="A496" s="200"/>
      <c r="B496" s="200"/>
      <c r="C496" s="200"/>
      <c r="D496" s="200"/>
      <c r="E496" s="200"/>
      <c r="F496" s="204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  <c r="AA496" s="200"/>
    </row>
    <row r="497">
      <c r="A497" s="200"/>
      <c r="B497" s="200"/>
      <c r="C497" s="200"/>
      <c r="D497" s="200"/>
      <c r="E497" s="200"/>
      <c r="F497" s="204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  <c r="AA497" s="200"/>
    </row>
    <row r="498">
      <c r="A498" s="200"/>
      <c r="B498" s="200"/>
      <c r="C498" s="200"/>
      <c r="D498" s="200"/>
      <c r="E498" s="200"/>
      <c r="F498" s="204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  <c r="AA498" s="200"/>
    </row>
    <row r="499">
      <c r="A499" s="200"/>
      <c r="B499" s="200"/>
      <c r="C499" s="200"/>
      <c r="D499" s="200"/>
      <c r="E499" s="200"/>
      <c r="F499" s="204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  <c r="AA499" s="200"/>
    </row>
    <row r="500">
      <c r="A500" s="200"/>
      <c r="B500" s="200"/>
      <c r="C500" s="200"/>
      <c r="D500" s="200"/>
      <c r="E500" s="200"/>
      <c r="F500" s="204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  <c r="AA500" s="200"/>
    </row>
    <row r="501">
      <c r="A501" s="200"/>
      <c r="B501" s="200"/>
      <c r="C501" s="200"/>
      <c r="D501" s="200"/>
      <c r="E501" s="200"/>
      <c r="F501" s="204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  <c r="AA501" s="200"/>
    </row>
    <row r="502">
      <c r="A502" s="200"/>
      <c r="B502" s="200"/>
      <c r="C502" s="200"/>
      <c r="D502" s="200"/>
      <c r="E502" s="200"/>
      <c r="F502" s="204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  <c r="AA502" s="200"/>
    </row>
    <row r="503">
      <c r="A503" s="200"/>
      <c r="B503" s="200"/>
      <c r="C503" s="200"/>
      <c r="D503" s="200"/>
      <c r="E503" s="200"/>
      <c r="F503" s="204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  <c r="AA503" s="200"/>
    </row>
    <row r="504">
      <c r="A504" s="200"/>
      <c r="B504" s="200"/>
      <c r="C504" s="200"/>
      <c r="D504" s="200"/>
      <c r="E504" s="200"/>
      <c r="F504" s="204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  <c r="AA504" s="200"/>
    </row>
    <row r="505">
      <c r="A505" s="200"/>
      <c r="B505" s="200"/>
      <c r="C505" s="200"/>
      <c r="D505" s="200"/>
      <c r="E505" s="200"/>
      <c r="F505" s="204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  <c r="AA505" s="200"/>
    </row>
    <row r="506">
      <c r="A506" s="200"/>
      <c r="B506" s="200"/>
      <c r="C506" s="200"/>
      <c r="D506" s="200"/>
      <c r="E506" s="200"/>
      <c r="F506" s="204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  <c r="AA506" s="200"/>
    </row>
    <row r="507">
      <c r="A507" s="200"/>
      <c r="B507" s="200"/>
      <c r="C507" s="200"/>
      <c r="D507" s="200"/>
      <c r="E507" s="200"/>
      <c r="F507" s="204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  <c r="AA507" s="200"/>
    </row>
    <row r="508">
      <c r="A508" s="200"/>
      <c r="B508" s="200"/>
      <c r="C508" s="200"/>
      <c r="D508" s="200"/>
      <c r="E508" s="200"/>
      <c r="F508" s="204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  <c r="AA508" s="200"/>
    </row>
    <row r="509">
      <c r="A509" s="200"/>
      <c r="B509" s="200"/>
      <c r="C509" s="200"/>
      <c r="D509" s="200"/>
      <c r="E509" s="200"/>
      <c r="F509" s="204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  <c r="AA509" s="200"/>
    </row>
    <row r="510">
      <c r="A510" s="200"/>
      <c r="B510" s="200"/>
      <c r="C510" s="200"/>
      <c r="D510" s="200"/>
      <c r="E510" s="200"/>
      <c r="F510" s="204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  <c r="AA510" s="200"/>
    </row>
    <row r="511">
      <c r="A511" s="200"/>
      <c r="B511" s="200"/>
      <c r="C511" s="200"/>
      <c r="D511" s="200"/>
      <c r="E511" s="200"/>
      <c r="F511" s="204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  <c r="AA511" s="200"/>
    </row>
    <row r="512">
      <c r="A512" s="200"/>
      <c r="B512" s="200"/>
      <c r="C512" s="200"/>
      <c r="D512" s="200"/>
      <c r="E512" s="200"/>
      <c r="F512" s="204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  <c r="AA512" s="200"/>
    </row>
    <row r="513">
      <c r="A513" s="200"/>
      <c r="B513" s="200"/>
      <c r="C513" s="200"/>
      <c r="D513" s="200"/>
      <c r="E513" s="200"/>
      <c r="F513" s="204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  <c r="AA513" s="200"/>
    </row>
    <row r="514">
      <c r="A514" s="200"/>
      <c r="B514" s="200"/>
      <c r="C514" s="200"/>
      <c r="D514" s="200"/>
      <c r="E514" s="200"/>
      <c r="F514" s="204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  <c r="AA514" s="200"/>
    </row>
    <row r="515">
      <c r="A515" s="200"/>
      <c r="B515" s="200"/>
      <c r="C515" s="200"/>
      <c r="D515" s="200"/>
      <c r="E515" s="200"/>
      <c r="F515" s="204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  <c r="AA515" s="200"/>
    </row>
    <row r="516">
      <c r="A516" s="200"/>
      <c r="B516" s="200"/>
      <c r="C516" s="200"/>
      <c r="D516" s="200"/>
      <c r="E516" s="200"/>
      <c r="F516" s="204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  <c r="AA516" s="200"/>
    </row>
    <row r="517">
      <c r="A517" s="200"/>
      <c r="B517" s="200"/>
      <c r="C517" s="200"/>
      <c r="D517" s="200"/>
      <c r="E517" s="200"/>
      <c r="F517" s="204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</row>
    <row r="518">
      <c r="A518" s="200"/>
      <c r="B518" s="200"/>
      <c r="C518" s="200"/>
      <c r="D518" s="200"/>
      <c r="E518" s="200"/>
      <c r="F518" s="204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</row>
    <row r="519">
      <c r="A519" s="200"/>
      <c r="B519" s="200"/>
      <c r="C519" s="200"/>
      <c r="D519" s="200"/>
      <c r="E519" s="200"/>
      <c r="F519" s="204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</row>
    <row r="520">
      <c r="A520" s="200"/>
      <c r="B520" s="200"/>
      <c r="C520" s="200"/>
      <c r="D520" s="200"/>
      <c r="E520" s="200"/>
      <c r="F520" s="204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  <c r="AA520" s="200"/>
    </row>
    <row r="521">
      <c r="A521" s="200"/>
      <c r="B521" s="200"/>
      <c r="C521" s="200"/>
      <c r="D521" s="200"/>
      <c r="E521" s="200"/>
      <c r="F521" s="204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  <c r="AA521" s="200"/>
    </row>
    <row r="522">
      <c r="A522" s="200"/>
      <c r="B522" s="200"/>
      <c r="C522" s="200"/>
      <c r="D522" s="200"/>
      <c r="E522" s="200"/>
      <c r="F522" s="204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</row>
    <row r="523">
      <c r="A523" s="200"/>
      <c r="B523" s="200"/>
      <c r="C523" s="200"/>
      <c r="D523" s="200"/>
      <c r="E523" s="200"/>
      <c r="F523" s="204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  <c r="AA523" s="200"/>
    </row>
    <row r="524">
      <c r="A524" s="200"/>
      <c r="B524" s="200"/>
      <c r="C524" s="200"/>
      <c r="D524" s="200"/>
      <c r="E524" s="200"/>
      <c r="F524" s="204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  <c r="AA524" s="200"/>
    </row>
    <row r="525">
      <c r="A525" s="200"/>
      <c r="B525" s="200"/>
      <c r="C525" s="200"/>
      <c r="D525" s="200"/>
      <c r="E525" s="200"/>
      <c r="F525" s="204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  <c r="AA525" s="200"/>
    </row>
    <row r="526">
      <c r="A526" s="200"/>
      <c r="B526" s="200"/>
      <c r="C526" s="200"/>
      <c r="D526" s="200"/>
      <c r="E526" s="200"/>
      <c r="F526" s="204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  <c r="AA526" s="200"/>
    </row>
    <row r="527">
      <c r="A527" s="200"/>
      <c r="B527" s="200"/>
      <c r="C527" s="200"/>
      <c r="D527" s="200"/>
      <c r="E527" s="200"/>
      <c r="F527" s="204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  <c r="AA527" s="200"/>
    </row>
    <row r="528">
      <c r="A528" s="200"/>
      <c r="B528" s="200"/>
      <c r="C528" s="200"/>
      <c r="D528" s="200"/>
      <c r="E528" s="200"/>
      <c r="F528" s="204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  <c r="AA528" s="200"/>
    </row>
    <row r="529">
      <c r="A529" s="200"/>
      <c r="B529" s="200"/>
      <c r="C529" s="200"/>
      <c r="D529" s="200"/>
      <c r="E529" s="200"/>
      <c r="F529" s="204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  <c r="AA529" s="200"/>
    </row>
    <row r="530">
      <c r="A530" s="200"/>
      <c r="B530" s="200"/>
      <c r="C530" s="200"/>
      <c r="D530" s="200"/>
      <c r="E530" s="200"/>
      <c r="F530" s="204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  <c r="AA530" s="200"/>
    </row>
    <row r="531">
      <c r="A531" s="200"/>
      <c r="B531" s="200"/>
      <c r="C531" s="200"/>
      <c r="D531" s="200"/>
      <c r="E531" s="200"/>
      <c r="F531" s="204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  <c r="AA531" s="200"/>
    </row>
    <row r="532">
      <c r="A532" s="200"/>
      <c r="B532" s="200"/>
      <c r="C532" s="200"/>
      <c r="D532" s="200"/>
      <c r="E532" s="200"/>
      <c r="F532" s="204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  <c r="AA532" s="200"/>
    </row>
    <row r="533">
      <c r="A533" s="200"/>
      <c r="B533" s="200"/>
      <c r="C533" s="200"/>
      <c r="D533" s="200"/>
      <c r="E533" s="200"/>
      <c r="F533" s="204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  <c r="AA533" s="200"/>
    </row>
    <row r="534">
      <c r="A534" s="200"/>
      <c r="B534" s="200"/>
      <c r="C534" s="200"/>
      <c r="D534" s="200"/>
      <c r="E534" s="200"/>
      <c r="F534" s="204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  <c r="AA534" s="200"/>
    </row>
    <row r="535">
      <c r="A535" s="200"/>
      <c r="B535" s="200"/>
      <c r="C535" s="200"/>
      <c r="D535" s="200"/>
      <c r="E535" s="200"/>
      <c r="F535" s="204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  <c r="AA535" s="200"/>
    </row>
    <row r="536">
      <c r="A536" s="200"/>
      <c r="B536" s="200"/>
      <c r="C536" s="200"/>
      <c r="D536" s="200"/>
      <c r="E536" s="200"/>
      <c r="F536" s="204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  <c r="AA536" s="200"/>
    </row>
    <row r="537">
      <c r="A537" s="200"/>
      <c r="B537" s="200"/>
      <c r="C537" s="200"/>
      <c r="D537" s="200"/>
      <c r="E537" s="200"/>
      <c r="F537" s="204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  <c r="AA537" s="200"/>
    </row>
    <row r="538">
      <c r="A538" s="200"/>
      <c r="B538" s="200"/>
      <c r="C538" s="200"/>
      <c r="D538" s="200"/>
      <c r="E538" s="200"/>
      <c r="F538" s="204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  <c r="AA538" s="200"/>
    </row>
    <row r="539">
      <c r="A539" s="200"/>
      <c r="B539" s="200"/>
      <c r="C539" s="200"/>
      <c r="D539" s="200"/>
      <c r="E539" s="200"/>
      <c r="F539" s="204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  <c r="AA539" s="200"/>
    </row>
    <row r="540">
      <c r="A540" s="200"/>
      <c r="B540" s="200"/>
      <c r="C540" s="200"/>
      <c r="D540" s="200"/>
      <c r="E540" s="200"/>
      <c r="F540" s="204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  <c r="AA540" s="200"/>
    </row>
    <row r="541">
      <c r="A541" s="200"/>
      <c r="B541" s="200"/>
      <c r="C541" s="200"/>
      <c r="D541" s="200"/>
      <c r="E541" s="200"/>
      <c r="F541" s="204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  <c r="AA541" s="200"/>
    </row>
    <row r="542">
      <c r="A542" s="200"/>
      <c r="B542" s="200"/>
      <c r="C542" s="200"/>
      <c r="D542" s="200"/>
      <c r="E542" s="200"/>
      <c r="F542" s="204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  <c r="AA542" s="200"/>
    </row>
    <row r="543">
      <c r="A543" s="200"/>
      <c r="B543" s="200"/>
      <c r="C543" s="200"/>
      <c r="D543" s="200"/>
      <c r="E543" s="200"/>
      <c r="F543" s="204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  <c r="AA543" s="200"/>
    </row>
    <row r="544">
      <c r="A544" s="200"/>
      <c r="B544" s="200"/>
      <c r="C544" s="200"/>
      <c r="D544" s="200"/>
      <c r="E544" s="200"/>
      <c r="F544" s="204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  <c r="AA544" s="200"/>
    </row>
    <row r="545">
      <c r="A545" s="200"/>
      <c r="B545" s="200"/>
      <c r="C545" s="200"/>
      <c r="D545" s="200"/>
      <c r="E545" s="200"/>
      <c r="F545" s="204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  <c r="AA545" s="200"/>
    </row>
    <row r="546">
      <c r="A546" s="200"/>
      <c r="B546" s="200"/>
      <c r="C546" s="200"/>
      <c r="D546" s="200"/>
      <c r="E546" s="200"/>
      <c r="F546" s="204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</row>
    <row r="547">
      <c r="A547" s="200"/>
      <c r="B547" s="200"/>
      <c r="C547" s="200"/>
      <c r="D547" s="200"/>
      <c r="E547" s="200"/>
      <c r="F547" s="204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  <c r="AA547" s="200"/>
    </row>
    <row r="548">
      <c r="A548" s="200"/>
      <c r="B548" s="200"/>
      <c r="C548" s="200"/>
      <c r="D548" s="200"/>
      <c r="E548" s="200"/>
      <c r="F548" s="204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  <c r="AA548" s="200"/>
    </row>
    <row r="549">
      <c r="A549" s="200"/>
      <c r="B549" s="200"/>
      <c r="C549" s="200"/>
      <c r="D549" s="200"/>
      <c r="E549" s="200"/>
      <c r="F549" s="204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  <c r="AA549" s="200"/>
    </row>
    <row r="550">
      <c r="A550" s="200"/>
      <c r="B550" s="200"/>
      <c r="C550" s="200"/>
      <c r="D550" s="200"/>
      <c r="E550" s="200"/>
      <c r="F550" s="204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  <c r="AA550" s="200"/>
    </row>
    <row r="551">
      <c r="A551" s="200"/>
      <c r="B551" s="200"/>
      <c r="C551" s="200"/>
      <c r="D551" s="200"/>
      <c r="E551" s="200"/>
      <c r="F551" s="204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  <c r="AA551" s="200"/>
    </row>
    <row r="552">
      <c r="A552" s="200"/>
      <c r="B552" s="200"/>
      <c r="C552" s="200"/>
      <c r="D552" s="200"/>
      <c r="E552" s="200"/>
      <c r="F552" s="204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  <c r="AA552" s="200"/>
    </row>
    <row r="553">
      <c r="A553" s="200"/>
      <c r="B553" s="200"/>
      <c r="C553" s="200"/>
      <c r="D553" s="200"/>
      <c r="E553" s="200"/>
      <c r="F553" s="204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  <c r="AA553" s="200"/>
    </row>
    <row r="554">
      <c r="A554" s="200"/>
      <c r="B554" s="200"/>
      <c r="C554" s="200"/>
      <c r="D554" s="200"/>
      <c r="E554" s="200"/>
      <c r="F554" s="204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  <c r="AA554" s="200"/>
    </row>
    <row r="555">
      <c r="A555" s="200"/>
      <c r="B555" s="200"/>
      <c r="C555" s="200"/>
      <c r="D555" s="200"/>
      <c r="E555" s="200"/>
      <c r="F555" s="204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  <c r="AA555" s="200"/>
    </row>
    <row r="556">
      <c r="A556" s="200"/>
      <c r="B556" s="200"/>
      <c r="C556" s="200"/>
      <c r="D556" s="200"/>
      <c r="E556" s="200"/>
      <c r="F556" s="204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  <c r="AA556" s="200"/>
    </row>
    <row r="557">
      <c r="A557" s="200"/>
      <c r="B557" s="200"/>
      <c r="C557" s="200"/>
      <c r="D557" s="200"/>
      <c r="E557" s="200"/>
      <c r="F557" s="204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  <c r="AA557" s="200"/>
    </row>
    <row r="558">
      <c r="A558" s="200"/>
      <c r="B558" s="200"/>
      <c r="C558" s="200"/>
      <c r="D558" s="200"/>
      <c r="E558" s="200"/>
      <c r="F558" s="204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  <c r="AA558" s="200"/>
    </row>
    <row r="559">
      <c r="A559" s="200"/>
      <c r="B559" s="200"/>
      <c r="C559" s="200"/>
      <c r="D559" s="200"/>
      <c r="E559" s="200"/>
      <c r="F559" s="204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  <c r="AA559" s="200"/>
    </row>
    <row r="560">
      <c r="A560" s="200"/>
      <c r="B560" s="200"/>
      <c r="C560" s="200"/>
      <c r="D560" s="200"/>
      <c r="E560" s="200"/>
      <c r="F560" s="204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  <c r="AA560" s="200"/>
    </row>
    <row r="561">
      <c r="A561" s="200"/>
      <c r="B561" s="200"/>
      <c r="C561" s="200"/>
      <c r="D561" s="200"/>
      <c r="E561" s="200"/>
      <c r="F561" s="204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  <c r="AA561" s="200"/>
    </row>
    <row r="562">
      <c r="A562" s="200"/>
      <c r="B562" s="200"/>
      <c r="C562" s="200"/>
      <c r="D562" s="200"/>
      <c r="E562" s="200"/>
      <c r="F562" s="204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  <c r="AA562" s="200"/>
    </row>
    <row r="563">
      <c r="A563" s="200"/>
      <c r="B563" s="200"/>
      <c r="C563" s="200"/>
      <c r="D563" s="200"/>
      <c r="E563" s="200"/>
      <c r="F563" s="204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  <c r="AA563" s="200"/>
    </row>
    <row r="564">
      <c r="A564" s="200"/>
      <c r="B564" s="200"/>
      <c r="C564" s="200"/>
      <c r="D564" s="200"/>
      <c r="E564" s="200"/>
      <c r="F564" s="204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  <c r="AA564" s="200"/>
    </row>
    <row r="565">
      <c r="A565" s="200"/>
      <c r="B565" s="200"/>
      <c r="C565" s="200"/>
      <c r="D565" s="200"/>
      <c r="E565" s="200"/>
      <c r="F565" s="204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  <c r="AA565" s="200"/>
    </row>
    <row r="566">
      <c r="A566" s="200"/>
      <c r="B566" s="200"/>
      <c r="C566" s="200"/>
      <c r="D566" s="200"/>
      <c r="E566" s="200"/>
      <c r="F566" s="204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</row>
    <row r="567">
      <c r="A567" s="200"/>
      <c r="B567" s="200"/>
      <c r="C567" s="200"/>
      <c r="D567" s="200"/>
      <c r="E567" s="200"/>
      <c r="F567" s="204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  <c r="AA567" s="200"/>
    </row>
    <row r="568">
      <c r="A568" s="200"/>
      <c r="B568" s="200"/>
      <c r="C568" s="200"/>
      <c r="D568" s="200"/>
      <c r="E568" s="200"/>
      <c r="F568" s="204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  <c r="AA568" s="200"/>
    </row>
    <row r="569">
      <c r="A569" s="200"/>
      <c r="B569" s="200"/>
      <c r="C569" s="200"/>
      <c r="D569" s="200"/>
      <c r="E569" s="200"/>
      <c r="F569" s="204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  <c r="AA569" s="200"/>
    </row>
    <row r="570">
      <c r="A570" s="200"/>
      <c r="B570" s="200"/>
      <c r="C570" s="200"/>
      <c r="D570" s="200"/>
      <c r="E570" s="200"/>
      <c r="F570" s="204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  <c r="AA570" s="200"/>
    </row>
    <row r="571">
      <c r="A571" s="200"/>
      <c r="B571" s="200"/>
      <c r="C571" s="200"/>
      <c r="D571" s="200"/>
      <c r="E571" s="200"/>
      <c r="F571" s="204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  <c r="AA571" s="200"/>
    </row>
    <row r="572">
      <c r="A572" s="200"/>
      <c r="B572" s="200"/>
      <c r="C572" s="200"/>
      <c r="D572" s="200"/>
      <c r="E572" s="200"/>
      <c r="F572" s="204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  <c r="AA572" s="200"/>
    </row>
    <row r="573">
      <c r="A573" s="200"/>
      <c r="B573" s="200"/>
      <c r="C573" s="200"/>
      <c r="D573" s="200"/>
      <c r="E573" s="200"/>
      <c r="F573" s="204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  <c r="AA573" s="200"/>
    </row>
    <row r="574">
      <c r="A574" s="200"/>
      <c r="B574" s="200"/>
      <c r="C574" s="200"/>
      <c r="D574" s="200"/>
      <c r="E574" s="200"/>
      <c r="F574" s="204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  <c r="AA574" s="200"/>
    </row>
    <row r="575">
      <c r="A575" s="200"/>
      <c r="B575" s="200"/>
      <c r="C575" s="200"/>
      <c r="D575" s="200"/>
      <c r="E575" s="200"/>
      <c r="F575" s="204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  <c r="AA575" s="200"/>
    </row>
    <row r="576">
      <c r="A576" s="200"/>
      <c r="B576" s="200"/>
      <c r="C576" s="200"/>
      <c r="D576" s="200"/>
      <c r="E576" s="200"/>
      <c r="F576" s="204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  <c r="AA576" s="200"/>
    </row>
    <row r="577">
      <c r="A577" s="200"/>
      <c r="B577" s="200"/>
      <c r="C577" s="200"/>
      <c r="D577" s="200"/>
      <c r="E577" s="200"/>
      <c r="F577" s="204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  <c r="AA577" s="200"/>
    </row>
    <row r="578">
      <c r="A578" s="200"/>
      <c r="B578" s="200"/>
      <c r="C578" s="200"/>
      <c r="D578" s="200"/>
      <c r="E578" s="200"/>
      <c r="F578" s="204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  <c r="AA578" s="200"/>
    </row>
    <row r="579">
      <c r="A579" s="200"/>
      <c r="B579" s="200"/>
      <c r="C579" s="200"/>
      <c r="D579" s="200"/>
      <c r="E579" s="200"/>
      <c r="F579" s="204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  <c r="AA579" s="200"/>
    </row>
    <row r="580">
      <c r="A580" s="200"/>
      <c r="B580" s="200"/>
      <c r="C580" s="200"/>
      <c r="D580" s="200"/>
      <c r="E580" s="200"/>
      <c r="F580" s="204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</row>
    <row r="581">
      <c r="A581" s="200"/>
      <c r="B581" s="200"/>
      <c r="C581" s="200"/>
      <c r="D581" s="200"/>
      <c r="E581" s="200"/>
      <c r="F581" s="204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  <c r="AA581" s="200"/>
    </row>
    <row r="582">
      <c r="A582" s="200"/>
      <c r="B582" s="200"/>
      <c r="C582" s="200"/>
      <c r="D582" s="200"/>
      <c r="E582" s="200"/>
      <c r="F582" s="204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  <c r="AA582" s="200"/>
    </row>
    <row r="583">
      <c r="A583" s="200"/>
      <c r="B583" s="200"/>
      <c r="C583" s="200"/>
      <c r="D583" s="200"/>
      <c r="E583" s="200"/>
      <c r="F583" s="204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  <c r="AA583" s="200"/>
    </row>
    <row r="584">
      <c r="A584" s="200"/>
      <c r="B584" s="200"/>
      <c r="C584" s="200"/>
      <c r="D584" s="200"/>
      <c r="E584" s="200"/>
      <c r="F584" s="204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  <c r="AA584" s="200"/>
    </row>
    <row r="585">
      <c r="A585" s="200"/>
      <c r="B585" s="200"/>
      <c r="C585" s="200"/>
      <c r="D585" s="200"/>
      <c r="E585" s="200"/>
      <c r="F585" s="204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  <c r="AA585" s="200"/>
    </row>
    <row r="586">
      <c r="A586" s="200"/>
      <c r="B586" s="200"/>
      <c r="C586" s="200"/>
      <c r="D586" s="200"/>
      <c r="E586" s="200"/>
      <c r="F586" s="204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  <c r="AA586" s="200"/>
    </row>
    <row r="587">
      <c r="A587" s="200"/>
      <c r="B587" s="200"/>
      <c r="C587" s="200"/>
      <c r="D587" s="200"/>
      <c r="E587" s="200"/>
      <c r="F587" s="204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  <c r="AA587" s="200"/>
    </row>
    <row r="588">
      <c r="A588" s="200"/>
      <c r="B588" s="200"/>
      <c r="C588" s="200"/>
      <c r="D588" s="200"/>
      <c r="E588" s="200"/>
      <c r="F588" s="204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  <c r="AA588" s="200"/>
    </row>
    <row r="589">
      <c r="A589" s="200"/>
      <c r="B589" s="200"/>
      <c r="C589" s="200"/>
      <c r="D589" s="200"/>
      <c r="E589" s="200"/>
      <c r="F589" s="204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  <c r="AA589" s="200"/>
    </row>
    <row r="590">
      <c r="A590" s="200"/>
      <c r="B590" s="200"/>
      <c r="C590" s="200"/>
      <c r="D590" s="200"/>
      <c r="E590" s="200"/>
      <c r="F590" s="204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  <c r="AA590" s="200"/>
    </row>
    <row r="591">
      <c r="A591" s="200"/>
      <c r="B591" s="200"/>
      <c r="C591" s="200"/>
      <c r="D591" s="200"/>
      <c r="E591" s="200"/>
      <c r="F591" s="204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  <c r="AA591" s="200"/>
    </row>
    <row r="592">
      <c r="A592" s="200"/>
      <c r="B592" s="200"/>
      <c r="C592" s="200"/>
      <c r="D592" s="200"/>
      <c r="E592" s="200"/>
      <c r="F592" s="204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  <c r="AA592" s="200"/>
    </row>
    <row r="593">
      <c r="A593" s="200"/>
      <c r="B593" s="200"/>
      <c r="C593" s="200"/>
      <c r="D593" s="200"/>
      <c r="E593" s="200"/>
      <c r="F593" s="204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  <c r="AA593" s="200"/>
    </row>
    <row r="594">
      <c r="A594" s="200"/>
      <c r="B594" s="200"/>
      <c r="C594" s="200"/>
      <c r="D594" s="200"/>
      <c r="E594" s="200"/>
      <c r="F594" s="204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  <c r="AA594" s="200"/>
    </row>
    <row r="595">
      <c r="A595" s="200"/>
      <c r="B595" s="200"/>
      <c r="C595" s="200"/>
      <c r="D595" s="200"/>
      <c r="E595" s="200"/>
      <c r="F595" s="204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  <c r="AA595" s="200"/>
    </row>
    <row r="596">
      <c r="A596" s="200"/>
      <c r="B596" s="200"/>
      <c r="C596" s="200"/>
      <c r="D596" s="200"/>
      <c r="E596" s="200"/>
      <c r="F596" s="204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  <c r="AA596" s="200"/>
    </row>
    <row r="597">
      <c r="A597" s="200"/>
      <c r="B597" s="200"/>
      <c r="C597" s="200"/>
      <c r="D597" s="200"/>
      <c r="E597" s="200"/>
      <c r="F597" s="204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  <c r="AA597" s="200"/>
    </row>
    <row r="598">
      <c r="A598" s="200"/>
      <c r="B598" s="200"/>
      <c r="C598" s="200"/>
      <c r="D598" s="200"/>
      <c r="E598" s="200"/>
      <c r="F598" s="204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  <c r="AA598" s="200"/>
    </row>
    <row r="599">
      <c r="A599" s="200"/>
      <c r="B599" s="200"/>
      <c r="C599" s="200"/>
      <c r="D599" s="200"/>
      <c r="E599" s="200"/>
      <c r="F599" s="204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  <c r="AA599" s="200"/>
    </row>
    <row r="600">
      <c r="A600" s="200"/>
      <c r="B600" s="200"/>
      <c r="C600" s="200"/>
      <c r="D600" s="200"/>
      <c r="E600" s="200"/>
      <c r="F600" s="204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  <c r="AA600" s="200"/>
    </row>
    <row r="601">
      <c r="A601" s="200"/>
      <c r="B601" s="200"/>
      <c r="C601" s="200"/>
      <c r="D601" s="200"/>
      <c r="E601" s="200"/>
      <c r="F601" s="204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  <c r="AA601" s="200"/>
    </row>
    <row r="602">
      <c r="A602" s="200"/>
      <c r="B602" s="200"/>
      <c r="C602" s="200"/>
      <c r="D602" s="200"/>
      <c r="E602" s="200"/>
      <c r="F602" s="204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  <c r="AA602" s="200"/>
    </row>
    <row r="603">
      <c r="A603" s="200"/>
      <c r="B603" s="200"/>
      <c r="C603" s="200"/>
      <c r="D603" s="200"/>
      <c r="E603" s="200"/>
      <c r="F603" s="204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  <c r="AA603" s="200"/>
    </row>
    <row r="604">
      <c r="A604" s="200"/>
      <c r="B604" s="200"/>
      <c r="C604" s="200"/>
      <c r="D604" s="200"/>
      <c r="E604" s="200"/>
      <c r="F604" s="204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  <c r="AA604" s="200"/>
    </row>
    <row r="605">
      <c r="A605" s="200"/>
      <c r="B605" s="200"/>
      <c r="C605" s="200"/>
      <c r="D605" s="200"/>
      <c r="E605" s="200"/>
      <c r="F605" s="204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  <c r="AA605" s="200"/>
    </row>
    <row r="606">
      <c r="A606" s="200"/>
      <c r="B606" s="200"/>
      <c r="C606" s="200"/>
      <c r="D606" s="200"/>
      <c r="E606" s="200"/>
      <c r="F606" s="204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  <c r="AA606" s="200"/>
    </row>
    <row r="607">
      <c r="A607" s="200"/>
      <c r="B607" s="200"/>
      <c r="C607" s="200"/>
      <c r="D607" s="200"/>
      <c r="E607" s="200"/>
      <c r="F607" s="204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  <c r="AA607" s="200"/>
    </row>
    <row r="608">
      <c r="A608" s="200"/>
      <c r="B608" s="200"/>
      <c r="C608" s="200"/>
      <c r="D608" s="200"/>
      <c r="E608" s="200"/>
      <c r="F608" s="204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  <c r="AA608" s="200"/>
    </row>
    <row r="609">
      <c r="A609" s="200"/>
      <c r="B609" s="200"/>
      <c r="C609" s="200"/>
      <c r="D609" s="200"/>
      <c r="E609" s="200"/>
      <c r="F609" s="204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  <c r="AA609" s="200"/>
    </row>
    <row r="610">
      <c r="A610" s="200"/>
      <c r="B610" s="200"/>
      <c r="C610" s="200"/>
      <c r="D610" s="200"/>
      <c r="E610" s="200"/>
      <c r="F610" s="204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  <c r="AA610" s="200"/>
    </row>
    <row r="611">
      <c r="A611" s="200"/>
      <c r="B611" s="200"/>
      <c r="C611" s="200"/>
      <c r="D611" s="200"/>
      <c r="E611" s="200"/>
      <c r="F611" s="204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  <c r="AA611" s="200"/>
    </row>
    <row r="612">
      <c r="A612" s="200"/>
      <c r="B612" s="200"/>
      <c r="C612" s="200"/>
      <c r="D612" s="200"/>
      <c r="E612" s="200"/>
      <c r="F612" s="204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  <c r="AA612" s="200"/>
    </row>
    <row r="613">
      <c r="A613" s="200"/>
      <c r="B613" s="200"/>
      <c r="C613" s="200"/>
      <c r="D613" s="200"/>
      <c r="E613" s="200"/>
      <c r="F613" s="204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  <c r="AA613" s="200"/>
    </row>
    <row r="614">
      <c r="A614" s="200"/>
      <c r="B614" s="200"/>
      <c r="C614" s="200"/>
      <c r="D614" s="200"/>
      <c r="E614" s="200"/>
      <c r="F614" s="204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  <c r="AA614" s="200"/>
    </row>
    <row r="615">
      <c r="A615" s="200"/>
      <c r="B615" s="200"/>
      <c r="C615" s="200"/>
      <c r="D615" s="200"/>
      <c r="E615" s="200"/>
      <c r="F615" s="204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  <c r="AA615" s="200"/>
    </row>
    <row r="616">
      <c r="A616" s="200"/>
      <c r="B616" s="200"/>
      <c r="C616" s="200"/>
      <c r="D616" s="200"/>
      <c r="E616" s="200"/>
      <c r="F616" s="204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  <c r="AA616" s="200"/>
    </row>
    <row r="617">
      <c r="A617" s="200"/>
      <c r="B617" s="200"/>
      <c r="C617" s="200"/>
      <c r="D617" s="200"/>
      <c r="E617" s="200"/>
      <c r="F617" s="204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  <c r="AA617" s="200"/>
    </row>
    <row r="618">
      <c r="A618" s="200"/>
      <c r="B618" s="200"/>
      <c r="C618" s="200"/>
      <c r="D618" s="200"/>
      <c r="E618" s="200"/>
      <c r="F618" s="204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  <c r="AA618" s="200"/>
    </row>
    <row r="619">
      <c r="A619" s="200"/>
      <c r="B619" s="200"/>
      <c r="C619" s="200"/>
      <c r="D619" s="200"/>
      <c r="E619" s="200"/>
      <c r="F619" s="204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  <c r="AA619" s="200"/>
    </row>
    <row r="620">
      <c r="A620" s="200"/>
      <c r="B620" s="200"/>
      <c r="C620" s="200"/>
      <c r="D620" s="200"/>
      <c r="E620" s="200"/>
      <c r="F620" s="204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  <c r="AA620" s="200"/>
    </row>
    <row r="621">
      <c r="A621" s="200"/>
      <c r="B621" s="200"/>
      <c r="C621" s="200"/>
      <c r="D621" s="200"/>
      <c r="E621" s="200"/>
      <c r="F621" s="204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  <c r="AA621" s="200"/>
    </row>
    <row r="622">
      <c r="A622" s="200"/>
      <c r="B622" s="200"/>
      <c r="C622" s="200"/>
      <c r="D622" s="200"/>
      <c r="E622" s="200"/>
      <c r="F622" s="204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  <c r="AA622" s="200"/>
    </row>
    <row r="623">
      <c r="A623" s="200"/>
      <c r="B623" s="200"/>
      <c r="C623" s="200"/>
      <c r="D623" s="200"/>
      <c r="E623" s="200"/>
      <c r="F623" s="204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  <c r="AA623" s="200"/>
    </row>
    <row r="624">
      <c r="A624" s="200"/>
      <c r="B624" s="200"/>
      <c r="C624" s="200"/>
      <c r="D624" s="200"/>
      <c r="E624" s="200"/>
      <c r="F624" s="204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  <c r="AA624" s="200"/>
    </row>
    <row r="625">
      <c r="A625" s="200"/>
      <c r="B625" s="200"/>
      <c r="C625" s="200"/>
      <c r="D625" s="200"/>
      <c r="E625" s="200"/>
      <c r="F625" s="204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  <c r="AA625" s="200"/>
    </row>
    <row r="626">
      <c r="A626" s="200"/>
      <c r="B626" s="200"/>
      <c r="C626" s="200"/>
      <c r="D626" s="200"/>
      <c r="E626" s="200"/>
      <c r="F626" s="204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  <c r="AA626" s="200"/>
    </row>
    <row r="627">
      <c r="A627" s="200"/>
      <c r="B627" s="200"/>
      <c r="C627" s="200"/>
      <c r="D627" s="200"/>
      <c r="E627" s="200"/>
      <c r="F627" s="204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  <c r="AA627" s="200"/>
    </row>
    <row r="628">
      <c r="A628" s="200"/>
      <c r="B628" s="200"/>
      <c r="C628" s="200"/>
      <c r="D628" s="200"/>
      <c r="E628" s="200"/>
      <c r="F628" s="204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  <c r="AA628" s="200"/>
    </row>
    <row r="629">
      <c r="A629" s="200"/>
      <c r="B629" s="200"/>
      <c r="C629" s="200"/>
      <c r="D629" s="200"/>
      <c r="E629" s="200"/>
      <c r="F629" s="204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  <c r="AA629" s="200"/>
    </row>
    <row r="630">
      <c r="A630" s="200"/>
      <c r="B630" s="200"/>
      <c r="C630" s="200"/>
      <c r="D630" s="200"/>
      <c r="E630" s="200"/>
      <c r="F630" s="204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  <c r="AA630" s="200"/>
    </row>
    <row r="631">
      <c r="A631" s="200"/>
      <c r="B631" s="200"/>
      <c r="C631" s="200"/>
      <c r="D631" s="200"/>
      <c r="E631" s="200"/>
      <c r="F631" s="204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  <c r="AA631" s="200"/>
    </row>
    <row r="632">
      <c r="A632" s="200"/>
      <c r="B632" s="200"/>
      <c r="C632" s="200"/>
      <c r="D632" s="200"/>
      <c r="E632" s="200"/>
      <c r="F632" s="204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  <c r="AA632" s="200"/>
    </row>
    <row r="633">
      <c r="A633" s="200"/>
      <c r="B633" s="200"/>
      <c r="C633" s="200"/>
      <c r="D633" s="200"/>
      <c r="E633" s="200"/>
      <c r="F633" s="204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  <c r="AA633" s="200"/>
    </row>
    <row r="634">
      <c r="A634" s="200"/>
      <c r="B634" s="200"/>
      <c r="C634" s="200"/>
      <c r="D634" s="200"/>
      <c r="E634" s="200"/>
      <c r="F634" s="204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  <c r="AA634" s="200"/>
    </row>
    <row r="635">
      <c r="A635" s="200"/>
      <c r="B635" s="200"/>
      <c r="C635" s="200"/>
      <c r="D635" s="200"/>
      <c r="E635" s="200"/>
      <c r="F635" s="204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  <c r="AA635" s="200"/>
    </row>
    <row r="636">
      <c r="A636" s="200"/>
      <c r="B636" s="200"/>
      <c r="C636" s="200"/>
      <c r="D636" s="200"/>
      <c r="E636" s="200"/>
      <c r="F636" s="204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  <c r="AA636" s="200"/>
    </row>
    <row r="637">
      <c r="A637" s="200"/>
      <c r="B637" s="200"/>
      <c r="C637" s="200"/>
      <c r="D637" s="200"/>
      <c r="E637" s="200"/>
      <c r="F637" s="204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  <c r="AA637" s="200"/>
    </row>
    <row r="638">
      <c r="A638" s="200"/>
      <c r="B638" s="200"/>
      <c r="C638" s="200"/>
      <c r="D638" s="200"/>
      <c r="E638" s="200"/>
      <c r="F638" s="204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  <c r="AA638" s="200"/>
    </row>
    <row r="639">
      <c r="A639" s="200"/>
      <c r="B639" s="200"/>
      <c r="C639" s="200"/>
      <c r="D639" s="200"/>
      <c r="E639" s="200"/>
      <c r="F639" s="204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  <c r="AA639" s="200"/>
    </row>
    <row r="640">
      <c r="A640" s="200"/>
      <c r="B640" s="200"/>
      <c r="C640" s="200"/>
      <c r="D640" s="200"/>
      <c r="E640" s="200"/>
      <c r="F640" s="204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  <c r="AA640" s="200"/>
    </row>
    <row r="641">
      <c r="A641" s="200"/>
      <c r="B641" s="200"/>
      <c r="C641" s="200"/>
      <c r="D641" s="200"/>
      <c r="E641" s="200"/>
      <c r="F641" s="204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  <c r="AA641" s="200"/>
    </row>
    <row r="642">
      <c r="A642" s="200"/>
      <c r="B642" s="200"/>
      <c r="C642" s="200"/>
      <c r="D642" s="200"/>
      <c r="E642" s="200"/>
      <c r="F642" s="204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  <c r="AA642" s="200"/>
    </row>
    <row r="643">
      <c r="A643" s="200"/>
      <c r="B643" s="200"/>
      <c r="C643" s="200"/>
      <c r="D643" s="200"/>
      <c r="E643" s="200"/>
      <c r="F643" s="204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  <c r="AA643" s="200"/>
    </row>
    <row r="644">
      <c r="A644" s="200"/>
      <c r="B644" s="200"/>
      <c r="C644" s="200"/>
      <c r="D644" s="200"/>
      <c r="E644" s="200"/>
      <c r="F644" s="204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  <c r="AA644" s="200"/>
    </row>
    <row r="645">
      <c r="A645" s="200"/>
      <c r="B645" s="200"/>
      <c r="C645" s="200"/>
      <c r="D645" s="200"/>
      <c r="E645" s="200"/>
      <c r="F645" s="204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  <c r="AA645" s="200"/>
    </row>
    <row r="646">
      <c r="A646" s="200"/>
      <c r="B646" s="200"/>
      <c r="C646" s="200"/>
      <c r="D646" s="200"/>
      <c r="E646" s="200"/>
      <c r="F646" s="204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  <c r="AA646" s="200"/>
    </row>
    <row r="647">
      <c r="A647" s="200"/>
      <c r="B647" s="200"/>
      <c r="C647" s="200"/>
      <c r="D647" s="200"/>
      <c r="E647" s="200"/>
      <c r="F647" s="204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  <c r="AA647" s="200"/>
    </row>
    <row r="648">
      <c r="A648" s="200"/>
      <c r="B648" s="200"/>
      <c r="C648" s="200"/>
      <c r="D648" s="200"/>
      <c r="E648" s="200"/>
      <c r="F648" s="204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  <c r="AA648" s="200"/>
    </row>
    <row r="649">
      <c r="A649" s="200"/>
      <c r="B649" s="200"/>
      <c r="C649" s="200"/>
      <c r="D649" s="200"/>
      <c r="E649" s="200"/>
      <c r="F649" s="204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  <c r="AA649" s="200"/>
    </row>
    <row r="650">
      <c r="A650" s="200"/>
      <c r="B650" s="200"/>
      <c r="C650" s="200"/>
      <c r="D650" s="200"/>
      <c r="E650" s="200"/>
      <c r="F650" s="204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  <c r="AA650" s="200"/>
    </row>
    <row r="651">
      <c r="A651" s="200"/>
      <c r="B651" s="200"/>
      <c r="C651" s="200"/>
      <c r="D651" s="200"/>
      <c r="E651" s="200"/>
      <c r="F651" s="204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  <c r="AA651" s="200"/>
    </row>
    <row r="652">
      <c r="A652" s="200"/>
      <c r="B652" s="200"/>
      <c r="C652" s="200"/>
      <c r="D652" s="200"/>
      <c r="E652" s="200"/>
      <c r="F652" s="204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  <c r="AA652" s="200"/>
    </row>
    <row r="653">
      <c r="A653" s="200"/>
      <c r="B653" s="200"/>
      <c r="C653" s="200"/>
      <c r="D653" s="200"/>
      <c r="E653" s="200"/>
      <c r="F653" s="204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  <c r="AA653" s="200"/>
    </row>
    <row r="654">
      <c r="A654" s="200"/>
      <c r="B654" s="200"/>
      <c r="C654" s="200"/>
      <c r="D654" s="200"/>
      <c r="E654" s="200"/>
      <c r="F654" s="204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  <c r="AA654" s="200"/>
    </row>
    <row r="655">
      <c r="A655" s="200"/>
      <c r="B655" s="200"/>
      <c r="C655" s="200"/>
      <c r="D655" s="200"/>
      <c r="E655" s="200"/>
      <c r="F655" s="204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  <c r="AA655" s="200"/>
    </row>
    <row r="656">
      <c r="A656" s="200"/>
      <c r="B656" s="200"/>
      <c r="C656" s="200"/>
      <c r="D656" s="200"/>
      <c r="E656" s="200"/>
      <c r="F656" s="204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  <c r="AA656" s="200"/>
    </row>
    <row r="657">
      <c r="A657" s="200"/>
      <c r="B657" s="200"/>
      <c r="C657" s="200"/>
      <c r="D657" s="200"/>
      <c r="E657" s="200"/>
      <c r="F657" s="204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  <c r="AA657" s="200"/>
    </row>
    <row r="658">
      <c r="A658" s="200"/>
      <c r="B658" s="200"/>
      <c r="C658" s="200"/>
      <c r="D658" s="200"/>
      <c r="E658" s="200"/>
      <c r="F658" s="204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  <c r="AA658" s="200"/>
    </row>
    <row r="659">
      <c r="A659" s="200"/>
      <c r="B659" s="200"/>
      <c r="C659" s="200"/>
      <c r="D659" s="200"/>
      <c r="E659" s="200"/>
      <c r="F659" s="204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  <c r="AA659" s="200"/>
    </row>
    <row r="660">
      <c r="A660" s="200"/>
      <c r="B660" s="200"/>
      <c r="C660" s="200"/>
      <c r="D660" s="200"/>
      <c r="E660" s="200"/>
      <c r="F660" s="204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  <c r="AA660" s="200"/>
    </row>
    <row r="661">
      <c r="A661" s="200"/>
      <c r="B661" s="200"/>
      <c r="C661" s="200"/>
      <c r="D661" s="200"/>
      <c r="E661" s="200"/>
      <c r="F661" s="204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  <c r="AA661" s="200"/>
    </row>
    <row r="662">
      <c r="A662" s="200"/>
      <c r="B662" s="200"/>
      <c r="C662" s="200"/>
      <c r="D662" s="200"/>
      <c r="E662" s="200"/>
      <c r="F662" s="204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  <c r="AA662" s="200"/>
    </row>
    <row r="663">
      <c r="A663" s="200"/>
      <c r="B663" s="200"/>
      <c r="C663" s="200"/>
      <c r="D663" s="200"/>
      <c r="E663" s="200"/>
      <c r="F663" s="204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  <c r="AA663" s="200"/>
    </row>
    <row r="664">
      <c r="A664" s="200"/>
      <c r="B664" s="200"/>
      <c r="C664" s="200"/>
      <c r="D664" s="200"/>
      <c r="E664" s="200"/>
      <c r="F664" s="204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  <c r="AA664" s="200"/>
    </row>
    <row r="665">
      <c r="A665" s="200"/>
      <c r="B665" s="200"/>
      <c r="C665" s="200"/>
      <c r="D665" s="200"/>
      <c r="E665" s="200"/>
      <c r="F665" s="204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  <c r="AA665" s="200"/>
    </row>
    <row r="666">
      <c r="A666" s="200"/>
      <c r="B666" s="200"/>
      <c r="C666" s="200"/>
      <c r="D666" s="200"/>
      <c r="E666" s="200"/>
      <c r="F666" s="204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  <c r="AA666" s="200"/>
    </row>
    <row r="667">
      <c r="A667" s="200"/>
      <c r="B667" s="200"/>
      <c r="C667" s="200"/>
      <c r="D667" s="200"/>
      <c r="E667" s="200"/>
      <c r="F667" s="204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  <c r="AA667" s="200"/>
    </row>
    <row r="668">
      <c r="A668" s="200"/>
      <c r="B668" s="200"/>
      <c r="C668" s="200"/>
      <c r="D668" s="200"/>
      <c r="E668" s="200"/>
      <c r="F668" s="204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  <c r="AA668" s="200"/>
    </row>
    <row r="669">
      <c r="A669" s="200"/>
      <c r="B669" s="200"/>
      <c r="C669" s="200"/>
      <c r="D669" s="200"/>
      <c r="E669" s="200"/>
      <c r="F669" s="204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  <c r="AA669" s="200"/>
    </row>
    <row r="670">
      <c r="A670" s="200"/>
      <c r="B670" s="200"/>
      <c r="C670" s="200"/>
      <c r="D670" s="200"/>
      <c r="E670" s="200"/>
      <c r="F670" s="204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  <c r="AA670" s="200"/>
    </row>
    <row r="671">
      <c r="A671" s="200"/>
      <c r="B671" s="200"/>
      <c r="C671" s="200"/>
      <c r="D671" s="200"/>
      <c r="E671" s="200"/>
      <c r="F671" s="204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  <c r="AA671" s="200"/>
    </row>
    <row r="672">
      <c r="A672" s="200"/>
      <c r="B672" s="200"/>
      <c r="C672" s="200"/>
      <c r="D672" s="200"/>
      <c r="E672" s="200"/>
      <c r="F672" s="204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  <c r="AA672" s="200"/>
    </row>
    <row r="673">
      <c r="A673" s="200"/>
      <c r="B673" s="200"/>
      <c r="C673" s="200"/>
      <c r="D673" s="200"/>
      <c r="E673" s="200"/>
      <c r="F673" s="204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  <c r="AA673" s="200"/>
    </row>
    <row r="674">
      <c r="A674" s="200"/>
      <c r="B674" s="200"/>
      <c r="C674" s="200"/>
      <c r="D674" s="200"/>
      <c r="E674" s="200"/>
      <c r="F674" s="204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  <c r="AA674" s="200"/>
    </row>
    <row r="675">
      <c r="A675" s="200"/>
      <c r="B675" s="200"/>
      <c r="C675" s="200"/>
      <c r="D675" s="200"/>
      <c r="E675" s="200"/>
      <c r="F675" s="204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  <c r="AA675" s="200"/>
    </row>
    <row r="676">
      <c r="A676" s="200"/>
      <c r="B676" s="200"/>
      <c r="C676" s="200"/>
      <c r="D676" s="200"/>
      <c r="E676" s="200"/>
      <c r="F676" s="204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  <c r="AA676" s="200"/>
    </row>
    <row r="677">
      <c r="A677" s="200"/>
      <c r="B677" s="200"/>
      <c r="C677" s="200"/>
      <c r="D677" s="200"/>
      <c r="E677" s="200"/>
      <c r="F677" s="204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  <c r="AA677" s="200"/>
    </row>
    <row r="678">
      <c r="A678" s="200"/>
      <c r="B678" s="200"/>
      <c r="C678" s="200"/>
      <c r="D678" s="200"/>
      <c r="E678" s="200"/>
      <c r="F678" s="204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  <c r="AA678" s="200"/>
    </row>
    <row r="679">
      <c r="A679" s="200"/>
      <c r="B679" s="200"/>
      <c r="C679" s="200"/>
      <c r="D679" s="200"/>
      <c r="E679" s="200"/>
      <c r="F679" s="204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  <c r="AA679" s="200"/>
    </row>
    <row r="680">
      <c r="A680" s="200"/>
      <c r="B680" s="200"/>
      <c r="C680" s="200"/>
      <c r="D680" s="200"/>
      <c r="E680" s="200"/>
      <c r="F680" s="204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  <c r="AA680" s="200"/>
    </row>
    <row r="681">
      <c r="A681" s="200"/>
      <c r="B681" s="200"/>
      <c r="C681" s="200"/>
      <c r="D681" s="200"/>
      <c r="E681" s="200"/>
      <c r="F681" s="204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  <c r="AA681" s="200"/>
    </row>
    <row r="682">
      <c r="A682" s="200"/>
      <c r="B682" s="200"/>
      <c r="C682" s="200"/>
      <c r="D682" s="200"/>
      <c r="E682" s="200"/>
      <c r="F682" s="204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  <c r="AA682" s="200"/>
    </row>
    <row r="683">
      <c r="A683" s="200"/>
      <c r="B683" s="200"/>
      <c r="C683" s="200"/>
      <c r="D683" s="200"/>
      <c r="E683" s="200"/>
      <c r="F683" s="204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  <c r="AA683" s="200"/>
    </row>
    <row r="684">
      <c r="A684" s="200"/>
      <c r="B684" s="200"/>
      <c r="C684" s="200"/>
      <c r="D684" s="200"/>
      <c r="E684" s="200"/>
      <c r="F684" s="204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  <c r="AA684" s="200"/>
    </row>
    <row r="685">
      <c r="A685" s="200"/>
      <c r="B685" s="200"/>
      <c r="C685" s="200"/>
      <c r="D685" s="200"/>
      <c r="E685" s="200"/>
      <c r="F685" s="204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  <c r="AA685" s="200"/>
    </row>
    <row r="686">
      <c r="A686" s="200"/>
      <c r="B686" s="200"/>
      <c r="C686" s="200"/>
      <c r="D686" s="200"/>
      <c r="E686" s="200"/>
      <c r="F686" s="204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  <c r="AA686" s="200"/>
    </row>
    <row r="687">
      <c r="A687" s="200"/>
      <c r="B687" s="200"/>
      <c r="C687" s="200"/>
      <c r="D687" s="200"/>
      <c r="E687" s="200"/>
      <c r="F687" s="204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  <c r="AA687" s="200"/>
    </row>
    <row r="688">
      <c r="A688" s="200"/>
      <c r="B688" s="200"/>
      <c r="C688" s="200"/>
      <c r="D688" s="200"/>
      <c r="E688" s="200"/>
      <c r="F688" s="204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  <c r="AA688" s="200"/>
    </row>
    <row r="689">
      <c r="A689" s="200"/>
      <c r="B689" s="200"/>
      <c r="C689" s="200"/>
      <c r="D689" s="200"/>
      <c r="E689" s="200"/>
      <c r="F689" s="204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  <c r="AA689" s="200"/>
    </row>
    <row r="690">
      <c r="A690" s="200"/>
      <c r="B690" s="200"/>
      <c r="C690" s="200"/>
      <c r="D690" s="200"/>
      <c r="E690" s="200"/>
      <c r="F690" s="204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  <c r="AA690" s="200"/>
    </row>
    <row r="691">
      <c r="A691" s="200"/>
      <c r="B691" s="200"/>
      <c r="C691" s="200"/>
      <c r="D691" s="200"/>
      <c r="E691" s="200"/>
      <c r="F691" s="204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  <c r="AA691" s="200"/>
    </row>
    <row r="692">
      <c r="A692" s="200"/>
      <c r="B692" s="200"/>
      <c r="C692" s="200"/>
      <c r="D692" s="200"/>
      <c r="E692" s="200"/>
      <c r="F692" s="204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  <c r="AA692" s="200"/>
    </row>
    <row r="693">
      <c r="A693" s="200"/>
      <c r="B693" s="200"/>
      <c r="C693" s="200"/>
      <c r="D693" s="200"/>
      <c r="E693" s="200"/>
      <c r="F693" s="204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  <c r="AA693" s="200"/>
    </row>
    <row r="694">
      <c r="A694" s="200"/>
      <c r="B694" s="200"/>
      <c r="C694" s="200"/>
      <c r="D694" s="200"/>
      <c r="E694" s="200"/>
      <c r="F694" s="204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  <c r="AA694" s="200"/>
    </row>
    <row r="695">
      <c r="A695" s="200"/>
      <c r="B695" s="200"/>
      <c r="C695" s="200"/>
      <c r="D695" s="200"/>
      <c r="E695" s="200"/>
      <c r="F695" s="204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  <c r="AA695" s="200"/>
    </row>
    <row r="696">
      <c r="A696" s="200"/>
      <c r="B696" s="200"/>
      <c r="C696" s="200"/>
      <c r="D696" s="200"/>
      <c r="E696" s="200"/>
      <c r="F696" s="204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  <c r="AA696" s="200"/>
    </row>
    <row r="697">
      <c r="A697" s="200"/>
      <c r="B697" s="200"/>
      <c r="C697" s="200"/>
      <c r="D697" s="200"/>
      <c r="E697" s="200"/>
      <c r="F697" s="204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  <c r="AA697" s="200"/>
    </row>
    <row r="698">
      <c r="A698" s="200"/>
      <c r="B698" s="200"/>
      <c r="C698" s="200"/>
      <c r="D698" s="200"/>
      <c r="E698" s="200"/>
      <c r="F698" s="204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  <c r="AA698" s="200"/>
    </row>
    <row r="699">
      <c r="A699" s="200"/>
      <c r="B699" s="200"/>
      <c r="C699" s="200"/>
      <c r="D699" s="200"/>
      <c r="E699" s="200"/>
      <c r="F699" s="204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  <c r="AA699" s="200"/>
    </row>
    <row r="700">
      <c r="A700" s="200"/>
      <c r="B700" s="200"/>
      <c r="C700" s="200"/>
      <c r="D700" s="200"/>
      <c r="E700" s="200"/>
      <c r="F700" s="204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  <c r="AA700" s="200"/>
    </row>
    <row r="701">
      <c r="A701" s="200"/>
      <c r="B701" s="200"/>
      <c r="C701" s="200"/>
      <c r="D701" s="200"/>
      <c r="E701" s="200"/>
      <c r="F701" s="204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  <c r="AA701" s="200"/>
    </row>
    <row r="702">
      <c r="A702" s="200"/>
      <c r="B702" s="200"/>
      <c r="C702" s="200"/>
      <c r="D702" s="200"/>
      <c r="E702" s="200"/>
      <c r="F702" s="204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  <c r="AA702" s="200"/>
    </row>
    <row r="703">
      <c r="A703" s="200"/>
      <c r="B703" s="200"/>
      <c r="C703" s="200"/>
      <c r="D703" s="200"/>
      <c r="E703" s="200"/>
      <c r="F703" s="204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  <c r="AA703" s="200"/>
    </row>
    <row r="704">
      <c r="A704" s="200"/>
      <c r="B704" s="200"/>
      <c r="C704" s="200"/>
      <c r="D704" s="200"/>
      <c r="E704" s="200"/>
      <c r="F704" s="204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  <c r="AA704" s="200"/>
    </row>
    <row r="705">
      <c r="A705" s="200"/>
      <c r="B705" s="200"/>
      <c r="C705" s="200"/>
      <c r="D705" s="200"/>
      <c r="E705" s="200"/>
      <c r="F705" s="204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  <c r="AA705" s="200"/>
    </row>
    <row r="706">
      <c r="A706" s="200"/>
      <c r="B706" s="200"/>
      <c r="C706" s="200"/>
      <c r="D706" s="200"/>
      <c r="E706" s="200"/>
      <c r="F706" s="204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  <c r="AA706" s="200"/>
    </row>
    <row r="707">
      <c r="A707" s="200"/>
      <c r="B707" s="200"/>
      <c r="C707" s="200"/>
      <c r="D707" s="200"/>
      <c r="E707" s="200"/>
      <c r="F707" s="204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  <c r="AA707" s="200"/>
    </row>
    <row r="708">
      <c r="A708" s="200"/>
      <c r="B708" s="200"/>
      <c r="C708" s="200"/>
      <c r="D708" s="200"/>
      <c r="E708" s="200"/>
      <c r="F708" s="204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  <c r="AA708" s="200"/>
    </row>
    <row r="709">
      <c r="A709" s="200"/>
      <c r="B709" s="200"/>
      <c r="C709" s="200"/>
      <c r="D709" s="200"/>
      <c r="E709" s="200"/>
      <c r="F709" s="204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  <c r="AA709" s="200"/>
    </row>
    <row r="710">
      <c r="A710" s="200"/>
      <c r="B710" s="200"/>
      <c r="C710" s="200"/>
      <c r="D710" s="200"/>
      <c r="E710" s="200"/>
      <c r="F710" s="204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  <c r="AA710" s="200"/>
    </row>
    <row r="711">
      <c r="A711" s="200"/>
      <c r="B711" s="200"/>
      <c r="C711" s="200"/>
      <c r="D711" s="200"/>
      <c r="E711" s="200"/>
      <c r="F711" s="204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  <c r="AA711" s="200"/>
    </row>
    <row r="712">
      <c r="A712" s="200"/>
      <c r="B712" s="200"/>
      <c r="C712" s="200"/>
      <c r="D712" s="200"/>
      <c r="E712" s="200"/>
      <c r="F712" s="204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  <c r="AA712" s="200"/>
    </row>
    <row r="713">
      <c r="A713" s="200"/>
      <c r="B713" s="200"/>
      <c r="C713" s="200"/>
      <c r="D713" s="200"/>
      <c r="E713" s="200"/>
      <c r="F713" s="204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  <c r="AA713" s="200"/>
    </row>
    <row r="714">
      <c r="A714" s="200"/>
      <c r="B714" s="200"/>
      <c r="C714" s="200"/>
      <c r="D714" s="200"/>
      <c r="E714" s="200"/>
      <c r="F714" s="204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  <c r="AA714" s="200"/>
    </row>
    <row r="715">
      <c r="A715" s="200"/>
      <c r="B715" s="200"/>
      <c r="C715" s="200"/>
      <c r="D715" s="200"/>
      <c r="E715" s="200"/>
      <c r="F715" s="204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  <c r="AA715" s="200"/>
    </row>
    <row r="716">
      <c r="A716" s="200"/>
      <c r="B716" s="200"/>
      <c r="C716" s="200"/>
      <c r="D716" s="200"/>
      <c r="E716" s="200"/>
      <c r="F716" s="204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  <c r="AA716" s="200"/>
    </row>
    <row r="717">
      <c r="A717" s="200"/>
      <c r="B717" s="200"/>
      <c r="C717" s="200"/>
      <c r="D717" s="200"/>
      <c r="E717" s="200"/>
      <c r="F717" s="204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  <c r="AA717" s="200"/>
    </row>
    <row r="718">
      <c r="A718" s="200"/>
      <c r="B718" s="200"/>
      <c r="C718" s="200"/>
      <c r="D718" s="200"/>
      <c r="E718" s="200"/>
      <c r="F718" s="204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  <c r="AA718" s="200"/>
    </row>
    <row r="719">
      <c r="A719" s="200"/>
      <c r="B719" s="200"/>
      <c r="C719" s="200"/>
      <c r="D719" s="200"/>
      <c r="E719" s="200"/>
      <c r="F719" s="204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  <c r="AA719" s="200"/>
    </row>
    <row r="720">
      <c r="A720" s="200"/>
      <c r="B720" s="200"/>
      <c r="C720" s="200"/>
      <c r="D720" s="200"/>
      <c r="E720" s="200"/>
      <c r="F720" s="204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  <c r="AA720" s="200"/>
    </row>
    <row r="721">
      <c r="A721" s="200"/>
      <c r="B721" s="200"/>
      <c r="C721" s="200"/>
      <c r="D721" s="200"/>
      <c r="E721" s="200"/>
      <c r="F721" s="204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  <c r="AA721" s="200"/>
    </row>
    <row r="722">
      <c r="A722" s="200"/>
      <c r="B722" s="200"/>
      <c r="C722" s="200"/>
      <c r="D722" s="200"/>
      <c r="E722" s="200"/>
      <c r="F722" s="204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  <c r="AA722" s="200"/>
    </row>
    <row r="723">
      <c r="A723" s="200"/>
      <c r="B723" s="200"/>
      <c r="C723" s="200"/>
      <c r="D723" s="200"/>
      <c r="E723" s="200"/>
      <c r="F723" s="204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  <c r="AA723" s="200"/>
    </row>
    <row r="724">
      <c r="A724" s="200"/>
      <c r="B724" s="200"/>
      <c r="C724" s="200"/>
      <c r="D724" s="200"/>
      <c r="E724" s="200"/>
      <c r="F724" s="204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  <c r="AA724" s="200"/>
    </row>
    <row r="725">
      <c r="A725" s="200"/>
      <c r="B725" s="200"/>
      <c r="C725" s="200"/>
      <c r="D725" s="200"/>
      <c r="E725" s="200"/>
      <c r="F725" s="204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  <c r="AA725" s="200"/>
    </row>
    <row r="726">
      <c r="A726" s="200"/>
      <c r="B726" s="200"/>
      <c r="C726" s="200"/>
      <c r="D726" s="200"/>
      <c r="E726" s="200"/>
      <c r="F726" s="204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  <c r="AA726" s="200"/>
    </row>
    <row r="727">
      <c r="A727" s="200"/>
      <c r="B727" s="200"/>
      <c r="C727" s="200"/>
      <c r="D727" s="200"/>
      <c r="E727" s="200"/>
      <c r="F727" s="204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  <c r="AA727" s="200"/>
    </row>
    <row r="728">
      <c r="A728" s="200"/>
      <c r="B728" s="200"/>
      <c r="C728" s="200"/>
      <c r="D728" s="200"/>
      <c r="E728" s="200"/>
      <c r="F728" s="204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  <c r="AA728" s="200"/>
    </row>
    <row r="729">
      <c r="A729" s="200"/>
      <c r="B729" s="200"/>
      <c r="C729" s="200"/>
      <c r="D729" s="200"/>
      <c r="E729" s="200"/>
      <c r="F729" s="204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  <c r="AA729" s="200"/>
    </row>
    <row r="730">
      <c r="A730" s="200"/>
      <c r="B730" s="200"/>
      <c r="C730" s="200"/>
      <c r="D730" s="200"/>
      <c r="E730" s="200"/>
      <c r="F730" s="204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  <c r="AA730" s="200"/>
    </row>
    <row r="731">
      <c r="A731" s="200"/>
      <c r="B731" s="200"/>
      <c r="C731" s="200"/>
      <c r="D731" s="200"/>
      <c r="E731" s="200"/>
      <c r="F731" s="204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  <c r="AA731" s="200"/>
    </row>
    <row r="732">
      <c r="A732" s="200"/>
      <c r="B732" s="200"/>
      <c r="C732" s="200"/>
      <c r="D732" s="200"/>
      <c r="E732" s="200"/>
      <c r="F732" s="204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  <c r="AA732" s="200"/>
    </row>
    <row r="733">
      <c r="A733" s="200"/>
      <c r="B733" s="200"/>
      <c r="C733" s="200"/>
      <c r="D733" s="200"/>
      <c r="E733" s="200"/>
      <c r="F733" s="204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  <c r="AA733" s="200"/>
    </row>
    <row r="734">
      <c r="A734" s="200"/>
      <c r="B734" s="200"/>
      <c r="C734" s="200"/>
      <c r="D734" s="200"/>
      <c r="E734" s="200"/>
      <c r="F734" s="204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  <c r="AA734" s="200"/>
    </row>
    <row r="735">
      <c r="A735" s="200"/>
      <c r="B735" s="200"/>
      <c r="C735" s="200"/>
      <c r="D735" s="200"/>
      <c r="E735" s="200"/>
      <c r="F735" s="204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  <c r="AA735" s="200"/>
    </row>
    <row r="736">
      <c r="A736" s="200"/>
      <c r="B736" s="200"/>
      <c r="C736" s="200"/>
      <c r="D736" s="200"/>
      <c r="E736" s="200"/>
      <c r="F736" s="204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  <c r="AA736" s="200"/>
    </row>
    <row r="737">
      <c r="A737" s="200"/>
      <c r="B737" s="200"/>
      <c r="C737" s="200"/>
      <c r="D737" s="200"/>
      <c r="E737" s="200"/>
      <c r="F737" s="204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  <c r="AA737" s="200"/>
    </row>
    <row r="738">
      <c r="A738" s="200"/>
      <c r="B738" s="200"/>
      <c r="C738" s="200"/>
      <c r="D738" s="200"/>
      <c r="E738" s="200"/>
      <c r="F738" s="204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  <c r="AA738" s="200"/>
    </row>
    <row r="739">
      <c r="A739" s="200"/>
      <c r="B739" s="200"/>
      <c r="C739" s="200"/>
      <c r="D739" s="200"/>
      <c r="E739" s="200"/>
      <c r="F739" s="204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  <c r="AA739" s="200"/>
    </row>
    <row r="740">
      <c r="A740" s="200"/>
      <c r="B740" s="200"/>
      <c r="C740" s="200"/>
      <c r="D740" s="200"/>
      <c r="E740" s="200"/>
      <c r="F740" s="204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  <c r="AA740" s="200"/>
    </row>
    <row r="741">
      <c r="A741" s="200"/>
      <c r="B741" s="200"/>
      <c r="C741" s="200"/>
      <c r="D741" s="200"/>
      <c r="E741" s="200"/>
      <c r="F741" s="204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  <c r="AA741" s="200"/>
    </row>
    <row r="742">
      <c r="A742" s="200"/>
      <c r="B742" s="200"/>
      <c r="C742" s="200"/>
      <c r="D742" s="200"/>
      <c r="E742" s="200"/>
      <c r="F742" s="204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  <c r="AA742" s="200"/>
    </row>
    <row r="743">
      <c r="A743" s="200"/>
      <c r="B743" s="200"/>
      <c r="C743" s="200"/>
      <c r="D743" s="200"/>
      <c r="E743" s="200"/>
      <c r="F743" s="204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  <c r="AA743" s="200"/>
    </row>
    <row r="744">
      <c r="A744" s="200"/>
      <c r="B744" s="200"/>
      <c r="C744" s="200"/>
      <c r="D744" s="200"/>
      <c r="E744" s="200"/>
      <c r="F744" s="204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  <c r="AA744" s="200"/>
    </row>
    <row r="745">
      <c r="A745" s="200"/>
      <c r="B745" s="200"/>
      <c r="C745" s="200"/>
      <c r="D745" s="200"/>
      <c r="E745" s="200"/>
      <c r="F745" s="204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  <c r="AA745" s="200"/>
    </row>
    <row r="746">
      <c r="A746" s="200"/>
      <c r="B746" s="200"/>
      <c r="C746" s="200"/>
      <c r="D746" s="200"/>
      <c r="E746" s="200"/>
      <c r="F746" s="204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  <c r="AA746" s="200"/>
    </row>
    <row r="747">
      <c r="A747" s="200"/>
      <c r="B747" s="200"/>
      <c r="C747" s="200"/>
      <c r="D747" s="200"/>
      <c r="E747" s="200"/>
      <c r="F747" s="204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  <c r="AA747" s="200"/>
    </row>
    <row r="748">
      <c r="A748" s="200"/>
      <c r="B748" s="200"/>
      <c r="C748" s="200"/>
      <c r="D748" s="200"/>
      <c r="E748" s="200"/>
      <c r="F748" s="204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  <c r="AA748" s="200"/>
    </row>
    <row r="749">
      <c r="A749" s="200"/>
      <c r="B749" s="200"/>
      <c r="C749" s="200"/>
      <c r="D749" s="200"/>
      <c r="E749" s="200"/>
      <c r="F749" s="204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  <c r="AA749" s="200"/>
    </row>
    <row r="750">
      <c r="A750" s="200"/>
      <c r="B750" s="200"/>
      <c r="C750" s="200"/>
      <c r="D750" s="200"/>
      <c r="E750" s="200"/>
      <c r="F750" s="204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  <c r="AA750" s="200"/>
    </row>
    <row r="751">
      <c r="A751" s="200"/>
      <c r="B751" s="200"/>
      <c r="C751" s="200"/>
      <c r="D751" s="200"/>
      <c r="E751" s="200"/>
      <c r="F751" s="204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  <c r="AA751" s="200"/>
    </row>
    <row r="752">
      <c r="A752" s="200"/>
      <c r="B752" s="200"/>
      <c r="C752" s="200"/>
      <c r="D752" s="200"/>
      <c r="E752" s="200"/>
      <c r="F752" s="204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  <c r="AA752" s="200"/>
    </row>
    <row r="753">
      <c r="A753" s="200"/>
      <c r="B753" s="200"/>
      <c r="C753" s="200"/>
      <c r="D753" s="200"/>
      <c r="E753" s="200"/>
      <c r="F753" s="204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  <c r="AA753" s="200"/>
    </row>
    <row r="754">
      <c r="A754" s="200"/>
      <c r="B754" s="200"/>
      <c r="C754" s="200"/>
      <c r="D754" s="200"/>
      <c r="E754" s="200"/>
      <c r="F754" s="204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  <c r="AA754" s="200"/>
    </row>
    <row r="755">
      <c r="A755" s="200"/>
      <c r="B755" s="200"/>
      <c r="C755" s="200"/>
      <c r="D755" s="200"/>
      <c r="E755" s="200"/>
      <c r="F755" s="204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  <c r="AA755" s="200"/>
    </row>
    <row r="756">
      <c r="A756" s="200"/>
      <c r="B756" s="200"/>
      <c r="C756" s="200"/>
      <c r="D756" s="200"/>
      <c r="E756" s="200"/>
      <c r="F756" s="204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  <c r="AA756" s="200"/>
    </row>
    <row r="757">
      <c r="A757" s="200"/>
      <c r="B757" s="200"/>
      <c r="C757" s="200"/>
      <c r="D757" s="200"/>
      <c r="E757" s="200"/>
      <c r="F757" s="204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  <c r="AA757" s="200"/>
    </row>
    <row r="758">
      <c r="A758" s="200"/>
      <c r="B758" s="200"/>
      <c r="C758" s="200"/>
      <c r="D758" s="200"/>
      <c r="E758" s="200"/>
      <c r="F758" s="204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  <c r="AA758" s="200"/>
    </row>
    <row r="759">
      <c r="A759" s="200"/>
      <c r="B759" s="200"/>
      <c r="C759" s="200"/>
      <c r="D759" s="200"/>
      <c r="E759" s="200"/>
      <c r="F759" s="204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  <c r="AA759" s="200"/>
    </row>
    <row r="760">
      <c r="A760" s="200"/>
      <c r="B760" s="200"/>
      <c r="C760" s="200"/>
      <c r="D760" s="200"/>
      <c r="E760" s="200"/>
      <c r="F760" s="204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  <c r="AA760" s="200"/>
    </row>
    <row r="761">
      <c r="A761" s="200"/>
      <c r="B761" s="200"/>
      <c r="C761" s="200"/>
      <c r="D761" s="200"/>
      <c r="E761" s="200"/>
      <c r="F761" s="204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  <c r="AA761" s="200"/>
    </row>
    <row r="762">
      <c r="A762" s="200"/>
      <c r="B762" s="200"/>
      <c r="C762" s="200"/>
      <c r="D762" s="200"/>
      <c r="E762" s="200"/>
      <c r="F762" s="204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  <c r="AA762" s="200"/>
    </row>
    <row r="763">
      <c r="A763" s="200"/>
      <c r="B763" s="200"/>
      <c r="C763" s="200"/>
      <c r="D763" s="200"/>
      <c r="E763" s="200"/>
      <c r="F763" s="204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  <c r="AA763" s="200"/>
    </row>
    <row r="764">
      <c r="A764" s="200"/>
      <c r="B764" s="200"/>
      <c r="C764" s="200"/>
      <c r="D764" s="200"/>
      <c r="E764" s="200"/>
      <c r="F764" s="204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  <c r="AA764" s="200"/>
    </row>
    <row r="765">
      <c r="A765" s="200"/>
      <c r="B765" s="200"/>
      <c r="C765" s="200"/>
      <c r="D765" s="200"/>
      <c r="E765" s="200"/>
      <c r="F765" s="204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  <c r="AA765" s="200"/>
    </row>
    <row r="766">
      <c r="A766" s="200"/>
      <c r="B766" s="200"/>
      <c r="C766" s="200"/>
      <c r="D766" s="200"/>
      <c r="E766" s="200"/>
      <c r="F766" s="204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  <c r="AA766" s="200"/>
    </row>
    <row r="767">
      <c r="A767" s="200"/>
      <c r="B767" s="200"/>
      <c r="C767" s="200"/>
      <c r="D767" s="200"/>
      <c r="E767" s="200"/>
      <c r="F767" s="204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  <c r="AA767" s="200"/>
    </row>
    <row r="768">
      <c r="A768" s="200"/>
      <c r="B768" s="200"/>
      <c r="C768" s="200"/>
      <c r="D768" s="200"/>
      <c r="E768" s="200"/>
      <c r="F768" s="204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  <c r="AA768" s="200"/>
    </row>
    <row r="769">
      <c r="A769" s="200"/>
      <c r="B769" s="200"/>
      <c r="C769" s="200"/>
      <c r="D769" s="200"/>
      <c r="E769" s="200"/>
      <c r="F769" s="204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  <c r="AA769" s="200"/>
    </row>
    <row r="770">
      <c r="A770" s="200"/>
      <c r="B770" s="200"/>
      <c r="C770" s="200"/>
      <c r="D770" s="200"/>
      <c r="E770" s="200"/>
      <c r="F770" s="204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  <c r="AA770" s="200"/>
    </row>
    <row r="771">
      <c r="A771" s="200"/>
      <c r="B771" s="200"/>
      <c r="C771" s="200"/>
      <c r="D771" s="200"/>
      <c r="E771" s="200"/>
      <c r="F771" s="204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  <c r="AA771" s="200"/>
    </row>
    <row r="772">
      <c r="A772" s="200"/>
      <c r="B772" s="200"/>
      <c r="C772" s="200"/>
      <c r="D772" s="200"/>
      <c r="E772" s="200"/>
      <c r="F772" s="204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  <c r="AA772" s="200"/>
    </row>
    <row r="773">
      <c r="A773" s="200"/>
      <c r="B773" s="200"/>
      <c r="C773" s="200"/>
      <c r="D773" s="200"/>
      <c r="E773" s="200"/>
      <c r="F773" s="204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  <c r="AA773" s="200"/>
    </row>
    <row r="774">
      <c r="A774" s="200"/>
      <c r="B774" s="200"/>
      <c r="C774" s="200"/>
      <c r="D774" s="200"/>
      <c r="E774" s="200"/>
      <c r="F774" s="204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  <c r="AA774" s="200"/>
    </row>
    <row r="775">
      <c r="A775" s="200"/>
      <c r="B775" s="200"/>
      <c r="C775" s="200"/>
      <c r="D775" s="200"/>
      <c r="E775" s="200"/>
      <c r="F775" s="204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  <c r="AA775" s="200"/>
    </row>
    <row r="776">
      <c r="A776" s="200"/>
      <c r="B776" s="200"/>
      <c r="C776" s="200"/>
      <c r="D776" s="200"/>
      <c r="E776" s="200"/>
      <c r="F776" s="204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  <c r="AA776" s="200"/>
    </row>
    <row r="777">
      <c r="A777" s="200"/>
      <c r="B777" s="200"/>
      <c r="C777" s="200"/>
      <c r="D777" s="200"/>
      <c r="E777" s="200"/>
      <c r="F777" s="204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  <c r="AA777" s="200"/>
    </row>
    <row r="778">
      <c r="A778" s="200"/>
      <c r="B778" s="200"/>
      <c r="C778" s="200"/>
      <c r="D778" s="200"/>
      <c r="E778" s="200"/>
      <c r="F778" s="204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  <c r="AA778" s="200"/>
    </row>
    <row r="779">
      <c r="A779" s="200"/>
      <c r="B779" s="200"/>
      <c r="C779" s="200"/>
      <c r="D779" s="200"/>
      <c r="E779" s="200"/>
      <c r="F779" s="204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  <c r="AA779" s="200"/>
    </row>
    <row r="780">
      <c r="A780" s="200"/>
      <c r="B780" s="200"/>
      <c r="C780" s="200"/>
      <c r="D780" s="200"/>
      <c r="E780" s="200"/>
      <c r="F780" s="204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  <c r="AA780" s="200"/>
    </row>
    <row r="781">
      <c r="A781" s="200"/>
      <c r="B781" s="200"/>
      <c r="C781" s="200"/>
      <c r="D781" s="200"/>
      <c r="E781" s="200"/>
      <c r="F781" s="204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  <c r="AA781" s="200"/>
    </row>
    <row r="782">
      <c r="A782" s="200"/>
      <c r="B782" s="200"/>
      <c r="C782" s="200"/>
      <c r="D782" s="200"/>
      <c r="E782" s="200"/>
      <c r="F782" s="204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  <c r="AA782" s="200"/>
    </row>
    <row r="783">
      <c r="A783" s="200"/>
      <c r="B783" s="200"/>
      <c r="C783" s="200"/>
      <c r="D783" s="200"/>
      <c r="E783" s="200"/>
      <c r="F783" s="204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  <c r="AA783" s="200"/>
    </row>
    <row r="784">
      <c r="A784" s="200"/>
      <c r="B784" s="200"/>
      <c r="C784" s="200"/>
      <c r="D784" s="200"/>
      <c r="E784" s="200"/>
      <c r="F784" s="204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  <c r="AA784" s="200"/>
    </row>
    <row r="785">
      <c r="A785" s="200"/>
      <c r="B785" s="200"/>
      <c r="C785" s="200"/>
      <c r="D785" s="200"/>
      <c r="E785" s="200"/>
      <c r="F785" s="204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  <c r="AA785" s="200"/>
    </row>
    <row r="786">
      <c r="A786" s="200"/>
      <c r="B786" s="200"/>
      <c r="C786" s="200"/>
      <c r="D786" s="200"/>
      <c r="E786" s="200"/>
      <c r="F786" s="204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  <c r="AA786" s="200"/>
    </row>
    <row r="787">
      <c r="A787" s="200"/>
      <c r="B787" s="200"/>
      <c r="C787" s="200"/>
      <c r="D787" s="200"/>
      <c r="E787" s="200"/>
      <c r="F787" s="204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  <c r="AA787" s="200"/>
    </row>
    <row r="788">
      <c r="A788" s="200"/>
      <c r="B788" s="200"/>
      <c r="C788" s="200"/>
      <c r="D788" s="200"/>
      <c r="E788" s="200"/>
      <c r="F788" s="204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  <c r="AA788" s="200"/>
    </row>
    <row r="789">
      <c r="A789" s="200"/>
      <c r="B789" s="200"/>
      <c r="C789" s="200"/>
      <c r="D789" s="200"/>
      <c r="E789" s="200"/>
      <c r="F789" s="204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  <c r="AA789" s="200"/>
    </row>
    <row r="790">
      <c r="A790" s="200"/>
      <c r="B790" s="200"/>
      <c r="C790" s="200"/>
      <c r="D790" s="200"/>
      <c r="E790" s="200"/>
      <c r="F790" s="204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  <c r="AA790" s="200"/>
    </row>
    <row r="791">
      <c r="A791" s="200"/>
      <c r="B791" s="200"/>
      <c r="C791" s="200"/>
      <c r="D791" s="200"/>
      <c r="E791" s="200"/>
      <c r="F791" s="204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  <c r="AA791" s="200"/>
    </row>
    <row r="792">
      <c r="A792" s="200"/>
      <c r="B792" s="200"/>
      <c r="C792" s="200"/>
      <c r="D792" s="200"/>
      <c r="E792" s="200"/>
      <c r="F792" s="204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  <c r="AA792" s="200"/>
    </row>
    <row r="793">
      <c r="A793" s="200"/>
      <c r="B793" s="200"/>
      <c r="C793" s="200"/>
      <c r="D793" s="200"/>
      <c r="E793" s="200"/>
      <c r="F793" s="204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  <c r="AA793" s="200"/>
    </row>
    <row r="794">
      <c r="A794" s="200"/>
      <c r="B794" s="200"/>
      <c r="C794" s="200"/>
      <c r="D794" s="200"/>
      <c r="E794" s="200"/>
      <c r="F794" s="204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  <c r="AA794" s="200"/>
    </row>
    <row r="795">
      <c r="A795" s="200"/>
      <c r="B795" s="200"/>
      <c r="C795" s="200"/>
      <c r="D795" s="200"/>
      <c r="E795" s="200"/>
      <c r="F795" s="204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  <c r="AA795" s="200"/>
    </row>
    <row r="796">
      <c r="A796" s="200"/>
      <c r="B796" s="200"/>
      <c r="C796" s="200"/>
      <c r="D796" s="200"/>
      <c r="E796" s="200"/>
      <c r="F796" s="204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  <c r="AA796" s="200"/>
    </row>
    <row r="797">
      <c r="A797" s="200"/>
      <c r="B797" s="200"/>
      <c r="C797" s="200"/>
      <c r="D797" s="200"/>
      <c r="E797" s="200"/>
      <c r="F797" s="204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  <c r="AA797" s="200"/>
    </row>
    <row r="798">
      <c r="A798" s="200"/>
      <c r="B798" s="200"/>
      <c r="C798" s="200"/>
      <c r="D798" s="200"/>
      <c r="E798" s="200"/>
      <c r="F798" s="204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  <c r="AA798" s="200"/>
    </row>
    <row r="799">
      <c r="A799" s="200"/>
      <c r="B799" s="200"/>
      <c r="C799" s="200"/>
      <c r="D799" s="200"/>
      <c r="E799" s="200"/>
      <c r="F799" s="204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  <c r="AA799" s="200"/>
    </row>
    <row r="800">
      <c r="A800" s="200"/>
      <c r="B800" s="200"/>
      <c r="C800" s="200"/>
      <c r="D800" s="200"/>
      <c r="E800" s="200"/>
      <c r="F800" s="204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  <c r="AA800" s="200"/>
    </row>
    <row r="801">
      <c r="A801" s="200"/>
      <c r="B801" s="200"/>
      <c r="C801" s="200"/>
      <c r="D801" s="200"/>
      <c r="E801" s="200"/>
      <c r="F801" s="204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  <c r="AA801" s="200"/>
    </row>
    <row r="802">
      <c r="A802" s="200"/>
      <c r="B802" s="200"/>
      <c r="C802" s="200"/>
      <c r="D802" s="200"/>
      <c r="E802" s="200"/>
      <c r="F802" s="204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  <c r="AA802" s="200"/>
    </row>
    <row r="803">
      <c r="A803" s="200"/>
      <c r="B803" s="200"/>
      <c r="C803" s="200"/>
      <c r="D803" s="200"/>
      <c r="E803" s="200"/>
      <c r="F803" s="204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  <c r="AA803" s="200"/>
    </row>
    <row r="804">
      <c r="A804" s="200"/>
      <c r="B804" s="200"/>
      <c r="C804" s="200"/>
      <c r="D804" s="200"/>
      <c r="E804" s="200"/>
      <c r="F804" s="204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  <c r="AA804" s="200"/>
    </row>
    <row r="805">
      <c r="A805" s="200"/>
      <c r="B805" s="200"/>
      <c r="C805" s="200"/>
      <c r="D805" s="200"/>
      <c r="E805" s="200"/>
      <c r="F805" s="204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  <c r="AA805" s="200"/>
    </row>
    <row r="806">
      <c r="A806" s="200"/>
      <c r="B806" s="200"/>
      <c r="C806" s="200"/>
      <c r="D806" s="200"/>
      <c r="E806" s="200"/>
      <c r="F806" s="204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  <c r="AA806" s="200"/>
    </row>
    <row r="807">
      <c r="A807" s="200"/>
      <c r="B807" s="200"/>
      <c r="C807" s="200"/>
      <c r="D807" s="200"/>
      <c r="E807" s="200"/>
      <c r="F807" s="204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  <c r="AA807" s="200"/>
    </row>
    <row r="808">
      <c r="A808" s="200"/>
      <c r="B808" s="200"/>
      <c r="C808" s="200"/>
      <c r="D808" s="200"/>
      <c r="E808" s="200"/>
      <c r="F808" s="204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  <c r="AA808" s="200"/>
    </row>
    <row r="809">
      <c r="A809" s="200"/>
      <c r="B809" s="200"/>
      <c r="C809" s="200"/>
      <c r="D809" s="200"/>
      <c r="E809" s="200"/>
      <c r="F809" s="204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  <c r="AA809" s="200"/>
    </row>
    <row r="810">
      <c r="A810" s="200"/>
      <c r="B810" s="200"/>
      <c r="C810" s="200"/>
      <c r="D810" s="200"/>
      <c r="E810" s="200"/>
      <c r="F810" s="204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  <c r="AA810" s="200"/>
    </row>
    <row r="811">
      <c r="A811" s="200"/>
      <c r="B811" s="200"/>
      <c r="C811" s="200"/>
      <c r="D811" s="200"/>
      <c r="E811" s="200"/>
      <c r="F811" s="204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  <c r="AA811" s="200"/>
    </row>
    <row r="812">
      <c r="A812" s="200"/>
      <c r="B812" s="200"/>
      <c r="C812" s="200"/>
      <c r="D812" s="200"/>
      <c r="E812" s="200"/>
      <c r="F812" s="204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  <c r="AA812" s="200"/>
    </row>
    <row r="813">
      <c r="A813" s="200"/>
      <c r="B813" s="200"/>
      <c r="C813" s="200"/>
      <c r="D813" s="200"/>
      <c r="E813" s="200"/>
      <c r="F813" s="204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  <c r="AA813" s="200"/>
    </row>
    <row r="814">
      <c r="A814" s="200"/>
      <c r="B814" s="200"/>
      <c r="C814" s="200"/>
      <c r="D814" s="200"/>
      <c r="E814" s="200"/>
      <c r="F814" s="204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  <c r="AA814" s="200"/>
    </row>
    <row r="815">
      <c r="A815" s="200"/>
      <c r="B815" s="200"/>
      <c r="C815" s="200"/>
      <c r="D815" s="200"/>
      <c r="E815" s="200"/>
      <c r="F815" s="204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  <c r="AA815" s="200"/>
    </row>
    <row r="816">
      <c r="A816" s="200"/>
      <c r="B816" s="200"/>
      <c r="C816" s="200"/>
      <c r="D816" s="200"/>
      <c r="E816" s="200"/>
      <c r="F816" s="204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  <c r="AA816" s="200"/>
    </row>
    <row r="817">
      <c r="A817" s="200"/>
      <c r="B817" s="200"/>
      <c r="C817" s="200"/>
      <c r="D817" s="200"/>
      <c r="E817" s="200"/>
      <c r="F817" s="204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  <c r="AA817" s="200"/>
    </row>
    <row r="818">
      <c r="A818" s="200"/>
      <c r="B818" s="200"/>
      <c r="C818" s="200"/>
      <c r="D818" s="200"/>
      <c r="E818" s="200"/>
      <c r="F818" s="204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  <c r="AA818" s="200"/>
    </row>
    <row r="819">
      <c r="A819" s="200"/>
      <c r="B819" s="200"/>
      <c r="C819" s="200"/>
      <c r="D819" s="200"/>
      <c r="E819" s="200"/>
      <c r="F819" s="204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  <c r="AA819" s="200"/>
    </row>
    <row r="820">
      <c r="A820" s="200"/>
      <c r="B820" s="200"/>
      <c r="C820" s="200"/>
      <c r="D820" s="200"/>
      <c r="E820" s="200"/>
      <c r="F820" s="204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  <c r="AA820" s="200"/>
    </row>
    <row r="821">
      <c r="A821" s="200"/>
      <c r="B821" s="200"/>
      <c r="C821" s="200"/>
      <c r="D821" s="200"/>
      <c r="E821" s="200"/>
      <c r="F821" s="204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  <c r="AA821" s="200"/>
    </row>
    <row r="822">
      <c r="A822" s="200"/>
      <c r="B822" s="200"/>
      <c r="C822" s="200"/>
      <c r="D822" s="200"/>
      <c r="E822" s="200"/>
      <c r="F822" s="204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  <c r="AA822" s="200"/>
    </row>
    <row r="823">
      <c r="A823" s="200"/>
      <c r="B823" s="200"/>
      <c r="C823" s="200"/>
      <c r="D823" s="200"/>
      <c r="E823" s="200"/>
      <c r="F823" s="204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  <c r="AA823" s="200"/>
    </row>
    <row r="824">
      <c r="A824" s="200"/>
      <c r="B824" s="200"/>
      <c r="C824" s="200"/>
      <c r="D824" s="200"/>
      <c r="E824" s="200"/>
      <c r="F824" s="204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  <c r="AA824" s="200"/>
    </row>
    <row r="825">
      <c r="A825" s="200"/>
      <c r="B825" s="200"/>
      <c r="C825" s="200"/>
      <c r="D825" s="200"/>
      <c r="E825" s="200"/>
      <c r="F825" s="204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  <c r="AA825" s="200"/>
    </row>
    <row r="826">
      <c r="A826" s="200"/>
      <c r="B826" s="200"/>
      <c r="C826" s="200"/>
      <c r="D826" s="200"/>
      <c r="E826" s="200"/>
      <c r="F826" s="204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  <c r="AA826" s="200"/>
    </row>
    <row r="827">
      <c r="A827" s="200"/>
      <c r="B827" s="200"/>
      <c r="C827" s="200"/>
      <c r="D827" s="200"/>
      <c r="E827" s="200"/>
      <c r="F827" s="204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  <c r="AA827" s="200"/>
    </row>
    <row r="828">
      <c r="A828" s="200"/>
      <c r="B828" s="200"/>
      <c r="C828" s="200"/>
      <c r="D828" s="200"/>
      <c r="E828" s="200"/>
      <c r="F828" s="204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  <c r="AA828" s="200"/>
    </row>
    <row r="829">
      <c r="A829" s="200"/>
      <c r="B829" s="200"/>
      <c r="C829" s="200"/>
      <c r="D829" s="200"/>
      <c r="E829" s="200"/>
      <c r="F829" s="204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  <c r="AA829" s="200"/>
    </row>
    <row r="830">
      <c r="A830" s="200"/>
      <c r="B830" s="200"/>
      <c r="C830" s="200"/>
      <c r="D830" s="200"/>
      <c r="E830" s="200"/>
      <c r="F830" s="204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  <c r="AA830" s="200"/>
    </row>
    <row r="831">
      <c r="A831" s="200"/>
      <c r="B831" s="200"/>
      <c r="C831" s="200"/>
      <c r="D831" s="200"/>
      <c r="E831" s="200"/>
      <c r="F831" s="204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  <c r="AA831" s="200"/>
    </row>
    <row r="832">
      <c r="A832" s="200"/>
      <c r="B832" s="200"/>
      <c r="C832" s="200"/>
      <c r="D832" s="200"/>
      <c r="E832" s="200"/>
      <c r="F832" s="204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  <c r="AA832" s="200"/>
    </row>
    <row r="833">
      <c r="A833" s="200"/>
      <c r="B833" s="200"/>
      <c r="C833" s="200"/>
      <c r="D833" s="200"/>
      <c r="E833" s="200"/>
      <c r="F833" s="204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  <c r="AA833" s="200"/>
    </row>
    <row r="834">
      <c r="A834" s="200"/>
      <c r="B834" s="200"/>
      <c r="C834" s="200"/>
      <c r="D834" s="200"/>
      <c r="E834" s="200"/>
      <c r="F834" s="204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  <c r="AA834" s="200"/>
    </row>
    <row r="835">
      <c r="A835" s="200"/>
      <c r="B835" s="200"/>
      <c r="C835" s="200"/>
      <c r="D835" s="200"/>
      <c r="E835" s="200"/>
      <c r="F835" s="204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  <c r="AA835" s="200"/>
    </row>
    <row r="836">
      <c r="A836" s="200"/>
      <c r="B836" s="200"/>
      <c r="C836" s="200"/>
      <c r="D836" s="200"/>
      <c r="E836" s="200"/>
      <c r="F836" s="204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  <c r="AA836" s="200"/>
    </row>
    <row r="837">
      <c r="A837" s="200"/>
      <c r="B837" s="200"/>
      <c r="C837" s="200"/>
      <c r="D837" s="200"/>
      <c r="E837" s="200"/>
      <c r="F837" s="204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  <c r="AA837" s="200"/>
    </row>
    <row r="838">
      <c r="A838" s="200"/>
      <c r="B838" s="200"/>
      <c r="C838" s="200"/>
      <c r="D838" s="200"/>
      <c r="E838" s="200"/>
      <c r="F838" s="204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  <c r="AA838" s="200"/>
    </row>
    <row r="839">
      <c r="A839" s="200"/>
      <c r="B839" s="200"/>
      <c r="C839" s="200"/>
      <c r="D839" s="200"/>
      <c r="E839" s="200"/>
      <c r="F839" s="204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  <c r="AA839" s="200"/>
    </row>
    <row r="840">
      <c r="A840" s="200"/>
      <c r="B840" s="200"/>
      <c r="C840" s="200"/>
      <c r="D840" s="200"/>
      <c r="E840" s="200"/>
      <c r="F840" s="204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  <c r="AA840" s="200"/>
    </row>
    <row r="841">
      <c r="A841" s="200"/>
      <c r="B841" s="200"/>
      <c r="C841" s="200"/>
      <c r="D841" s="200"/>
      <c r="E841" s="200"/>
      <c r="F841" s="204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  <c r="AA841" s="200"/>
    </row>
    <row r="842">
      <c r="A842" s="200"/>
      <c r="B842" s="200"/>
      <c r="C842" s="200"/>
      <c r="D842" s="200"/>
      <c r="E842" s="200"/>
      <c r="F842" s="204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  <c r="AA842" s="200"/>
    </row>
    <row r="843">
      <c r="A843" s="200"/>
      <c r="B843" s="200"/>
      <c r="C843" s="200"/>
      <c r="D843" s="200"/>
      <c r="E843" s="200"/>
      <c r="F843" s="204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  <c r="AA843" s="200"/>
    </row>
    <row r="844">
      <c r="A844" s="200"/>
      <c r="B844" s="200"/>
      <c r="C844" s="200"/>
      <c r="D844" s="200"/>
      <c r="E844" s="200"/>
      <c r="F844" s="204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  <c r="AA844" s="200"/>
    </row>
    <row r="845">
      <c r="A845" s="200"/>
      <c r="B845" s="200"/>
      <c r="C845" s="200"/>
      <c r="D845" s="200"/>
      <c r="E845" s="200"/>
      <c r="F845" s="204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  <c r="AA845" s="200"/>
    </row>
    <row r="846">
      <c r="A846" s="200"/>
      <c r="B846" s="200"/>
      <c r="C846" s="200"/>
      <c r="D846" s="200"/>
      <c r="E846" s="200"/>
      <c r="F846" s="204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  <c r="AA846" s="200"/>
    </row>
    <row r="847">
      <c r="A847" s="200"/>
      <c r="B847" s="200"/>
      <c r="C847" s="200"/>
      <c r="D847" s="200"/>
      <c r="E847" s="200"/>
      <c r="F847" s="204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  <c r="AA847" s="200"/>
    </row>
    <row r="848">
      <c r="A848" s="200"/>
      <c r="B848" s="200"/>
      <c r="C848" s="200"/>
      <c r="D848" s="200"/>
      <c r="E848" s="200"/>
      <c r="F848" s="204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  <c r="AA848" s="200"/>
    </row>
    <row r="849">
      <c r="A849" s="200"/>
      <c r="B849" s="200"/>
      <c r="C849" s="200"/>
      <c r="D849" s="200"/>
      <c r="E849" s="200"/>
      <c r="F849" s="204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  <c r="AA849" s="200"/>
    </row>
    <row r="850">
      <c r="A850" s="200"/>
      <c r="B850" s="200"/>
      <c r="C850" s="200"/>
      <c r="D850" s="200"/>
      <c r="E850" s="200"/>
      <c r="F850" s="204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  <c r="AA850" s="200"/>
    </row>
    <row r="851">
      <c r="A851" s="200"/>
      <c r="B851" s="200"/>
      <c r="C851" s="200"/>
      <c r="D851" s="200"/>
      <c r="E851" s="200"/>
      <c r="F851" s="204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  <c r="AA851" s="200"/>
    </row>
    <row r="852">
      <c r="A852" s="200"/>
      <c r="B852" s="200"/>
      <c r="C852" s="200"/>
      <c r="D852" s="200"/>
      <c r="E852" s="200"/>
      <c r="F852" s="204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  <c r="AA852" s="200"/>
    </row>
    <row r="853">
      <c r="A853" s="200"/>
      <c r="B853" s="200"/>
      <c r="C853" s="200"/>
      <c r="D853" s="200"/>
      <c r="E853" s="200"/>
      <c r="F853" s="204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  <c r="AA853" s="200"/>
    </row>
    <row r="854">
      <c r="A854" s="200"/>
      <c r="B854" s="200"/>
      <c r="C854" s="200"/>
      <c r="D854" s="200"/>
      <c r="E854" s="200"/>
      <c r="F854" s="204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  <c r="AA854" s="200"/>
    </row>
    <row r="855">
      <c r="A855" s="200"/>
      <c r="B855" s="200"/>
      <c r="C855" s="200"/>
      <c r="D855" s="200"/>
      <c r="E855" s="200"/>
      <c r="F855" s="204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  <c r="AA855" s="200"/>
    </row>
    <row r="856">
      <c r="A856" s="200"/>
      <c r="B856" s="200"/>
      <c r="C856" s="200"/>
      <c r="D856" s="200"/>
      <c r="E856" s="200"/>
      <c r="F856" s="204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  <c r="AA856" s="200"/>
    </row>
    <row r="857">
      <c r="A857" s="200"/>
      <c r="B857" s="200"/>
      <c r="C857" s="200"/>
      <c r="D857" s="200"/>
      <c r="E857" s="200"/>
      <c r="F857" s="204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  <c r="AA857" s="200"/>
    </row>
    <row r="858">
      <c r="A858" s="200"/>
      <c r="B858" s="200"/>
      <c r="C858" s="200"/>
      <c r="D858" s="200"/>
      <c r="E858" s="200"/>
      <c r="F858" s="204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  <c r="AA858" s="200"/>
    </row>
    <row r="859">
      <c r="A859" s="200"/>
      <c r="B859" s="200"/>
      <c r="C859" s="200"/>
      <c r="D859" s="200"/>
      <c r="E859" s="200"/>
      <c r="F859" s="204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  <c r="AA859" s="200"/>
    </row>
    <row r="860">
      <c r="A860" s="200"/>
      <c r="B860" s="200"/>
      <c r="C860" s="200"/>
      <c r="D860" s="200"/>
      <c r="E860" s="200"/>
      <c r="F860" s="204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  <c r="AA860" s="200"/>
    </row>
    <row r="861">
      <c r="A861" s="200"/>
      <c r="B861" s="200"/>
      <c r="C861" s="200"/>
      <c r="D861" s="200"/>
      <c r="E861" s="200"/>
      <c r="F861" s="204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  <c r="AA861" s="200"/>
    </row>
    <row r="862">
      <c r="A862" s="200"/>
      <c r="B862" s="200"/>
      <c r="C862" s="200"/>
      <c r="D862" s="200"/>
      <c r="E862" s="200"/>
      <c r="F862" s="204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  <c r="AA862" s="200"/>
    </row>
    <row r="863">
      <c r="A863" s="200"/>
      <c r="B863" s="200"/>
      <c r="C863" s="200"/>
      <c r="D863" s="200"/>
      <c r="E863" s="200"/>
      <c r="F863" s="204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  <c r="AA863" s="200"/>
    </row>
    <row r="864">
      <c r="A864" s="200"/>
      <c r="B864" s="200"/>
      <c r="C864" s="200"/>
      <c r="D864" s="200"/>
      <c r="E864" s="200"/>
      <c r="F864" s="204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  <c r="AA864" s="200"/>
    </row>
    <row r="865">
      <c r="A865" s="200"/>
      <c r="B865" s="200"/>
      <c r="C865" s="200"/>
      <c r="D865" s="200"/>
      <c r="E865" s="200"/>
      <c r="F865" s="204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  <c r="AA865" s="200"/>
    </row>
    <row r="866">
      <c r="A866" s="200"/>
      <c r="B866" s="200"/>
      <c r="C866" s="200"/>
      <c r="D866" s="200"/>
      <c r="E866" s="200"/>
      <c r="F866" s="204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  <c r="AA866" s="200"/>
    </row>
    <row r="867">
      <c r="A867" s="200"/>
      <c r="B867" s="200"/>
      <c r="C867" s="200"/>
      <c r="D867" s="200"/>
      <c r="E867" s="200"/>
      <c r="F867" s="204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  <c r="AA867" s="200"/>
    </row>
    <row r="868">
      <c r="A868" s="200"/>
      <c r="B868" s="200"/>
      <c r="C868" s="200"/>
      <c r="D868" s="200"/>
      <c r="E868" s="200"/>
      <c r="F868" s="204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  <c r="AA868" s="200"/>
    </row>
    <row r="869">
      <c r="A869" s="200"/>
      <c r="B869" s="200"/>
      <c r="C869" s="200"/>
      <c r="D869" s="200"/>
      <c r="E869" s="200"/>
      <c r="F869" s="204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  <c r="AA869" s="200"/>
    </row>
    <row r="870">
      <c r="A870" s="200"/>
      <c r="B870" s="200"/>
      <c r="C870" s="200"/>
      <c r="D870" s="200"/>
      <c r="E870" s="200"/>
      <c r="F870" s="204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  <c r="AA870" s="200"/>
    </row>
    <row r="871">
      <c r="A871" s="200"/>
      <c r="B871" s="200"/>
      <c r="C871" s="200"/>
      <c r="D871" s="200"/>
      <c r="E871" s="200"/>
      <c r="F871" s="204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  <c r="AA871" s="200"/>
    </row>
    <row r="872">
      <c r="A872" s="200"/>
      <c r="B872" s="200"/>
      <c r="C872" s="200"/>
      <c r="D872" s="200"/>
      <c r="E872" s="200"/>
      <c r="F872" s="204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  <c r="AA872" s="200"/>
    </row>
    <row r="873">
      <c r="A873" s="200"/>
      <c r="B873" s="200"/>
      <c r="C873" s="200"/>
      <c r="D873" s="200"/>
      <c r="E873" s="200"/>
      <c r="F873" s="204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  <c r="AA873" s="200"/>
    </row>
    <row r="874">
      <c r="A874" s="200"/>
      <c r="B874" s="200"/>
      <c r="C874" s="200"/>
      <c r="D874" s="200"/>
      <c r="E874" s="200"/>
      <c r="F874" s="204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  <c r="AA874" s="200"/>
    </row>
    <row r="875">
      <c r="A875" s="200"/>
      <c r="B875" s="200"/>
      <c r="C875" s="200"/>
      <c r="D875" s="200"/>
      <c r="E875" s="200"/>
      <c r="F875" s="204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  <c r="AA875" s="200"/>
    </row>
    <row r="876">
      <c r="A876" s="200"/>
      <c r="B876" s="200"/>
      <c r="C876" s="200"/>
      <c r="D876" s="200"/>
      <c r="E876" s="200"/>
      <c r="F876" s="204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  <c r="AA876" s="200"/>
    </row>
    <row r="877">
      <c r="A877" s="200"/>
      <c r="B877" s="200"/>
      <c r="C877" s="200"/>
      <c r="D877" s="200"/>
      <c r="E877" s="200"/>
      <c r="F877" s="204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  <c r="AA877" s="200"/>
    </row>
    <row r="878">
      <c r="A878" s="200"/>
      <c r="B878" s="200"/>
      <c r="C878" s="200"/>
      <c r="D878" s="200"/>
      <c r="E878" s="200"/>
      <c r="F878" s="204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  <c r="AA878" s="200"/>
    </row>
    <row r="879">
      <c r="A879" s="200"/>
      <c r="B879" s="200"/>
      <c r="C879" s="200"/>
      <c r="D879" s="200"/>
      <c r="E879" s="200"/>
      <c r="F879" s="204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  <c r="AA879" s="200"/>
    </row>
    <row r="880">
      <c r="A880" s="200"/>
      <c r="B880" s="200"/>
      <c r="C880" s="200"/>
      <c r="D880" s="200"/>
      <c r="E880" s="200"/>
      <c r="F880" s="204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  <c r="AA880" s="200"/>
    </row>
    <row r="881">
      <c r="A881" s="200"/>
      <c r="B881" s="200"/>
      <c r="C881" s="200"/>
      <c r="D881" s="200"/>
      <c r="E881" s="200"/>
      <c r="F881" s="204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  <c r="AA881" s="200"/>
    </row>
    <row r="882">
      <c r="A882" s="200"/>
      <c r="B882" s="200"/>
      <c r="C882" s="200"/>
      <c r="D882" s="200"/>
      <c r="E882" s="200"/>
      <c r="F882" s="204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  <c r="AA882" s="200"/>
    </row>
    <row r="883">
      <c r="A883" s="200"/>
      <c r="B883" s="200"/>
      <c r="C883" s="200"/>
      <c r="D883" s="200"/>
      <c r="E883" s="200"/>
      <c r="F883" s="204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  <c r="AA883" s="200"/>
    </row>
    <row r="884">
      <c r="A884" s="200"/>
      <c r="B884" s="200"/>
      <c r="C884" s="200"/>
      <c r="D884" s="200"/>
      <c r="E884" s="200"/>
      <c r="F884" s="204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  <c r="AA884" s="200"/>
    </row>
    <row r="885">
      <c r="A885" s="200"/>
      <c r="B885" s="200"/>
      <c r="C885" s="200"/>
      <c r="D885" s="200"/>
      <c r="E885" s="200"/>
      <c r="F885" s="204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  <c r="AA885" s="200"/>
    </row>
    <row r="886">
      <c r="A886" s="200"/>
      <c r="B886" s="200"/>
      <c r="C886" s="200"/>
      <c r="D886" s="200"/>
      <c r="E886" s="200"/>
      <c r="F886" s="204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  <c r="AA886" s="200"/>
    </row>
    <row r="887">
      <c r="A887" s="200"/>
      <c r="B887" s="200"/>
      <c r="C887" s="200"/>
      <c r="D887" s="200"/>
      <c r="E887" s="200"/>
      <c r="F887" s="204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  <c r="AA887" s="200"/>
    </row>
    <row r="888">
      <c r="A888" s="200"/>
      <c r="B888" s="200"/>
      <c r="C888" s="200"/>
      <c r="D888" s="200"/>
      <c r="E888" s="200"/>
      <c r="F888" s="204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  <c r="AA888" s="200"/>
    </row>
    <row r="889">
      <c r="A889" s="200"/>
      <c r="B889" s="200"/>
      <c r="C889" s="200"/>
      <c r="D889" s="200"/>
      <c r="E889" s="200"/>
      <c r="F889" s="204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  <c r="AA889" s="200"/>
    </row>
    <row r="890">
      <c r="A890" s="200"/>
      <c r="B890" s="200"/>
      <c r="C890" s="200"/>
      <c r="D890" s="200"/>
      <c r="E890" s="200"/>
      <c r="F890" s="204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  <c r="AA890" s="200"/>
    </row>
    <row r="891">
      <c r="A891" s="200"/>
      <c r="B891" s="200"/>
      <c r="C891" s="200"/>
      <c r="D891" s="200"/>
      <c r="E891" s="200"/>
      <c r="F891" s="204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  <c r="AA891" s="200"/>
    </row>
    <row r="892">
      <c r="A892" s="200"/>
      <c r="B892" s="200"/>
      <c r="C892" s="200"/>
      <c r="D892" s="200"/>
      <c r="E892" s="200"/>
      <c r="F892" s="204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  <c r="AA892" s="200"/>
    </row>
    <row r="893">
      <c r="A893" s="200"/>
      <c r="B893" s="200"/>
      <c r="C893" s="200"/>
      <c r="D893" s="200"/>
      <c r="E893" s="200"/>
      <c r="F893" s="204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  <c r="AA893" s="200"/>
    </row>
    <row r="894">
      <c r="A894" s="200"/>
      <c r="B894" s="200"/>
      <c r="C894" s="200"/>
      <c r="D894" s="200"/>
      <c r="E894" s="200"/>
      <c r="F894" s="204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  <c r="AA894" s="200"/>
    </row>
    <row r="895">
      <c r="A895" s="200"/>
      <c r="B895" s="200"/>
      <c r="C895" s="200"/>
      <c r="D895" s="200"/>
      <c r="E895" s="200"/>
      <c r="F895" s="204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  <c r="AA895" s="200"/>
    </row>
    <row r="896">
      <c r="A896" s="200"/>
      <c r="B896" s="200"/>
      <c r="C896" s="200"/>
      <c r="D896" s="200"/>
      <c r="E896" s="200"/>
      <c r="F896" s="204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  <c r="AA896" s="200"/>
    </row>
    <row r="897">
      <c r="A897" s="200"/>
      <c r="B897" s="200"/>
      <c r="C897" s="200"/>
      <c r="D897" s="200"/>
      <c r="E897" s="200"/>
      <c r="F897" s="204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  <c r="AA897" s="200"/>
    </row>
    <row r="898">
      <c r="A898" s="200"/>
      <c r="B898" s="200"/>
      <c r="C898" s="200"/>
      <c r="D898" s="200"/>
      <c r="E898" s="200"/>
      <c r="F898" s="204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  <c r="AA898" s="200"/>
    </row>
    <row r="899">
      <c r="A899" s="200"/>
      <c r="B899" s="200"/>
      <c r="C899" s="200"/>
      <c r="D899" s="200"/>
      <c r="E899" s="200"/>
      <c r="F899" s="204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  <c r="AA899" s="200"/>
    </row>
    <row r="900">
      <c r="A900" s="200"/>
      <c r="B900" s="200"/>
      <c r="C900" s="200"/>
      <c r="D900" s="200"/>
      <c r="E900" s="200"/>
      <c r="F900" s="204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  <c r="AA900" s="200"/>
    </row>
    <row r="901">
      <c r="A901" s="200"/>
      <c r="B901" s="200"/>
      <c r="C901" s="200"/>
      <c r="D901" s="200"/>
      <c r="E901" s="200"/>
      <c r="F901" s="204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  <c r="AA901" s="200"/>
    </row>
    <row r="902">
      <c r="A902" s="200"/>
      <c r="B902" s="200"/>
      <c r="C902" s="200"/>
      <c r="D902" s="200"/>
      <c r="E902" s="200"/>
      <c r="F902" s="204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  <c r="AA902" s="200"/>
    </row>
    <row r="903">
      <c r="A903" s="200"/>
      <c r="B903" s="200"/>
      <c r="C903" s="200"/>
      <c r="D903" s="200"/>
      <c r="E903" s="200"/>
      <c r="F903" s="204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  <c r="AA903" s="200"/>
    </row>
    <row r="904">
      <c r="A904" s="200"/>
      <c r="B904" s="200"/>
      <c r="C904" s="200"/>
      <c r="D904" s="200"/>
      <c r="E904" s="200"/>
      <c r="F904" s="204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  <c r="AA904" s="200"/>
    </row>
    <row r="905">
      <c r="A905" s="200"/>
      <c r="B905" s="200"/>
      <c r="C905" s="200"/>
      <c r="D905" s="200"/>
      <c r="E905" s="200"/>
      <c r="F905" s="204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  <c r="AA905" s="200"/>
    </row>
    <row r="906">
      <c r="A906" s="200"/>
      <c r="B906" s="200"/>
      <c r="C906" s="200"/>
      <c r="D906" s="200"/>
      <c r="E906" s="200"/>
      <c r="F906" s="204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  <c r="AA906" s="200"/>
    </row>
    <row r="907">
      <c r="A907" s="200"/>
      <c r="B907" s="200"/>
      <c r="C907" s="200"/>
      <c r="D907" s="200"/>
      <c r="E907" s="200"/>
      <c r="F907" s="204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  <c r="AA907" s="200"/>
    </row>
    <row r="908">
      <c r="A908" s="200"/>
      <c r="B908" s="200"/>
      <c r="C908" s="200"/>
      <c r="D908" s="200"/>
      <c r="E908" s="200"/>
      <c r="F908" s="204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  <c r="AA908" s="200"/>
    </row>
    <row r="909">
      <c r="A909" s="200"/>
      <c r="B909" s="200"/>
      <c r="C909" s="200"/>
      <c r="D909" s="200"/>
      <c r="E909" s="200"/>
      <c r="F909" s="204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  <c r="AA909" s="200"/>
    </row>
    <row r="910">
      <c r="A910" s="200"/>
      <c r="B910" s="200"/>
      <c r="C910" s="200"/>
      <c r="D910" s="200"/>
      <c r="E910" s="200"/>
      <c r="F910" s="204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  <c r="AA910" s="200"/>
    </row>
    <row r="911">
      <c r="A911" s="200"/>
      <c r="B911" s="200"/>
      <c r="C911" s="200"/>
      <c r="D911" s="200"/>
      <c r="E911" s="200"/>
      <c r="F911" s="204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  <c r="AA911" s="200"/>
    </row>
    <row r="912">
      <c r="A912" s="200"/>
      <c r="B912" s="200"/>
      <c r="C912" s="200"/>
      <c r="D912" s="200"/>
      <c r="E912" s="200"/>
      <c r="F912" s="204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  <c r="AA912" s="200"/>
    </row>
    <row r="913">
      <c r="A913" s="200"/>
      <c r="B913" s="200"/>
      <c r="C913" s="200"/>
      <c r="D913" s="200"/>
      <c r="E913" s="200"/>
      <c r="F913" s="204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  <c r="AA913" s="200"/>
    </row>
    <row r="914">
      <c r="A914" s="200"/>
      <c r="B914" s="200"/>
      <c r="C914" s="200"/>
      <c r="D914" s="200"/>
      <c r="E914" s="200"/>
      <c r="F914" s="204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  <c r="AA914" s="200"/>
    </row>
    <row r="915">
      <c r="A915" s="200"/>
      <c r="B915" s="200"/>
      <c r="C915" s="200"/>
      <c r="D915" s="200"/>
      <c r="E915" s="200"/>
      <c r="F915" s="204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  <c r="AA915" s="200"/>
    </row>
    <row r="916">
      <c r="A916" s="200"/>
      <c r="B916" s="200"/>
      <c r="C916" s="200"/>
      <c r="D916" s="200"/>
      <c r="E916" s="200"/>
      <c r="F916" s="204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  <c r="AA916" s="200"/>
    </row>
    <row r="917">
      <c r="A917" s="200"/>
      <c r="B917" s="200"/>
      <c r="C917" s="200"/>
      <c r="D917" s="200"/>
      <c r="E917" s="200"/>
      <c r="F917" s="204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  <c r="AA917" s="200"/>
    </row>
    <row r="918">
      <c r="A918" s="200"/>
      <c r="B918" s="200"/>
      <c r="C918" s="200"/>
      <c r="D918" s="200"/>
      <c r="E918" s="200"/>
      <c r="F918" s="204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  <c r="AA918" s="200"/>
    </row>
    <row r="919">
      <c r="A919" s="200"/>
      <c r="B919" s="200"/>
      <c r="C919" s="200"/>
      <c r="D919" s="200"/>
      <c r="E919" s="200"/>
      <c r="F919" s="204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  <c r="AA919" s="200"/>
    </row>
    <row r="920">
      <c r="A920" s="200"/>
      <c r="B920" s="200"/>
      <c r="C920" s="200"/>
      <c r="D920" s="200"/>
      <c r="E920" s="200"/>
      <c r="F920" s="204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  <c r="AA920" s="200"/>
    </row>
    <row r="921">
      <c r="A921" s="200"/>
      <c r="B921" s="200"/>
      <c r="C921" s="200"/>
      <c r="D921" s="200"/>
      <c r="E921" s="200"/>
      <c r="F921" s="204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  <c r="AA921" s="200"/>
    </row>
    <row r="922">
      <c r="A922" s="200"/>
      <c r="B922" s="200"/>
      <c r="C922" s="200"/>
      <c r="D922" s="200"/>
      <c r="E922" s="200"/>
      <c r="F922" s="204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  <c r="AA922" s="200"/>
    </row>
    <row r="923">
      <c r="A923" s="200"/>
      <c r="B923" s="200"/>
      <c r="C923" s="200"/>
      <c r="D923" s="200"/>
      <c r="E923" s="200"/>
      <c r="F923" s="204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  <c r="AA923" s="200"/>
    </row>
    <row r="924">
      <c r="A924" s="200"/>
      <c r="B924" s="200"/>
      <c r="C924" s="200"/>
      <c r="D924" s="200"/>
      <c r="E924" s="200"/>
      <c r="F924" s="204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  <c r="AA924" s="200"/>
    </row>
    <row r="925">
      <c r="A925" s="200"/>
      <c r="B925" s="200"/>
      <c r="C925" s="200"/>
      <c r="D925" s="200"/>
      <c r="E925" s="200"/>
      <c r="F925" s="204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  <c r="AA925" s="200"/>
    </row>
    <row r="926">
      <c r="A926" s="200"/>
      <c r="B926" s="200"/>
      <c r="C926" s="200"/>
      <c r="D926" s="200"/>
      <c r="E926" s="200"/>
      <c r="F926" s="204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  <c r="AA926" s="200"/>
    </row>
    <row r="927">
      <c r="A927" s="200"/>
      <c r="B927" s="200"/>
      <c r="C927" s="200"/>
      <c r="D927" s="200"/>
      <c r="E927" s="200"/>
      <c r="F927" s="204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  <c r="AA927" s="200"/>
    </row>
    <row r="928">
      <c r="A928" s="200"/>
      <c r="B928" s="200"/>
      <c r="C928" s="200"/>
      <c r="D928" s="200"/>
      <c r="E928" s="200"/>
      <c r="F928" s="204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  <c r="AA928" s="200"/>
    </row>
    <row r="929">
      <c r="A929" s="200"/>
      <c r="B929" s="200"/>
      <c r="C929" s="200"/>
      <c r="D929" s="200"/>
      <c r="E929" s="200"/>
      <c r="F929" s="204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  <c r="AA929" s="200"/>
    </row>
    <row r="930">
      <c r="A930" s="200"/>
      <c r="B930" s="200"/>
      <c r="C930" s="200"/>
      <c r="D930" s="200"/>
      <c r="E930" s="200"/>
      <c r="F930" s="204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  <c r="AA930" s="200"/>
    </row>
    <row r="931">
      <c r="A931" s="200"/>
      <c r="B931" s="200"/>
      <c r="C931" s="200"/>
      <c r="D931" s="200"/>
      <c r="E931" s="200"/>
      <c r="F931" s="204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  <c r="AA931" s="200"/>
    </row>
    <row r="932">
      <c r="A932" s="200"/>
      <c r="B932" s="200"/>
      <c r="C932" s="200"/>
      <c r="D932" s="200"/>
      <c r="E932" s="200"/>
      <c r="F932" s="204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  <c r="AA932" s="200"/>
    </row>
    <row r="933">
      <c r="A933" s="200"/>
      <c r="B933" s="200"/>
      <c r="C933" s="200"/>
      <c r="D933" s="200"/>
      <c r="E933" s="200"/>
      <c r="F933" s="204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  <c r="AA933" s="200"/>
    </row>
    <row r="934">
      <c r="A934" s="200"/>
      <c r="B934" s="200"/>
      <c r="C934" s="200"/>
      <c r="D934" s="200"/>
      <c r="E934" s="200"/>
      <c r="F934" s="204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  <c r="AA934" s="200"/>
    </row>
    <row r="935">
      <c r="A935" s="200"/>
      <c r="B935" s="200"/>
      <c r="C935" s="200"/>
      <c r="D935" s="200"/>
      <c r="E935" s="200"/>
      <c r="F935" s="204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  <c r="AA935" s="200"/>
    </row>
    <row r="936">
      <c r="A936" s="200"/>
      <c r="B936" s="200"/>
      <c r="C936" s="200"/>
      <c r="D936" s="200"/>
      <c r="E936" s="200"/>
      <c r="F936" s="204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  <c r="AA936" s="200"/>
    </row>
    <row r="937">
      <c r="A937" s="200"/>
      <c r="B937" s="200"/>
      <c r="C937" s="200"/>
      <c r="D937" s="200"/>
      <c r="E937" s="200"/>
      <c r="F937" s="204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  <c r="AA937" s="200"/>
    </row>
    <row r="938">
      <c r="A938" s="200"/>
      <c r="B938" s="200"/>
      <c r="C938" s="200"/>
      <c r="D938" s="200"/>
      <c r="E938" s="200"/>
      <c r="F938" s="204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  <c r="AA938" s="200"/>
    </row>
    <row r="939">
      <c r="A939" s="200"/>
      <c r="B939" s="200"/>
      <c r="C939" s="200"/>
      <c r="D939" s="200"/>
      <c r="E939" s="200"/>
      <c r="F939" s="204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  <c r="AA939" s="200"/>
    </row>
    <row r="940">
      <c r="A940" s="200"/>
      <c r="B940" s="200"/>
      <c r="C940" s="200"/>
      <c r="D940" s="200"/>
      <c r="E940" s="200"/>
      <c r="F940" s="204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  <c r="AA940" s="200"/>
    </row>
    <row r="941">
      <c r="A941" s="200"/>
      <c r="B941" s="200"/>
      <c r="C941" s="200"/>
      <c r="D941" s="200"/>
      <c r="E941" s="200"/>
      <c r="F941" s="204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  <c r="AA941" s="200"/>
    </row>
    <row r="942">
      <c r="A942" s="200"/>
      <c r="B942" s="200"/>
      <c r="C942" s="200"/>
      <c r="D942" s="200"/>
      <c r="E942" s="200"/>
      <c r="F942" s="204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  <c r="AA942" s="200"/>
    </row>
    <row r="943">
      <c r="A943" s="200"/>
      <c r="B943" s="200"/>
      <c r="C943" s="200"/>
      <c r="D943" s="200"/>
      <c r="E943" s="200"/>
      <c r="F943" s="204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  <c r="AA943" s="200"/>
    </row>
    <row r="944">
      <c r="A944" s="200"/>
      <c r="B944" s="200"/>
      <c r="C944" s="200"/>
      <c r="D944" s="200"/>
      <c r="E944" s="200"/>
      <c r="F944" s="204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  <c r="AA944" s="200"/>
    </row>
    <row r="945">
      <c r="A945" s="200"/>
      <c r="B945" s="200"/>
      <c r="C945" s="200"/>
      <c r="D945" s="200"/>
      <c r="E945" s="200"/>
      <c r="F945" s="204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  <c r="AA945" s="200"/>
    </row>
    <row r="946">
      <c r="A946" s="200"/>
      <c r="B946" s="200"/>
      <c r="C946" s="200"/>
      <c r="D946" s="200"/>
      <c r="E946" s="200"/>
      <c r="F946" s="204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  <c r="AA946" s="200"/>
    </row>
    <row r="947">
      <c r="A947" s="200"/>
      <c r="B947" s="200"/>
      <c r="C947" s="200"/>
      <c r="D947" s="200"/>
      <c r="E947" s="200"/>
      <c r="F947" s="204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  <c r="AA947" s="200"/>
    </row>
    <row r="948">
      <c r="A948" s="200"/>
      <c r="B948" s="200"/>
      <c r="C948" s="200"/>
      <c r="D948" s="200"/>
      <c r="E948" s="200"/>
      <c r="F948" s="204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  <c r="AA948" s="200"/>
    </row>
    <row r="949">
      <c r="A949" s="200"/>
      <c r="B949" s="200"/>
      <c r="C949" s="200"/>
      <c r="D949" s="200"/>
      <c r="E949" s="200"/>
      <c r="F949" s="204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  <c r="AA949" s="200"/>
    </row>
    <row r="950">
      <c r="A950" s="200"/>
      <c r="B950" s="200"/>
      <c r="C950" s="200"/>
      <c r="D950" s="200"/>
      <c r="E950" s="200"/>
      <c r="F950" s="204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  <c r="AA950" s="200"/>
    </row>
    <row r="951">
      <c r="A951" s="200"/>
      <c r="B951" s="200"/>
      <c r="C951" s="200"/>
      <c r="D951" s="200"/>
      <c r="E951" s="200"/>
      <c r="F951" s="204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  <c r="AA951" s="200"/>
    </row>
    <row r="952">
      <c r="A952" s="200"/>
      <c r="B952" s="200"/>
      <c r="C952" s="200"/>
      <c r="D952" s="200"/>
      <c r="E952" s="200"/>
      <c r="F952" s="204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  <c r="AA952" s="200"/>
    </row>
    <row r="953">
      <c r="A953" s="200"/>
      <c r="B953" s="200"/>
      <c r="C953" s="200"/>
      <c r="D953" s="200"/>
      <c r="E953" s="200"/>
      <c r="F953" s="204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  <c r="AA953" s="200"/>
    </row>
    <row r="954">
      <c r="A954" s="200"/>
      <c r="B954" s="200"/>
      <c r="C954" s="200"/>
      <c r="D954" s="200"/>
      <c r="E954" s="200"/>
      <c r="F954" s="204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  <c r="AA954" s="200"/>
    </row>
    <row r="955">
      <c r="A955" s="200"/>
      <c r="B955" s="200"/>
      <c r="C955" s="200"/>
      <c r="D955" s="200"/>
      <c r="E955" s="200"/>
      <c r="F955" s="204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  <c r="AA955" s="200"/>
    </row>
    <row r="956">
      <c r="A956" s="200"/>
      <c r="B956" s="200"/>
      <c r="C956" s="200"/>
      <c r="D956" s="200"/>
      <c r="E956" s="200"/>
      <c r="F956" s="204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  <c r="AA956" s="200"/>
    </row>
    <row r="957">
      <c r="A957" s="200"/>
      <c r="B957" s="200"/>
      <c r="C957" s="200"/>
      <c r="D957" s="200"/>
      <c r="E957" s="200"/>
      <c r="F957" s="204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  <c r="AA957" s="200"/>
    </row>
    <row r="958">
      <c r="A958" s="200"/>
      <c r="B958" s="200"/>
      <c r="C958" s="200"/>
      <c r="D958" s="200"/>
      <c r="E958" s="200"/>
      <c r="F958" s="204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  <c r="AA958" s="200"/>
    </row>
    <row r="959">
      <c r="A959" s="200"/>
      <c r="B959" s="200"/>
      <c r="C959" s="200"/>
      <c r="D959" s="200"/>
      <c r="E959" s="200"/>
      <c r="F959" s="204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  <c r="AA959" s="200"/>
    </row>
    <row r="960">
      <c r="A960" s="200"/>
      <c r="B960" s="200"/>
      <c r="C960" s="200"/>
      <c r="D960" s="200"/>
      <c r="E960" s="200"/>
      <c r="F960" s="204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  <c r="AA960" s="200"/>
    </row>
    <row r="961">
      <c r="A961" s="200"/>
      <c r="B961" s="200"/>
      <c r="C961" s="200"/>
      <c r="D961" s="200"/>
      <c r="E961" s="200"/>
      <c r="F961" s="204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  <c r="AA961" s="200"/>
    </row>
    <row r="962">
      <c r="A962" s="200"/>
      <c r="B962" s="200"/>
      <c r="C962" s="200"/>
      <c r="D962" s="200"/>
      <c r="E962" s="200"/>
      <c r="F962" s="204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  <c r="AA962" s="200"/>
    </row>
    <row r="963">
      <c r="A963" s="200"/>
      <c r="B963" s="200"/>
      <c r="C963" s="200"/>
      <c r="D963" s="200"/>
      <c r="E963" s="200"/>
      <c r="F963" s="204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  <c r="AA963" s="200"/>
    </row>
    <row r="964">
      <c r="A964" s="200"/>
      <c r="B964" s="200"/>
      <c r="C964" s="200"/>
      <c r="D964" s="200"/>
      <c r="E964" s="200"/>
      <c r="F964" s="204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  <c r="AA964" s="200"/>
    </row>
    <row r="965">
      <c r="A965" s="200"/>
      <c r="B965" s="200"/>
      <c r="C965" s="200"/>
      <c r="D965" s="200"/>
      <c r="E965" s="200"/>
      <c r="F965" s="204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  <c r="AA965" s="200"/>
    </row>
    <row r="966">
      <c r="A966" s="200"/>
      <c r="B966" s="200"/>
      <c r="C966" s="200"/>
      <c r="D966" s="200"/>
      <c r="E966" s="200"/>
      <c r="F966" s="204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  <c r="AA966" s="200"/>
    </row>
    <row r="967">
      <c r="A967" s="200"/>
      <c r="B967" s="200"/>
      <c r="C967" s="200"/>
      <c r="D967" s="200"/>
      <c r="E967" s="200"/>
      <c r="F967" s="204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  <c r="AA967" s="200"/>
    </row>
    <row r="968">
      <c r="A968" s="200"/>
      <c r="B968" s="200"/>
      <c r="C968" s="200"/>
      <c r="D968" s="200"/>
      <c r="E968" s="200"/>
      <c r="F968" s="204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  <c r="AA968" s="200"/>
    </row>
    <row r="969">
      <c r="A969" s="200"/>
      <c r="B969" s="200"/>
      <c r="C969" s="200"/>
      <c r="D969" s="200"/>
      <c r="E969" s="200"/>
      <c r="F969" s="204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  <c r="AA969" s="200"/>
    </row>
    <row r="970">
      <c r="A970" s="200"/>
      <c r="B970" s="200"/>
      <c r="C970" s="200"/>
      <c r="D970" s="200"/>
      <c r="E970" s="200"/>
      <c r="F970" s="204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  <c r="AA970" s="200"/>
    </row>
    <row r="971">
      <c r="A971" s="200"/>
      <c r="B971" s="200"/>
      <c r="C971" s="200"/>
      <c r="D971" s="200"/>
      <c r="E971" s="200"/>
      <c r="F971" s="204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  <c r="AA971" s="200"/>
    </row>
    <row r="972">
      <c r="A972" s="200"/>
      <c r="B972" s="200"/>
      <c r="C972" s="200"/>
      <c r="D972" s="200"/>
      <c r="E972" s="200"/>
      <c r="F972" s="204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  <c r="AA972" s="200"/>
    </row>
    <row r="973">
      <c r="A973" s="200"/>
      <c r="B973" s="200"/>
      <c r="C973" s="200"/>
      <c r="D973" s="200"/>
      <c r="E973" s="200"/>
      <c r="F973" s="204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  <c r="AA973" s="200"/>
    </row>
    <row r="974">
      <c r="A974" s="200"/>
      <c r="B974" s="200"/>
      <c r="C974" s="200"/>
      <c r="D974" s="200"/>
      <c r="E974" s="200"/>
      <c r="F974" s="204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  <c r="AA974" s="200"/>
    </row>
    <row r="975">
      <c r="A975" s="200"/>
      <c r="B975" s="200"/>
      <c r="C975" s="200"/>
      <c r="D975" s="200"/>
      <c r="E975" s="200"/>
      <c r="F975" s="204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  <c r="AA975" s="200"/>
    </row>
    <row r="976">
      <c r="A976" s="200"/>
      <c r="B976" s="200"/>
      <c r="C976" s="200"/>
      <c r="D976" s="200"/>
      <c r="E976" s="200"/>
      <c r="F976" s="204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  <c r="AA976" s="200"/>
    </row>
    <row r="977">
      <c r="A977" s="200"/>
      <c r="B977" s="200"/>
      <c r="C977" s="200"/>
      <c r="D977" s="200"/>
      <c r="E977" s="200"/>
      <c r="F977" s="204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  <c r="AA977" s="200"/>
    </row>
    <row r="978">
      <c r="A978" s="200"/>
      <c r="B978" s="200"/>
      <c r="C978" s="200"/>
      <c r="D978" s="200"/>
      <c r="E978" s="200"/>
      <c r="F978" s="204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  <c r="AA978" s="200"/>
    </row>
    <row r="979">
      <c r="A979" s="200"/>
      <c r="B979" s="200"/>
      <c r="C979" s="200"/>
      <c r="D979" s="200"/>
      <c r="E979" s="200"/>
      <c r="F979" s="204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  <c r="AA979" s="200"/>
    </row>
    <row r="980">
      <c r="A980" s="200"/>
      <c r="B980" s="200"/>
      <c r="C980" s="200"/>
      <c r="D980" s="200"/>
      <c r="E980" s="200"/>
      <c r="F980" s="204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  <c r="AA980" s="200"/>
    </row>
    <row r="981">
      <c r="A981" s="200"/>
      <c r="B981" s="200"/>
      <c r="C981" s="200"/>
      <c r="D981" s="200"/>
      <c r="E981" s="200"/>
      <c r="F981" s="204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  <c r="AA981" s="200"/>
    </row>
    <row r="982">
      <c r="A982" s="200"/>
      <c r="B982" s="200"/>
      <c r="C982" s="200"/>
      <c r="D982" s="200"/>
      <c r="E982" s="200"/>
      <c r="F982" s="204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  <c r="AA982" s="200"/>
    </row>
    <row r="983">
      <c r="A983" s="200"/>
      <c r="B983" s="200"/>
      <c r="C983" s="200"/>
      <c r="D983" s="200"/>
      <c r="E983" s="200"/>
      <c r="F983" s="204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  <c r="AA983" s="200"/>
    </row>
    <row r="984">
      <c r="A984" s="200"/>
      <c r="B984" s="200"/>
      <c r="C984" s="200"/>
      <c r="D984" s="200"/>
      <c r="E984" s="200"/>
      <c r="F984" s="204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  <c r="AA984" s="200"/>
    </row>
    <row r="985">
      <c r="A985" s="200"/>
      <c r="B985" s="200"/>
      <c r="C985" s="200"/>
      <c r="D985" s="200"/>
      <c r="E985" s="200"/>
      <c r="F985" s="204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  <c r="AA985" s="200"/>
    </row>
    <row r="986">
      <c r="A986" s="200"/>
      <c r="B986" s="200"/>
      <c r="C986" s="200"/>
      <c r="D986" s="200"/>
      <c r="E986" s="200"/>
      <c r="F986" s="204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  <c r="AA986" s="200"/>
    </row>
    <row r="987">
      <c r="A987" s="200"/>
      <c r="B987" s="200"/>
      <c r="C987" s="200"/>
      <c r="D987" s="200"/>
      <c r="E987" s="200"/>
      <c r="F987" s="204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  <c r="AA987" s="200"/>
    </row>
    <row r="988">
      <c r="A988" s="200"/>
      <c r="B988" s="200"/>
      <c r="C988" s="200"/>
      <c r="D988" s="200"/>
      <c r="E988" s="200"/>
      <c r="F988" s="204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  <c r="AA988" s="200"/>
    </row>
    <row r="989">
      <c r="A989" s="200"/>
      <c r="B989" s="200"/>
      <c r="C989" s="200"/>
      <c r="D989" s="200"/>
      <c r="E989" s="200"/>
      <c r="F989" s="204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  <c r="AA989" s="200"/>
    </row>
    <row r="990">
      <c r="A990" s="200"/>
      <c r="B990" s="200"/>
      <c r="C990" s="200"/>
      <c r="D990" s="200"/>
      <c r="E990" s="200"/>
      <c r="F990" s="204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  <c r="AA990" s="200"/>
    </row>
    <row r="991">
      <c r="A991" s="200"/>
      <c r="B991" s="200"/>
      <c r="C991" s="200"/>
      <c r="D991" s="200"/>
      <c r="E991" s="200"/>
      <c r="F991" s="204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  <c r="AA991" s="200"/>
    </row>
    <row r="992">
      <c r="A992" s="200"/>
      <c r="B992" s="200"/>
      <c r="C992" s="200"/>
      <c r="D992" s="200"/>
      <c r="E992" s="200"/>
      <c r="F992" s="204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  <c r="AA992" s="200"/>
    </row>
    <row r="993">
      <c r="A993" s="200"/>
      <c r="B993" s="200"/>
      <c r="C993" s="200"/>
      <c r="D993" s="200"/>
      <c r="E993" s="200"/>
      <c r="F993" s="204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  <c r="AA993" s="200"/>
    </row>
    <row r="994">
      <c r="A994" s="200"/>
      <c r="B994" s="200"/>
      <c r="C994" s="200"/>
      <c r="D994" s="200"/>
      <c r="E994" s="200"/>
      <c r="F994" s="204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  <c r="AA994" s="200"/>
    </row>
    <row r="995">
      <c r="A995" s="200"/>
      <c r="B995" s="200"/>
      <c r="C995" s="200"/>
      <c r="D995" s="200"/>
      <c r="E995" s="200"/>
      <c r="F995" s="204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  <c r="AA995" s="200"/>
    </row>
    <row r="996">
      <c r="A996" s="200"/>
      <c r="B996" s="200"/>
      <c r="C996" s="200"/>
      <c r="D996" s="200"/>
      <c r="E996" s="200"/>
      <c r="F996" s="204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  <c r="AA996" s="200"/>
    </row>
    <row r="997">
      <c r="A997" s="200"/>
      <c r="B997" s="200"/>
      <c r="C997" s="200"/>
      <c r="D997" s="200"/>
      <c r="E997" s="200"/>
      <c r="F997" s="204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  <c r="AA997" s="200"/>
    </row>
    <row r="998">
      <c r="A998" s="200"/>
      <c r="B998" s="200"/>
      <c r="C998" s="200"/>
      <c r="D998" s="200"/>
      <c r="E998" s="200"/>
      <c r="F998" s="204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  <c r="AA998" s="200"/>
    </row>
    <row r="999">
      <c r="A999" s="200"/>
      <c r="B999" s="200"/>
      <c r="C999" s="200"/>
      <c r="D999" s="200"/>
      <c r="E999" s="200"/>
      <c r="F999" s="204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  <c r="AA999" s="200"/>
    </row>
    <row r="1000">
      <c r="A1000" s="200"/>
      <c r="B1000" s="200"/>
      <c r="C1000" s="200"/>
      <c r="D1000" s="200"/>
      <c r="E1000" s="200"/>
      <c r="F1000" s="204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  <c r="AA1000" s="200"/>
    </row>
  </sheetData>
  <conditionalFormatting sqref="E2:E109">
    <cfRule type="notContainsBlanks" dxfId="5" priority="1">
      <formula>LEN(TRIM(E2))&gt;0</formula>
    </cfRule>
  </conditionalFormatting>
  <dataValidations>
    <dataValidation type="list" allowBlank="1" showErrorMessage="1" sqref="E2:E110">
      <formula1>LEGEND!$E$2:$E$100</formula1>
    </dataValidation>
    <dataValidation type="list" allowBlank="1" showErrorMessage="1" sqref="H2:H109">
      <formula1>LEGEND!$F$2:$F$13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5.5"/>
    <col customWidth="1" min="3" max="3" width="25.13"/>
    <col customWidth="1" min="4" max="4" width="22.0"/>
    <col customWidth="1" min="5" max="5" width="15.88"/>
    <col customWidth="1" min="6" max="6" width="28.0"/>
    <col customWidth="1" min="7" max="7" width="27.75"/>
  </cols>
  <sheetData>
    <row r="1">
      <c r="A1" s="208" t="s">
        <v>27</v>
      </c>
      <c r="B1" s="208" t="s">
        <v>42</v>
      </c>
      <c r="C1" s="208" t="s">
        <v>65</v>
      </c>
      <c r="D1" s="208" t="s">
        <v>79</v>
      </c>
      <c r="E1" s="208" t="s">
        <v>71</v>
      </c>
      <c r="F1" s="208" t="s">
        <v>80</v>
      </c>
      <c r="G1" s="208" t="s">
        <v>73</v>
      </c>
    </row>
    <row r="2">
      <c r="A2" s="215">
        <f>IFERROR(__xludf.DUMMYFUNCTION("FILTER(BUY_OCT!B2:C999,BUY_OCT!B2:B999&lt;&gt;"""")"),46297.0)</f>
        <v>46297</v>
      </c>
      <c r="B2" s="216">
        <f>IFERROR(__xludf.DUMMYFUNCTION("""COMPUTED_VALUE"""),1.0)</f>
        <v>1</v>
      </c>
      <c r="C2" s="216" t="str">
        <f t="shared" ref="C2:C464" si="1">IF(B2="","","INV-"&amp;TEXT(A2,"yyyymmdd")&amp;"-"&amp;B2)</f>
        <v>INV-20261002-1</v>
      </c>
      <c r="D2" s="217" t="s">
        <v>81</v>
      </c>
      <c r="E2" s="218">
        <f>IFERROR(__xludf.DUMMYFUNCTION("IFERROR(FILTER(BUY_OCT!D2:F999,BUY_OCT!D2:D999&lt;&gt;""""),"""")"),112051.57)</f>
        <v>112051.57</v>
      </c>
      <c r="F2" s="216">
        <f>IFERROR(__xludf.DUMMYFUNCTION("""COMPUTED_VALUE"""),17840.0)</f>
        <v>17840</v>
      </c>
      <c r="G2" s="216">
        <f>IFERROR(__xludf.DUMMYFUNCTION("""COMPUTED_VALUE"""),1.9990000088000002E9)</f>
        <v>1999000009</v>
      </c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</row>
    <row r="3">
      <c r="A3" s="215">
        <f>IFERROR(__xludf.DUMMYFUNCTION("""COMPUTED_VALUE"""),46297.0)</f>
        <v>46297</v>
      </c>
      <c r="B3" s="216">
        <f>IFERROR(__xludf.DUMMYFUNCTION("""COMPUTED_VALUE"""),2.0)</f>
        <v>2</v>
      </c>
      <c r="C3" s="216" t="str">
        <f t="shared" si="1"/>
        <v>INV-20261002-2</v>
      </c>
      <c r="D3" s="217" t="s">
        <v>81</v>
      </c>
      <c r="E3" s="218">
        <f>IFERROR(__xludf.DUMMYFUNCTION("""COMPUTED_VALUE"""),15924.63)</f>
        <v>15924.63</v>
      </c>
      <c r="F3" s="216">
        <f>IFERROR(__xludf.DUMMYFUNCTION("""COMPUTED_VALUE"""),17790.0)</f>
        <v>17790</v>
      </c>
      <c r="G3" s="216">
        <f>IFERROR(__xludf.DUMMYFUNCTION("""COMPUTED_VALUE"""),2.832991677E8)</f>
        <v>283299167.7</v>
      </c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</row>
    <row r="4">
      <c r="A4" s="215">
        <f>IFERROR(__xludf.DUMMYFUNCTION("""COMPUTED_VALUE"""),46297.0)</f>
        <v>46297</v>
      </c>
      <c r="B4" s="216">
        <f>IFERROR(__xludf.DUMMYFUNCTION("""COMPUTED_VALUE"""),2.0)</f>
        <v>2</v>
      </c>
      <c r="C4" s="216" t="str">
        <f t="shared" si="1"/>
        <v>INV-20261002-2</v>
      </c>
      <c r="D4" s="217" t="s">
        <v>81</v>
      </c>
      <c r="E4" s="218">
        <f>IFERROR(__xludf.DUMMYFUNCTION("""COMPUTED_VALUE"""),290512.1)</f>
        <v>290512.1</v>
      </c>
      <c r="F4" s="216">
        <f>IFERROR(__xludf.DUMMYFUNCTION("""COMPUTED_VALUE"""),17790.0)</f>
        <v>17790</v>
      </c>
      <c r="G4" s="216">
        <f>IFERROR(__xludf.DUMMYFUNCTION("""COMPUTED_VALUE"""),5.168210259E9)</f>
        <v>5168210259</v>
      </c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</row>
    <row r="5">
      <c r="A5" s="215">
        <f>IFERROR(__xludf.DUMMYFUNCTION("""COMPUTED_VALUE"""),46297.0)</f>
        <v>46297</v>
      </c>
      <c r="B5" s="216">
        <f>IFERROR(__xludf.DUMMYFUNCTION("""COMPUTED_VALUE"""),3.0)</f>
        <v>3</v>
      </c>
      <c r="C5" s="216" t="str">
        <f t="shared" si="1"/>
        <v>INV-20261002-3</v>
      </c>
      <c r="D5" s="217" t="s">
        <v>81</v>
      </c>
      <c r="E5" s="218">
        <f>IFERROR(__xludf.DUMMYFUNCTION("""COMPUTED_VALUE"""),56178.0)</f>
        <v>56178</v>
      </c>
      <c r="F5" s="216">
        <f>IFERROR(__xludf.DUMMYFUNCTION("""COMPUTED_VALUE"""),17800.0)</f>
        <v>17800</v>
      </c>
      <c r="G5" s="216">
        <f>IFERROR(__xludf.DUMMYFUNCTION("""COMPUTED_VALUE"""),9.999684E8)</f>
        <v>999968400</v>
      </c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</row>
    <row r="6">
      <c r="A6" s="215">
        <f>IFERROR(__xludf.DUMMYFUNCTION("""COMPUTED_VALUE"""),46298.0)</f>
        <v>46298</v>
      </c>
      <c r="B6" s="216">
        <f>IFERROR(__xludf.DUMMYFUNCTION("""COMPUTED_VALUE"""),1.0)</f>
        <v>1</v>
      </c>
      <c r="C6" s="216" t="str">
        <f t="shared" si="1"/>
        <v>INV-20261003-1</v>
      </c>
      <c r="D6" s="217" t="s">
        <v>81</v>
      </c>
      <c r="E6" s="218">
        <f>IFERROR(__xludf.DUMMYFUNCTION("""COMPUTED_VALUE"""),13604.0)</f>
        <v>13604</v>
      </c>
      <c r="F6" s="216">
        <f>IFERROR(__xludf.DUMMYFUNCTION("""COMPUTED_VALUE"""),17805.0)</f>
        <v>17805</v>
      </c>
      <c r="G6" s="216">
        <f>IFERROR(__xludf.DUMMYFUNCTION("""COMPUTED_VALUE"""),2.4221922E8)</f>
        <v>242219220</v>
      </c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</row>
    <row r="7">
      <c r="A7" s="215">
        <f>IFERROR(__xludf.DUMMYFUNCTION("""COMPUTED_VALUE"""),46299.0)</f>
        <v>46299</v>
      </c>
      <c r="B7" s="216">
        <f>IFERROR(__xludf.DUMMYFUNCTION("""COMPUTED_VALUE"""),1.0)</f>
        <v>1</v>
      </c>
      <c r="C7" s="216" t="str">
        <f t="shared" si="1"/>
        <v>INV-20261004-1</v>
      </c>
      <c r="D7" s="217" t="s">
        <v>81</v>
      </c>
      <c r="E7" s="218">
        <f>IFERROR(__xludf.DUMMYFUNCTION("""COMPUTED_VALUE"""),140252.45)</f>
        <v>140252.45</v>
      </c>
      <c r="F7" s="216">
        <f>IFERROR(__xludf.DUMMYFUNCTION("""COMPUTED_VALUE"""),17825.0)</f>
        <v>17825</v>
      </c>
      <c r="G7" s="216">
        <f>IFERROR(__xludf.DUMMYFUNCTION("""COMPUTED_VALUE"""),2.49999992125E9)</f>
        <v>2499999921</v>
      </c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</row>
    <row r="8">
      <c r="A8" s="215">
        <f>IFERROR(__xludf.DUMMYFUNCTION("""COMPUTED_VALUE"""),46299.0)</f>
        <v>46299</v>
      </c>
      <c r="B8" s="216">
        <f>IFERROR(__xludf.DUMMYFUNCTION("""COMPUTED_VALUE"""),2.0)</f>
        <v>2</v>
      </c>
      <c r="C8" s="216" t="str">
        <f t="shared" si="1"/>
        <v>INV-20261004-2</v>
      </c>
      <c r="D8" s="217" t="s">
        <v>81</v>
      </c>
      <c r="E8" s="218">
        <f>IFERROR(__xludf.DUMMYFUNCTION("""COMPUTED_VALUE"""),25477.25)</f>
        <v>25477.25</v>
      </c>
      <c r="F8" s="216">
        <f>IFERROR(__xludf.DUMMYFUNCTION("""COMPUTED_VALUE"""),17810.0)</f>
        <v>17810</v>
      </c>
      <c r="G8" s="216">
        <f>IFERROR(__xludf.DUMMYFUNCTION("""COMPUTED_VALUE"""),4.537498225E8)</f>
        <v>453749822.5</v>
      </c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</row>
    <row r="9">
      <c r="A9" s="215">
        <f>IFERROR(__xludf.DUMMYFUNCTION("""COMPUTED_VALUE"""),46300.0)</f>
        <v>46300</v>
      </c>
      <c r="B9" s="216">
        <f>IFERROR(__xludf.DUMMYFUNCTION("""COMPUTED_VALUE"""),1.0)</f>
        <v>1</v>
      </c>
      <c r="C9" s="216" t="str">
        <f t="shared" si="1"/>
        <v>INV-20261005-1</v>
      </c>
      <c r="D9" s="217" t="s">
        <v>81</v>
      </c>
      <c r="E9" s="218">
        <f>IFERROR(__xludf.DUMMYFUNCTION("""COMPUTED_VALUE"""),101249.65)</f>
        <v>101249.65</v>
      </c>
      <c r="F9" s="216">
        <f>IFERROR(__xludf.DUMMYFUNCTION("""COMPUTED_VALUE"""),17845.0)</f>
        <v>17845</v>
      </c>
      <c r="G9" s="216">
        <f>IFERROR(__xludf.DUMMYFUNCTION("""COMPUTED_VALUE"""),1.80680000425E9)</f>
        <v>1806800004</v>
      </c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</row>
    <row r="10">
      <c r="A10" s="215">
        <f>IFERROR(__xludf.DUMMYFUNCTION("""COMPUTED_VALUE"""),46300.0)</f>
        <v>46300</v>
      </c>
      <c r="B10" s="216">
        <f>IFERROR(__xludf.DUMMYFUNCTION("""COMPUTED_VALUE"""),2.0)</f>
        <v>2</v>
      </c>
      <c r="C10" s="216" t="str">
        <f t="shared" si="1"/>
        <v>INV-20261005-2</v>
      </c>
      <c r="D10" s="217" t="s">
        <v>81</v>
      </c>
      <c r="E10" s="218">
        <f>IFERROR(__xludf.DUMMYFUNCTION("""COMPUTED_VALUE"""),22032.5)</f>
        <v>22032.5</v>
      </c>
      <c r="F10" s="216">
        <f>IFERROR(__xludf.DUMMYFUNCTION("""COMPUTED_VALUE"""),17860.0)</f>
        <v>17860</v>
      </c>
      <c r="G10" s="216">
        <f>IFERROR(__xludf.DUMMYFUNCTION("""COMPUTED_VALUE"""),3.9350045E8)</f>
        <v>393500450</v>
      </c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</row>
    <row r="11">
      <c r="A11" s="215">
        <f>IFERROR(__xludf.DUMMYFUNCTION("""COMPUTED_VALUE"""),46300.0)</f>
        <v>46300</v>
      </c>
      <c r="B11" s="216">
        <f>IFERROR(__xludf.DUMMYFUNCTION("""COMPUTED_VALUE"""),3.0)</f>
        <v>3</v>
      </c>
      <c r="C11" s="216" t="str">
        <f t="shared" si="1"/>
        <v>INV-20261005-3</v>
      </c>
      <c r="D11" s="217" t="s">
        <v>81</v>
      </c>
      <c r="E11" s="218">
        <f>IFERROR(__xludf.DUMMYFUNCTION("""COMPUTED_VALUE"""),126597.3)</f>
        <v>126597.3</v>
      </c>
      <c r="F11" s="216">
        <f>IFERROR(__xludf.DUMMYFUNCTION("""COMPUTED_VALUE"""),17830.0)</f>
        <v>17830</v>
      </c>
      <c r="G11" s="216">
        <f>IFERROR(__xludf.DUMMYFUNCTION("""COMPUTED_VALUE"""),2.257229859E9)</f>
        <v>2257229859</v>
      </c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</row>
    <row r="12">
      <c r="A12" s="215">
        <f>IFERROR(__xludf.DUMMYFUNCTION("""COMPUTED_VALUE"""),46300.0)</f>
        <v>46300</v>
      </c>
      <c r="B12" s="216">
        <f>IFERROR(__xludf.DUMMYFUNCTION("""COMPUTED_VALUE"""),4.0)</f>
        <v>4</v>
      </c>
      <c r="C12" s="216" t="str">
        <f t="shared" si="1"/>
        <v>INV-20261005-4</v>
      </c>
      <c r="D12" s="217" t="s">
        <v>81</v>
      </c>
      <c r="E12" s="218">
        <f>IFERROR(__xludf.DUMMYFUNCTION("""COMPUTED_VALUE"""),127558.12)</f>
        <v>127558.12</v>
      </c>
      <c r="F12" s="216">
        <f>IFERROR(__xludf.DUMMYFUNCTION("""COMPUTED_VALUE"""),17835.0)</f>
        <v>17835</v>
      </c>
      <c r="G12" s="216">
        <f>IFERROR(__xludf.DUMMYFUNCTION("""COMPUTED_VALUE"""),2.2749990702E9)</f>
        <v>2274999070</v>
      </c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</row>
    <row r="13">
      <c r="A13" s="215">
        <f>IFERROR(__xludf.DUMMYFUNCTION("""COMPUTED_VALUE"""),46300.0)</f>
        <v>46300</v>
      </c>
      <c r="B13" s="216">
        <f>IFERROR(__xludf.DUMMYFUNCTION("""COMPUTED_VALUE"""),5.0)</f>
        <v>5</v>
      </c>
      <c r="C13" s="216" t="str">
        <f t="shared" si="1"/>
        <v>INV-20261005-5</v>
      </c>
      <c r="D13" s="217" t="s">
        <v>81</v>
      </c>
      <c r="E13" s="218">
        <f>IFERROR(__xludf.DUMMYFUNCTION("""COMPUTED_VALUE"""),27486.25)</f>
        <v>27486.25</v>
      </c>
      <c r="F13" s="216">
        <f>IFERROR(__xludf.DUMMYFUNCTION("""COMPUTED_VALUE"""),17840.0)</f>
        <v>17840</v>
      </c>
      <c r="G13" s="216">
        <f>IFERROR(__xludf.DUMMYFUNCTION("""COMPUTED_VALUE"""),4.903547E8)</f>
        <v>490354700</v>
      </c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</row>
    <row r="14">
      <c r="A14" s="215">
        <f>IFERROR(__xludf.DUMMYFUNCTION("""COMPUTED_VALUE"""),46300.0)</f>
        <v>46300</v>
      </c>
      <c r="B14" s="216">
        <f>IFERROR(__xludf.DUMMYFUNCTION("""COMPUTED_VALUE"""),6.0)</f>
        <v>6</v>
      </c>
      <c r="C14" s="216" t="str">
        <f t="shared" si="1"/>
        <v>INV-20261005-6</v>
      </c>
      <c r="D14" s="217" t="s">
        <v>81</v>
      </c>
      <c r="E14" s="218">
        <f>IFERROR(__xludf.DUMMYFUNCTION("""COMPUTED_VALUE"""),56019.5)</f>
        <v>56019.5</v>
      </c>
      <c r="F14" s="216">
        <f>IFERROR(__xludf.DUMMYFUNCTION("""COMPUTED_VALUE"""),17842.0)</f>
        <v>17842</v>
      </c>
      <c r="G14" s="216">
        <f>IFERROR(__xludf.DUMMYFUNCTION("""COMPUTED_VALUE"""),9.99499919E8)</f>
        <v>999499919</v>
      </c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  <c r="AB14" s="220"/>
    </row>
    <row r="15">
      <c r="A15" s="215">
        <f>IFERROR(__xludf.DUMMYFUNCTION("""COMPUTED_VALUE"""),46300.0)</f>
        <v>46300</v>
      </c>
      <c r="B15" s="216">
        <f>IFERROR(__xludf.DUMMYFUNCTION("""COMPUTED_VALUE"""),7.0)</f>
        <v>7</v>
      </c>
      <c r="C15" s="216" t="str">
        <f t="shared" si="1"/>
        <v>INV-20261005-7</v>
      </c>
      <c r="D15" s="217" t="s">
        <v>81</v>
      </c>
      <c r="E15" s="218">
        <f>IFERROR(__xludf.DUMMYFUNCTION("""COMPUTED_VALUE"""),77871.14)</f>
        <v>77871.14</v>
      </c>
      <c r="F15" s="216">
        <f>IFERROR(__xludf.DUMMYFUNCTION("""COMPUTED_VALUE"""),17850.0)</f>
        <v>17850</v>
      </c>
      <c r="G15" s="216">
        <f>IFERROR(__xludf.DUMMYFUNCTION("""COMPUTED_VALUE"""),1.389999849E9)</f>
        <v>1389999849</v>
      </c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</row>
    <row r="16">
      <c r="A16" s="215">
        <f>IFERROR(__xludf.DUMMYFUNCTION("""COMPUTED_VALUE"""),46310.0)</f>
        <v>46310</v>
      </c>
      <c r="B16" s="216"/>
      <c r="C16" s="216" t="str">
        <f t="shared" si="1"/>
        <v/>
      </c>
      <c r="D16" s="217" t="s">
        <v>81</v>
      </c>
      <c r="E16" s="218"/>
      <c r="F16" s="216"/>
      <c r="G16" s="216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</row>
    <row r="17">
      <c r="A17" s="215">
        <f>IFERROR(__xludf.DUMMYFUNCTION("""COMPUTED_VALUE"""),46311.0)</f>
        <v>46311</v>
      </c>
      <c r="B17" s="216"/>
      <c r="C17" s="216" t="str">
        <f t="shared" si="1"/>
        <v/>
      </c>
      <c r="D17" s="217" t="s">
        <v>81</v>
      </c>
      <c r="E17" s="218"/>
      <c r="F17" s="216"/>
      <c r="G17" s="216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</row>
    <row r="18">
      <c r="A18" s="215">
        <f>IFERROR(__xludf.DUMMYFUNCTION("""COMPUTED_VALUE"""),46312.0)</f>
        <v>46312</v>
      </c>
      <c r="B18" s="216"/>
      <c r="C18" s="216" t="str">
        <f t="shared" si="1"/>
        <v/>
      </c>
      <c r="D18" s="217" t="s">
        <v>81</v>
      </c>
      <c r="E18" s="218"/>
      <c r="F18" s="216"/>
      <c r="G18" s="216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</row>
    <row r="19">
      <c r="A19" s="215">
        <f>IFERROR(__xludf.DUMMYFUNCTION("""COMPUTED_VALUE"""),46313.0)</f>
        <v>46313</v>
      </c>
      <c r="B19" s="216"/>
      <c r="C19" s="216" t="str">
        <f t="shared" si="1"/>
        <v/>
      </c>
      <c r="D19" s="217" t="s">
        <v>81</v>
      </c>
      <c r="E19" s="218"/>
      <c r="F19" s="216"/>
      <c r="G19" s="216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</row>
    <row r="20">
      <c r="A20" s="215">
        <f>IFERROR(__xludf.DUMMYFUNCTION("""COMPUTED_VALUE"""),46314.0)</f>
        <v>46314</v>
      </c>
      <c r="B20" s="216"/>
      <c r="C20" s="216" t="str">
        <f t="shared" si="1"/>
        <v/>
      </c>
      <c r="D20" s="217" t="s">
        <v>81</v>
      </c>
      <c r="E20" s="218"/>
      <c r="F20" s="216"/>
      <c r="G20" s="216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</row>
    <row r="21">
      <c r="A21" s="215">
        <f>IFERROR(__xludf.DUMMYFUNCTION("""COMPUTED_VALUE"""),46315.0)</f>
        <v>46315</v>
      </c>
      <c r="B21" s="216"/>
      <c r="C21" s="216" t="str">
        <f t="shared" si="1"/>
        <v/>
      </c>
      <c r="D21" s="217" t="s">
        <v>81</v>
      </c>
      <c r="E21" s="218"/>
      <c r="F21" s="216"/>
      <c r="G21" s="216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</row>
    <row r="22">
      <c r="A22" s="215">
        <f>IFERROR(__xludf.DUMMYFUNCTION("""COMPUTED_VALUE"""),46316.0)</f>
        <v>46316</v>
      </c>
      <c r="B22" s="216"/>
      <c r="C22" s="216" t="str">
        <f t="shared" si="1"/>
        <v/>
      </c>
      <c r="D22" s="217" t="s">
        <v>81</v>
      </c>
      <c r="E22" s="218"/>
      <c r="F22" s="216"/>
      <c r="G22" s="216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</row>
    <row r="23">
      <c r="A23" s="215">
        <f>IFERROR(__xludf.DUMMYFUNCTION("""COMPUTED_VALUE"""),46317.0)</f>
        <v>46317</v>
      </c>
      <c r="B23" s="216"/>
      <c r="C23" s="216" t="str">
        <f t="shared" si="1"/>
        <v/>
      </c>
      <c r="D23" s="217" t="s">
        <v>81</v>
      </c>
      <c r="E23" s="218"/>
      <c r="F23" s="216"/>
      <c r="G23" s="216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</row>
    <row r="24">
      <c r="A24" s="215">
        <f>IFERROR(__xludf.DUMMYFUNCTION("""COMPUTED_VALUE"""),46318.0)</f>
        <v>46318</v>
      </c>
      <c r="B24" s="216"/>
      <c r="C24" s="216" t="str">
        <f t="shared" si="1"/>
        <v/>
      </c>
      <c r="D24" s="217" t="s">
        <v>81</v>
      </c>
      <c r="E24" s="218"/>
      <c r="F24" s="216"/>
      <c r="G24" s="216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</row>
    <row r="25">
      <c r="A25" s="215">
        <f>IFERROR(__xludf.DUMMYFUNCTION("""COMPUTED_VALUE"""),46319.0)</f>
        <v>46319</v>
      </c>
      <c r="B25" s="216"/>
      <c r="C25" s="216" t="str">
        <f t="shared" si="1"/>
        <v/>
      </c>
      <c r="D25" s="217" t="s">
        <v>81</v>
      </c>
      <c r="E25" s="218"/>
      <c r="F25" s="216"/>
      <c r="G25" s="216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</row>
    <row r="26">
      <c r="A26" s="215">
        <f>IFERROR(__xludf.DUMMYFUNCTION("""COMPUTED_VALUE"""),46320.0)</f>
        <v>46320</v>
      </c>
      <c r="B26" s="216"/>
      <c r="C26" s="216" t="str">
        <f t="shared" si="1"/>
        <v/>
      </c>
      <c r="D26" s="217" t="s">
        <v>81</v>
      </c>
      <c r="E26" s="218"/>
      <c r="F26" s="216"/>
      <c r="G26" s="216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</row>
    <row r="27">
      <c r="A27" s="215">
        <f>IFERROR(__xludf.DUMMYFUNCTION("""COMPUTED_VALUE"""),46321.0)</f>
        <v>46321</v>
      </c>
      <c r="B27" s="216"/>
      <c r="C27" s="216" t="str">
        <f t="shared" si="1"/>
        <v/>
      </c>
      <c r="D27" s="217" t="s">
        <v>81</v>
      </c>
      <c r="E27" s="218"/>
      <c r="F27" s="216"/>
      <c r="G27" s="216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</row>
    <row r="28">
      <c r="A28" s="215">
        <f>IFERROR(__xludf.DUMMYFUNCTION("""COMPUTED_VALUE"""),46322.0)</f>
        <v>46322</v>
      </c>
      <c r="B28" s="216"/>
      <c r="C28" s="216" t="str">
        <f t="shared" si="1"/>
        <v/>
      </c>
      <c r="D28" s="217" t="s">
        <v>81</v>
      </c>
      <c r="E28" s="218"/>
      <c r="F28" s="216"/>
      <c r="G28" s="216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</row>
    <row r="29">
      <c r="A29" s="215">
        <f>IFERROR(__xludf.DUMMYFUNCTION("""COMPUTED_VALUE"""),46323.0)</f>
        <v>46323</v>
      </c>
      <c r="B29" s="216"/>
      <c r="C29" s="216" t="str">
        <f t="shared" si="1"/>
        <v/>
      </c>
      <c r="D29" s="217" t="s">
        <v>81</v>
      </c>
      <c r="E29" s="218"/>
      <c r="F29" s="216"/>
      <c r="G29" s="216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</row>
    <row r="30">
      <c r="A30" s="215">
        <f>IFERROR(__xludf.DUMMYFUNCTION("""COMPUTED_VALUE"""),46324.0)</f>
        <v>46324</v>
      </c>
      <c r="B30" s="216"/>
      <c r="C30" s="216" t="str">
        <f t="shared" si="1"/>
        <v/>
      </c>
      <c r="D30" s="217" t="s">
        <v>81</v>
      </c>
      <c r="E30" s="218"/>
      <c r="F30" s="216"/>
      <c r="G30" s="216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</row>
    <row r="31">
      <c r="A31" s="215">
        <f>IFERROR(__xludf.DUMMYFUNCTION("""COMPUTED_VALUE"""),46325.0)</f>
        <v>46325</v>
      </c>
      <c r="B31" s="216"/>
      <c r="C31" s="216" t="str">
        <f t="shared" si="1"/>
        <v/>
      </c>
      <c r="D31" s="217" t="s">
        <v>81</v>
      </c>
      <c r="E31" s="218"/>
      <c r="F31" s="216"/>
      <c r="G31" s="216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</row>
    <row r="32">
      <c r="A32" s="215">
        <f>IFERROR(__xludf.DUMMYFUNCTION("""COMPUTED_VALUE"""),46326.0)</f>
        <v>46326</v>
      </c>
      <c r="B32" s="216"/>
      <c r="C32" s="216" t="str">
        <f t="shared" si="1"/>
        <v/>
      </c>
      <c r="D32" s="217" t="s">
        <v>81</v>
      </c>
      <c r="E32" s="218"/>
      <c r="F32" s="216"/>
      <c r="G32" s="216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</row>
    <row r="33">
      <c r="A33" s="216"/>
      <c r="B33" s="216"/>
      <c r="C33" s="216" t="str">
        <f t="shared" si="1"/>
        <v/>
      </c>
      <c r="D33" s="217"/>
      <c r="E33" s="218"/>
      <c r="F33" s="216"/>
      <c r="G33" s="216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</row>
    <row r="34">
      <c r="A34" s="216"/>
      <c r="B34" s="216"/>
      <c r="C34" s="216" t="str">
        <f t="shared" si="1"/>
        <v/>
      </c>
      <c r="D34" s="217"/>
      <c r="E34" s="218"/>
      <c r="F34" s="216"/>
      <c r="G34" s="216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</row>
    <row r="35">
      <c r="A35" s="216"/>
      <c r="B35" s="216"/>
      <c r="C35" s="216" t="str">
        <f t="shared" si="1"/>
        <v/>
      </c>
      <c r="D35" s="217"/>
      <c r="E35" s="218"/>
      <c r="F35" s="216"/>
      <c r="G35" s="216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</row>
    <row r="36">
      <c r="A36" s="216"/>
      <c r="B36" s="216"/>
      <c r="C36" s="216" t="str">
        <f t="shared" si="1"/>
        <v/>
      </c>
      <c r="D36" s="217"/>
      <c r="E36" s="218"/>
      <c r="F36" s="216"/>
      <c r="G36" s="216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</row>
    <row r="37">
      <c r="A37" s="216"/>
      <c r="B37" s="216"/>
      <c r="C37" s="216" t="str">
        <f t="shared" si="1"/>
        <v/>
      </c>
      <c r="D37" s="217"/>
      <c r="E37" s="218"/>
      <c r="F37" s="216"/>
      <c r="G37" s="216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</row>
    <row r="38">
      <c r="A38" s="216"/>
      <c r="B38" s="216"/>
      <c r="C38" s="216" t="str">
        <f t="shared" si="1"/>
        <v/>
      </c>
      <c r="D38" s="217"/>
      <c r="E38" s="218"/>
      <c r="F38" s="216"/>
      <c r="G38" s="216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</row>
    <row r="39">
      <c r="A39" s="216"/>
      <c r="B39" s="216"/>
      <c r="C39" s="216" t="str">
        <f t="shared" si="1"/>
        <v/>
      </c>
      <c r="D39" s="217"/>
      <c r="E39" s="218"/>
      <c r="F39" s="216"/>
      <c r="G39" s="216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</row>
    <row r="40">
      <c r="A40" s="216"/>
      <c r="B40" s="216"/>
      <c r="C40" s="216" t="str">
        <f t="shared" si="1"/>
        <v/>
      </c>
      <c r="D40" s="217"/>
      <c r="E40" s="218"/>
      <c r="F40" s="216"/>
      <c r="G40" s="216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</row>
    <row r="41">
      <c r="A41" s="216"/>
      <c r="B41" s="216"/>
      <c r="C41" s="216" t="str">
        <f t="shared" si="1"/>
        <v/>
      </c>
      <c r="D41" s="217"/>
      <c r="E41" s="218"/>
      <c r="F41" s="216"/>
      <c r="G41" s="216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</row>
    <row r="42">
      <c r="A42" s="216"/>
      <c r="B42" s="216"/>
      <c r="C42" s="216" t="str">
        <f t="shared" si="1"/>
        <v/>
      </c>
      <c r="D42" s="217"/>
      <c r="E42" s="218"/>
      <c r="F42" s="216"/>
      <c r="G42" s="216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</row>
    <row r="43">
      <c r="A43" s="216"/>
      <c r="B43" s="216"/>
      <c r="C43" s="216" t="str">
        <f t="shared" si="1"/>
        <v/>
      </c>
      <c r="D43" s="217"/>
      <c r="E43" s="218"/>
      <c r="F43" s="216"/>
      <c r="G43" s="216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</row>
    <row r="44">
      <c r="A44" s="216"/>
      <c r="B44" s="216"/>
      <c r="C44" s="216" t="str">
        <f t="shared" si="1"/>
        <v/>
      </c>
      <c r="D44" s="217"/>
      <c r="E44" s="218"/>
      <c r="F44" s="216"/>
      <c r="G44" s="216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</row>
    <row r="45">
      <c r="A45" s="216"/>
      <c r="B45" s="216"/>
      <c r="C45" s="216" t="str">
        <f t="shared" si="1"/>
        <v/>
      </c>
      <c r="D45" s="217"/>
      <c r="E45" s="218"/>
      <c r="F45" s="216"/>
      <c r="G45" s="216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</row>
    <row r="46">
      <c r="A46" s="216"/>
      <c r="B46" s="216"/>
      <c r="C46" s="216" t="str">
        <f t="shared" si="1"/>
        <v/>
      </c>
      <c r="D46" s="217"/>
      <c r="E46" s="218"/>
      <c r="F46" s="216"/>
      <c r="G46" s="216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</row>
    <row r="47">
      <c r="A47" s="216"/>
      <c r="B47" s="216"/>
      <c r="C47" s="216" t="str">
        <f t="shared" si="1"/>
        <v/>
      </c>
      <c r="D47" s="217"/>
      <c r="E47" s="218"/>
      <c r="F47" s="216"/>
      <c r="G47" s="216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</row>
    <row r="48">
      <c r="A48" s="216"/>
      <c r="B48" s="216"/>
      <c r="C48" s="216" t="str">
        <f t="shared" si="1"/>
        <v/>
      </c>
      <c r="D48" s="217"/>
      <c r="E48" s="218"/>
      <c r="F48" s="216"/>
      <c r="G48" s="216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</row>
    <row r="49">
      <c r="A49" s="216"/>
      <c r="B49" s="216"/>
      <c r="C49" s="216" t="str">
        <f t="shared" si="1"/>
        <v/>
      </c>
      <c r="D49" s="217"/>
      <c r="E49" s="218"/>
      <c r="F49" s="216"/>
      <c r="G49" s="216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</row>
    <row r="50">
      <c r="A50" s="216"/>
      <c r="B50" s="216"/>
      <c r="C50" s="216" t="str">
        <f t="shared" si="1"/>
        <v/>
      </c>
      <c r="D50" s="217"/>
      <c r="E50" s="218"/>
      <c r="F50" s="216"/>
      <c r="G50" s="216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</row>
    <row r="51">
      <c r="A51" s="216"/>
      <c r="B51" s="216"/>
      <c r="C51" s="216" t="str">
        <f t="shared" si="1"/>
        <v/>
      </c>
      <c r="D51" s="217"/>
      <c r="E51" s="218"/>
      <c r="F51" s="216"/>
      <c r="G51" s="216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</row>
    <row r="52">
      <c r="A52" s="216"/>
      <c r="B52" s="216"/>
      <c r="C52" s="216" t="str">
        <f t="shared" si="1"/>
        <v/>
      </c>
      <c r="D52" s="217"/>
      <c r="E52" s="218"/>
      <c r="F52" s="216"/>
      <c r="G52" s="216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</row>
    <row r="53">
      <c r="A53" s="216"/>
      <c r="B53" s="216"/>
      <c r="C53" s="216" t="str">
        <f t="shared" si="1"/>
        <v/>
      </c>
      <c r="D53" s="217"/>
      <c r="E53" s="218"/>
      <c r="F53" s="216"/>
      <c r="G53" s="216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</row>
    <row r="54">
      <c r="A54" s="216"/>
      <c r="B54" s="216"/>
      <c r="C54" s="216" t="str">
        <f t="shared" si="1"/>
        <v/>
      </c>
      <c r="D54" s="217"/>
      <c r="E54" s="218"/>
      <c r="F54" s="216"/>
      <c r="G54" s="216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</row>
    <row r="55">
      <c r="A55" s="216"/>
      <c r="B55" s="216"/>
      <c r="C55" s="216" t="str">
        <f t="shared" si="1"/>
        <v/>
      </c>
      <c r="D55" s="217"/>
      <c r="E55" s="218"/>
      <c r="F55" s="216"/>
      <c r="G55" s="216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</row>
    <row r="56">
      <c r="A56" s="216"/>
      <c r="B56" s="216"/>
      <c r="C56" s="216" t="str">
        <f t="shared" si="1"/>
        <v/>
      </c>
      <c r="D56" s="217"/>
      <c r="E56" s="218"/>
      <c r="F56" s="216"/>
      <c r="G56" s="216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</row>
    <row r="57">
      <c r="A57" s="216"/>
      <c r="B57" s="216"/>
      <c r="C57" s="216" t="str">
        <f t="shared" si="1"/>
        <v/>
      </c>
      <c r="D57" s="217"/>
      <c r="E57" s="218"/>
      <c r="F57" s="216"/>
      <c r="G57" s="216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</row>
    <row r="58">
      <c r="A58" s="216"/>
      <c r="B58" s="216"/>
      <c r="C58" s="216" t="str">
        <f t="shared" si="1"/>
        <v/>
      </c>
      <c r="D58" s="217"/>
      <c r="E58" s="218"/>
      <c r="F58" s="216"/>
      <c r="G58" s="216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</row>
    <row r="59">
      <c r="A59" s="216"/>
      <c r="B59" s="216"/>
      <c r="C59" s="216" t="str">
        <f t="shared" si="1"/>
        <v/>
      </c>
      <c r="D59" s="217"/>
      <c r="E59" s="218"/>
      <c r="F59" s="216"/>
      <c r="G59" s="216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</row>
    <row r="60">
      <c r="A60" s="216"/>
      <c r="B60" s="216"/>
      <c r="C60" s="216" t="str">
        <f t="shared" si="1"/>
        <v/>
      </c>
      <c r="D60" s="217"/>
      <c r="E60" s="218"/>
      <c r="F60" s="216"/>
      <c r="G60" s="216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</row>
    <row r="61">
      <c r="A61" s="216"/>
      <c r="B61" s="216"/>
      <c r="C61" s="216" t="str">
        <f t="shared" si="1"/>
        <v/>
      </c>
      <c r="D61" s="217"/>
      <c r="E61" s="218"/>
      <c r="F61" s="216"/>
      <c r="G61" s="216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</row>
    <row r="62">
      <c r="A62" s="216"/>
      <c r="B62" s="216"/>
      <c r="C62" s="216" t="str">
        <f t="shared" si="1"/>
        <v/>
      </c>
      <c r="D62" s="217"/>
      <c r="E62" s="218"/>
      <c r="F62" s="216"/>
      <c r="G62" s="216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</row>
    <row r="63">
      <c r="A63" s="216"/>
      <c r="B63" s="216"/>
      <c r="C63" s="216" t="str">
        <f t="shared" si="1"/>
        <v/>
      </c>
      <c r="D63" s="217"/>
      <c r="E63" s="218"/>
      <c r="F63" s="216"/>
      <c r="G63" s="216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</row>
    <row r="64">
      <c r="A64" s="216"/>
      <c r="B64" s="216"/>
      <c r="C64" s="216" t="str">
        <f t="shared" si="1"/>
        <v/>
      </c>
      <c r="D64" s="217"/>
      <c r="E64" s="218"/>
      <c r="F64" s="216"/>
      <c r="G64" s="216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</row>
    <row r="65">
      <c r="A65" s="216"/>
      <c r="B65" s="216"/>
      <c r="C65" s="216" t="str">
        <f t="shared" si="1"/>
        <v/>
      </c>
      <c r="D65" s="217"/>
      <c r="E65" s="218"/>
      <c r="F65" s="216"/>
      <c r="G65" s="216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</row>
    <row r="66">
      <c r="A66" s="216"/>
      <c r="B66" s="216"/>
      <c r="C66" s="216" t="str">
        <f t="shared" si="1"/>
        <v/>
      </c>
      <c r="D66" s="217"/>
      <c r="E66" s="218"/>
      <c r="F66" s="216"/>
      <c r="G66" s="216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</row>
    <row r="67">
      <c r="A67" s="216"/>
      <c r="B67" s="216"/>
      <c r="C67" s="216" t="str">
        <f t="shared" si="1"/>
        <v/>
      </c>
      <c r="D67" s="217"/>
      <c r="E67" s="218"/>
      <c r="F67" s="216"/>
      <c r="G67" s="216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</row>
    <row r="68">
      <c r="A68" s="216"/>
      <c r="B68" s="216"/>
      <c r="C68" s="216" t="str">
        <f t="shared" si="1"/>
        <v/>
      </c>
      <c r="D68" s="217"/>
      <c r="E68" s="218"/>
      <c r="F68" s="216"/>
      <c r="G68" s="216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</row>
    <row r="69">
      <c r="A69" s="216"/>
      <c r="B69" s="216"/>
      <c r="C69" s="216" t="str">
        <f t="shared" si="1"/>
        <v/>
      </c>
      <c r="D69" s="217"/>
      <c r="E69" s="218"/>
      <c r="F69" s="216"/>
      <c r="G69" s="216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</row>
    <row r="70">
      <c r="A70" s="216"/>
      <c r="B70" s="216"/>
      <c r="C70" s="216" t="str">
        <f t="shared" si="1"/>
        <v/>
      </c>
      <c r="D70" s="217"/>
      <c r="E70" s="218"/>
      <c r="F70" s="216"/>
      <c r="G70" s="216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</row>
    <row r="71">
      <c r="A71" s="216"/>
      <c r="B71" s="216"/>
      <c r="C71" s="216" t="str">
        <f t="shared" si="1"/>
        <v/>
      </c>
      <c r="D71" s="217"/>
      <c r="E71" s="218"/>
      <c r="F71" s="216"/>
      <c r="G71" s="216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</row>
    <row r="72">
      <c r="A72" s="216"/>
      <c r="B72" s="216"/>
      <c r="C72" s="216" t="str">
        <f t="shared" si="1"/>
        <v/>
      </c>
      <c r="D72" s="217"/>
      <c r="E72" s="218"/>
      <c r="F72" s="216"/>
      <c r="G72" s="216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</row>
    <row r="73">
      <c r="A73" s="216"/>
      <c r="B73" s="216"/>
      <c r="C73" s="216" t="str">
        <f t="shared" si="1"/>
        <v/>
      </c>
      <c r="D73" s="217"/>
      <c r="E73" s="218"/>
      <c r="F73" s="216"/>
      <c r="G73" s="216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</row>
    <row r="74">
      <c r="A74" s="216"/>
      <c r="B74" s="216"/>
      <c r="C74" s="216" t="str">
        <f t="shared" si="1"/>
        <v/>
      </c>
      <c r="D74" s="217"/>
      <c r="E74" s="218"/>
      <c r="F74" s="216"/>
      <c r="G74" s="216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</row>
    <row r="75">
      <c r="A75" s="216"/>
      <c r="B75" s="216"/>
      <c r="C75" s="216" t="str">
        <f t="shared" si="1"/>
        <v/>
      </c>
      <c r="D75" s="217"/>
      <c r="E75" s="218"/>
      <c r="F75" s="216"/>
      <c r="G75" s="216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</row>
    <row r="76">
      <c r="A76" s="216"/>
      <c r="B76" s="216"/>
      <c r="C76" s="216" t="str">
        <f t="shared" si="1"/>
        <v/>
      </c>
      <c r="D76" s="217"/>
      <c r="E76" s="218"/>
      <c r="F76" s="216"/>
      <c r="G76" s="216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</row>
    <row r="77">
      <c r="A77" s="216"/>
      <c r="B77" s="216"/>
      <c r="C77" s="216" t="str">
        <f t="shared" si="1"/>
        <v/>
      </c>
      <c r="D77" s="217"/>
      <c r="E77" s="218"/>
      <c r="F77" s="216"/>
      <c r="G77" s="216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</row>
    <row r="78">
      <c r="A78" s="216"/>
      <c r="B78" s="216"/>
      <c r="C78" s="216" t="str">
        <f t="shared" si="1"/>
        <v/>
      </c>
      <c r="D78" s="217"/>
      <c r="E78" s="218"/>
      <c r="F78" s="216"/>
      <c r="G78" s="216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</row>
    <row r="79">
      <c r="A79" s="216"/>
      <c r="B79" s="216"/>
      <c r="C79" s="216" t="str">
        <f t="shared" si="1"/>
        <v/>
      </c>
      <c r="D79" s="217"/>
      <c r="E79" s="218"/>
      <c r="F79" s="216"/>
      <c r="G79" s="216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</row>
    <row r="80">
      <c r="A80" s="216"/>
      <c r="B80" s="216"/>
      <c r="C80" s="216" t="str">
        <f t="shared" si="1"/>
        <v/>
      </c>
      <c r="D80" s="217"/>
      <c r="E80" s="218"/>
      <c r="F80" s="216"/>
      <c r="G80" s="216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</row>
    <row r="81">
      <c r="A81" s="216"/>
      <c r="B81" s="216"/>
      <c r="C81" s="216" t="str">
        <f t="shared" si="1"/>
        <v/>
      </c>
      <c r="D81" s="217"/>
      <c r="E81" s="218"/>
      <c r="F81" s="216"/>
      <c r="G81" s="216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</row>
    <row r="82">
      <c r="A82" s="216"/>
      <c r="B82" s="216"/>
      <c r="C82" s="216" t="str">
        <f t="shared" si="1"/>
        <v/>
      </c>
      <c r="D82" s="217"/>
      <c r="E82" s="218"/>
      <c r="F82" s="216"/>
      <c r="G82" s="216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</row>
    <row r="83">
      <c r="A83" s="216"/>
      <c r="B83" s="216"/>
      <c r="C83" s="216" t="str">
        <f t="shared" si="1"/>
        <v/>
      </c>
      <c r="D83" s="217"/>
      <c r="E83" s="218"/>
      <c r="F83" s="216"/>
      <c r="G83" s="216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</row>
    <row r="84">
      <c r="A84" s="216"/>
      <c r="B84" s="216"/>
      <c r="C84" s="216" t="str">
        <f t="shared" si="1"/>
        <v/>
      </c>
      <c r="D84" s="217"/>
      <c r="E84" s="218"/>
      <c r="F84" s="216"/>
      <c r="G84" s="216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</row>
    <row r="85">
      <c r="A85" s="216"/>
      <c r="B85" s="216"/>
      <c r="C85" s="216" t="str">
        <f t="shared" si="1"/>
        <v/>
      </c>
      <c r="D85" s="217"/>
      <c r="E85" s="218"/>
      <c r="F85" s="216"/>
      <c r="G85" s="216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</row>
    <row r="86">
      <c r="A86" s="216"/>
      <c r="B86" s="216"/>
      <c r="C86" s="216" t="str">
        <f t="shared" si="1"/>
        <v/>
      </c>
      <c r="D86" s="217"/>
      <c r="E86" s="218"/>
      <c r="F86" s="216"/>
      <c r="G86" s="216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</row>
    <row r="87">
      <c r="A87" s="216"/>
      <c r="B87" s="216"/>
      <c r="C87" s="216" t="str">
        <f t="shared" si="1"/>
        <v/>
      </c>
      <c r="D87" s="217"/>
      <c r="E87" s="218"/>
      <c r="F87" s="216"/>
      <c r="G87" s="216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</row>
    <row r="88">
      <c r="A88" s="216"/>
      <c r="B88" s="216"/>
      <c r="C88" s="216" t="str">
        <f t="shared" si="1"/>
        <v/>
      </c>
      <c r="D88" s="217"/>
      <c r="E88" s="218"/>
      <c r="F88" s="216"/>
      <c r="G88" s="216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</row>
    <row r="89">
      <c r="A89" s="216"/>
      <c r="B89" s="216"/>
      <c r="C89" s="216" t="str">
        <f t="shared" si="1"/>
        <v/>
      </c>
      <c r="D89" s="217"/>
      <c r="E89" s="218"/>
      <c r="F89" s="216"/>
      <c r="G89" s="216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</row>
    <row r="90">
      <c r="A90" s="216"/>
      <c r="B90" s="216"/>
      <c r="C90" s="216" t="str">
        <f t="shared" si="1"/>
        <v/>
      </c>
      <c r="D90" s="217"/>
      <c r="E90" s="218"/>
      <c r="F90" s="216"/>
      <c r="G90" s="216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</row>
    <row r="91">
      <c r="A91" s="216"/>
      <c r="B91" s="216"/>
      <c r="C91" s="216" t="str">
        <f t="shared" si="1"/>
        <v/>
      </c>
      <c r="D91" s="217"/>
      <c r="E91" s="218"/>
      <c r="F91" s="216"/>
      <c r="G91" s="216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</row>
    <row r="92">
      <c r="A92" s="216"/>
      <c r="B92" s="216"/>
      <c r="C92" s="216" t="str">
        <f t="shared" si="1"/>
        <v/>
      </c>
      <c r="D92" s="217"/>
      <c r="E92" s="218"/>
      <c r="F92" s="216"/>
      <c r="G92" s="216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</row>
    <row r="93">
      <c r="A93" s="216"/>
      <c r="B93" s="216"/>
      <c r="C93" s="216" t="str">
        <f t="shared" si="1"/>
        <v/>
      </c>
      <c r="D93" s="217"/>
      <c r="E93" s="218"/>
      <c r="F93" s="216"/>
      <c r="G93" s="216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</row>
    <row r="94">
      <c r="A94" s="216"/>
      <c r="B94" s="216"/>
      <c r="C94" s="216" t="str">
        <f t="shared" si="1"/>
        <v/>
      </c>
      <c r="D94" s="217"/>
      <c r="E94" s="218"/>
      <c r="F94" s="216"/>
      <c r="G94" s="216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</row>
    <row r="95">
      <c r="A95" s="216"/>
      <c r="B95" s="216"/>
      <c r="C95" s="216" t="str">
        <f t="shared" si="1"/>
        <v/>
      </c>
      <c r="D95" s="217"/>
      <c r="E95" s="218"/>
      <c r="F95" s="216"/>
      <c r="G95" s="216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</row>
    <row r="96">
      <c r="A96" s="216"/>
      <c r="B96" s="216"/>
      <c r="C96" s="216" t="str">
        <f t="shared" si="1"/>
        <v/>
      </c>
      <c r="D96" s="217"/>
      <c r="E96" s="218"/>
      <c r="F96" s="216"/>
      <c r="G96" s="216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</row>
    <row r="97">
      <c r="A97" s="216"/>
      <c r="B97" s="216"/>
      <c r="C97" s="216" t="str">
        <f t="shared" si="1"/>
        <v/>
      </c>
      <c r="D97" s="217"/>
      <c r="E97" s="218"/>
      <c r="F97" s="216"/>
      <c r="G97" s="216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</row>
    <row r="98">
      <c r="A98" s="216"/>
      <c r="B98" s="216"/>
      <c r="C98" s="216" t="str">
        <f t="shared" si="1"/>
        <v/>
      </c>
      <c r="D98" s="217"/>
      <c r="E98" s="218"/>
      <c r="F98" s="216"/>
      <c r="G98" s="216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</row>
    <row r="99">
      <c r="A99" s="216"/>
      <c r="B99" s="216"/>
      <c r="C99" s="216" t="str">
        <f t="shared" si="1"/>
        <v/>
      </c>
      <c r="D99" s="217"/>
      <c r="E99" s="218"/>
      <c r="F99" s="216"/>
      <c r="G99" s="216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  <c r="AA99" s="220"/>
      <c r="AB99" s="220"/>
    </row>
    <row r="100">
      <c r="A100" s="216"/>
      <c r="B100" s="216"/>
      <c r="C100" s="216" t="str">
        <f t="shared" si="1"/>
        <v/>
      </c>
      <c r="D100" s="217"/>
      <c r="E100" s="218"/>
      <c r="F100" s="216"/>
      <c r="G100" s="216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</row>
    <row r="101">
      <c r="A101" s="216"/>
      <c r="B101" s="216"/>
      <c r="C101" s="216" t="str">
        <f t="shared" si="1"/>
        <v/>
      </c>
      <c r="D101" s="217"/>
      <c r="E101" s="218"/>
      <c r="F101" s="216"/>
      <c r="G101" s="216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</row>
    <row r="102">
      <c r="A102" s="216"/>
      <c r="B102" s="216"/>
      <c r="C102" s="216" t="str">
        <f t="shared" si="1"/>
        <v/>
      </c>
      <c r="D102" s="217"/>
      <c r="E102" s="218"/>
      <c r="F102" s="216"/>
      <c r="G102" s="216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</row>
    <row r="103">
      <c r="A103" s="216"/>
      <c r="B103" s="216"/>
      <c r="C103" s="216" t="str">
        <f t="shared" si="1"/>
        <v/>
      </c>
      <c r="D103" s="217"/>
      <c r="E103" s="218"/>
      <c r="F103" s="216"/>
      <c r="G103" s="216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</row>
    <row r="104">
      <c r="A104" s="216"/>
      <c r="B104" s="216"/>
      <c r="C104" s="216" t="str">
        <f t="shared" si="1"/>
        <v/>
      </c>
      <c r="D104" s="217"/>
      <c r="E104" s="218"/>
      <c r="F104" s="216"/>
      <c r="G104" s="216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</row>
    <row r="105">
      <c r="A105" s="216"/>
      <c r="B105" s="216"/>
      <c r="C105" s="216" t="str">
        <f t="shared" si="1"/>
        <v/>
      </c>
      <c r="D105" s="217"/>
      <c r="E105" s="218"/>
      <c r="F105" s="216"/>
      <c r="G105" s="216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</row>
    <row r="106">
      <c r="A106" s="216"/>
      <c r="B106" s="216"/>
      <c r="C106" s="216" t="str">
        <f t="shared" si="1"/>
        <v/>
      </c>
      <c r="D106" s="217"/>
      <c r="E106" s="218"/>
      <c r="F106" s="216"/>
      <c r="G106" s="216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</row>
    <row r="107">
      <c r="A107" s="216"/>
      <c r="B107" s="216"/>
      <c r="C107" s="216" t="str">
        <f t="shared" si="1"/>
        <v/>
      </c>
      <c r="D107" s="217"/>
      <c r="E107" s="218"/>
      <c r="F107" s="216"/>
      <c r="G107" s="216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  <c r="AA107" s="220"/>
      <c r="AB107" s="220"/>
    </row>
    <row r="108">
      <c r="A108" s="216"/>
      <c r="B108" s="216"/>
      <c r="C108" s="216" t="str">
        <f t="shared" si="1"/>
        <v/>
      </c>
      <c r="D108" s="217"/>
      <c r="E108" s="218"/>
      <c r="F108" s="216"/>
      <c r="G108" s="216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</row>
    <row r="109">
      <c r="A109" s="216"/>
      <c r="B109" s="216"/>
      <c r="C109" s="216" t="str">
        <f t="shared" si="1"/>
        <v/>
      </c>
      <c r="D109" s="217"/>
      <c r="E109" s="218"/>
      <c r="F109" s="216"/>
      <c r="G109" s="216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</row>
    <row r="110">
      <c r="A110" s="216"/>
      <c r="B110" s="216"/>
      <c r="C110" s="216" t="str">
        <f t="shared" si="1"/>
        <v/>
      </c>
      <c r="D110" s="217"/>
      <c r="E110" s="218"/>
      <c r="F110" s="216"/>
      <c r="G110" s="216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</row>
    <row r="111">
      <c r="A111" s="216"/>
      <c r="B111" s="216"/>
      <c r="C111" s="216" t="str">
        <f t="shared" si="1"/>
        <v/>
      </c>
      <c r="D111" s="217"/>
      <c r="E111" s="218"/>
      <c r="F111" s="216"/>
      <c r="G111" s="216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</row>
    <row r="112">
      <c r="A112" s="216"/>
      <c r="B112" s="216"/>
      <c r="C112" s="216" t="str">
        <f t="shared" si="1"/>
        <v/>
      </c>
      <c r="D112" s="217"/>
      <c r="E112" s="218"/>
      <c r="F112" s="216"/>
      <c r="G112" s="216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</row>
    <row r="113">
      <c r="A113" s="216"/>
      <c r="B113" s="216"/>
      <c r="C113" s="216" t="str">
        <f t="shared" si="1"/>
        <v/>
      </c>
      <c r="D113" s="217"/>
      <c r="E113" s="218"/>
      <c r="F113" s="216"/>
      <c r="G113" s="216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</row>
    <row r="114">
      <c r="A114" s="216"/>
      <c r="B114" s="216"/>
      <c r="C114" s="216" t="str">
        <f t="shared" si="1"/>
        <v/>
      </c>
      <c r="D114" s="217"/>
      <c r="E114" s="218"/>
      <c r="F114" s="216"/>
      <c r="G114" s="216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</row>
    <row r="115">
      <c r="A115" s="216"/>
      <c r="B115" s="216"/>
      <c r="C115" s="216" t="str">
        <f t="shared" si="1"/>
        <v/>
      </c>
      <c r="D115" s="217"/>
      <c r="E115" s="218"/>
      <c r="F115" s="216"/>
      <c r="G115" s="216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  <c r="AA115" s="220"/>
      <c r="AB115" s="220"/>
    </row>
    <row r="116">
      <c r="A116" s="216"/>
      <c r="B116" s="216"/>
      <c r="C116" s="216" t="str">
        <f t="shared" si="1"/>
        <v/>
      </c>
      <c r="D116" s="217"/>
      <c r="E116" s="218"/>
      <c r="F116" s="216"/>
      <c r="G116" s="216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</row>
    <row r="117">
      <c r="A117" s="216"/>
      <c r="B117" s="216"/>
      <c r="C117" s="216" t="str">
        <f t="shared" si="1"/>
        <v/>
      </c>
      <c r="D117" s="217"/>
      <c r="E117" s="218"/>
      <c r="F117" s="216"/>
      <c r="G117" s="216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</row>
    <row r="118">
      <c r="A118" s="216"/>
      <c r="B118" s="216"/>
      <c r="C118" s="216" t="str">
        <f t="shared" si="1"/>
        <v/>
      </c>
      <c r="D118" s="217"/>
      <c r="E118" s="218"/>
      <c r="F118" s="216"/>
      <c r="G118" s="216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</row>
    <row r="119">
      <c r="A119" s="216"/>
      <c r="B119" s="216"/>
      <c r="C119" s="216" t="str">
        <f t="shared" si="1"/>
        <v/>
      </c>
      <c r="D119" s="217"/>
      <c r="E119" s="218"/>
      <c r="F119" s="216"/>
      <c r="G119" s="216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</row>
    <row r="120">
      <c r="A120" s="216"/>
      <c r="B120" s="216"/>
      <c r="C120" s="216" t="str">
        <f t="shared" si="1"/>
        <v/>
      </c>
      <c r="D120" s="217"/>
      <c r="E120" s="218"/>
      <c r="F120" s="216"/>
      <c r="G120" s="216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</row>
    <row r="121">
      <c r="A121" s="216"/>
      <c r="B121" s="216"/>
      <c r="C121" s="216" t="str">
        <f t="shared" si="1"/>
        <v/>
      </c>
      <c r="D121" s="217"/>
      <c r="E121" s="218"/>
      <c r="F121" s="216"/>
      <c r="G121" s="216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</row>
    <row r="122">
      <c r="A122" s="216"/>
      <c r="B122" s="216"/>
      <c r="C122" s="216" t="str">
        <f t="shared" si="1"/>
        <v/>
      </c>
      <c r="D122" s="217"/>
      <c r="E122" s="218"/>
      <c r="F122" s="216"/>
      <c r="G122" s="216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  <c r="AA122" s="220"/>
      <c r="AB122" s="220"/>
    </row>
    <row r="123">
      <c r="A123" s="216"/>
      <c r="B123" s="216"/>
      <c r="C123" s="216" t="str">
        <f t="shared" si="1"/>
        <v/>
      </c>
      <c r="D123" s="217"/>
      <c r="E123" s="218"/>
      <c r="F123" s="216"/>
      <c r="G123" s="216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</row>
    <row r="124">
      <c r="A124" s="216"/>
      <c r="B124" s="216"/>
      <c r="C124" s="216" t="str">
        <f t="shared" si="1"/>
        <v/>
      </c>
      <c r="D124" s="217"/>
      <c r="E124" s="218"/>
      <c r="F124" s="216"/>
      <c r="G124" s="216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</row>
    <row r="125">
      <c r="A125" s="216"/>
      <c r="B125" s="216"/>
      <c r="C125" s="216" t="str">
        <f t="shared" si="1"/>
        <v/>
      </c>
      <c r="D125" s="217"/>
      <c r="E125" s="218"/>
      <c r="F125" s="216"/>
      <c r="G125" s="216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</row>
    <row r="126">
      <c r="A126" s="216"/>
      <c r="B126" s="216"/>
      <c r="C126" s="216" t="str">
        <f t="shared" si="1"/>
        <v/>
      </c>
      <c r="D126" s="217"/>
      <c r="E126" s="218"/>
      <c r="F126" s="216"/>
      <c r="G126" s="216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</row>
    <row r="127">
      <c r="A127" s="216"/>
      <c r="B127" s="216"/>
      <c r="C127" s="216" t="str">
        <f t="shared" si="1"/>
        <v/>
      </c>
      <c r="D127" s="217"/>
      <c r="E127" s="218"/>
      <c r="F127" s="216"/>
      <c r="G127" s="216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</row>
    <row r="128">
      <c r="A128" s="216"/>
      <c r="B128" s="216"/>
      <c r="C128" s="216" t="str">
        <f t="shared" si="1"/>
        <v/>
      </c>
      <c r="D128" s="217"/>
      <c r="E128" s="218"/>
      <c r="F128" s="216"/>
      <c r="G128" s="216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</row>
    <row r="129">
      <c r="A129" s="216"/>
      <c r="B129" s="216"/>
      <c r="C129" s="216" t="str">
        <f t="shared" si="1"/>
        <v/>
      </c>
      <c r="D129" s="217"/>
      <c r="E129" s="218"/>
      <c r="F129" s="216"/>
      <c r="G129" s="216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</row>
    <row r="130">
      <c r="A130" s="216"/>
      <c r="B130" s="216"/>
      <c r="C130" s="216" t="str">
        <f t="shared" si="1"/>
        <v/>
      </c>
      <c r="D130" s="217"/>
      <c r="E130" s="218"/>
      <c r="F130" s="216"/>
      <c r="G130" s="216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</row>
    <row r="131">
      <c r="A131" s="216"/>
      <c r="B131" s="216"/>
      <c r="C131" s="216" t="str">
        <f t="shared" si="1"/>
        <v/>
      </c>
      <c r="D131" s="217"/>
      <c r="E131" s="218"/>
      <c r="F131" s="216"/>
      <c r="G131" s="216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</row>
    <row r="132">
      <c r="A132" s="216"/>
      <c r="B132" s="216"/>
      <c r="C132" s="216" t="str">
        <f t="shared" si="1"/>
        <v/>
      </c>
      <c r="D132" s="217"/>
      <c r="E132" s="218"/>
      <c r="F132" s="216"/>
      <c r="G132" s="216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</row>
    <row r="133">
      <c r="A133" s="216"/>
      <c r="B133" s="216"/>
      <c r="C133" s="216" t="str">
        <f t="shared" si="1"/>
        <v/>
      </c>
      <c r="D133" s="217"/>
      <c r="E133" s="218"/>
      <c r="F133" s="216"/>
      <c r="G133" s="216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</row>
    <row r="134">
      <c r="A134" s="216"/>
      <c r="B134" s="216"/>
      <c r="C134" s="216" t="str">
        <f t="shared" si="1"/>
        <v/>
      </c>
      <c r="D134" s="217"/>
      <c r="E134" s="218"/>
      <c r="F134" s="216"/>
      <c r="G134" s="216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</row>
    <row r="135">
      <c r="A135" s="216"/>
      <c r="B135" s="216"/>
      <c r="C135" s="216" t="str">
        <f t="shared" si="1"/>
        <v/>
      </c>
      <c r="D135" s="217"/>
      <c r="E135" s="218"/>
      <c r="F135" s="216"/>
      <c r="G135" s="216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</row>
    <row r="136">
      <c r="A136" s="216"/>
      <c r="B136" s="216"/>
      <c r="C136" s="216" t="str">
        <f t="shared" si="1"/>
        <v/>
      </c>
      <c r="D136" s="217"/>
      <c r="E136" s="218"/>
      <c r="F136" s="216"/>
      <c r="G136" s="216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</row>
    <row r="137">
      <c r="A137" s="216"/>
      <c r="B137" s="216"/>
      <c r="C137" s="216" t="str">
        <f t="shared" si="1"/>
        <v/>
      </c>
      <c r="D137" s="217"/>
      <c r="E137" s="218"/>
      <c r="F137" s="216"/>
      <c r="G137" s="216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</row>
    <row r="138">
      <c r="A138" s="216"/>
      <c r="B138" s="216"/>
      <c r="C138" s="216" t="str">
        <f t="shared" si="1"/>
        <v/>
      </c>
      <c r="D138" s="217"/>
      <c r="E138" s="218"/>
      <c r="F138" s="216"/>
      <c r="G138" s="216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</row>
    <row r="139">
      <c r="A139" s="216"/>
      <c r="B139" s="216"/>
      <c r="C139" s="216" t="str">
        <f t="shared" si="1"/>
        <v/>
      </c>
      <c r="D139" s="217"/>
      <c r="E139" s="218"/>
      <c r="F139" s="216"/>
      <c r="G139" s="216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</row>
    <row r="140">
      <c r="A140" s="216"/>
      <c r="B140" s="216"/>
      <c r="C140" s="216" t="str">
        <f t="shared" si="1"/>
        <v/>
      </c>
      <c r="D140" s="217"/>
      <c r="E140" s="218"/>
      <c r="F140" s="216"/>
      <c r="G140" s="216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</row>
    <row r="141">
      <c r="A141" s="216"/>
      <c r="B141" s="216"/>
      <c r="C141" s="216" t="str">
        <f t="shared" si="1"/>
        <v/>
      </c>
      <c r="D141" s="217"/>
      <c r="E141" s="218"/>
      <c r="F141" s="216"/>
      <c r="G141" s="216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</row>
    <row r="142">
      <c r="A142" s="216"/>
      <c r="B142" s="216"/>
      <c r="C142" s="216" t="str">
        <f t="shared" si="1"/>
        <v/>
      </c>
      <c r="D142" s="217"/>
      <c r="E142" s="218"/>
      <c r="F142" s="216"/>
      <c r="G142" s="216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</row>
    <row r="143">
      <c r="A143" s="216"/>
      <c r="B143" s="216"/>
      <c r="C143" s="216" t="str">
        <f t="shared" si="1"/>
        <v/>
      </c>
      <c r="D143" s="217"/>
      <c r="E143" s="218"/>
      <c r="F143" s="216"/>
      <c r="G143" s="216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</row>
    <row r="144">
      <c r="A144" s="216"/>
      <c r="B144" s="216"/>
      <c r="C144" s="216" t="str">
        <f t="shared" si="1"/>
        <v/>
      </c>
      <c r="D144" s="217"/>
      <c r="E144" s="218"/>
      <c r="F144" s="216"/>
      <c r="G144" s="216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</row>
    <row r="145">
      <c r="A145" s="216"/>
      <c r="B145" s="216"/>
      <c r="C145" s="216" t="str">
        <f t="shared" si="1"/>
        <v/>
      </c>
      <c r="D145" s="217"/>
      <c r="E145" s="218"/>
      <c r="F145" s="216"/>
      <c r="G145" s="216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</row>
    <row r="146">
      <c r="A146" s="216"/>
      <c r="B146" s="216"/>
      <c r="C146" s="216" t="str">
        <f t="shared" si="1"/>
        <v/>
      </c>
      <c r="D146" s="217"/>
      <c r="E146" s="218"/>
      <c r="F146" s="216"/>
      <c r="G146" s="216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</row>
    <row r="147">
      <c r="A147" s="216"/>
      <c r="B147" s="216"/>
      <c r="C147" s="216" t="str">
        <f t="shared" si="1"/>
        <v/>
      </c>
      <c r="D147" s="217"/>
      <c r="E147" s="218"/>
      <c r="F147" s="216"/>
      <c r="G147" s="216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</row>
    <row r="148">
      <c r="A148" s="216"/>
      <c r="B148" s="216"/>
      <c r="C148" s="216" t="str">
        <f t="shared" si="1"/>
        <v/>
      </c>
      <c r="D148" s="217"/>
      <c r="E148" s="218"/>
      <c r="F148" s="216"/>
      <c r="G148" s="216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</row>
    <row r="149">
      <c r="A149" s="216"/>
      <c r="B149" s="216"/>
      <c r="C149" s="216" t="str">
        <f t="shared" si="1"/>
        <v/>
      </c>
      <c r="D149" s="217"/>
      <c r="E149" s="218"/>
      <c r="F149" s="216"/>
      <c r="G149" s="216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</row>
    <row r="150">
      <c r="A150" s="216"/>
      <c r="B150" s="216"/>
      <c r="C150" s="216" t="str">
        <f t="shared" si="1"/>
        <v/>
      </c>
      <c r="D150" s="217"/>
      <c r="E150" s="218"/>
      <c r="F150" s="216"/>
      <c r="G150" s="216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  <c r="AA150" s="220"/>
      <c r="AB150" s="220"/>
    </row>
    <row r="151">
      <c r="A151" s="216"/>
      <c r="B151" s="216"/>
      <c r="C151" s="216" t="str">
        <f t="shared" si="1"/>
        <v/>
      </c>
      <c r="D151" s="217"/>
      <c r="E151" s="218"/>
      <c r="F151" s="216"/>
      <c r="G151" s="216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</row>
    <row r="152">
      <c r="A152" s="216"/>
      <c r="B152" s="216"/>
      <c r="C152" s="216" t="str">
        <f t="shared" si="1"/>
        <v/>
      </c>
      <c r="D152" s="217"/>
      <c r="E152" s="218"/>
      <c r="F152" s="216"/>
      <c r="G152" s="216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  <c r="AB152" s="220"/>
    </row>
    <row r="153">
      <c r="A153" s="216"/>
      <c r="B153" s="216"/>
      <c r="C153" s="216" t="str">
        <f t="shared" si="1"/>
        <v/>
      </c>
      <c r="D153" s="217"/>
      <c r="E153" s="218"/>
      <c r="F153" s="216"/>
      <c r="G153" s="216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  <c r="AB153" s="220"/>
    </row>
    <row r="154">
      <c r="A154" s="216"/>
      <c r="B154" s="216"/>
      <c r="C154" s="216" t="str">
        <f t="shared" si="1"/>
        <v/>
      </c>
      <c r="D154" s="217"/>
      <c r="E154" s="218"/>
      <c r="F154" s="216"/>
      <c r="G154" s="216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  <c r="AA154" s="220"/>
      <c r="AB154" s="220"/>
    </row>
    <row r="155">
      <c r="A155" s="216"/>
      <c r="B155" s="216"/>
      <c r="C155" s="216" t="str">
        <f t="shared" si="1"/>
        <v/>
      </c>
      <c r="D155" s="217"/>
      <c r="E155" s="218"/>
      <c r="F155" s="216"/>
      <c r="G155" s="216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  <c r="AA155" s="220"/>
      <c r="AB155" s="220"/>
    </row>
    <row r="156">
      <c r="A156" s="216"/>
      <c r="B156" s="216"/>
      <c r="C156" s="216" t="str">
        <f t="shared" si="1"/>
        <v/>
      </c>
      <c r="D156" s="217"/>
      <c r="E156" s="218"/>
      <c r="F156" s="216"/>
      <c r="G156" s="216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  <c r="AA156" s="220"/>
      <c r="AB156" s="220"/>
    </row>
    <row r="157">
      <c r="A157" s="216"/>
      <c r="B157" s="216"/>
      <c r="C157" s="216" t="str">
        <f t="shared" si="1"/>
        <v/>
      </c>
      <c r="D157" s="217"/>
      <c r="E157" s="218"/>
      <c r="F157" s="216"/>
      <c r="G157" s="216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  <c r="AA157" s="220"/>
      <c r="AB157" s="220"/>
    </row>
    <row r="158">
      <c r="A158" s="216"/>
      <c r="B158" s="216"/>
      <c r="C158" s="216" t="str">
        <f t="shared" si="1"/>
        <v/>
      </c>
      <c r="D158" s="217"/>
      <c r="E158" s="218"/>
      <c r="F158" s="216"/>
      <c r="G158" s="216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  <c r="AA158" s="220"/>
      <c r="AB158" s="220"/>
    </row>
    <row r="159">
      <c r="A159" s="216"/>
      <c r="B159" s="216"/>
      <c r="C159" s="216" t="str">
        <f t="shared" si="1"/>
        <v/>
      </c>
      <c r="D159" s="217"/>
      <c r="E159" s="218"/>
      <c r="F159" s="216"/>
      <c r="G159" s="216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  <c r="AA159" s="220"/>
      <c r="AB159" s="220"/>
    </row>
    <row r="160">
      <c r="A160" s="216"/>
      <c r="B160" s="216"/>
      <c r="C160" s="216" t="str">
        <f t="shared" si="1"/>
        <v/>
      </c>
      <c r="D160" s="217"/>
      <c r="E160" s="218"/>
      <c r="F160" s="216"/>
      <c r="G160" s="216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  <c r="AA160" s="220"/>
      <c r="AB160" s="220"/>
    </row>
    <row r="161">
      <c r="A161" s="216"/>
      <c r="B161" s="216"/>
      <c r="C161" s="216" t="str">
        <f t="shared" si="1"/>
        <v/>
      </c>
      <c r="D161" s="217"/>
      <c r="E161" s="218"/>
      <c r="F161" s="216"/>
      <c r="G161" s="216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  <c r="AA161" s="220"/>
      <c r="AB161" s="220"/>
    </row>
    <row r="162">
      <c r="A162" s="216"/>
      <c r="B162" s="216"/>
      <c r="C162" s="216" t="str">
        <f t="shared" si="1"/>
        <v/>
      </c>
      <c r="D162" s="217"/>
      <c r="E162" s="218"/>
      <c r="F162" s="216"/>
      <c r="G162" s="216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  <c r="AA162" s="220"/>
      <c r="AB162" s="220"/>
    </row>
    <row r="163">
      <c r="A163" s="216"/>
      <c r="B163" s="216"/>
      <c r="C163" s="216" t="str">
        <f t="shared" si="1"/>
        <v/>
      </c>
      <c r="D163" s="217"/>
      <c r="E163" s="218"/>
      <c r="F163" s="216"/>
      <c r="G163" s="216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  <c r="AA163" s="220"/>
      <c r="AB163" s="220"/>
    </row>
    <row r="164">
      <c r="A164" s="216"/>
      <c r="B164" s="216"/>
      <c r="C164" s="216" t="str">
        <f t="shared" si="1"/>
        <v/>
      </c>
      <c r="D164" s="217"/>
      <c r="E164" s="218"/>
      <c r="F164" s="216"/>
      <c r="G164" s="216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  <c r="AA164" s="220"/>
      <c r="AB164" s="220"/>
    </row>
    <row r="165">
      <c r="A165" s="216"/>
      <c r="B165" s="216"/>
      <c r="C165" s="216" t="str">
        <f t="shared" si="1"/>
        <v/>
      </c>
      <c r="D165" s="217"/>
      <c r="E165" s="218"/>
      <c r="F165" s="216"/>
      <c r="G165" s="216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  <c r="AA165" s="220"/>
      <c r="AB165" s="220"/>
    </row>
    <row r="166">
      <c r="A166" s="216"/>
      <c r="B166" s="216"/>
      <c r="C166" s="216" t="str">
        <f t="shared" si="1"/>
        <v/>
      </c>
      <c r="D166" s="217"/>
      <c r="E166" s="218"/>
      <c r="F166" s="216"/>
      <c r="G166" s="216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  <c r="AA166" s="220"/>
      <c r="AB166" s="220"/>
    </row>
    <row r="167">
      <c r="A167" s="216"/>
      <c r="B167" s="216"/>
      <c r="C167" s="216" t="str">
        <f t="shared" si="1"/>
        <v/>
      </c>
      <c r="D167" s="217"/>
      <c r="E167" s="218"/>
      <c r="F167" s="216"/>
      <c r="G167" s="216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  <c r="AA167" s="220"/>
      <c r="AB167" s="220"/>
    </row>
    <row r="168">
      <c r="A168" s="216"/>
      <c r="B168" s="216"/>
      <c r="C168" s="216" t="str">
        <f t="shared" si="1"/>
        <v/>
      </c>
      <c r="D168" s="217"/>
      <c r="E168" s="218"/>
      <c r="F168" s="216"/>
      <c r="G168" s="216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  <c r="AA168" s="220"/>
      <c r="AB168" s="220"/>
    </row>
    <row r="169">
      <c r="A169" s="216"/>
      <c r="B169" s="216"/>
      <c r="C169" s="216" t="str">
        <f t="shared" si="1"/>
        <v/>
      </c>
      <c r="D169" s="217"/>
      <c r="E169" s="218"/>
      <c r="F169" s="216"/>
      <c r="G169" s="216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  <c r="AA169" s="220"/>
      <c r="AB169" s="220"/>
    </row>
    <row r="170">
      <c r="A170" s="216"/>
      <c r="B170" s="216"/>
      <c r="C170" s="216" t="str">
        <f t="shared" si="1"/>
        <v/>
      </c>
      <c r="D170" s="217"/>
      <c r="E170" s="218"/>
      <c r="F170" s="216"/>
      <c r="G170" s="216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</row>
    <row r="171">
      <c r="A171" s="216"/>
      <c r="B171" s="216"/>
      <c r="C171" s="216" t="str">
        <f t="shared" si="1"/>
        <v/>
      </c>
      <c r="D171" s="217"/>
      <c r="E171" s="218"/>
      <c r="F171" s="216"/>
      <c r="G171" s="216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</row>
    <row r="172">
      <c r="A172" s="216"/>
      <c r="B172" s="216"/>
      <c r="C172" s="216" t="str">
        <f t="shared" si="1"/>
        <v/>
      </c>
      <c r="D172" s="217"/>
      <c r="E172" s="218"/>
      <c r="F172" s="216"/>
      <c r="G172" s="216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  <c r="AA172" s="220"/>
      <c r="AB172" s="220"/>
    </row>
    <row r="173">
      <c r="A173" s="216"/>
      <c r="B173" s="216"/>
      <c r="C173" s="216" t="str">
        <f t="shared" si="1"/>
        <v/>
      </c>
      <c r="D173" s="217"/>
      <c r="E173" s="218"/>
      <c r="F173" s="216"/>
      <c r="G173" s="216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  <c r="AA173" s="220"/>
      <c r="AB173" s="220"/>
    </row>
    <row r="174">
      <c r="A174" s="216"/>
      <c r="B174" s="216"/>
      <c r="C174" s="216" t="str">
        <f t="shared" si="1"/>
        <v/>
      </c>
      <c r="D174" s="217"/>
      <c r="E174" s="218"/>
      <c r="F174" s="216"/>
      <c r="G174" s="216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  <c r="AB174" s="220"/>
    </row>
    <row r="175">
      <c r="A175" s="216"/>
      <c r="B175" s="216"/>
      <c r="C175" s="216" t="str">
        <f t="shared" si="1"/>
        <v/>
      </c>
      <c r="D175" s="217"/>
      <c r="E175" s="218"/>
      <c r="F175" s="216"/>
      <c r="G175" s="216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  <c r="AA175" s="220"/>
      <c r="AB175" s="220"/>
    </row>
    <row r="176">
      <c r="A176" s="216"/>
      <c r="B176" s="216"/>
      <c r="C176" s="216" t="str">
        <f t="shared" si="1"/>
        <v/>
      </c>
      <c r="D176" s="217"/>
      <c r="E176" s="218"/>
      <c r="F176" s="216"/>
      <c r="G176" s="216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  <c r="AA176" s="220"/>
      <c r="AB176" s="220"/>
    </row>
    <row r="177">
      <c r="A177" s="216"/>
      <c r="B177" s="216"/>
      <c r="C177" s="216" t="str">
        <f t="shared" si="1"/>
        <v/>
      </c>
      <c r="D177" s="217"/>
      <c r="E177" s="218"/>
      <c r="F177" s="216"/>
      <c r="G177" s="216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  <c r="AA177" s="220"/>
      <c r="AB177" s="220"/>
    </row>
    <row r="178">
      <c r="A178" s="216"/>
      <c r="B178" s="216"/>
      <c r="C178" s="216" t="str">
        <f t="shared" si="1"/>
        <v/>
      </c>
      <c r="D178" s="217"/>
      <c r="E178" s="218"/>
      <c r="F178" s="216"/>
      <c r="G178" s="216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  <c r="AA178" s="220"/>
      <c r="AB178" s="220"/>
    </row>
    <row r="179">
      <c r="A179" s="216"/>
      <c r="B179" s="216"/>
      <c r="C179" s="216" t="str">
        <f t="shared" si="1"/>
        <v/>
      </c>
      <c r="D179" s="217"/>
      <c r="E179" s="218"/>
      <c r="F179" s="216"/>
      <c r="G179" s="216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  <c r="AA179" s="220"/>
      <c r="AB179" s="220"/>
    </row>
    <row r="180">
      <c r="A180" s="216"/>
      <c r="B180" s="216"/>
      <c r="C180" s="216" t="str">
        <f t="shared" si="1"/>
        <v/>
      </c>
      <c r="D180" s="217"/>
      <c r="E180" s="218"/>
      <c r="F180" s="216"/>
      <c r="G180" s="216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  <c r="AA180" s="220"/>
      <c r="AB180" s="220"/>
    </row>
    <row r="181">
      <c r="A181" s="216"/>
      <c r="B181" s="216"/>
      <c r="C181" s="216" t="str">
        <f t="shared" si="1"/>
        <v/>
      </c>
      <c r="D181" s="217"/>
      <c r="E181" s="218"/>
      <c r="F181" s="216"/>
      <c r="G181" s="216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  <c r="AA181" s="220"/>
      <c r="AB181" s="220"/>
    </row>
    <row r="182">
      <c r="A182" s="216"/>
      <c r="B182" s="216"/>
      <c r="C182" s="216" t="str">
        <f t="shared" si="1"/>
        <v/>
      </c>
      <c r="D182" s="217"/>
      <c r="E182" s="218"/>
      <c r="F182" s="216"/>
      <c r="G182" s="216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  <c r="AA182" s="220"/>
      <c r="AB182" s="220"/>
    </row>
    <row r="183">
      <c r="A183" s="216"/>
      <c r="B183" s="216"/>
      <c r="C183" s="216" t="str">
        <f t="shared" si="1"/>
        <v/>
      </c>
      <c r="D183" s="217"/>
      <c r="E183" s="218"/>
      <c r="F183" s="216"/>
      <c r="G183" s="216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  <c r="AA183" s="220"/>
      <c r="AB183" s="220"/>
    </row>
    <row r="184">
      <c r="A184" s="216"/>
      <c r="B184" s="216"/>
      <c r="C184" s="216" t="str">
        <f t="shared" si="1"/>
        <v/>
      </c>
      <c r="D184" s="217"/>
      <c r="E184" s="218"/>
      <c r="F184" s="216"/>
      <c r="G184" s="216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  <c r="AA184" s="220"/>
      <c r="AB184" s="220"/>
    </row>
    <row r="185">
      <c r="A185" s="216"/>
      <c r="B185" s="216"/>
      <c r="C185" s="216" t="str">
        <f t="shared" si="1"/>
        <v/>
      </c>
      <c r="D185" s="217"/>
      <c r="E185" s="218"/>
      <c r="F185" s="216"/>
      <c r="G185" s="216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  <c r="AA185" s="220"/>
      <c r="AB185" s="220"/>
    </row>
    <row r="186">
      <c r="A186" s="216"/>
      <c r="B186" s="216"/>
      <c r="C186" s="216" t="str">
        <f t="shared" si="1"/>
        <v/>
      </c>
      <c r="D186" s="217"/>
      <c r="E186" s="218"/>
      <c r="F186" s="216"/>
      <c r="G186" s="216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  <c r="AA186" s="220"/>
      <c r="AB186" s="220"/>
    </row>
    <row r="187">
      <c r="A187" s="216"/>
      <c r="B187" s="216"/>
      <c r="C187" s="216" t="str">
        <f t="shared" si="1"/>
        <v/>
      </c>
      <c r="D187" s="217"/>
      <c r="E187" s="218"/>
      <c r="F187" s="216"/>
      <c r="G187" s="216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  <c r="AA187" s="220"/>
      <c r="AB187" s="220"/>
    </row>
    <row r="188">
      <c r="A188" s="216"/>
      <c r="B188" s="216"/>
      <c r="C188" s="216" t="str">
        <f t="shared" si="1"/>
        <v/>
      </c>
      <c r="D188" s="217"/>
      <c r="E188" s="218"/>
      <c r="F188" s="216"/>
      <c r="G188" s="216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  <c r="AA188" s="220"/>
      <c r="AB188" s="220"/>
    </row>
    <row r="189">
      <c r="A189" s="216"/>
      <c r="B189" s="216"/>
      <c r="C189" s="216" t="str">
        <f t="shared" si="1"/>
        <v/>
      </c>
      <c r="D189" s="217"/>
      <c r="E189" s="218"/>
      <c r="F189" s="216"/>
      <c r="G189" s="216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  <c r="AA189" s="220"/>
      <c r="AB189" s="220"/>
    </row>
    <row r="190">
      <c r="A190" s="216"/>
      <c r="B190" s="216"/>
      <c r="C190" s="216" t="str">
        <f t="shared" si="1"/>
        <v/>
      </c>
      <c r="D190" s="217"/>
      <c r="E190" s="218"/>
      <c r="F190" s="216"/>
      <c r="G190" s="216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  <c r="AA190" s="220"/>
      <c r="AB190" s="220"/>
    </row>
    <row r="191">
      <c r="A191" s="216"/>
      <c r="B191" s="216"/>
      <c r="C191" s="216" t="str">
        <f t="shared" si="1"/>
        <v/>
      </c>
      <c r="D191" s="217"/>
      <c r="E191" s="218"/>
      <c r="F191" s="216"/>
      <c r="G191" s="216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  <c r="AA191" s="220"/>
      <c r="AB191" s="220"/>
    </row>
    <row r="192">
      <c r="A192" s="216"/>
      <c r="B192" s="216"/>
      <c r="C192" s="216" t="str">
        <f t="shared" si="1"/>
        <v/>
      </c>
      <c r="D192" s="217"/>
      <c r="E192" s="218"/>
      <c r="F192" s="216"/>
      <c r="G192" s="216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  <c r="AA192" s="220"/>
      <c r="AB192" s="220"/>
    </row>
    <row r="193">
      <c r="A193" s="216"/>
      <c r="B193" s="216"/>
      <c r="C193" s="216" t="str">
        <f t="shared" si="1"/>
        <v/>
      </c>
      <c r="D193" s="217"/>
      <c r="E193" s="218"/>
      <c r="F193" s="216"/>
      <c r="G193" s="216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  <c r="AA193" s="220"/>
      <c r="AB193" s="220"/>
    </row>
    <row r="194">
      <c r="A194" s="216"/>
      <c r="B194" s="216"/>
      <c r="C194" s="216" t="str">
        <f t="shared" si="1"/>
        <v/>
      </c>
      <c r="D194" s="217"/>
      <c r="E194" s="218"/>
      <c r="F194" s="216"/>
      <c r="G194" s="216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  <c r="AA194" s="220"/>
      <c r="AB194" s="220"/>
    </row>
    <row r="195">
      <c r="A195" s="216"/>
      <c r="B195" s="216"/>
      <c r="C195" s="216" t="str">
        <f t="shared" si="1"/>
        <v/>
      </c>
      <c r="D195" s="217"/>
      <c r="E195" s="218"/>
      <c r="F195" s="216"/>
      <c r="G195" s="216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  <c r="AA195" s="220"/>
      <c r="AB195" s="220"/>
    </row>
    <row r="196">
      <c r="A196" s="216"/>
      <c r="B196" s="216"/>
      <c r="C196" s="216" t="str">
        <f t="shared" si="1"/>
        <v/>
      </c>
      <c r="D196" s="217"/>
      <c r="E196" s="218"/>
      <c r="F196" s="216"/>
      <c r="G196" s="216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  <c r="AA196" s="220"/>
      <c r="AB196" s="220"/>
    </row>
    <row r="197">
      <c r="A197" s="216"/>
      <c r="B197" s="216"/>
      <c r="C197" s="216" t="str">
        <f t="shared" si="1"/>
        <v/>
      </c>
      <c r="D197" s="217"/>
      <c r="E197" s="218"/>
      <c r="F197" s="216"/>
      <c r="G197" s="216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  <c r="AA197" s="220"/>
      <c r="AB197" s="220"/>
    </row>
    <row r="198">
      <c r="A198" s="216"/>
      <c r="B198" s="216"/>
      <c r="C198" s="216" t="str">
        <f t="shared" si="1"/>
        <v/>
      </c>
      <c r="D198" s="217"/>
      <c r="E198" s="218"/>
      <c r="F198" s="216"/>
      <c r="G198" s="216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  <c r="AA198" s="220"/>
      <c r="AB198" s="220"/>
    </row>
    <row r="199">
      <c r="A199" s="216"/>
      <c r="B199" s="216"/>
      <c r="C199" s="216" t="str">
        <f t="shared" si="1"/>
        <v/>
      </c>
      <c r="D199" s="217"/>
      <c r="E199" s="218"/>
      <c r="F199" s="216"/>
      <c r="G199" s="216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  <c r="AA199" s="220"/>
      <c r="AB199" s="220"/>
    </row>
    <row r="200">
      <c r="A200" s="216"/>
      <c r="B200" s="216"/>
      <c r="C200" s="216" t="str">
        <f t="shared" si="1"/>
        <v/>
      </c>
      <c r="D200" s="217"/>
      <c r="E200" s="218"/>
      <c r="F200" s="216"/>
      <c r="G200" s="216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  <c r="AA200" s="220"/>
      <c r="AB200" s="220"/>
    </row>
    <row r="201">
      <c r="A201" s="216"/>
      <c r="B201" s="216"/>
      <c r="C201" s="216" t="str">
        <f t="shared" si="1"/>
        <v/>
      </c>
      <c r="D201" s="217"/>
      <c r="E201" s="218"/>
      <c r="F201" s="216"/>
      <c r="G201" s="216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  <c r="AA201" s="220"/>
      <c r="AB201" s="220"/>
    </row>
    <row r="202">
      <c r="A202" s="216"/>
      <c r="B202" s="216"/>
      <c r="C202" s="216" t="str">
        <f t="shared" si="1"/>
        <v/>
      </c>
      <c r="D202" s="217"/>
      <c r="E202" s="218"/>
      <c r="F202" s="216"/>
      <c r="G202" s="216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  <c r="AA202" s="220"/>
      <c r="AB202" s="220"/>
    </row>
    <row r="203">
      <c r="A203" s="216"/>
      <c r="B203" s="216"/>
      <c r="C203" s="216" t="str">
        <f t="shared" si="1"/>
        <v/>
      </c>
      <c r="D203" s="217"/>
      <c r="E203" s="218"/>
      <c r="F203" s="216"/>
      <c r="G203" s="216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  <c r="AA203" s="220"/>
      <c r="AB203" s="220"/>
    </row>
    <row r="204">
      <c r="A204" s="216"/>
      <c r="B204" s="216"/>
      <c r="C204" s="216" t="str">
        <f t="shared" si="1"/>
        <v/>
      </c>
      <c r="D204" s="217"/>
      <c r="E204" s="218"/>
      <c r="F204" s="216"/>
      <c r="G204" s="216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  <c r="AA204" s="220"/>
      <c r="AB204" s="220"/>
    </row>
    <row r="205">
      <c r="A205" s="216"/>
      <c r="B205" s="216"/>
      <c r="C205" s="216" t="str">
        <f t="shared" si="1"/>
        <v/>
      </c>
      <c r="D205" s="217"/>
      <c r="E205" s="218"/>
      <c r="F205" s="216"/>
      <c r="G205" s="216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  <c r="AA205" s="220"/>
      <c r="AB205" s="220"/>
    </row>
    <row r="206">
      <c r="A206" s="216"/>
      <c r="B206" s="216"/>
      <c r="C206" s="216" t="str">
        <f t="shared" si="1"/>
        <v/>
      </c>
      <c r="D206" s="217"/>
      <c r="E206" s="218"/>
      <c r="F206" s="216"/>
      <c r="G206" s="216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  <c r="AA206" s="220"/>
      <c r="AB206" s="220"/>
    </row>
    <row r="207">
      <c r="A207" s="216"/>
      <c r="B207" s="216"/>
      <c r="C207" s="216" t="str">
        <f t="shared" si="1"/>
        <v/>
      </c>
      <c r="D207" s="217"/>
      <c r="E207" s="218"/>
      <c r="F207" s="216"/>
      <c r="G207" s="216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  <c r="AA207" s="220"/>
      <c r="AB207" s="220"/>
    </row>
    <row r="208">
      <c r="A208" s="216"/>
      <c r="B208" s="216"/>
      <c r="C208" s="216" t="str">
        <f t="shared" si="1"/>
        <v/>
      </c>
      <c r="D208" s="217"/>
      <c r="E208" s="218"/>
      <c r="F208" s="216"/>
      <c r="G208" s="216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  <c r="AA208" s="220"/>
      <c r="AB208" s="220"/>
    </row>
    <row r="209">
      <c r="A209" s="216"/>
      <c r="B209" s="216"/>
      <c r="C209" s="216" t="str">
        <f t="shared" si="1"/>
        <v/>
      </c>
      <c r="D209" s="217"/>
      <c r="E209" s="218"/>
      <c r="F209" s="216"/>
      <c r="G209" s="216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  <c r="AA209" s="220"/>
      <c r="AB209" s="220"/>
    </row>
    <row r="210">
      <c r="A210" s="216"/>
      <c r="B210" s="216"/>
      <c r="C210" s="216" t="str">
        <f t="shared" si="1"/>
        <v/>
      </c>
      <c r="D210" s="217"/>
      <c r="E210" s="218"/>
      <c r="F210" s="216"/>
      <c r="G210" s="216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  <c r="AA210" s="220"/>
      <c r="AB210" s="220"/>
    </row>
    <row r="211">
      <c r="A211" s="216"/>
      <c r="B211" s="216"/>
      <c r="C211" s="216" t="str">
        <f t="shared" si="1"/>
        <v/>
      </c>
      <c r="D211" s="217"/>
      <c r="E211" s="218"/>
      <c r="F211" s="216"/>
      <c r="G211" s="216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  <c r="AA211" s="220"/>
      <c r="AB211" s="220"/>
    </row>
    <row r="212">
      <c r="A212" s="216"/>
      <c r="B212" s="216"/>
      <c r="C212" s="216" t="str">
        <f t="shared" si="1"/>
        <v/>
      </c>
      <c r="D212" s="217"/>
      <c r="E212" s="218"/>
      <c r="F212" s="216"/>
      <c r="G212" s="216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  <c r="AA212" s="220"/>
      <c r="AB212" s="220"/>
    </row>
    <row r="213">
      <c r="A213" s="216"/>
      <c r="B213" s="216"/>
      <c r="C213" s="216" t="str">
        <f t="shared" si="1"/>
        <v/>
      </c>
      <c r="D213" s="217"/>
      <c r="E213" s="218"/>
      <c r="F213" s="216"/>
      <c r="G213" s="216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  <c r="AA213" s="220"/>
      <c r="AB213" s="220"/>
    </row>
    <row r="214">
      <c r="A214" s="216"/>
      <c r="B214" s="216"/>
      <c r="C214" s="216" t="str">
        <f t="shared" si="1"/>
        <v/>
      </c>
      <c r="D214" s="217"/>
      <c r="E214" s="218"/>
      <c r="F214" s="216"/>
      <c r="G214" s="216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  <c r="AA214" s="220"/>
      <c r="AB214" s="220"/>
    </row>
    <row r="215">
      <c r="A215" s="216"/>
      <c r="B215" s="216"/>
      <c r="C215" s="216" t="str">
        <f t="shared" si="1"/>
        <v/>
      </c>
      <c r="D215" s="217"/>
      <c r="E215" s="218"/>
      <c r="F215" s="216"/>
      <c r="G215" s="216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  <c r="AA215" s="220"/>
      <c r="AB215" s="220"/>
    </row>
    <row r="216">
      <c r="A216" s="216"/>
      <c r="B216" s="216"/>
      <c r="C216" s="216" t="str">
        <f t="shared" si="1"/>
        <v/>
      </c>
      <c r="D216" s="217"/>
      <c r="E216" s="218"/>
      <c r="F216" s="216"/>
      <c r="G216" s="216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  <c r="AA216" s="220"/>
      <c r="AB216" s="220"/>
    </row>
    <row r="217">
      <c r="A217" s="216"/>
      <c r="B217" s="216"/>
      <c r="C217" s="216" t="str">
        <f t="shared" si="1"/>
        <v/>
      </c>
      <c r="D217" s="217"/>
      <c r="E217" s="218"/>
      <c r="F217" s="216"/>
      <c r="G217" s="216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  <c r="AA217" s="220"/>
      <c r="AB217" s="220"/>
    </row>
    <row r="218">
      <c r="A218" s="216"/>
      <c r="B218" s="216"/>
      <c r="C218" s="216" t="str">
        <f t="shared" si="1"/>
        <v/>
      </c>
      <c r="D218" s="217"/>
      <c r="E218" s="218"/>
      <c r="F218" s="216"/>
      <c r="G218" s="216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  <c r="AA218" s="220"/>
      <c r="AB218" s="220"/>
    </row>
    <row r="219">
      <c r="A219" s="216"/>
      <c r="B219" s="216"/>
      <c r="C219" s="216" t="str">
        <f t="shared" si="1"/>
        <v/>
      </c>
      <c r="D219" s="217"/>
      <c r="E219" s="218"/>
      <c r="F219" s="216"/>
      <c r="G219" s="216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  <c r="AA219" s="220"/>
      <c r="AB219" s="220"/>
    </row>
    <row r="220">
      <c r="A220" s="216"/>
      <c r="B220" s="216"/>
      <c r="C220" s="216" t="str">
        <f t="shared" si="1"/>
        <v/>
      </c>
      <c r="D220" s="217"/>
      <c r="E220" s="218"/>
      <c r="F220" s="216"/>
      <c r="G220" s="216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  <c r="AA220" s="220"/>
      <c r="AB220" s="220"/>
    </row>
    <row r="221">
      <c r="A221" s="216"/>
      <c r="B221" s="216"/>
      <c r="C221" s="216" t="str">
        <f t="shared" si="1"/>
        <v/>
      </c>
      <c r="D221" s="217"/>
      <c r="E221" s="218"/>
      <c r="F221" s="216"/>
      <c r="G221" s="216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  <c r="AA221" s="220"/>
      <c r="AB221" s="220"/>
    </row>
    <row r="222">
      <c r="A222" s="216"/>
      <c r="B222" s="216"/>
      <c r="C222" s="216" t="str">
        <f t="shared" si="1"/>
        <v/>
      </c>
      <c r="D222" s="217"/>
      <c r="E222" s="218"/>
      <c r="F222" s="216"/>
      <c r="G222" s="216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  <c r="AA222" s="220"/>
      <c r="AB222" s="220"/>
    </row>
    <row r="223">
      <c r="A223" s="216"/>
      <c r="B223" s="216"/>
      <c r="C223" s="216" t="str">
        <f t="shared" si="1"/>
        <v/>
      </c>
      <c r="D223" s="217"/>
      <c r="E223" s="218"/>
      <c r="F223" s="216"/>
      <c r="G223" s="216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  <c r="AA223" s="220"/>
      <c r="AB223" s="220"/>
    </row>
    <row r="224">
      <c r="A224" s="216"/>
      <c r="B224" s="216"/>
      <c r="C224" s="216" t="str">
        <f t="shared" si="1"/>
        <v/>
      </c>
      <c r="D224" s="217"/>
      <c r="E224" s="218"/>
      <c r="F224" s="216"/>
      <c r="G224" s="216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  <c r="AA224" s="220"/>
      <c r="AB224" s="220"/>
    </row>
    <row r="225">
      <c r="A225" s="216"/>
      <c r="B225" s="216"/>
      <c r="C225" s="216" t="str">
        <f t="shared" si="1"/>
        <v/>
      </c>
      <c r="D225" s="217"/>
      <c r="E225" s="218"/>
      <c r="F225" s="216"/>
      <c r="G225" s="216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  <c r="AA225" s="220"/>
      <c r="AB225" s="220"/>
    </row>
    <row r="226">
      <c r="A226" s="216"/>
      <c r="B226" s="216"/>
      <c r="C226" s="216" t="str">
        <f t="shared" si="1"/>
        <v/>
      </c>
      <c r="D226" s="217"/>
      <c r="E226" s="218"/>
      <c r="F226" s="216"/>
      <c r="G226" s="216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  <c r="AA226" s="220"/>
      <c r="AB226" s="220"/>
    </row>
    <row r="227">
      <c r="A227" s="216"/>
      <c r="B227" s="216"/>
      <c r="C227" s="216" t="str">
        <f t="shared" si="1"/>
        <v/>
      </c>
      <c r="D227" s="217"/>
      <c r="E227" s="218"/>
      <c r="F227" s="216"/>
      <c r="G227" s="216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  <c r="AA227" s="220"/>
      <c r="AB227" s="220"/>
    </row>
    <row r="228">
      <c r="A228" s="216"/>
      <c r="B228" s="216"/>
      <c r="C228" s="216" t="str">
        <f t="shared" si="1"/>
        <v/>
      </c>
      <c r="D228" s="217"/>
      <c r="E228" s="218"/>
      <c r="F228" s="216"/>
      <c r="G228" s="216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  <c r="AA228" s="220"/>
      <c r="AB228" s="220"/>
    </row>
    <row r="229">
      <c r="A229" s="216"/>
      <c r="B229" s="216"/>
      <c r="C229" s="216" t="str">
        <f t="shared" si="1"/>
        <v/>
      </c>
      <c r="D229" s="217"/>
      <c r="E229" s="218"/>
      <c r="F229" s="216"/>
      <c r="G229" s="216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  <c r="AA229" s="220"/>
      <c r="AB229" s="220"/>
    </row>
    <row r="230">
      <c r="A230" s="216"/>
      <c r="B230" s="216"/>
      <c r="C230" s="216" t="str">
        <f t="shared" si="1"/>
        <v/>
      </c>
      <c r="D230" s="217"/>
      <c r="E230" s="218"/>
      <c r="F230" s="216"/>
      <c r="G230" s="216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  <c r="AA230" s="220"/>
      <c r="AB230" s="220"/>
    </row>
    <row r="231">
      <c r="A231" s="216"/>
      <c r="B231" s="216"/>
      <c r="C231" s="216" t="str">
        <f t="shared" si="1"/>
        <v/>
      </c>
      <c r="D231" s="217"/>
      <c r="E231" s="218"/>
      <c r="F231" s="216"/>
      <c r="G231" s="216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  <c r="AA231" s="220"/>
      <c r="AB231" s="220"/>
    </row>
    <row r="232">
      <c r="A232" s="216"/>
      <c r="B232" s="216"/>
      <c r="C232" s="216" t="str">
        <f t="shared" si="1"/>
        <v/>
      </c>
      <c r="D232" s="217"/>
      <c r="E232" s="218"/>
      <c r="F232" s="216"/>
      <c r="G232" s="216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  <c r="AA232" s="220"/>
      <c r="AB232" s="220"/>
    </row>
    <row r="233">
      <c r="A233" s="216"/>
      <c r="B233" s="216"/>
      <c r="C233" s="216" t="str">
        <f t="shared" si="1"/>
        <v/>
      </c>
      <c r="D233" s="217"/>
      <c r="E233" s="218"/>
      <c r="F233" s="216"/>
      <c r="G233" s="216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  <c r="AA233" s="220"/>
      <c r="AB233" s="220"/>
    </row>
    <row r="234">
      <c r="A234" s="216"/>
      <c r="B234" s="216"/>
      <c r="C234" s="216" t="str">
        <f t="shared" si="1"/>
        <v/>
      </c>
      <c r="D234" s="217"/>
      <c r="E234" s="218"/>
      <c r="F234" s="216"/>
      <c r="G234" s="216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  <c r="AA234" s="220"/>
      <c r="AB234" s="220"/>
    </row>
    <row r="235">
      <c r="A235" s="216"/>
      <c r="B235" s="216"/>
      <c r="C235" s="216" t="str">
        <f t="shared" si="1"/>
        <v/>
      </c>
      <c r="D235" s="217"/>
      <c r="E235" s="218"/>
      <c r="F235" s="216"/>
      <c r="G235" s="216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  <c r="AA235" s="220"/>
      <c r="AB235" s="220"/>
    </row>
    <row r="236">
      <c r="A236" s="216"/>
      <c r="B236" s="216"/>
      <c r="C236" s="216" t="str">
        <f t="shared" si="1"/>
        <v/>
      </c>
      <c r="D236" s="217"/>
      <c r="E236" s="218"/>
      <c r="F236" s="216"/>
      <c r="G236" s="216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  <c r="AA236" s="220"/>
      <c r="AB236" s="220"/>
    </row>
    <row r="237">
      <c r="A237" s="216"/>
      <c r="B237" s="216"/>
      <c r="C237" s="216" t="str">
        <f t="shared" si="1"/>
        <v/>
      </c>
      <c r="D237" s="217"/>
      <c r="E237" s="218"/>
      <c r="F237" s="216"/>
      <c r="G237" s="216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  <c r="AA237" s="220"/>
      <c r="AB237" s="220"/>
    </row>
    <row r="238">
      <c r="A238" s="216"/>
      <c r="B238" s="216"/>
      <c r="C238" s="216" t="str">
        <f t="shared" si="1"/>
        <v/>
      </c>
      <c r="D238" s="217"/>
      <c r="E238" s="218"/>
      <c r="F238" s="216"/>
      <c r="G238" s="216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  <c r="AA238" s="220"/>
      <c r="AB238" s="220"/>
    </row>
    <row r="239">
      <c r="A239" s="216"/>
      <c r="B239" s="216"/>
      <c r="C239" s="216" t="str">
        <f t="shared" si="1"/>
        <v/>
      </c>
      <c r="D239" s="217"/>
      <c r="E239" s="218"/>
      <c r="F239" s="216"/>
      <c r="G239" s="216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  <c r="AA239" s="220"/>
      <c r="AB239" s="220"/>
    </row>
    <row r="240">
      <c r="A240" s="216"/>
      <c r="B240" s="216"/>
      <c r="C240" s="216" t="str">
        <f t="shared" si="1"/>
        <v/>
      </c>
      <c r="D240" s="217"/>
      <c r="E240" s="218"/>
      <c r="F240" s="216"/>
      <c r="G240" s="216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  <c r="AA240" s="220"/>
      <c r="AB240" s="220"/>
    </row>
    <row r="241">
      <c r="A241" s="216"/>
      <c r="B241" s="216"/>
      <c r="C241" s="216" t="str">
        <f t="shared" si="1"/>
        <v/>
      </c>
      <c r="D241" s="217"/>
      <c r="E241" s="218"/>
      <c r="F241" s="216"/>
      <c r="G241" s="216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  <c r="AA241" s="220"/>
      <c r="AB241" s="220"/>
    </row>
    <row r="242">
      <c r="A242" s="216"/>
      <c r="B242" s="216"/>
      <c r="C242" s="216" t="str">
        <f t="shared" si="1"/>
        <v/>
      </c>
      <c r="D242" s="217"/>
      <c r="E242" s="218"/>
      <c r="F242" s="216"/>
      <c r="G242" s="216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  <c r="AA242" s="220"/>
      <c r="AB242" s="220"/>
    </row>
    <row r="243">
      <c r="A243" s="216"/>
      <c r="B243" s="216"/>
      <c r="C243" s="216" t="str">
        <f t="shared" si="1"/>
        <v/>
      </c>
      <c r="D243" s="217"/>
      <c r="E243" s="218"/>
      <c r="F243" s="216"/>
      <c r="G243" s="216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  <c r="AA243" s="220"/>
      <c r="AB243" s="220"/>
    </row>
    <row r="244">
      <c r="A244" s="216"/>
      <c r="B244" s="216"/>
      <c r="C244" s="216" t="str">
        <f t="shared" si="1"/>
        <v/>
      </c>
      <c r="D244" s="217"/>
      <c r="E244" s="218"/>
      <c r="F244" s="216"/>
      <c r="G244" s="216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  <c r="AA244" s="220"/>
      <c r="AB244" s="220"/>
    </row>
    <row r="245">
      <c r="A245" s="216"/>
      <c r="B245" s="216"/>
      <c r="C245" s="216" t="str">
        <f t="shared" si="1"/>
        <v/>
      </c>
      <c r="D245" s="217"/>
      <c r="E245" s="218"/>
      <c r="F245" s="216"/>
      <c r="G245" s="216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  <c r="AA245" s="220"/>
      <c r="AB245" s="220"/>
    </row>
    <row r="246">
      <c r="A246" s="216"/>
      <c r="B246" s="216"/>
      <c r="C246" s="216" t="str">
        <f t="shared" si="1"/>
        <v/>
      </c>
      <c r="D246" s="217"/>
      <c r="E246" s="218"/>
      <c r="F246" s="216"/>
      <c r="G246" s="216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  <c r="AA246" s="220"/>
      <c r="AB246" s="220"/>
    </row>
    <row r="247">
      <c r="A247" s="216"/>
      <c r="B247" s="216"/>
      <c r="C247" s="216" t="str">
        <f t="shared" si="1"/>
        <v/>
      </c>
      <c r="D247" s="217"/>
      <c r="E247" s="218"/>
      <c r="F247" s="216"/>
      <c r="G247" s="216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  <c r="AA247" s="220"/>
      <c r="AB247" s="220"/>
    </row>
    <row r="248">
      <c r="A248" s="216"/>
      <c r="B248" s="216"/>
      <c r="C248" s="216" t="str">
        <f t="shared" si="1"/>
        <v/>
      </c>
      <c r="D248" s="217"/>
      <c r="E248" s="218"/>
      <c r="F248" s="216"/>
      <c r="G248" s="216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  <c r="AA248" s="220"/>
      <c r="AB248" s="220"/>
    </row>
    <row r="249">
      <c r="A249" s="216"/>
      <c r="B249" s="216"/>
      <c r="C249" s="216" t="str">
        <f t="shared" si="1"/>
        <v/>
      </c>
      <c r="D249" s="217"/>
      <c r="E249" s="218"/>
      <c r="F249" s="216"/>
      <c r="G249" s="216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  <c r="AA249" s="220"/>
      <c r="AB249" s="220"/>
    </row>
    <row r="250">
      <c r="A250" s="216"/>
      <c r="B250" s="216"/>
      <c r="C250" s="216" t="str">
        <f t="shared" si="1"/>
        <v/>
      </c>
      <c r="D250" s="217"/>
      <c r="E250" s="218"/>
      <c r="F250" s="216"/>
      <c r="G250" s="216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  <c r="AA250" s="220"/>
      <c r="AB250" s="220"/>
    </row>
    <row r="251">
      <c r="A251" s="216"/>
      <c r="B251" s="216"/>
      <c r="C251" s="216" t="str">
        <f t="shared" si="1"/>
        <v/>
      </c>
      <c r="D251" s="217"/>
      <c r="E251" s="218"/>
      <c r="F251" s="216"/>
      <c r="G251" s="216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  <c r="AB251" s="220"/>
    </row>
    <row r="252">
      <c r="A252" s="216"/>
      <c r="B252" s="216"/>
      <c r="C252" s="216" t="str">
        <f t="shared" si="1"/>
        <v/>
      </c>
      <c r="D252" s="217"/>
      <c r="E252" s="218"/>
      <c r="F252" s="216"/>
      <c r="G252" s="216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  <c r="AA252" s="220"/>
      <c r="AB252" s="220"/>
    </row>
    <row r="253">
      <c r="A253" s="216"/>
      <c r="B253" s="216"/>
      <c r="C253" s="216" t="str">
        <f t="shared" si="1"/>
        <v/>
      </c>
      <c r="D253" s="217"/>
      <c r="E253" s="218"/>
      <c r="F253" s="216"/>
      <c r="G253" s="216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  <c r="AA253" s="220"/>
      <c r="AB253" s="220"/>
    </row>
    <row r="254">
      <c r="A254" s="216"/>
      <c r="B254" s="216"/>
      <c r="C254" s="216" t="str">
        <f t="shared" si="1"/>
        <v/>
      </c>
      <c r="D254" s="217"/>
      <c r="E254" s="218"/>
      <c r="F254" s="216"/>
      <c r="G254" s="216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  <c r="AB254" s="220"/>
    </row>
    <row r="255">
      <c r="A255" s="216"/>
      <c r="B255" s="216"/>
      <c r="C255" s="216" t="str">
        <f t="shared" si="1"/>
        <v/>
      </c>
      <c r="D255" s="217"/>
      <c r="E255" s="218"/>
      <c r="F255" s="216"/>
      <c r="G255" s="216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  <c r="AA255" s="220"/>
      <c r="AB255" s="220"/>
    </row>
    <row r="256">
      <c r="A256" s="216"/>
      <c r="B256" s="216"/>
      <c r="C256" s="216" t="str">
        <f t="shared" si="1"/>
        <v/>
      </c>
      <c r="D256" s="217"/>
      <c r="E256" s="218"/>
      <c r="F256" s="216"/>
      <c r="G256" s="216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  <c r="AA256" s="220"/>
      <c r="AB256" s="220"/>
    </row>
    <row r="257">
      <c r="A257" s="216"/>
      <c r="B257" s="216"/>
      <c r="C257" s="216" t="str">
        <f t="shared" si="1"/>
        <v/>
      </c>
      <c r="D257" s="217"/>
      <c r="E257" s="218"/>
      <c r="F257" s="216"/>
      <c r="G257" s="216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  <c r="AA257" s="220"/>
      <c r="AB257" s="220"/>
    </row>
    <row r="258">
      <c r="A258" s="216"/>
      <c r="B258" s="216"/>
      <c r="C258" s="216" t="str">
        <f t="shared" si="1"/>
        <v/>
      </c>
      <c r="D258" s="217"/>
      <c r="E258" s="218"/>
      <c r="F258" s="216"/>
      <c r="G258" s="216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  <c r="AA258" s="220"/>
      <c r="AB258" s="220"/>
    </row>
    <row r="259">
      <c r="A259" s="216"/>
      <c r="B259" s="216"/>
      <c r="C259" s="216" t="str">
        <f t="shared" si="1"/>
        <v/>
      </c>
      <c r="D259" s="217"/>
      <c r="E259" s="218"/>
      <c r="F259" s="216"/>
      <c r="G259" s="216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  <c r="AA259" s="220"/>
      <c r="AB259" s="220"/>
    </row>
    <row r="260">
      <c r="A260" s="216"/>
      <c r="B260" s="216"/>
      <c r="C260" s="216" t="str">
        <f t="shared" si="1"/>
        <v/>
      </c>
      <c r="D260" s="217"/>
      <c r="E260" s="218"/>
      <c r="F260" s="216"/>
      <c r="G260" s="216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  <c r="AB260" s="220"/>
    </row>
    <row r="261">
      <c r="A261" s="216"/>
      <c r="B261" s="216"/>
      <c r="C261" s="216" t="str">
        <f t="shared" si="1"/>
        <v/>
      </c>
      <c r="D261" s="217"/>
      <c r="E261" s="218"/>
      <c r="F261" s="216"/>
      <c r="G261" s="216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  <c r="AA261" s="220"/>
      <c r="AB261" s="220"/>
    </row>
    <row r="262">
      <c r="A262" s="216"/>
      <c r="B262" s="216"/>
      <c r="C262" s="216" t="str">
        <f t="shared" si="1"/>
        <v/>
      </c>
      <c r="D262" s="217"/>
      <c r="E262" s="218"/>
      <c r="F262" s="216"/>
      <c r="G262" s="216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  <c r="AA262" s="220"/>
      <c r="AB262" s="220"/>
    </row>
    <row r="263">
      <c r="A263" s="216"/>
      <c r="B263" s="216"/>
      <c r="C263" s="216" t="str">
        <f t="shared" si="1"/>
        <v/>
      </c>
      <c r="D263" s="217"/>
      <c r="E263" s="218"/>
      <c r="F263" s="216"/>
      <c r="G263" s="216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  <c r="AB263" s="220"/>
    </row>
    <row r="264">
      <c r="A264" s="216"/>
      <c r="B264" s="216"/>
      <c r="C264" s="216" t="str">
        <f t="shared" si="1"/>
        <v/>
      </c>
      <c r="D264" s="217"/>
      <c r="E264" s="218"/>
      <c r="F264" s="216"/>
      <c r="G264" s="216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  <c r="AB264" s="220"/>
    </row>
    <row r="265">
      <c r="A265" s="216"/>
      <c r="B265" s="216"/>
      <c r="C265" s="216" t="str">
        <f t="shared" si="1"/>
        <v/>
      </c>
      <c r="D265" s="217"/>
      <c r="E265" s="218"/>
      <c r="F265" s="216"/>
      <c r="G265" s="216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  <c r="AB265" s="220"/>
    </row>
    <row r="266">
      <c r="A266" s="216"/>
      <c r="B266" s="216"/>
      <c r="C266" s="216" t="str">
        <f t="shared" si="1"/>
        <v/>
      </c>
      <c r="D266" s="217"/>
      <c r="E266" s="218"/>
      <c r="F266" s="216"/>
      <c r="G266" s="216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  <c r="AB266" s="220"/>
    </row>
    <row r="267">
      <c r="A267" s="216"/>
      <c r="B267" s="216"/>
      <c r="C267" s="216" t="str">
        <f t="shared" si="1"/>
        <v/>
      </c>
      <c r="D267" s="217"/>
      <c r="E267" s="218"/>
      <c r="F267" s="216"/>
      <c r="G267" s="216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</row>
    <row r="268">
      <c r="A268" s="216"/>
      <c r="B268" s="216"/>
      <c r="C268" s="216" t="str">
        <f t="shared" si="1"/>
        <v/>
      </c>
      <c r="D268" s="217"/>
      <c r="E268" s="218"/>
      <c r="F268" s="216"/>
      <c r="G268" s="216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  <c r="AB268" s="220"/>
    </row>
    <row r="269">
      <c r="A269" s="216"/>
      <c r="B269" s="216"/>
      <c r="C269" s="216" t="str">
        <f t="shared" si="1"/>
        <v/>
      </c>
      <c r="D269" s="217"/>
      <c r="E269" s="218"/>
      <c r="F269" s="216"/>
      <c r="G269" s="216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  <c r="AB269" s="220"/>
    </row>
    <row r="270">
      <c r="A270" s="216"/>
      <c r="B270" s="216"/>
      <c r="C270" s="216" t="str">
        <f t="shared" si="1"/>
        <v/>
      </c>
      <c r="D270" s="217"/>
      <c r="E270" s="218"/>
      <c r="F270" s="216"/>
      <c r="G270" s="216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  <c r="AB270" s="220"/>
    </row>
    <row r="271">
      <c r="A271" s="216"/>
      <c r="B271" s="216"/>
      <c r="C271" s="216" t="str">
        <f t="shared" si="1"/>
        <v/>
      </c>
      <c r="D271" s="217"/>
      <c r="E271" s="218"/>
      <c r="F271" s="216"/>
      <c r="G271" s="216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  <c r="AB271" s="220"/>
    </row>
    <row r="272">
      <c r="A272" s="216"/>
      <c r="B272" s="216"/>
      <c r="C272" s="216" t="str">
        <f t="shared" si="1"/>
        <v/>
      </c>
      <c r="D272" s="217"/>
      <c r="E272" s="218"/>
      <c r="F272" s="216"/>
      <c r="G272" s="216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  <c r="AB272" s="220"/>
    </row>
    <row r="273">
      <c r="A273" s="216"/>
      <c r="B273" s="216"/>
      <c r="C273" s="216" t="str">
        <f t="shared" si="1"/>
        <v/>
      </c>
      <c r="D273" s="217"/>
      <c r="E273" s="218"/>
      <c r="F273" s="216"/>
      <c r="G273" s="216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</row>
    <row r="274">
      <c r="A274" s="216"/>
      <c r="B274" s="216"/>
      <c r="C274" s="216" t="str">
        <f t="shared" si="1"/>
        <v/>
      </c>
      <c r="D274" s="217"/>
      <c r="E274" s="218"/>
      <c r="F274" s="216"/>
      <c r="G274" s="216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</row>
    <row r="275">
      <c r="A275" s="216"/>
      <c r="B275" s="216"/>
      <c r="C275" s="216" t="str">
        <f t="shared" si="1"/>
        <v/>
      </c>
      <c r="D275" s="217"/>
      <c r="E275" s="218"/>
      <c r="F275" s="216"/>
      <c r="G275" s="216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</row>
    <row r="276">
      <c r="A276" s="216"/>
      <c r="B276" s="216"/>
      <c r="C276" s="216" t="str">
        <f t="shared" si="1"/>
        <v/>
      </c>
      <c r="D276" s="217"/>
      <c r="E276" s="218"/>
      <c r="F276" s="216"/>
      <c r="G276" s="216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</row>
    <row r="277">
      <c r="A277" s="216"/>
      <c r="B277" s="216"/>
      <c r="C277" s="216" t="str">
        <f t="shared" si="1"/>
        <v/>
      </c>
      <c r="D277" s="217"/>
      <c r="E277" s="218"/>
      <c r="F277" s="216"/>
      <c r="G277" s="216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</row>
    <row r="278">
      <c r="A278" s="216"/>
      <c r="B278" s="216"/>
      <c r="C278" s="216" t="str">
        <f t="shared" si="1"/>
        <v/>
      </c>
      <c r="D278" s="217"/>
      <c r="E278" s="218"/>
      <c r="F278" s="216"/>
      <c r="G278" s="216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</row>
    <row r="279">
      <c r="A279" s="216"/>
      <c r="B279" s="216"/>
      <c r="C279" s="216" t="str">
        <f t="shared" si="1"/>
        <v/>
      </c>
      <c r="D279" s="217"/>
      <c r="E279" s="218"/>
      <c r="F279" s="216"/>
      <c r="G279" s="216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</row>
    <row r="280">
      <c r="A280" s="216"/>
      <c r="B280" s="216"/>
      <c r="C280" s="216" t="str">
        <f t="shared" si="1"/>
        <v/>
      </c>
      <c r="D280" s="217"/>
      <c r="E280" s="218"/>
      <c r="F280" s="216"/>
      <c r="G280" s="216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</row>
    <row r="281">
      <c r="A281" s="216"/>
      <c r="B281" s="216"/>
      <c r="C281" s="216" t="str">
        <f t="shared" si="1"/>
        <v/>
      </c>
      <c r="D281" s="217"/>
      <c r="E281" s="218"/>
      <c r="F281" s="216"/>
      <c r="G281" s="216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</row>
    <row r="282">
      <c r="A282" s="216"/>
      <c r="B282" s="216"/>
      <c r="C282" s="216" t="str">
        <f t="shared" si="1"/>
        <v/>
      </c>
      <c r="D282" s="217"/>
      <c r="E282" s="218"/>
      <c r="F282" s="216"/>
      <c r="G282" s="216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</row>
    <row r="283">
      <c r="A283" s="216"/>
      <c r="B283" s="216"/>
      <c r="C283" s="216" t="str">
        <f t="shared" si="1"/>
        <v/>
      </c>
      <c r="D283" s="217"/>
      <c r="E283" s="218"/>
      <c r="F283" s="216"/>
      <c r="G283" s="216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</row>
    <row r="284">
      <c r="A284" s="216"/>
      <c r="B284" s="216"/>
      <c r="C284" s="216" t="str">
        <f t="shared" si="1"/>
        <v/>
      </c>
      <c r="D284" s="217"/>
      <c r="E284" s="218"/>
      <c r="F284" s="216"/>
      <c r="G284" s="216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</row>
    <row r="285">
      <c r="A285" s="216"/>
      <c r="B285" s="216"/>
      <c r="C285" s="216" t="str">
        <f t="shared" si="1"/>
        <v/>
      </c>
      <c r="D285" s="217"/>
      <c r="E285" s="218"/>
      <c r="F285" s="216"/>
      <c r="G285" s="216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</row>
    <row r="286">
      <c r="A286" s="216"/>
      <c r="B286" s="216"/>
      <c r="C286" s="216" t="str">
        <f t="shared" si="1"/>
        <v/>
      </c>
      <c r="D286" s="217"/>
      <c r="E286" s="218"/>
      <c r="F286" s="216"/>
      <c r="G286" s="216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</row>
    <row r="287">
      <c r="A287" s="216"/>
      <c r="B287" s="216"/>
      <c r="C287" s="216" t="str">
        <f t="shared" si="1"/>
        <v/>
      </c>
      <c r="D287" s="217"/>
      <c r="E287" s="218"/>
      <c r="F287" s="216"/>
      <c r="G287" s="216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</row>
    <row r="288">
      <c r="A288" s="216"/>
      <c r="B288" s="216"/>
      <c r="C288" s="216" t="str">
        <f t="shared" si="1"/>
        <v/>
      </c>
      <c r="D288" s="217"/>
      <c r="E288" s="218"/>
      <c r="F288" s="216"/>
      <c r="G288" s="216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</row>
    <row r="289">
      <c r="A289" s="216"/>
      <c r="B289" s="216"/>
      <c r="C289" s="216" t="str">
        <f t="shared" si="1"/>
        <v/>
      </c>
      <c r="D289" s="217"/>
      <c r="E289" s="218"/>
      <c r="F289" s="216"/>
      <c r="G289" s="216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</row>
    <row r="290">
      <c r="A290" s="216"/>
      <c r="B290" s="216"/>
      <c r="C290" s="216" t="str">
        <f t="shared" si="1"/>
        <v/>
      </c>
      <c r="D290" s="217"/>
      <c r="E290" s="218"/>
      <c r="F290" s="216"/>
      <c r="G290" s="216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</row>
    <row r="291">
      <c r="A291" s="216"/>
      <c r="B291" s="216"/>
      <c r="C291" s="216" t="str">
        <f t="shared" si="1"/>
        <v/>
      </c>
      <c r="D291" s="217"/>
      <c r="E291" s="218"/>
      <c r="F291" s="216"/>
      <c r="G291" s="216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</row>
    <row r="292">
      <c r="A292" s="216"/>
      <c r="B292" s="216"/>
      <c r="C292" s="216" t="str">
        <f t="shared" si="1"/>
        <v/>
      </c>
      <c r="D292" s="217"/>
      <c r="E292" s="218"/>
      <c r="F292" s="216"/>
      <c r="G292" s="216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</row>
    <row r="293">
      <c r="A293" s="216"/>
      <c r="B293" s="216"/>
      <c r="C293" s="216" t="str">
        <f t="shared" si="1"/>
        <v/>
      </c>
      <c r="D293" s="217"/>
      <c r="E293" s="218"/>
      <c r="F293" s="216"/>
      <c r="G293" s="216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</row>
    <row r="294">
      <c r="A294" s="216"/>
      <c r="B294" s="216"/>
      <c r="C294" s="216" t="str">
        <f t="shared" si="1"/>
        <v/>
      </c>
      <c r="D294" s="217"/>
      <c r="E294" s="218"/>
      <c r="F294" s="216"/>
      <c r="G294" s="216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</row>
    <row r="295">
      <c r="A295" s="216"/>
      <c r="B295" s="216"/>
      <c r="C295" s="216" t="str">
        <f t="shared" si="1"/>
        <v/>
      </c>
      <c r="D295" s="217"/>
      <c r="E295" s="218"/>
      <c r="F295" s="216"/>
      <c r="G295" s="216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</row>
    <row r="296">
      <c r="A296" s="216"/>
      <c r="B296" s="216"/>
      <c r="C296" s="216" t="str">
        <f t="shared" si="1"/>
        <v/>
      </c>
      <c r="D296" s="217"/>
      <c r="E296" s="218"/>
      <c r="F296" s="216"/>
      <c r="G296" s="216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</row>
    <row r="297">
      <c r="A297" s="216"/>
      <c r="B297" s="216"/>
      <c r="C297" s="216" t="str">
        <f t="shared" si="1"/>
        <v/>
      </c>
      <c r="D297" s="217"/>
      <c r="E297" s="218"/>
      <c r="F297" s="216"/>
      <c r="G297" s="216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</row>
    <row r="298">
      <c r="A298" s="216"/>
      <c r="B298" s="216"/>
      <c r="C298" s="216" t="str">
        <f t="shared" si="1"/>
        <v/>
      </c>
      <c r="D298" s="217"/>
      <c r="E298" s="218"/>
      <c r="F298" s="216"/>
      <c r="G298" s="216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</row>
    <row r="299">
      <c r="A299" s="216"/>
      <c r="B299" s="216"/>
      <c r="C299" s="216" t="str">
        <f t="shared" si="1"/>
        <v/>
      </c>
      <c r="D299" s="217"/>
      <c r="E299" s="218"/>
      <c r="F299" s="216"/>
      <c r="G299" s="216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</row>
    <row r="300">
      <c r="A300" s="216"/>
      <c r="B300" s="216"/>
      <c r="C300" s="216" t="str">
        <f t="shared" si="1"/>
        <v/>
      </c>
      <c r="D300" s="217"/>
      <c r="E300" s="218"/>
      <c r="F300" s="216"/>
      <c r="G300" s="216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</row>
    <row r="301">
      <c r="A301" s="216"/>
      <c r="B301" s="216"/>
      <c r="C301" s="216" t="str">
        <f t="shared" si="1"/>
        <v/>
      </c>
      <c r="D301" s="217"/>
      <c r="E301" s="218"/>
      <c r="F301" s="216"/>
      <c r="G301" s="216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</row>
    <row r="302">
      <c r="A302" s="216"/>
      <c r="B302" s="216"/>
      <c r="C302" s="216" t="str">
        <f t="shared" si="1"/>
        <v/>
      </c>
      <c r="D302" s="217"/>
      <c r="E302" s="218"/>
      <c r="F302" s="216"/>
      <c r="G302" s="216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</row>
    <row r="303">
      <c r="A303" s="216"/>
      <c r="B303" s="216"/>
      <c r="C303" s="216" t="str">
        <f t="shared" si="1"/>
        <v/>
      </c>
      <c r="D303" s="217"/>
      <c r="E303" s="218"/>
      <c r="F303" s="216"/>
      <c r="G303" s="216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</row>
    <row r="304">
      <c r="A304" s="216"/>
      <c r="B304" s="216"/>
      <c r="C304" s="216" t="str">
        <f t="shared" si="1"/>
        <v/>
      </c>
      <c r="D304" s="217"/>
      <c r="E304" s="218"/>
      <c r="F304" s="216"/>
      <c r="G304" s="216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</row>
    <row r="305">
      <c r="A305" s="216"/>
      <c r="B305" s="216"/>
      <c r="C305" s="216" t="str">
        <f t="shared" si="1"/>
        <v/>
      </c>
      <c r="D305" s="217"/>
      <c r="E305" s="218"/>
      <c r="F305" s="216"/>
      <c r="G305" s="216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</row>
    <row r="306">
      <c r="A306" s="216"/>
      <c r="B306" s="216"/>
      <c r="C306" s="216" t="str">
        <f t="shared" si="1"/>
        <v/>
      </c>
      <c r="D306" s="217"/>
      <c r="E306" s="218"/>
      <c r="F306" s="216"/>
      <c r="G306" s="216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</row>
    <row r="307">
      <c r="A307" s="216"/>
      <c r="B307" s="216"/>
      <c r="C307" s="216" t="str">
        <f t="shared" si="1"/>
        <v/>
      </c>
      <c r="D307" s="217"/>
      <c r="E307" s="218"/>
      <c r="F307" s="216"/>
      <c r="G307" s="216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</row>
    <row r="308">
      <c r="A308" s="216"/>
      <c r="B308" s="216"/>
      <c r="C308" s="216" t="str">
        <f t="shared" si="1"/>
        <v/>
      </c>
      <c r="D308" s="217"/>
      <c r="E308" s="218"/>
      <c r="F308" s="216"/>
      <c r="G308" s="216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</row>
    <row r="309">
      <c r="A309" s="216"/>
      <c r="B309" s="216"/>
      <c r="C309" s="216" t="str">
        <f t="shared" si="1"/>
        <v/>
      </c>
      <c r="D309" s="217"/>
      <c r="E309" s="218"/>
      <c r="F309" s="216"/>
      <c r="G309" s="216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</row>
    <row r="310">
      <c r="A310" s="216"/>
      <c r="B310" s="216"/>
      <c r="C310" s="216" t="str">
        <f t="shared" si="1"/>
        <v/>
      </c>
      <c r="D310" s="217"/>
      <c r="E310" s="218"/>
      <c r="F310" s="216"/>
      <c r="G310" s="216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</row>
    <row r="311">
      <c r="A311" s="216"/>
      <c r="B311" s="216"/>
      <c r="C311" s="216" t="str">
        <f t="shared" si="1"/>
        <v/>
      </c>
      <c r="D311" s="217"/>
      <c r="E311" s="218"/>
      <c r="F311" s="216"/>
      <c r="G311" s="216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</row>
    <row r="312">
      <c r="A312" s="216"/>
      <c r="B312" s="216"/>
      <c r="C312" s="216" t="str">
        <f t="shared" si="1"/>
        <v/>
      </c>
      <c r="D312" s="217"/>
      <c r="E312" s="218"/>
      <c r="F312" s="216"/>
      <c r="G312" s="216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</row>
    <row r="313">
      <c r="A313" s="216"/>
      <c r="B313" s="216"/>
      <c r="C313" s="216" t="str">
        <f t="shared" si="1"/>
        <v/>
      </c>
      <c r="D313" s="217"/>
      <c r="E313" s="218"/>
      <c r="F313" s="216"/>
      <c r="G313" s="216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</row>
    <row r="314">
      <c r="A314" s="216"/>
      <c r="B314" s="216"/>
      <c r="C314" s="216" t="str">
        <f t="shared" si="1"/>
        <v/>
      </c>
      <c r="D314" s="217"/>
      <c r="E314" s="218"/>
      <c r="F314" s="216"/>
      <c r="G314" s="216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</row>
    <row r="315">
      <c r="A315" s="216"/>
      <c r="B315" s="216"/>
      <c r="C315" s="216" t="str">
        <f t="shared" si="1"/>
        <v/>
      </c>
      <c r="D315" s="217"/>
      <c r="E315" s="218"/>
      <c r="F315" s="216"/>
      <c r="G315" s="216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</row>
    <row r="316">
      <c r="A316" s="216"/>
      <c r="B316" s="216"/>
      <c r="C316" s="216" t="str">
        <f t="shared" si="1"/>
        <v/>
      </c>
      <c r="D316" s="217"/>
      <c r="E316" s="218"/>
      <c r="F316" s="216"/>
      <c r="G316" s="216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</row>
    <row r="317">
      <c r="A317" s="216"/>
      <c r="B317" s="216"/>
      <c r="C317" s="216" t="str">
        <f t="shared" si="1"/>
        <v/>
      </c>
      <c r="D317" s="217"/>
      <c r="E317" s="218"/>
      <c r="F317" s="216"/>
      <c r="G317" s="216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</row>
    <row r="318">
      <c r="A318" s="216"/>
      <c r="B318" s="216"/>
      <c r="C318" s="216" t="str">
        <f t="shared" si="1"/>
        <v/>
      </c>
      <c r="D318" s="217"/>
      <c r="E318" s="218"/>
      <c r="F318" s="216"/>
      <c r="G318" s="216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</row>
    <row r="319">
      <c r="A319" s="216"/>
      <c r="B319" s="216"/>
      <c r="C319" s="216" t="str">
        <f t="shared" si="1"/>
        <v/>
      </c>
      <c r="D319" s="217"/>
      <c r="E319" s="218"/>
      <c r="F319" s="216"/>
      <c r="G319" s="216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</row>
    <row r="320">
      <c r="A320" s="216"/>
      <c r="B320" s="216"/>
      <c r="C320" s="216" t="str">
        <f t="shared" si="1"/>
        <v/>
      </c>
      <c r="D320" s="217"/>
      <c r="E320" s="218"/>
      <c r="F320" s="216"/>
      <c r="G320" s="216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  <c r="AB320" s="220"/>
    </row>
    <row r="321">
      <c r="A321" s="216"/>
      <c r="B321" s="216"/>
      <c r="C321" s="216" t="str">
        <f t="shared" si="1"/>
        <v/>
      </c>
      <c r="D321" s="217"/>
      <c r="E321" s="218"/>
      <c r="F321" s="216"/>
      <c r="G321" s="216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</row>
    <row r="322">
      <c r="A322" s="216"/>
      <c r="B322" s="216"/>
      <c r="C322" s="216" t="str">
        <f t="shared" si="1"/>
        <v/>
      </c>
      <c r="D322" s="217"/>
      <c r="E322" s="218"/>
      <c r="F322" s="216"/>
      <c r="G322" s="216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</row>
    <row r="323">
      <c r="A323" s="216"/>
      <c r="B323" s="216"/>
      <c r="C323" s="216" t="str">
        <f t="shared" si="1"/>
        <v/>
      </c>
      <c r="D323" s="217"/>
      <c r="E323" s="218"/>
      <c r="F323" s="216"/>
      <c r="G323" s="216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</row>
    <row r="324">
      <c r="A324" s="216"/>
      <c r="B324" s="216"/>
      <c r="C324" s="216" t="str">
        <f t="shared" si="1"/>
        <v/>
      </c>
      <c r="D324" s="217"/>
      <c r="E324" s="218"/>
      <c r="F324" s="216"/>
      <c r="G324" s="216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  <c r="AB324" s="220"/>
    </row>
    <row r="325">
      <c r="A325" s="216"/>
      <c r="B325" s="216"/>
      <c r="C325" s="216" t="str">
        <f t="shared" si="1"/>
        <v/>
      </c>
      <c r="D325" s="217"/>
      <c r="E325" s="218"/>
      <c r="F325" s="216"/>
      <c r="G325" s="216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  <c r="AB325" s="220"/>
    </row>
    <row r="326">
      <c r="A326" s="216"/>
      <c r="B326" s="216"/>
      <c r="C326" s="216" t="str">
        <f t="shared" si="1"/>
        <v/>
      </c>
      <c r="D326" s="217"/>
      <c r="E326" s="218"/>
      <c r="F326" s="216"/>
      <c r="G326" s="216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  <c r="AB326" s="220"/>
    </row>
    <row r="327">
      <c r="A327" s="216"/>
      <c r="B327" s="216"/>
      <c r="C327" s="216" t="str">
        <f t="shared" si="1"/>
        <v/>
      </c>
      <c r="D327" s="217"/>
      <c r="E327" s="218"/>
      <c r="F327" s="216"/>
      <c r="G327" s="216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  <c r="AB327" s="220"/>
    </row>
    <row r="328">
      <c r="A328" s="216"/>
      <c r="B328" s="216"/>
      <c r="C328" s="216" t="str">
        <f t="shared" si="1"/>
        <v/>
      </c>
      <c r="D328" s="217"/>
      <c r="E328" s="218"/>
      <c r="F328" s="216"/>
      <c r="G328" s="216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  <c r="AA328" s="220"/>
      <c r="AB328" s="220"/>
    </row>
    <row r="329">
      <c r="A329" s="216"/>
      <c r="B329" s="216"/>
      <c r="C329" s="216" t="str">
        <f t="shared" si="1"/>
        <v/>
      </c>
      <c r="D329" s="217"/>
      <c r="E329" s="218"/>
      <c r="F329" s="216"/>
      <c r="G329" s="216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  <c r="AA329" s="220"/>
      <c r="AB329" s="220"/>
    </row>
    <row r="330">
      <c r="A330" s="216"/>
      <c r="B330" s="216"/>
      <c r="C330" s="216" t="str">
        <f t="shared" si="1"/>
        <v/>
      </c>
      <c r="D330" s="217"/>
      <c r="E330" s="218"/>
      <c r="F330" s="216"/>
      <c r="G330" s="216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  <c r="AA330" s="220"/>
      <c r="AB330" s="220"/>
    </row>
    <row r="331">
      <c r="A331" s="216"/>
      <c r="B331" s="216"/>
      <c r="C331" s="216" t="str">
        <f t="shared" si="1"/>
        <v/>
      </c>
      <c r="D331" s="217"/>
      <c r="E331" s="218"/>
      <c r="F331" s="216"/>
      <c r="G331" s="216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  <c r="AA331" s="220"/>
      <c r="AB331" s="220"/>
    </row>
    <row r="332">
      <c r="A332" s="216"/>
      <c r="B332" s="216"/>
      <c r="C332" s="216" t="str">
        <f t="shared" si="1"/>
        <v/>
      </c>
      <c r="D332" s="217"/>
      <c r="E332" s="218"/>
      <c r="F332" s="216"/>
      <c r="G332" s="216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  <c r="AA332" s="220"/>
      <c r="AB332" s="220"/>
    </row>
    <row r="333">
      <c r="A333" s="216"/>
      <c r="B333" s="216"/>
      <c r="C333" s="216" t="str">
        <f t="shared" si="1"/>
        <v/>
      </c>
      <c r="D333" s="217"/>
      <c r="E333" s="218"/>
      <c r="F333" s="216"/>
      <c r="G333" s="216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  <c r="AA333" s="220"/>
      <c r="AB333" s="220"/>
    </row>
    <row r="334">
      <c r="A334" s="216"/>
      <c r="B334" s="216"/>
      <c r="C334" s="216" t="str">
        <f t="shared" si="1"/>
        <v/>
      </c>
      <c r="D334" s="217"/>
      <c r="E334" s="218"/>
      <c r="F334" s="216"/>
      <c r="G334" s="216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  <c r="AA334" s="220"/>
      <c r="AB334" s="220"/>
    </row>
    <row r="335">
      <c r="A335" s="216"/>
      <c r="B335" s="216"/>
      <c r="C335" s="216" t="str">
        <f t="shared" si="1"/>
        <v/>
      </c>
      <c r="D335" s="217"/>
      <c r="E335" s="218"/>
      <c r="F335" s="216"/>
      <c r="G335" s="216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  <c r="AA335" s="220"/>
      <c r="AB335" s="220"/>
    </row>
    <row r="336">
      <c r="A336" s="216"/>
      <c r="B336" s="216"/>
      <c r="C336" s="216" t="str">
        <f t="shared" si="1"/>
        <v/>
      </c>
      <c r="D336" s="217"/>
      <c r="E336" s="218"/>
      <c r="F336" s="216"/>
      <c r="G336" s="216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  <c r="AA336" s="220"/>
      <c r="AB336" s="220"/>
    </row>
    <row r="337">
      <c r="A337" s="216"/>
      <c r="B337" s="216"/>
      <c r="C337" s="216" t="str">
        <f t="shared" si="1"/>
        <v/>
      </c>
      <c r="D337" s="217"/>
      <c r="E337" s="218"/>
      <c r="F337" s="216"/>
      <c r="G337" s="216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  <c r="AA337" s="220"/>
      <c r="AB337" s="220"/>
    </row>
    <row r="338">
      <c r="A338" s="216"/>
      <c r="B338" s="216"/>
      <c r="C338" s="216" t="str">
        <f t="shared" si="1"/>
        <v/>
      </c>
      <c r="D338" s="217"/>
      <c r="E338" s="218"/>
      <c r="F338" s="216"/>
      <c r="G338" s="216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  <c r="AA338" s="220"/>
      <c r="AB338" s="220"/>
    </row>
    <row r="339">
      <c r="A339" s="216"/>
      <c r="B339" s="216"/>
      <c r="C339" s="216" t="str">
        <f t="shared" si="1"/>
        <v/>
      </c>
      <c r="D339" s="217"/>
      <c r="E339" s="218"/>
      <c r="F339" s="216"/>
      <c r="G339" s="216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  <c r="AA339" s="220"/>
      <c r="AB339" s="220"/>
    </row>
    <row r="340">
      <c r="A340" s="216"/>
      <c r="B340" s="216"/>
      <c r="C340" s="216" t="str">
        <f t="shared" si="1"/>
        <v/>
      </c>
      <c r="D340" s="217"/>
      <c r="E340" s="218"/>
      <c r="F340" s="216"/>
      <c r="G340" s="216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  <c r="AA340" s="220"/>
      <c r="AB340" s="220"/>
    </row>
    <row r="341">
      <c r="A341" s="216"/>
      <c r="B341" s="216"/>
      <c r="C341" s="216" t="str">
        <f t="shared" si="1"/>
        <v/>
      </c>
      <c r="D341" s="217"/>
      <c r="E341" s="218"/>
      <c r="F341" s="216"/>
      <c r="G341" s="216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  <c r="AA341" s="220"/>
      <c r="AB341" s="220"/>
    </row>
    <row r="342">
      <c r="A342" s="216"/>
      <c r="B342" s="216"/>
      <c r="C342" s="216" t="str">
        <f t="shared" si="1"/>
        <v/>
      </c>
      <c r="D342" s="217"/>
      <c r="E342" s="218"/>
      <c r="F342" s="216"/>
      <c r="G342" s="216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  <c r="AA342" s="220"/>
      <c r="AB342" s="220"/>
    </row>
    <row r="343">
      <c r="A343" s="216"/>
      <c r="B343" s="216"/>
      <c r="C343" s="216" t="str">
        <f t="shared" si="1"/>
        <v/>
      </c>
      <c r="D343" s="217"/>
      <c r="E343" s="218"/>
      <c r="F343" s="216"/>
      <c r="G343" s="216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  <c r="AA343" s="220"/>
      <c r="AB343" s="220"/>
    </row>
    <row r="344">
      <c r="A344" s="216"/>
      <c r="B344" s="216"/>
      <c r="C344" s="216" t="str">
        <f t="shared" si="1"/>
        <v/>
      </c>
      <c r="D344" s="217"/>
      <c r="E344" s="218"/>
      <c r="F344" s="216"/>
      <c r="G344" s="216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  <c r="AA344" s="220"/>
      <c r="AB344" s="220"/>
    </row>
    <row r="345">
      <c r="A345" s="216"/>
      <c r="B345" s="216"/>
      <c r="C345" s="216" t="str">
        <f t="shared" si="1"/>
        <v/>
      </c>
      <c r="D345" s="217"/>
      <c r="E345" s="218"/>
      <c r="F345" s="216"/>
      <c r="G345" s="216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  <c r="AA345" s="220"/>
      <c r="AB345" s="220"/>
    </row>
    <row r="346">
      <c r="A346" s="216"/>
      <c r="B346" s="216"/>
      <c r="C346" s="216" t="str">
        <f t="shared" si="1"/>
        <v/>
      </c>
      <c r="D346" s="217"/>
      <c r="E346" s="218"/>
      <c r="F346" s="216"/>
      <c r="G346" s="216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  <c r="AA346" s="220"/>
      <c r="AB346" s="220"/>
    </row>
    <row r="347">
      <c r="A347" s="216"/>
      <c r="B347" s="216"/>
      <c r="C347" s="216" t="str">
        <f t="shared" si="1"/>
        <v/>
      </c>
      <c r="D347" s="217"/>
      <c r="E347" s="218"/>
      <c r="F347" s="216"/>
      <c r="G347" s="216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  <c r="AA347" s="220"/>
      <c r="AB347" s="220"/>
    </row>
    <row r="348">
      <c r="A348" s="216"/>
      <c r="B348" s="216"/>
      <c r="C348" s="216" t="str">
        <f t="shared" si="1"/>
        <v/>
      </c>
      <c r="D348" s="217"/>
      <c r="E348" s="218"/>
      <c r="F348" s="216"/>
      <c r="G348" s="216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  <c r="AA348" s="220"/>
      <c r="AB348" s="220"/>
    </row>
    <row r="349">
      <c r="A349" s="216"/>
      <c r="B349" s="216"/>
      <c r="C349" s="216" t="str">
        <f t="shared" si="1"/>
        <v/>
      </c>
      <c r="D349" s="217"/>
      <c r="E349" s="218"/>
      <c r="F349" s="216"/>
      <c r="G349" s="216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  <c r="AA349" s="220"/>
      <c r="AB349" s="220"/>
    </row>
    <row r="350">
      <c r="A350" s="216"/>
      <c r="B350" s="216"/>
      <c r="C350" s="216" t="str">
        <f t="shared" si="1"/>
        <v/>
      </c>
      <c r="D350" s="217"/>
      <c r="E350" s="218"/>
      <c r="F350" s="216"/>
      <c r="G350" s="216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  <c r="AA350" s="220"/>
      <c r="AB350" s="220"/>
    </row>
    <row r="351">
      <c r="A351" s="216"/>
      <c r="B351" s="216"/>
      <c r="C351" s="216" t="str">
        <f t="shared" si="1"/>
        <v/>
      </c>
      <c r="D351" s="217"/>
      <c r="E351" s="218"/>
      <c r="F351" s="216"/>
      <c r="G351" s="216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  <c r="AA351" s="220"/>
      <c r="AB351" s="220"/>
    </row>
    <row r="352">
      <c r="A352" s="216"/>
      <c r="B352" s="216"/>
      <c r="C352" s="216" t="str">
        <f t="shared" si="1"/>
        <v/>
      </c>
      <c r="D352" s="217"/>
      <c r="E352" s="218"/>
      <c r="F352" s="216"/>
      <c r="G352" s="216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  <c r="AA352" s="220"/>
      <c r="AB352" s="220"/>
    </row>
    <row r="353">
      <c r="A353" s="216"/>
      <c r="B353" s="216"/>
      <c r="C353" s="216" t="str">
        <f t="shared" si="1"/>
        <v/>
      </c>
      <c r="D353" s="217"/>
      <c r="E353" s="218"/>
      <c r="F353" s="216"/>
      <c r="G353" s="216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  <c r="AA353" s="220"/>
      <c r="AB353" s="220"/>
    </row>
    <row r="354">
      <c r="A354" s="216"/>
      <c r="B354" s="216"/>
      <c r="C354" s="216" t="str">
        <f t="shared" si="1"/>
        <v/>
      </c>
      <c r="D354" s="216"/>
      <c r="E354" s="218" t="str">
        <f>IFERROR(__xludf.DUMMYFUNCTION("IFERROR(INDEX(FILTER(BUY_SEP!D:D,(BUY_SEP!B:B=A354)*(BUY_SEP!C:C=B354)),1),"""")"),"")</f>
        <v/>
      </c>
      <c r="F354" s="216"/>
      <c r="G354" s="216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  <c r="AA354" s="220"/>
      <c r="AB354" s="220"/>
    </row>
    <row r="355">
      <c r="A355" s="216"/>
      <c r="B355" s="216"/>
      <c r="C355" s="216" t="str">
        <f t="shared" si="1"/>
        <v/>
      </c>
      <c r="D355" s="216"/>
      <c r="E355" s="218" t="str">
        <f>IFERROR(__xludf.DUMMYFUNCTION("IFERROR(INDEX(FILTER(BUY_SEP!D:D,(BUY_SEP!B:B=A355)*(BUY_SEP!C:C=B355)),1),"""")"),"")</f>
        <v/>
      </c>
      <c r="F355" s="216"/>
      <c r="G355" s="216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  <c r="AA355" s="220"/>
      <c r="AB355" s="220"/>
    </row>
    <row r="356">
      <c r="A356" s="216"/>
      <c r="B356" s="216"/>
      <c r="C356" s="216" t="str">
        <f t="shared" si="1"/>
        <v/>
      </c>
      <c r="D356" s="216"/>
      <c r="E356" s="218" t="str">
        <f>IFERROR(__xludf.DUMMYFUNCTION("IFERROR(INDEX(FILTER(BUY_SEP!D:D,(BUY_SEP!B:B=A356)*(BUY_SEP!C:C=B356)),1),"""")"),"")</f>
        <v/>
      </c>
      <c r="F356" s="216"/>
      <c r="G356" s="216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  <c r="AA356" s="220"/>
      <c r="AB356" s="220"/>
    </row>
    <row r="357">
      <c r="A357" s="216"/>
      <c r="B357" s="216"/>
      <c r="C357" s="216" t="str">
        <f t="shared" si="1"/>
        <v/>
      </c>
      <c r="D357" s="216"/>
      <c r="E357" s="218" t="str">
        <f>IFERROR(__xludf.DUMMYFUNCTION("IFERROR(INDEX(FILTER(BUY_SEP!D:D,(BUY_SEP!B:B=A357)*(BUY_SEP!C:C=B357)),1),"""")"),"")</f>
        <v/>
      </c>
      <c r="F357" s="216"/>
      <c r="G357" s="216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  <c r="AA357" s="220"/>
      <c r="AB357" s="220"/>
    </row>
    <row r="358">
      <c r="A358" s="216"/>
      <c r="B358" s="216"/>
      <c r="C358" s="216" t="str">
        <f t="shared" si="1"/>
        <v/>
      </c>
      <c r="D358" s="216"/>
      <c r="E358" s="218" t="str">
        <f>IFERROR(__xludf.DUMMYFUNCTION("IFERROR(INDEX(FILTER(BUY_SEP!D:D,(BUY_SEP!B:B=A358)*(BUY_SEP!C:C=B358)),1),"""")"),"")</f>
        <v/>
      </c>
      <c r="F358" s="216"/>
      <c r="G358" s="216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  <c r="AA358" s="220"/>
      <c r="AB358" s="220"/>
    </row>
    <row r="359">
      <c r="A359" s="216"/>
      <c r="B359" s="216"/>
      <c r="C359" s="216" t="str">
        <f t="shared" si="1"/>
        <v/>
      </c>
      <c r="D359" s="216"/>
      <c r="E359" s="218" t="str">
        <f>IFERROR(__xludf.DUMMYFUNCTION("IFERROR(INDEX(FILTER(BUY_SEP!D:D,(BUY_SEP!B:B=A359)*(BUY_SEP!C:C=B359)),1),"""")"),"")</f>
        <v/>
      </c>
      <c r="F359" s="216"/>
      <c r="G359" s="216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  <c r="AA359" s="220"/>
      <c r="AB359" s="220"/>
    </row>
    <row r="360">
      <c r="A360" s="216"/>
      <c r="B360" s="216"/>
      <c r="C360" s="216" t="str">
        <f t="shared" si="1"/>
        <v/>
      </c>
      <c r="D360" s="216"/>
      <c r="E360" s="218" t="str">
        <f>IFERROR(__xludf.DUMMYFUNCTION("IFERROR(INDEX(FILTER(BUY_SEP!D:D,(BUY_SEP!B:B=A360)*(BUY_SEP!C:C=B360)),1),"""")"),"")</f>
        <v/>
      </c>
      <c r="F360" s="216"/>
      <c r="G360" s="216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  <c r="AA360" s="220"/>
      <c r="AB360" s="220"/>
    </row>
    <row r="361">
      <c r="A361" s="216"/>
      <c r="B361" s="216"/>
      <c r="C361" s="216" t="str">
        <f t="shared" si="1"/>
        <v/>
      </c>
      <c r="D361" s="216"/>
      <c r="E361" s="218" t="str">
        <f>IFERROR(__xludf.DUMMYFUNCTION("IFERROR(INDEX(FILTER(BUY_SEP!D:D,(BUY_SEP!B:B=A361)*(BUY_SEP!C:C=B361)),1),"""")"),"")</f>
        <v/>
      </c>
      <c r="F361" s="216"/>
      <c r="G361" s="216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  <c r="AA361" s="220"/>
      <c r="AB361" s="220"/>
    </row>
    <row r="362">
      <c r="A362" s="216"/>
      <c r="B362" s="216"/>
      <c r="C362" s="216" t="str">
        <f t="shared" si="1"/>
        <v/>
      </c>
      <c r="D362" s="216"/>
      <c r="E362" s="218" t="str">
        <f>IFERROR(__xludf.DUMMYFUNCTION("IFERROR(INDEX(FILTER(BUY_SEP!D:D,(BUY_SEP!B:B=A362)*(BUY_SEP!C:C=B362)),1),"""")"),"")</f>
        <v/>
      </c>
      <c r="F362" s="216"/>
      <c r="G362" s="216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  <c r="AA362" s="220"/>
      <c r="AB362" s="220"/>
    </row>
    <row r="363">
      <c r="A363" s="216"/>
      <c r="B363" s="216"/>
      <c r="C363" s="216" t="str">
        <f t="shared" si="1"/>
        <v/>
      </c>
      <c r="D363" s="216"/>
      <c r="E363" s="218" t="str">
        <f>IFERROR(__xludf.DUMMYFUNCTION("IFERROR(INDEX(FILTER(BUY_SEP!D:D,(BUY_SEP!B:B=A363)*(BUY_SEP!C:C=B363)),1),"""")"),"")</f>
        <v/>
      </c>
      <c r="F363" s="216"/>
      <c r="G363" s="216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  <c r="AA363" s="220"/>
      <c r="AB363" s="220"/>
    </row>
    <row r="364">
      <c r="A364" s="216"/>
      <c r="B364" s="216"/>
      <c r="C364" s="216" t="str">
        <f t="shared" si="1"/>
        <v/>
      </c>
      <c r="D364" s="216"/>
      <c r="E364" s="218" t="str">
        <f>IFERROR(__xludf.DUMMYFUNCTION("IFERROR(INDEX(FILTER(BUY_SEP!D:D,(BUY_SEP!B:B=A364)*(BUY_SEP!C:C=B364)),1),"""")"),"")</f>
        <v/>
      </c>
      <c r="F364" s="216"/>
      <c r="G364" s="216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  <c r="AA364" s="220"/>
      <c r="AB364" s="220"/>
    </row>
    <row r="365">
      <c r="A365" s="216"/>
      <c r="B365" s="216"/>
      <c r="C365" s="216" t="str">
        <f t="shared" si="1"/>
        <v/>
      </c>
      <c r="D365" s="216"/>
      <c r="E365" s="218" t="str">
        <f>IFERROR(__xludf.DUMMYFUNCTION("IFERROR(INDEX(FILTER(BUY_SEP!D:D,(BUY_SEP!B:B=A365)*(BUY_SEP!C:C=B365)),1),"""")"),"")</f>
        <v/>
      </c>
      <c r="F365" s="216"/>
      <c r="G365" s="216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  <c r="AA365" s="220"/>
      <c r="AB365" s="220"/>
    </row>
    <row r="366">
      <c r="A366" s="216"/>
      <c r="B366" s="216"/>
      <c r="C366" s="216" t="str">
        <f t="shared" si="1"/>
        <v/>
      </c>
      <c r="D366" s="216"/>
      <c r="E366" s="218" t="str">
        <f>IFERROR(__xludf.DUMMYFUNCTION("IFERROR(INDEX(FILTER(BUY_SEP!D:D,(BUY_SEP!B:B=A366)*(BUY_SEP!C:C=B366)),1),"""")"),"")</f>
        <v/>
      </c>
      <c r="F366" s="216"/>
      <c r="G366" s="216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  <c r="AA366" s="220"/>
      <c r="AB366" s="220"/>
    </row>
    <row r="367">
      <c r="A367" s="216"/>
      <c r="B367" s="216"/>
      <c r="C367" s="216" t="str">
        <f t="shared" si="1"/>
        <v/>
      </c>
      <c r="D367" s="216"/>
      <c r="E367" s="218" t="str">
        <f>IFERROR(__xludf.DUMMYFUNCTION("IFERROR(INDEX(FILTER(BUY_SEP!D:D,(BUY_SEP!B:B=A367)*(BUY_SEP!C:C=B367)),1),"""")"),"")</f>
        <v/>
      </c>
      <c r="F367" s="216"/>
      <c r="G367" s="216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  <c r="AA367" s="220"/>
      <c r="AB367" s="220"/>
    </row>
    <row r="368">
      <c r="A368" s="216"/>
      <c r="B368" s="216"/>
      <c r="C368" s="216" t="str">
        <f t="shared" si="1"/>
        <v/>
      </c>
      <c r="D368" s="216"/>
      <c r="E368" s="218" t="str">
        <f>IFERROR(__xludf.DUMMYFUNCTION("IFERROR(INDEX(FILTER(BUY_SEP!D:D,(BUY_SEP!B:B=A368)*(BUY_SEP!C:C=B368)),1),"""")"),"")</f>
        <v/>
      </c>
      <c r="F368" s="216"/>
      <c r="G368" s="216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  <c r="AA368" s="220"/>
      <c r="AB368" s="220"/>
    </row>
    <row r="369">
      <c r="A369" s="216"/>
      <c r="B369" s="216"/>
      <c r="C369" s="216" t="str">
        <f t="shared" si="1"/>
        <v/>
      </c>
      <c r="D369" s="216"/>
      <c r="E369" s="218" t="str">
        <f>IFERROR(__xludf.DUMMYFUNCTION("IFERROR(INDEX(FILTER(BUY_SEP!D:D,(BUY_SEP!B:B=A369)*(BUY_SEP!C:C=B369)),1),"""")"),"")</f>
        <v/>
      </c>
      <c r="F369" s="216"/>
      <c r="G369" s="216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  <c r="AA369" s="220"/>
      <c r="AB369" s="220"/>
    </row>
    <row r="370">
      <c r="A370" s="216"/>
      <c r="B370" s="216"/>
      <c r="C370" s="216" t="str">
        <f t="shared" si="1"/>
        <v/>
      </c>
      <c r="D370" s="216"/>
      <c r="E370" s="218" t="str">
        <f>IFERROR(__xludf.DUMMYFUNCTION("IFERROR(INDEX(FILTER(BUY_SEP!D:D,(BUY_SEP!B:B=A370)*(BUY_SEP!C:C=B370)),1),"""")"),"")</f>
        <v/>
      </c>
      <c r="F370" s="216"/>
      <c r="G370" s="216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  <c r="AA370" s="220"/>
      <c r="AB370" s="220"/>
    </row>
    <row r="371">
      <c r="A371" s="216"/>
      <c r="B371" s="216"/>
      <c r="C371" s="216" t="str">
        <f t="shared" si="1"/>
        <v/>
      </c>
      <c r="D371" s="216"/>
      <c r="E371" s="218" t="str">
        <f>IFERROR(__xludf.DUMMYFUNCTION("IFERROR(INDEX(FILTER(BUY_SEP!D:D,(BUY_SEP!B:B=A371)*(BUY_SEP!C:C=B371)),1),"""")"),"")</f>
        <v/>
      </c>
      <c r="F371" s="216"/>
      <c r="G371" s="216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  <c r="AA371" s="220"/>
      <c r="AB371" s="220"/>
    </row>
    <row r="372">
      <c r="A372" s="216"/>
      <c r="B372" s="216"/>
      <c r="C372" s="216" t="str">
        <f t="shared" si="1"/>
        <v/>
      </c>
      <c r="D372" s="216"/>
      <c r="E372" s="218" t="str">
        <f>IFERROR(__xludf.DUMMYFUNCTION("IFERROR(INDEX(FILTER(BUY_SEP!D:D,(BUY_SEP!B:B=A372)*(BUY_SEP!C:C=B372)),1),"""")"),"")</f>
        <v/>
      </c>
      <c r="F372" s="216"/>
      <c r="G372" s="216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  <c r="AA372" s="220"/>
      <c r="AB372" s="220"/>
    </row>
    <row r="373">
      <c r="A373" s="216"/>
      <c r="B373" s="216"/>
      <c r="C373" s="216" t="str">
        <f t="shared" si="1"/>
        <v/>
      </c>
      <c r="D373" s="216"/>
      <c r="E373" s="218" t="str">
        <f>IFERROR(__xludf.DUMMYFUNCTION("IFERROR(INDEX(FILTER(BUY_SEP!D:D,(BUY_SEP!B:B=A373)*(BUY_SEP!C:C=B373)),1),"""")"),"")</f>
        <v/>
      </c>
      <c r="F373" s="216"/>
      <c r="G373" s="216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  <c r="AA373" s="220"/>
      <c r="AB373" s="220"/>
    </row>
    <row r="374">
      <c r="A374" s="216"/>
      <c r="B374" s="216"/>
      <c r="C374" s="216" t="str">
        <f t="shared" si="1"/>
        <v/>
      </c>
      <c r="D374" s="216"/>
      <c r="E374" s="218" t="str">
        <f>IFERROR(__xludf.DUMMYFUNCTION("IFERROR(INDEX(FILTER(BUY_SEP!D:D,(BUY_SEP!B:B=A374)*(BUY_SEP!C:C=B374)),1),"""")"),"")</f>
        <v/>
      </c>
      <c r="F374" s="216"/>
      <c r="G374" s="216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  <c r="AA374" s="220"/>
      <c r="AB374" s="220"/>
    </row>
    <row r="375">
      <c r="A375" s="216"/>
      <c r="B375" s="216"/>
      <c r="C375" s="216" t="str">
        <f t="shared" si="1"/>
        <v/>
      </c>
      <c r="D375" s="216"/>
      <c r="E375" s="218" t="str">
        <f>IFERROR(__xludf.DUMMYFUNCTION("IFERROR(INDEX(FILTER(BUY_SEP!D:D,(BUY_SEP!B:B=A375)*(BUY_SEP!C:C=B375)),1),"""")"),"")</f>
        <v/>
      </c>
      <c r="F375" s="216"/>
      <c r="G375" s="216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  <c r="AA375" s="220"/>
      <c r="AB375" s="220"/>
    </row>
    <row r="376">
      <c r="A376" s="216"/>
      <c r="B376" s="216"/>
      <c r="C376" s="216" t="str">
        <f t="shared" si="1"/>
        <v/>
      </c>
      <c r="D376" s="216"/>
      <c r="E376" s="218" t="str">
        <f>IFERROR(__xludf.DUMMYFUNCTION("IFERROR(INDEX(FILTER(BUY_SEP!D:D,(BUY_SEP!B:B=A376)*(BUY_SEP!C:C=B376)),1),"""")"),"")</f>
        <v/>
      </c>
      <c r="F376" s="216"/>
      <c r="G376" s="216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  <c r="AA376" s="220"/>
      <c r="AB376" s="220"/>
    </row>
    <row r="377">
      <c r="A377" s="216"/>
      <c r="B377" s="216"/>
      <c r="C377" s="216" t="str">
        <f t="shared" si="1"/>
        <v/>
      </c>
      <c r="D377" s="216"/>
      <c r="E377" s="218" t="str">
        <f>IFERROR(__xludf.DUMMYFUNCTION("IFERROR(INDEX(FILTER(BUY_SEP!D:D,(BUY_SEP!B:B=A377)*(BUY_SEP!C:C=B377)),1),"""")"),"")</f>
        <v/>
      </c>
      <c r="F377" s="216"/>
      <c r="G377" s="216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  <c r="AA377" s="220"/>
      <c r="AB377" s="220"/>
    </row>
    <row r="378">
      <c r="A378" s="216"/>
      <c r="B378" s="216"/>
      <c r="C378" s="216" t="str">
        <f t="shared" si="1"/>
        <v/>
      </c>
      <c r="D378" s="216"/>
      <c r="E378" s="218" t="str">
        <f>IFERROR(__xludf.DUMMYFUNCTION("IFERROR(INDEX(FILTER(BUY_SEP!D:D,(BUY_SEP!B:B=A378)*(BUY_SEP!C:C=B378)),1),"""")"),"")</f>
        <v/>
      </c>
      <c r="F378" s="216"/>
      <c r="G378" s="216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  <c r="AA378" s="220"/>
      <c r="AB378" s="220"/>
    </row>
    <row r="379">
      <c r="A379" s="216"/>
      <c r="B379" s="216"/>
      <c r="C379" s="216" t="str">
        <f t="shared" si="1"/>
        <v/>
      </c>
      <c r="D379" s="216"/>
      <c r="E379" s="218" t="str">
        <f>IFERROR(__xludf.DUMMYFUNCTION("IFERROR(INDEX(FILTER(BUY_SEP!D:D,(BUY_SEP!B:B=A379)*(BUY_SEP!C:C=B379)),1),"""")"),"")</f>
        <v/>
      </c>
      <c r="F379" s="216"/>
      <c r="G379" s="216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  <c r="AA379" s="220"/>
      <c r="AB379" s="220"/>
    </row>
    <row r="380">
      <c r="A380" s="216"/>
      <c r="B380" s="216"/>
      <c r="C380" s="216" t="str">
        <f t="shared" si="1"/>
        <v/>
      </c>
      <c r="D380" s="216"/>
      <c r="E380" s="218" t="str">
        <f>IFERROR(__xludf.DUMMYFUNCTION("IFERROR(INDEX(FILTER(BUY_SEP!D:D,(BUY_SEP!B:B=A380)*(BUY_SEP!C:C=B380)),1),"""")"),"")</f>
        <v/>
      </c>
      <c r="F380" s="216"/>
      <c r="G380" s="216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  <c r="AA380" s="220"/>
      <c r="AB380" s="220"/>
    </row>
    <row r="381">
      <c r="A381" s="216"/>
      <c r="B381" s="216"/>
      <c r="C381" s="216" t="str">
        <f t="shared" si="1"/>
        <v/>
      </c>
      <c r="D381" s="216"/>
      <c r="E381" s="218" t="str">
        <f>IFERROR(__xludf.DUMMYFUNCTION("IFERROR(INDEX(FILTER(BUY_SEP!D:D,(BUY_SEP!B:B=A381)*(BUY_SEP!C:C=B381)),1),"""")"),"")</f>
        <v/>
      </c>
      <c r="F381" s="216"/>
      <c r="G381" s="216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  <c r="AA381" s="220"/>
      <c r="AB381" s="220"/>
    </row>
    <row r="382">
      <c r="A382" s="216"/>
      <c r="B382" s="216"/>
      <c r="C382" s="216" t="str">
        <f t="shared" si="1"/>
        <v/>
      </c>
      <c r="D382" s="216"/>
      <c r="E382" s="218" t="str">
        <f>IFERROR(__xludf.DUMMYFUNCTION("IFERROR(INDEX(FILTER(BUY_SEP!D:D,(BUY_SEP!B:B=A382)*(BUY_SEP!C:C=B382)),1),"""")"),"")</f>
        <v/>
      </c>
      <c r="F382" s="216"/>
      <c r="G382" s="216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  <c r="AA382" s="220"/>
      <c r="AB382" s="220"/>
    </row>
    <row r="383">
      <c r="A383" s="216"/>
      <c r="B383" s="216"/>
      <c r="C383" s="216" t="str">
        <f t="shared" si="1"/>
        <v/>
      </c>
      <c r="D383" s="216"/>
      <c r="E383" s="218" t="str">
        <f>IFERROR(__xludf.DUMMYFUNCTION("IFERROR(INDEX(FILTER(BUY_SEP!D:D,(BUY_SEP!B:B=A383)*(BUY_SEP!C:C=B383)),1),"""")"),"")</f>
        <v/>
      </c>
      <c r="F383" s="216"/>
      <c r="G383" s="216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  <c r="AA383" s="220"/>
      <c r="AB383" s="220"/>
    </row>
    <row r="384">
      <c r="A384" s="216"/>
      <c r="B384" s="216"/>
      <c r="C384" s="216" t="str">
        <f t="shared" si="1"/>
        <v/>
      </c>
      <c r="D384" s="216"/>
      <c r="E384" s="218" t="str">
        <f>IFERROR(__xludf.DUMMYFUNCTION("IFERROR(INDEX(FILTER(BUY_SEP!D:D,(BUY_SEP!B:B=A384)*(BUY_SEP!C:C=B384)),1),"""")"),"")</f>
        <v/>
      </c>
      <c r="F384" s="216"/>
      <c r="G384" s="216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  <c r="AA384" s="220"/>
      <c r="AB384" s="220"/>
    </row>
    <row r="385">
      <c r="A385" s="216"/>
      <c r="B385" s="216"/>
      <c r="C385" s="216" t="str">
        <f t="shared" si="1"/>
        <v/>
      </c>
      <c r="D385" s="216"/>
      <c r="E385" s="218" t="str">
        <f>IFERROR(__xludf.DUMMYFUNCTION("IFERROR(INDEX(FILTER(BUY_SEP!D:D,(BUY_SEP!B:B=A385)*(BUY_SEP!C:C=B385)),1),"""")"),"")</f>
        <v/>
      </c>
      <c r="F385" s="216"/>
      <c r="G385" s="216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  <c r="AA385" s="220"/>
      <c r="AB385" s="220"/>
    </row>
    <row r="386">
      <c r="A386" s="216"/>
      <c r="B386" s="216"/>
      <c r="C386" s="216" t="str">
        <f t="shared" si="1"/>
        <v/>
      </c>
      <c r="D386" s="216"/>
      <c r="E386" s="218" t="str">
        <f>IFERROR(__xludf.DUMMYFUNCTION("IFERROR(INDEX(FILTER(BUY_SEP!D:D,(BUY_SEP!B:B=A386)*(BUY_SEP!C:C=B386)),1),"""")"),"")</f>
        <v/>
      </c>
      <c r="F386" s="216"/>
      <c r="G386" s="216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  <c r="AA386" s="220"/>
      <c r="AB386" s="220"/>
    </row>
    <row r="387">
      <c r="A387" s="216"/>
      <c r="B387" s="216"/>
      <c r="C387" s="216" t="str">
        <f t="shared" si="1"/>
        <v/>
      </c>
      <c r="D387" s="216"/>
      <c r="E387" s="218" t="str">
        <f>IFERROR(__xludf.DUMMYFUNCTION("IFERROR(INDEX(FILTER(BUY_SEP!D:D,(BUY_SEP!B:B=A387)*(BUY_SEP!C:C=B387)),1),"""")"),"")</f>
        <v/>
      </c>
      <c r="F387" s="216"/>
      <c r="G387" s="216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  <c r="AA387" s="220"/>
      <c r="AB387" s="220"/>
    </row>
    <row r="388">
      <c r="A388" s="216"/>
      <c r="B388" s="216"/>
      <c r="C388" s="216" t="str">
        <f t="shared" si="1"/>
        <v/>
      </c>
      <c r="D388" s="216"/>
      <c r="E388" s="218" t="str">
        <f>IFERROR(__xludf.DUMMYFUNCTION("IFERROR(INDEX(FILTER(BUY_SEP!D:D,(BUY_SEP!B:B=A388)*(BUY_SEP!C:C=B388)),1),"""")"),"")</f>
        <v/>
      </c>
      <c r="F388" s="216"/>
      <c r="G388" s="216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  <c r="AA388" s="220"/>
      <c r="AB388" s="220"/>
    </row>
    <row r="389">
      <c r="A389" s="216"/>
      <c r="B389" s="216"/>
      <c r="C389" s="216" t="str">
        <f t="shared" si="1"/>
        <v/>
      </c>
      <c r="D389" s="216"/>
      <c r="E389" s="218" t="str">
        <f>IFERROR(__xludf.DUMMYFUNCTION("IFERROR(INDEX(FILTER(BUY_SEP!D:D,(BUY_SEP!B:B=A389)*(BUY_SEP!C:C=B389)),1),"""")"),"")</f>
        <v/>
      </c>
      <c r="F389" s="216"/>
      <c r="G389" s="216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  <c r="AA389" s="220"/>
      <c r="AB389" s="220"/>
    </row>
    <row r="390">
      <c r="A390" s="216"/>
      <c r="B390" s="216"/>
      <c r="C390" s="216" t="str">
        <f t="shared" si="1"/>
        <v/>
      </c>
      <c r="D390" s="216"/>
      <c r="E390" s="218" t="str">
        <f>IFERROR(__xludf.DUMMYFUNCTION("IFERROR(INDEX(FILTER(BUY_SEP!D:D,(BUY_SEP!B:B=A390)*(BUY_SEP!C:C=B390)),1),"""")"),"")</f>
        <v/>
      </c>
      <c r="F390" s="216"/>
      <c r="G390" s="216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  <c r="AA390" s="220"/>
      <c r="AB390" s="220"/>
    </row>
    <row r="391">
      <c r="A391" s="216"/>
      <c r="B391" s="216"/>
      <c r="C391" s="216" t="str">
        <f t="shared" si="1"/>
        <v/>
      </c>
      <c r="D391" s="216"/>
      <c r="E391" s="218" t="str">
        <f>IFERROR(__xludf.DUMMYFUNCTION("IFERROR(INDEX(FILTER(BUY_SEP!D:D,(BUY_SEP!B:B=A391)*(BUY_SEP!C:C=B391)),1),"""")"),"")</f>
        <v/>
      </c>
      <c r="F391" s="216"/>
      <c r="G391" s="216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  <c r="AA391" s="220"/>
      <c r="AB391" s="220"/>
    </row>
    <row r="392">
      <c r="A392" s="216"/>
      <c r="B392" s="216"/>
      <c r="C392" s="216" t="str">
        <f t="shared" si="1"/>
        <v/>
      </c>
      <c r="D392" s="216"/>
      <c r="E392" s="218" t="str">
        <f>IFERROR(__xludf.DUMMYFUNCTION("IFERROR(INDEX(FILTER(BUY_SEP!D:D,(BUY_SEP!B:B=A392)*(BUY_SEP!C:C=B392)),1),"""")"),"")</f>
        <v/>
      </c>
      <c r="F392" s="216"/>
      <c r="G392" s="216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  <c r="AA392" s="220"/>
      <c r="AB392" s="220"/>
    </row>
    <row r="393">
      <c r="A393" s="216"/>
      <c r="B393" s="216"/>
      <c r="C393" s="216" t="str">
        <f t="shared" si="1"/>
        <v/>
      </c>
      <c r="D393" s="216"/>
      <c r="E393" s="218" t="str">
        <f>IFERROR(__xludf.DUMMYFUNCTION("IFERROR(INDEX(FILTER(BUY_SEP!D:D,(BUY_SEP!B:B=A393)*(BUY_SEP!C:C=B393)),1),"""")"),"")</f>
        <v/>
      </c>
      <c r="F393" s="216"/>
      <c r="G393" s="216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  <c r="AA393" s="220"/>
      <c r="AB393" s="220"/>
    </row>
    <row r="394">
      <c r="A394" s="216"/>
      <c r="B394" s="216"/>
      <c r="C394" s="216" t="str">
        <f t="shared" si="1"/>
        <v/>
      </c>
      <c r="D394" s="216"/>
      <c r="E394" s="218" t="str">
        <f>IFERROR(__xludf.DUMMYFUNCTION("IFERROR(INDEX(FILTER(BUY_SEP!D:D,(BUY_SEP!B:B=A394)*(BUY_SEP!C:C=B394)),1),"""")"),"")</f>
        <v/>
      </c>
      <c r="F394" s="216"/>
      <c r="G394" s="216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  <c r="AA394" s="220"/>
      <c r="AB394" s="220"/>
    </row>
    <row r="395">
      <c r="A395" s="216"/>
      <c r="B395" s="216"/>
      <c r="C395" s="216" t="str">
        <f t="shared" si="1"/>
        <v/>
      </c>
      <c r="D395" s="216"/>
      <c r="E395" s="218" t="str">
        <f>IFERROR(__xludf.DUMMYFUNCTION("IFERROR(INDEX(FILTER(BUY_SEP!D:D,(BUY_SEP!B:B=A395)*(BUY_SEP!C:C=B395)),1),"""")"),"")</f>
        <v/>
      </c>
      <c r="F395" s="216"/>
      <c r="G395" s="216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  <c r="AA395" s="220"/>
      <c r="AB395" s="220"/>
    </row>
    <row r="396">
      <c r="A396" s="216"/>
      <c r="B396" s="216"/>
      <c r="C396" s="216" t="str">
        <f t="shared" si="1"/>
        <v/>
      </c>
      <c r="D396" s="216"/>
      <c r="E396" s="218" t="str">
        <f>IFERROR(__xludf.DUMMYFUNCTION("IFERROR(INDEX(FILTER(BUY_SEP!D:D,(BUY_SEP!B:B=A396)*(BUY_SEP!C:C=B396)),1),"""")"),"")</f>
        <v/>
      </c>
      <c r="F396" s="216"/>
      <c r="G396" s="216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  <c r="AA396" s="220"/>
      <c r="AB396" s="220"/>
    </row>
    <row r="397">
      <c r="A397" s="216"/>
      <c r="B397" s="216"/>
      <c r="C397" s="216" t="str">
        <f t="shared" si="1"/>
        <v/>
      </c>
      <c r="D397" s="216"/>
      <c r="E397" s="218" t="str">
        <f>IFERROR(__xludf.DUMMYFUNCTION("IFERROR(INDEX(FILTER(BUY_SEP!D:D,(BUY_SEP!B:B=A397)*(BUY_SEP!C:C=B397)),1),"""")"),"")</f>
        <v/>
      </c>
      <c r="F397" s="216"/>
      <c r="G397" s="216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  <c r="AA397" s="220"/>
      <c r="AB397" s="220"/>
    </row>
    <row r="398">
      <c r="A398" s="216"/>
      <c r="B398" s="216"/>
      <c r="C398" s="216" t="str">
        <f t="shared" si="1"/>
        <v/>
      </c>
      <c r="D398" s="216"/>
      <c r="E398" s="218" t="str">
        <f>IFERROR(__xludf.DUMMYFUNCTION("IFERROR(INDEX(FILTER(BUY_SEP!D:D,(BUY_SEP!B:B=A398)*(BUY_SEP!C:C=B398)),1),"""")"),"")</f>
        <v/>
      </c>
      <c r="F398" s="216"/>
      <c r="G398" s="216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  <c r="AA398" s="220"/>
      <c r="AB398" s="220"/>
    </row>
    <row r="399">
      <c r="A399" s="216"/>
      <c r="B399" s="216"/>
      <c r="C399" s="216" t="str">
        <f t="shared" si="1"/>
        <v/>
      </c>
      <c r="D399" s="216"/>
      <c r="E399" s="218" t="str">
        <f>IFERROR(__xludf.DUMMYFUNCTION("IFERROR(INDEX(FILTER(BUY_SEP!D:D,(BUY_SEP!B:B=A399)*(BUY_SEP!C:C=B399)),1),"""")"),"")</f>
        <v/>
      </c>
      <c r="F399" s="216"/>
      <c r="G399" s="216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  <c r="AA399" s="220"/>
      <c r="AB399" s="220"/>
    </row>
    <row r="400">
      <c r="A400" s="216"/>
      <c r="B400" s="216"/>
      <c r="C400" s="216" t="str">
        <f t="shared" si="1"/>
        <v/>
      </c>
      <c r="D400" s="216"/>
      <c r="E400" s="218" t="str">
        <f>IFERROR(__xludf.DUMMYFUNCTION("IFERROR(INDEX(FILTER(BUY_SEP!D:D,(BUY_SEP!B:B=A400)*(BUY_SEP!C:C=B400)),1),"""")"),"")</f>
        <v/>
      </c>
      <c r="F400" s="216"/>
      <c r="G400" s="216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  <c r="AA400" s="220"/>
      <c r="AB400" s="220"/>
    </row>
    <row r="401">
      <c r="A401" s="216"/>
      <c r="B401" s="216"/>
      <c r="C401" s="216" t="str">
        <f t="shared" si="1"/>
        <v/>
      </c>
      <c r="D401" s="216"/>
      <c r="E401" s="218" t="str">
        <f>IFERROR(__xludf.DUMMYFUNCTION("IFERROR(INDEX(FILTER(BUY_SEP!D:D,(BUY_SEP!B:B=A401)*(BUY_SEP!C:C=B401)),1),"""")"),"")</f>
        <v/>
      </c>
      <c r="F401" s="216"/>
      <c r="G401" s="216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  <c r="AA401" s="220"/>
      <c r="AB401" s="220"/>
    </row>
    <row r="402">
      <c r="A402" s="216"/>
      <c r="B402" s="216"/>
      <c r="C402" s="216" t="str">
        <f t="shared" si="1"/>
        <v/>
      </c>
      <c r="D402" s="216"/>
      <c r="E402" s="218" t="str">
        <f>IFERROR(__xludf.DUMMYFUNCTION("IFERROR(INDEX(FILTER(BUY_SEP!D:D,(BUY_SEP!B:B=A402)*(BUY_SEP!C:C=B402)),1),"""")"),"")</f>
        <v/>
      </c>
      <c r="F402" s="216"/>
      <c r="G402" s="216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  <c r="AA402" s="220"/>
      <c r="AB402" s="220"/>
    </row>
    <row r="403">
      <c r="A403" s="216"/>
      <c r="B403" s="216"/>
      <c r="C403" s="216" t="str">
        <f t="shared" si="1"/>
        <v/>
      </c>
      <c r="D403" s="216"/>
      <c r="E403" s="218" t="str">
        <f>IFERROR(__xludf.DUMMYFUNCTION("IFERROR(INDEX(FILTER(BUY_SEP!D:D,(BUY_SEP!B:B=A403)*(BUY_SEP!C:C=B403)),1),"""")"),"")</f>
        <v/>
      </c>
      <c r="F403" s="216"/>
      <c r="G403" s="216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  <c r="AA403" s="220"/>
      <c r="AB403" s="220"/>
    </row>
    <row r="404">
      <c r="A404" s="216"/>
      <c r="B404" s="216"/>
      <c r="C404" s="216" t="str">
        <f t="shared" si="1"/>
        <v/>
      </c>
      <c r="D404" s="216"/>
      <c r="E404" s="218" t="str">
        <f>IFERROR(__xludf.DUMMYFUNCTION("IFERROR(INDEX(FILTER(BUY_SEP!D:D,(BUY_SEP!B:B=A404)*(BUY_SEP!C:C=B404)),1),"""")"),"")</f>
        <v/>
      </c>
      <c r="F404" s="216"/>
      <c r="G404" s="216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  <c r="AA404" s="220"/>
      <c r="AB404" s="220"/>
    </row>
    <row r="405">
      <c r="A405" s="216"/>
      <c r="B405" s="216"/>
      <c r="C405" s="216" t="str">
        <f t="shared" si="1"/>
        <v/>
      </c>
      <c r="D405" s="216"/>
      <c r="E405" s="218" t="str">
        <f>IFERROR(__xludf.DUMMYFUNCTION("IFERROR(INDEX(FILTER(BUY_SEP!D:D,(BUY_SEP!B:B=A405)*(BUY_SEP!C:C=B405)),1),"""")"),"")</f>
        <v/>
      </c>
      <c r="F405" s="216"/>
      <c r="G405" s="216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  <c r="AA405" s="220"/>
      <c r="AB405" s="220"/>
    </row>
    <row r="406">
      <c r="A406" s="216"/>
      <c r="B406" s="216"/>
      <c r="C406" s="216" t="str">
        <f t="shared" si="1"/>
        <v/>
      </c>
      <c r="D406" s="216"/>
      <c r="E406" s="218" t="str">
        <f>IFERROR(__xludf.DUMMYFUNCTION("IFERROR(INDEX(FILTER(BUY_SEP!D:D,(BUY_SEP!B:B=A406)*(BUY_SEP!C:C=B406)),1),"""")"),"")</f>
        <v/>
      </c>
      <c r="F406" s="216"/>
      <c r="G406" s="216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0"/>
      <c r="AA406" s="220"/>
      <c r="AB406" s="220"/>
    </row>
    <row r="407">
      <c r="A407" s="216"/>
      <c r="B407" s="216"/>
      <c r="C407" s="216" t="str">
        <f t="shared" si="1"/>
        <v/>
      </c>
      <c r="D407" s="216"/>
      <c r="E407" s="218" t="str">
        <f>IFERROR(__xludf.DUMMYFUNCTION("IFERROR(INDEX(FILTER(BUY_SEP!D:D,(BUY_SEP!B:B=A407)*(BUY_SEP!C:C=B407)),1),"""")"),"")</f>
        <v/>
      </c>
      <c r="F407" s="216"/>
      <c r="G407" s="216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0"/>
      <c r="AA407" s="220"/>
      <c r="AB407" s="220"/>
    </row>
    <row r="408">
      <c r="A408" s="216"/>
      <c r="B408" s="216"/>
      <c r="C408" s="216" t="str">
        <f t="shared" si="1"/>
        <v/>
      </c>
      <c r="D408" s="216"/>
      <c r="E408" s="218" t="str">
        <f>IFERROR(__xludf.DUMMYFUNCTION("IFERROR(INDEX(FILTER(BUY_SEP!D:D,(BUY_SEP!B:B=A408)*(BUY_SEP!C:C=B408)),1),"""")"),"")</f>
        <v/>
      </c>
      <c r="F408" s="216"/>
      <c r="G408" s="216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0"/>
      <c r="AA408" s="220"/>
      <c r="AB408" s="220"/>
    </row>
    <row r="409">
      <c r="A409" s="216"/>
      <c r="B409" s="216"/>
      <c r="C409" s="216" t="str">
        <f t="shared" si="1"/>
        <v/>
      </c>
      <c r="D409" s="216"/>
      <c r="E409" s="218" t="str">
        <f>IFERROR(__xludf.DUMMYFUNCTION("IFERROR(INDEX(FILTER(BUY_SEP!D:D,(BUY_SEP!B:B=A409)*(BUY_SEP!C:C=B409)),1),"""")"),"")</f>
        <v/>
      </c>
      <c r="F409" s="216"/>
      <c r="G409" s="216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0"/>
      <c r="AA409" s="220"/>
      <c r="AB409" s="220"/>
    </row>
    <row r="410">
      <c r="A410" s="216"/>
      <c r="B410" s="216"/>
      <c r="C410" s="216" t="str">
        <f t="shared" si="1"/>
        <v/>
      </c>
      <c r="D410" s="216"/>
      <c r="E410" s="218" t="str">
        <f>IFERROR(__xludf.DUMMYFUNCTION("IFERROR(INDEX(FILTER(BUY_SEP!D:D,(BUY_SEP!B:B=A410)*(BUY_SEP!C:C=B410)),1),"""")"),"")</f>
        <v/>
      </c>
      <c r="F410" s="216"/>
      <c r="G410" s="216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0"/>
      <c r="AA410" s="220"/>
      <c r="AB410" s="220"/>
    </row>
    <row r="411">
      <c r="A411" s="216"/>
      <c r="B411" s="216"/>
      <c r="C411" s="216" t="str">
        <f t="shared" si="1"/>
        <v/>
      </c>
      <c r="D411" s="216"/>
      <c r="E411" s="218" t="str">
        <f>IFERROR(__xludf.DUMMYFUNCTION("IFERROR(INDEX(FILTER(BUY_SEP!D:D,(BUY_SEP!B:B=A411)*(BUY_SEP!C:C=B411)),1),"""")"),"")</f>
        <v/>
      </c>
      <c r="F411" s="216"/>
      <c r="G411" s="216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0"/>
      <c r="AA411" s="220"/>
      <c r="AB411" s="220"/>
    </row>
    <row r="412">
      <c r="A412" s="216"/>
      <c r="B412" s="216"/>
      <c r="C412" s="216" t="str">
        <f t="shared" si="1"/>
        <v/>
      </c>
      <c r="D412" s="216"/>
      <c r="E412" s="218" t="str">
        <f>IFERROR(__xludf.DUMMYFUNCTION("IFERROR(INDEX(FILTER(BUY_SEP!D:D,(BUY_SEP!B:B=A412)*(BUY_SEP!C:C=B412)),1),"""")"),"")</f>
        <v/>
      </c>
      <c r="F412" s="216"/>
      <c r="G412" s="216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  <c r="AA412" s="220"/>
      <c r="AB412" s="220"/>
    </row>
    <row r="413">
      <c r="A413" s="216"/>
      <c r="B413" s="216"/>
      <c r="C413" s="216" t="str">
        <f t="shared" si="1"/>
        <v/>
      </c>
      <c r="D413" s="216"/>
      <c r="E413" s="218" t="str">
        <f>IFERROR(__xludf.DUMMYFUNCTION("IFERROR(INDEX(FILTER(BUY_SEP!D:D,(BUY_SEP!B:B=A413)*(BUY_SEP!C:C=B413)),1),"""")"),"")</f>
        <v/>
      </c>
      <c r="F413" s="216"/>
      <c r="G413" s="216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  <c r="AA413" s="220"/>
      <c r="AB413" s="220"/>
    </row>
    <row r="414">
      <c r="A414" s="216"/>
      <c r="B414" s="216"/>
      <c r="C414" s="216" t="str">
        <f t="shared" si="1"/>
        <v/>
      </c>
      <c r="D414" s="216"/>
      <c r="E414" s="218" t="str">
        <f>IFERROR(__xludf.DUMMYFUNCTION("IFERROR(INDEX(FILTER(BUY_SEP!D:D,(BUY_SEP!B:B=A414)*(BUY_SEP!C:C=B414)),1),"""")"),"")</f>
        <v/>
      </c>
      <c r="F414" s="216"/>
      <c r="G414" s="216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  <c r="AA414" s="220"/>
      <c r="AB414" s="220"/>
    </row>
    <row r="415">
      <c r="A415" s="216"/>
      <c r="B415" s="216"/>
      <c r="C415" s="216" t="str">
        <f t="shared" si="1"/>
        <v/>
      </c>
      <c r="D415" s="216"/>
      <c r="E415" s="218" t="str">
        <f>IFERROR(__xludf.DUMMYFUNCTION("IFERROR(INDEX(FILTER(BUY_SEP!D:D,(BUY_SEP!B:B=A415)*(BUY_SEP!C:C=B415)),1),"""")"),"")</f>
        <v/>
      </c>
      <c r="F415" s="216"/>
      <c r="G415" s="216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  <c r="AA415" s="220"/>
      <c r="AB415" s="220"/>
    </row>
    <row r="416">
      <c r="A416" s="216"/>
      <c r="B416" s="216"/>
      <c r="C416" s="216" t="str">
        <f t="shared" si="1"/>
        <v/>
      </c>
      <c r="D416" s="216"/>
      <c r="E416" s="218" t="str">
        <f>IFERROR(__xludf.DUMMYFUNCTION("IFERROR(INDEX(FILTER(BUY_SEP!D:D,(BUY_SEP!B:B=A416)*(BUY_SEP!C:C=B416)),1),"""")"),"")</f>
        <v/>
      </c>
      <c r="F416" s="216"/>
      <c r="G416" s="216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  <c r="AA416" s="220"/>
      <c r="AB416" s="220"/>
    </row>
    <row r="417">
      <c r="A417" s="216"/>
      <c r="B417" s="216"/>
      <c r="C417" s="216" t="str">
        <f t="shared" si="1"/>
        <v/>
      </c>
      <c r="D417" s="216"/>
      <c r="E417" s="218" t="str">
        <f>IFERROR(__xludf.DUMMYFUNCTION("IFERROR(INDEX(FILTER(BUY_SEP!D:D,(BUY_SEP!B:B=A417)*(BUY_SEP!C:C=B417)),1),"""")"),"")</f>
        <v/>
      </c>
      <c r="F417" s="216"/>
      <c r="G417" s="216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  <c r="AA417" s="220"/>
      <c r="AB417" s="220"/>
    </row>
    <row r="418">
      <c r="A418" s="216"/>
      <c r="B418" s="216"/>
      <c r="C418" s="216" t="str">
        <f t="shared" si="1"/>
        <v/>
      </c>
      <c r="D418" s="216"/>
      <c r="E418" s="218" t="str">
        <f>IFERROR(__xludf.DUMMYFUNCTION("IFERROR(INDEX(FILTER(BUY_SEP!D:D,(BUY_SEP!B:B=A418)*(BUY_SEP!C:C=B418)),1),"""")"),"")</f>
        <v/>
      </c>
      <c r="F418" s="216"/>
      <c r="G418" s="216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  <c r="AA418" s="220"/>
      <c r="AB418" s="220"/>
    </row>
    <row r="419">
      <c r="A419" s="216"/>
      <c r="B419" s="216"/>
      <c r="C419" s="216" t="str">
        <f t="shared" si="1"/>
        <v/>
      </c>
      <c r="D419" s="216"/>
      <c r="E419" s="218" t="str">
        <f>IFERROR(__xludf.DUMMYFUNCTION("IFERROR(INDEX(FILTER(BUY_SEP!D:D,(BUY_SEP!B:B=A419)*(BUY_SEP!C:C=B419)),1),"""")"),"")</f>
        <v/>
      </c>
      <c r="F419" s="216"/>
      <c r="G419" s="216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  <c r="AA419" s="220"/>
      <c r="AB419" s="220"/>
    </row>
    <row r="420">
      <c r="A420" s="216"/>
      <c r="B420" s="216"/>
      <c r="C420" s="216" t="str">
        <f t="shared" si="1"/>
        <v/>
      </c>
      <c r="D420" s="216"/>
      <c r="E420" s="218" t="str">
        <f>IFERROR(__xludf.DUMMYFUNCTION("IFERROR(INDEX(FILTER(BUY_SEP!D:D,(BUY_SEP!B:B=A420)*(BUY_SEP!C:C=B420)),1),"""")"),"")</f>
        <v/>
      </c>
      <c r="F420" s="216"/>
      <c r="G420" s="216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  <c r="AA420" s="220"/>
      <c r="AB420" s="220"/>
    </row>
    <row r="421">
      <c r="A421" s="216"/>
      <c r="B421" s="216"/>
      <c r="C421" s="216" t="str">
        <f t="shared" si="1"/>
        <v/>
      </c>
      <c r="D421" s="216"/>
      <c r="E421" s="218" t="str">
        <f>IFERROR(__xludf.DUMMYFUNCTION("IFERROR(INDEX(FILTER(BUY_SEP!D:D,(BUY_SEP!B:B=A421)*(BUY_SEP!C:C=B421)),1),"""")"),"")</f>
        <v/>
      </c>
      <c r="F421" s="216"/>
      <c r="G421" s="216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  <c r="AA421" s="220"/>
      <c r="AB421" s="220"/>
    </row>
    <row r="422">
      <c r="A422" s="216"/>
      <c r="B422" s="216"/>
      <c r="C422" s="216" t="str">
        <f t="shared" si="1"/>
        <v/>
      </c>
      <c r="D422" s="216"/>
      <c r="E422" s="218" t="str">
        <f>IFERROR(__xludf.DUMMYFUNCTION("IFERROR(INDEX(FILTER(BUY_SEP!D:D,(BUY_SEP!B:B=A422)*(BUY_SEP!C:C=B422)),1),"""")"),"")</f>
        <v/>
      </c>
      <c r="F422" s="216"/>
      <c r="G422" s="216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  <c r="AA422" s="220"/>
      <c r="AB422" s="220"/>
    </row>
    <row r="423">
      <c r="A423" s="216"/>
      <c r="B423" s="216"/>
      <c r="C423" s="216" t="str">
        <f t="shared" si="1"/>
        <v/>
      </c>
      <c r="D423" s="216"/>
      <c r="E423" s="218" t="str">
        <f>IFERROR(__xludf.DUMMYFUNCTION("IFERROR(INDEX(FILTER(BUY_SEP!D:D,(BUY_SEP!B:B=A423)*(BUY_SEP!C:C=B423)),1),"""")"),"")</f>
        <v/>
      </c>
      <c r="F423" s="216"/>
      <c r="G423" s="216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  <c r="AA423" s="220"/>
      <c r="AB423" s="220"/>
    </row>
    <row r="424">
      <c r="A424" s="216"/>
      <c r="B424" s="216"/>
      <c r="C424" s="216" t="str">
        <f t="shared" si="1"/>
        <v/>
      </c>
      <c r="D424" s="216"/>
      <c r="E424" s="218" t="str">
        <f>IFERROR(__xludf.DUMMYFUNCTION("IFERROR(INDEX(FILTER(BUY_SEP!D:D,(BUY_SEP!B:B=A424)*(BUY_SEP!C:C=B424)),1),"""")"),"")</f>
        <v/>
      </c>
      <c r="F424" s="216"/>
      <c r="G424" s="216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  <c r="AA424" s="220"/>
      <c r="AB424" s="220"/>
    </row>
    <row r="425">
      <c r="A425" s="216"/>
      <c r="B425" s="216"/>
      <c r="C425" s="216" t="str">
        <f t="shared" si="1"/>
        <v/>
      </c>
      <c r="D425" s="216"/>
      <c r="E425" s="218" t="str">
        <f>IFERROR(__xludf.DUMMYFUNCTION("IFERROR(INDEX(FILTER(BUY_SEP!D:D,(BUY_SEP!B:B=A425)*(BUY_SEP!C:C=B425)),1),"""")"),"")</f>
        <v/>
      </c>
      <c r="F425" s="216"/>
      <c r="G425" s="216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  <c r="AA425" s="220"/>
      <c r="AB425" s="220"/>
    </row>
    <row r="426">
      <c r="A426" s="216"/>
      <c r="B426" s="216"/>
      <c r="C426" s="216" t="str">
        <f t="shared" si="1"/>
        <v/>
      </c>
      <c r="D426" s="216"/>
      <c r="E426" s="218" t="str">
        <f>IFERROR(__xludf.DUMMYFUNCTION("IFERROR(INDEX(FILTER(BUY_SEP!D:D,(BUY_SEP!B:B=A426)*(BUY_SEP!C:C=B426)),1),"""")"),"")</f>
        <v/>
      </c>
      <c r="F426" s="216"/>
      <c r="G426" s="216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  <c r="AA426" s="220"/>
      <c r="AB426" s="220"/>
    </row>
    <row r="427">
      <c r="A427" s="216"/>
      <c r="B427" s="216"/>
      <c r="C427" s="216" t="str">
        <f t="shared" si="1"/>
        <v/>
      </c>
      <c r="D427" s="216"/>
      <c r="E427" s="218" t="str">
        <f>IFERROR(__xludf.DUMMYFUNCTION("IFERROR(INDEX(FILTER(BUY_SEP!D:D,(BUY_SEP!B:B=A427)*(BUY_SEP!C:C=B427)),1),"""")"),"")</f>
        <v/>
      </c>
      <c r="F427" s="216"/>
      <c r="G427" s="216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  <c r="AA427" s="220"/>
      <c r="AB427" s="220"/>
    </row>
    <row r="428">
      <c r="A428" s="216"/>
      <c r="B428" s="216"/>
      <c r="C428" s="216" t="str">
        <f t="shared" si="1"/>
        <v/>
      </c>
      <c r="D428" s="216"/>
      <c r="E428" s="218" t="str">
        <f>IFERROR(__xludf.DUMMYFUNCTION("IFERROR(INDEX(FILTER(BUY_SEP!D:D,(BUY_SEP!B:B=A428)*(BUY_SEP!C:C=B428)),1),"""")"),"")</f>
        <v/>
      </c>
      <c r="F428" s="216"/>
      <c r="G428" s="216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  <c r="AA428" s="220"/>
      <c r="AB428" s="220"/>
    </row>
    <row r="429">
      <c r="A429" s="216"/>
      <c r="B429" s="216"/>
      <c r="C429" s="216" t="str">
        <f t="shared" si="1"/>
        <v/>
      </c>
      <c r="D429" s="216"/>
      <c r="E429" s="218" t="str">
        <f>IFERROR(__xludf.DUMMYFUNCTION("IFERROR(INDEX(FILTER(BUY_SEP!D:D,(BUY_SEP!B:B=A429)*(BUY_SEP!C:C=B429)),1),"""")"),"")</f>
        <v/>
      </c>
      <c r="F429" s="216"/>
      <c r="G429" s="216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  <c r="AA429" s="220"/>
      <c r="AB429" s="220"/>
    </row>
    <row r="430">
      <c r="A430" s="216"/>
      <c r="B430" s="216"/>
      <c r="C430" s="216" t="str">
        <f t="shared" si="1"/>
        <v/>
      </c>
      <c r="D430" s="216"/>
      <c r="E430" s="218" t="str">
        <f>IFERROR(__xludf.DUMMYFUNCTION("IFERROR(INDEX(FILTER(BUY_SEP!D:D,(BUY_SEP!B:B=A430)*(BUY_SEP!C:C=B430)),1),"""")"),"")</f>
        <v/>
      </c>
      <c r="F430" s="216"/>
      <c r="G430" s="216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  <c r="AA430" s="220"/>
      <c r="AB430" s="220"/>
    </row>
    <row r="431">
      <c r="A431" s="216"/>
      <c r="B431" s="216"/>
      <c r="C431" s="216" t="str">
        <f t="shared" si="1"/>
        <v/>
      </c>
      <c r="D431" s="216"/>
      <c r="E431" s="218" t="str">
        <f>IFERROR(__xludf.DUMMYFUNCTION("IFERROR(INDEX(FILTER(BUY_SEP!D:D,(BUY_SEP!B:B=A431)*(BUY_SEP!C:C=B431)),1),"""")"),"")</f>
        <v/>
      </c>
      <c r="F431" s="216"/>
      <c r="G431" s="216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  <c r="AA431" s="220"/>
      <c r="AB431" s="220"/>
    </row>
    <row r="432">
      <c r="A432" s="216"/>
      <c r="B432" s="216"/>
      <c r="C432" s="216" t="str">
        <f t="shared" si="1"/>
        <v/>
      </c>
      <c r="D432" s="216"/>
      <c r="E432" s="218" t="str">
        <f>IFERROR(__xludf.DUMMYFUNCTION("IFERROR(INDEX(FILTER(BUY_SEP!D:D,(BUY_SEP!B:B=A432)*(BUY_SEP!C:C=B432)),1),"""")"),"")</f>
        <v/>
      </c>
      <c r="F432" s="216"/>
      <c r="G432" s="216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  <c r="AA432" s="220"/>
      <c r="AB432" s="220"/>
    </row>
    <row r="433">
      <c r="A433" s="216"/>
      <c r="B433" s="216"/>
      <c r="C433" s="216" t="str">
        <f t="shared" si="1"/>
        <v/>
      </c>
      <c r="D433" s="216"/>
      <c r="E433" s="218" t="str">
        <f>IFERROR(__xludf.DUMMYFUNCTION("IFERROR(INDEX(FILTER(BUY_SEP!D:D,(BUY_SEP!B:B=A433)*(BUY_SEP!C:C=B433)),1),"""")"),"")</f>
        <v/>
      </c>
      <c r="F433" s="216"/>
      <c r="G433" s="216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  <c r="AA433" s="220"/>
      <c r="AB433" s="220"/>
    </row>
    <row r="434">
      <c r="A434" s="216"/>
      <c r="B434" s="216"/>
      <c r="C434" s="216" t="str">
        <f t="shared" si="1"/>
        <v/>
      </c>
      <c r="D434" s="216"/>
      <c r="E434" s="218" t="str">
        <f>IFERROR(__xludf.DUMMYFUNCTION("IFERROR(INDEX(FILTER(BUY_SEP!D:D,(BUY_SEP!B:B=A434)*(BUY_SEP!C:C=B434)),1),"""")"),"")</f>
        <v/>
      </c>
      <c r="F434" s="216"/>
      <c r="G434" s="216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  <c r="AA434" s="220"/>
      <c r="AB434" s="220"/>
    </row>
    <row r="435">
      <c r="A435" s="216"/>
      <c r="B435" s="216"/>
      <c r="C435" s="216" t="str">
        <f t="shared" si="1"/>
        <v/>
      </c>
      <c r="D435" s="216"/>
      <c r="E435" s="218" t="str">
        <f>IFERROR(__xludf.DUMMYFUNCTION("IFERROR(INDEX(FILTER(BUY_SEP!D:D,(BUY_SEP!B:B=A435)*(BUY_SEP!C:C=B435)),1),"""")"),"")</f>
        <v/>
      </c>
      <c r="F435" s="216"/>
      <c r="G435" s="216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  <c r="AA435" s="220"/>
      <c r="AB435" s="220"/>
    </row>
    <row r="436">
      <c r="A436" s="216"/>
      <c r="B436" s="216"/>
      <c r="C436" s="216" t="str">
        <f t="shared" si="1"/>
        <v/>
      </c>
      <c r="D436" s="216"/>
      <c r="E436" s="218" t="str">
        <f>IFERROR(__xludf.DUMMYFUNCTION("IFERROR(INDEX(FILTER(BUY_SEP!D:D,(BUY_SEP!B:B=A436)*(BUY_SEP!C:C=B436)),1),"""")"),"")</f>
        <v/>
      </c>
      <c r="F436" s="216"/>
      <c r="G436" s="216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  <c r="AA436" s="220"/>
      <c r="AB436" s="220"/>
    </row>
    <row r="437">
      <c r="A437" s="216"/>
      <c r="B437" s="216"/>
      <c r="C437" s="216" t="str">
        <f t="shared" si="1"/>
        <v/>
      </c>
      <c r="D437" s="216"/>
      <c r="E437" s="218" t="str">
        <f>IFERROR(__xludf.DUMMYFUNCTION("IFERROR(INDEX(FILTER(BUY_SEP!D:D,(BUY_SEP!B:B=A437)*(BUY_SEP!C:C=B437)),1),"""")"),"")</f>
        <v/>
      </c>
      <c r="F437" s="216"/>
      <c r="G437" s="216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  <c r="AA437" s="220"/>
      <c r="AB437" s="220"/>
    </row>
    <row r="438">
      <c r="A438" s="216"/>
      <c r="B438" s="216"/>
      <c r="C438" s="216" t="str">
        <f t="shared" si="1"/>
        <v/>
      </c>
      <c r="D438" s="216"/>
      <c r="E438" s="218" t="str">
        <f>IFERROR(__xludf.DUMMYFUNCTION("IFERROR(INDEX(FILTER(BUY_SEP!D:D,(BUY_SEP!B:B=A438)*(BUY_SEP!C:C=B438)),1),"""")"),"")</f>
        <v/>
      </c>
      <c r="F438" s="216"/>
      <c r="G438" s="216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  <c r="AA438" s="220"/>
      <c r="AB438" s="220"/>
    </row>
    <row r="439">
      <c r="A439" s="216"/>
      <c r="B439" s="216"/>
      <c r="C439" s="216" t="str">
        <f t="shared" si="1"/>
        <v/>
      </c>
      <c r="D439" s="216"/>
      <c r="E439" s="218" t="str">
        <f>IFERROR(__xludf.DUMMYFUNCTION("IFERROR(INDEX(FILTER(BUY_SEP!D:D,(BUY_SEP!B:B=A439)*(BUY_SEP!C:C=B439)),1),"""")"),"")</f>
        <v/>
      </c>
      <c r="F439" s="216"/>
      <c r="G439" s="216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  <c r="AA439" s="220"/>
      <c r="AB439" s="220"/>
    </row>
    <row r="440">
      <c r="A440" s="216"/>
      <c r="B440" s="216"/>
      <c r="C440" s="216" t="str">
        <f t="shared" si="1"/>
        <v/>
      </c>
      <c r="D440" s="216"/>
      <c r="E440" s="218" t="str">
        <f>IFERROR(__xludf.DUMMYFUNCTION("IFERROR(INDEX(FILTER(BUY_SEP!D:D,(BUY_SEP!B:B=A440)*(BUY_SEP!C:C=B440)),1),"""")"),"")</f>
        <v/>
      </c>
      <c r="F440" s="216"/>
      <c r="G440" s="216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  <c r="AA440" s="220"/>
      <c r="AB440" s="220"/>
    </row>
    <row r="441">
      <c r="A441" s="216"/>
      <c r="B441" s="216"/>
      <c r="C441" s="216" t="str">
        <f t="shared" si="1"/>
        <v/>
      </c>
      <c r="D441" s="216"/>
      <c r="E441" s="218" t="str">
        <f>IFERROR(__xludf.DUMMYFUNCTION("IFERROR(INDEX(FILTER(BUY_SEP!D:D,(BUY_SEP!B:B=A441)*(BUY_SEP!C:C=B441)),1),"""")"),"")</f>
        <v/>
      </c>
      <c r="F441" s="216"/>
      <c r="G441" s="216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  <c r="AA441" s="220"/>
      <c r="AB441" s="220"/>
    </row>
    <row r="442">
      <c r="A442" s="216"/>
      <c r="B442" s="216"/>
      <c r="C442" s="216" t="str">
        <f t="shared" si="1"/>
        <v/>
      </c>
      <c r="D442" s="216"/>
      <c r="E442" s="218" t="str">
        <f>IFERROR(__xludf.DUMMYFUNCTION("IFERROR(INDEX(FILTER(BUY_SEP!D:D,(BUY_SEP!B:B=A442)*(BUY_SEP!C:C=B442)),1),"""")"),"")</f>
        <v/>
      </c>
      <c r="F442" s="216"/>
      <c r="G442" s="216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  <c r="AA442" s="220"/>
      <c r="AB442" s="220"/>
    </row>
    <row r="443">
      <c r="A443" s="216"/>
      <c r="B443" s="216"/>
      <c r="C443" s="216" t="str">
        <f t="shared" si="1"/>
        <v/>
      </c>
      <c r="D443" s="216"/>
      <c r="E443" s="218" t="str">
        <f>IFERROR(__xludf.DUMMYFUNCTION("IFERROR(INDEX(FILTER(BUY_SEP!D:D,(BUY_SEP!B:B=A443)*(BUY_SEP!C:C=B443)),1),"""")"),"")</f>
        <v/>
      </c>
      <c r="F443" s="216"/>
      <c r="G443" s="216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  <c r="AA443" s="220"/>
      <c r="AB443" s="220"/>
    </row>
    <row r="444">
      <c r="A444" s="216"/>
      <c r="B444" s="216"/>
      <c r="C444" s="216" t="str">
        <f t="shared" si="1"/>
        <v/>
      </c>
      <c r="D444" s="216"/>
      <c r="E444" s="218" t="str">
        <f>IFERROR(__xludf.DUMMYFUNCTION("IFERROR(INDEX(FILTER(BUY_SEP!D:D,(BUY_SEP!B:B=A444)*(BUY_SEP!C:C=B444)),1),"""")"),"")</f>
        <v/>
      </c>
      <c r="F444" s="216"/>
      <c r="G444" s="216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  <c r="AA444" s="220"/>
      <c r="AB444" s="220"/>
    </row>
    <row r="445">
      <c r="A445" s="216"/>
      <c r="B445" s="216"/>
      <c r="C445" s="216" t="str">
        <f t="shared" si="1"/>
        <v/>
      </c>
      <c r="D445" s="216"/>
      <c r="E445" s="218" t="str">
        <f>IFERROR(__xludf.DUMMYFUNCTION("IFERROR(INDEX(FILTER(BUY_SEP!D:D,(BUY_SEP!B:B=A445)*(BUY_SEP!C:C=B445)),1),"""")"),"")</f>
        <v/>
      </c>
      <c r="F445" s="216"/>
      <c r="G445" s="216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  <c r="AA445" s="220"/>
      <c r="AB445" s="220"/>
    </row>
    <row r="446">
      <c r="A446" s="216"/>
      <c r="B446" s="216"/>
      <c r="C446" s="216" t="str">
        <f t="shared" si="1"/>
        <v/>
      </c>
      <c r="D446" s="216"/>
      <c r="E446" s="218" t="str">
        <f>IFERROR(__xludf.DUMMYFUNCTION("IFERROR(INDEX(FILTER(BUY_SEP!D:D,(BUY_SEP!B:B=A446)*(BUY_SEP!C:C=B446)),1),"""")"),"")</f>
        <v/>
      </c>
      <c r="F446" s="216"/>
      <c r="G446" s="216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  <c r="AA446" s="220"/>
      <c r="AB446" s="220"/>
    </row>
    <row r="447">
      <c r="A447" s="216"/>
      <c r="B447" s="216"/>
      <c r="C447" s="216" t="str">
        <f t="shared" si="1"/>
        <v/>
      </c>
      <c r="D447" s="216"/>
      <c r="E447" s="218" t="str">
        <f>IFERROR(__xludf.DUMMYFUNCTION("IFERROR(INDEX(FILTER(BUY_SEP!D:D,(BUY_SEP!B:B=A447)*(BUY_SEP!C:C=B447)),1),"""")"),"")</f>
        <v/>
      </c>
      <c r="F447" s="216"/>
      <c r="G447" s="216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  <c r="AA447" s="220"/>
      <c r="AB447" s="220"/>
    </row>
    <row r="448">
      <c r="A448" s="216"/>
      <c r="B448" s="216"/>
      <c r="C448" s="216" t="str">
        <f t="shared" si="1"/>
        <v/>
      </c>
      <c r="D448" s="216"/>
      <c r="E448" s="218" t="str">
        <f>IFERROR(__xludf.DUMMYFUNCTION("IFERROR(INDEX(FILTER(BUY_SEP!D:D,(BUY_SEP!B:B=A448)*(BUY_SEP!C:C=B448)),1),"""")"),"")</f>
        <v/>
      </c>
      <c r="F448" s="216"/>
      <c r="G448" s="216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  <c r="AA448" s="220"/>
      <c r="AB448" s="220"/>
    </row>
    <row r="449">
      <c r="A449" s="216"/>
      <c r="B449" s="216"/>
      <c r="C449" s="216" t="str">
        <f t="shared" si="1"/>
        <v/>
      </c>
      <c r="D449" s="216"/>
      <c r="E449" s="218" t="str">
        <f>IFERROR(__xludf.DUMMYFUNCTION("IFERROR(INDEX(FILTER(BUY_SEP!D:D,(BUY_SEP!B:B=A449)*(BUY_SEP!C:C=B449)),1),"""")"),"")</f>
        <v/>
      </c>
      <c r="F449" s="216"/>
      <c r="G449" s="216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  <c r="AA449" s="220"/>
      <c r="AB449" s="220"/>
    </row>
    <row r="450">
      <c r="A450" s="216"/>
      <c r="B450" s="216"/>
      <c r="C450" s="216" t="str">
        <f t="shared" si="1"/>
        <v/>
      </c>
      <c r="D450" s="216"/>
      <c r="E450" s="218" t="str">
        <f>IFERROR(__xludf.DUMMYFUNCTION("IFERROR(INDEX(FILTER(BUY_SEP!D:D,(BUY_SEP!B:B=A450)*(BUY_SEP!C:C=B450)),1),"""")"),"")</f>
        <v/>
      </c>
      <c r="F450" s="216"/>
      <c r="G450" s="216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  <c r="AA450" s="220"/>
      <c r="AB450" s="220"/>
    </row>
    <row r="451">
      <c r="A451" s="216"/>
      <c r="B451" s="216"/>
      <c r="C451" s="216" t="str">
        <f t="shared" si="1"/>
        <v/>
      </c>
      <c r="D451" s="216"/>
      <c r="E451" s="218" t="str">
        <f>IFERROR(__xludf.DUMMYFUNCTION("IFERROR(INDEX(FILTER(BUY_SEP!D:D,(BUY_SEP!B:B=A451)*(BUY_SEP!C:C=B451)),1),"""")"),"")</f>
        <v/>
      </c>
      <c r="F451" s="216"/>
      <c r="G451" s="216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  <c r="AA451" s="220"/>
      <c r="AB451" s="220"/>
    </row>
    <row r="452">
      <c r="A452" s="216"/>
      <c r="B452" s="216"/>
      <c r="C452" s="216" t="str">
        <f t="shared" si="1"/>
        <v/>
      </c>
      <c r="D452" s="216"/>
      <c r="E452" s="218" t="str">
        <f>IFERROR(__xludf.DUMMYFUNCTION("IFERROR(INDEX(FILTER(BUY_SEP!D:D,(BUY_SEP!B:B=A452)*(BUY_SEP!C:C=B452)),1),"""")"),"")</f>
        <v/>
      </c>
      <c r="F452" s="216"/>
      <c r="G452" s="216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  <c r="AA452" s="220"/>
      <c r="AB452" s="220"/>
    </row>
    <row r="453">
      <c r="A453" s="216"/>
      <c r="B453" s="216"/>
      <c r="C453" s="216" t="str">
        <f t="shared" si="1"/>
        <v/>
      </c>
      <c r="D453" s="216"/>
      <c r="E453" s="218" t="str">
        <f>IFERROR(__xludf.DUMMYFUNCTION("IFERROR(INDEX(FILTER(BUY_SEP!D:D,(BUY_SEP!B:B=A453)*(BUY_SEP!C:C=B453)),1),"""")"),"")</f>
        <v/>
      </c>
      <c r="F453" s="216"/>
      <c r="G453" s="216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  <c r="AA453" s="220"/>
      <c r="AB453" s="220"/>
    </row>
    <row r="454">
      <c r="A454" s="216"/>
      <c r="B454" s="216"/>
      <c r="C454" s="216" t="str">
        <f t="shared" si="1"/>
        <v/>
      </c>
      <c r="D454" s="216"/>
      <c r="E454" s="218" t="str">
        <f>IFERROR(__xludf.DUMMYFUNCTION("IFERROR(INDEX(FILTER(BUY_SEP!D:D,(BUY_SEP!B:B=A454)*(BUY_SEP!C:C=B454)),1),"""")"),"")</f>
        <v/>
      </c>
      <c r="F454" s="216"/>
      <c r="G454" s="216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  <c r="AA454" s="220"/>
      <c r="AB454" s="220"/>
    </row>
    <row r="455">
      <c r="A455" s="216"/>
      <c r="B455" s="216"/>
      <c r="C455" s="216" t="str">
        <f t="shared" si="1"/>
        <v/>
      </c>
      <c r="D455" s="216"/>
      <c r="E455" s="218" t="str">
        <f>IFERROR(__xludf.DUMMYFUNCTION("IFERROR(INDEX(FILTER(BUY_SEP!D:D,(BUY_SEP!B:B=A455)*(BUY_SEP!C:C=B455)),1),"""")"),"")</f>
        <v/>
      </c>
      <c r="F455" s="216"/>
      <c r="G455" s="216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  <c r="AA455" s="220"/>
      <c r="AB455" s="220"/>
    </row>
    <row r="456">
      <c r="A456" s="216"/>
      <c r="B456" s="216"/>
      <c r="C456" s="216" t="str">
        <f t="shared" si="1"/>
        <v/>
      </c>
      <c r="D456" s="216"/>
      <c r="E456" s="218" t="str">
        <f>IFERROR(__xludf.DUMMYFUNCTION("IFERROR(INDEX(FILTER(BUY_SEP!D:D,(BUY_SEP!B:B=A456)*(BUY_SEP!C:C=B456)),1),"""")"),"")</f>
        <v/>
      </c>
      <c r="F456" s="216"/>
      <c r="G456" s="216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  <c r="AA456" s="220"/>
      <c r="AB456" s="220"/>
    </row>
    <row r="457">
      <c r="A457" s="216"/>
      <c r="B457" s="216"/>
      <c r="C457" s="216" t="str">
        <f t="shared" si="1"/>
        <v/>
      </c>
      <c r="D457" s="216"/>
      <c r="E457" s="218" t="str">
        <f>IFERROR(__xludf.DUMMYFUNCTION("IFERROR(INDEX(FILTER(BUY_SEP!D:D,(BUY_SEP!B:B=A457)*(BUY_SEP!C:C=B457)),1),"""")"),"")</f>
        <v/>
      </c>
      <c r="F457" s="216"/>
      <c r="G457" s="216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  <c r="AA457" s="220"/>
      <c r="AB457" s="220"/>
    </row>
    <row r="458">
      <c r="A458" s="216"/>
      <c r="B458" s="216"/>
      <c r="C458" s="216" t="str">
        <f t="shared" si="1"/>
        <v/>
      </c>
      <c r="D458" s="216"/>
      <c r="E458" s="218" t="str">
        <f>IFERROR(__xludf.DUMMYFUNCTION("IFERROR(INDEX(FILTER(BUY_SEP!D:D,(BUY_SEP!B:B=A458)*(BUY_SEP!C:C=B458)),1),"""")"),"")</f>
        <v/>
      </c>
      <c r="F458" s="216"/>
      <c r="G458" s="216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  <c r="AA458" s="220"/>
      <c r="AB458" s="220"/>
    </row>
    <row r="459">
      <c r="A459" s="216"/>
      <c r="B459" s="216"/>
      <c r="C459" s="216" t="str">
        <f t="shared" si="1"/>
        <v/>
      </c>
      <c r="D459" s="216"/>
      <c r="E459" s="218" t="str">
        <f>IFERROR(__xludf.DUMMYFUNCTION("IFERROR(INDEX(FILTER(BUY_SEP!D:D,(BUY_SEP!B:B=A459)*(BUY_SEP!C:C=B459)),1),"""")"),"")</f>
        <v/>
      </c>
      <c r="F459" s="216"/>
      <c r="G459" s="216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  <c r="AA459" s="220"/>
      <c r="AB459" s="220"/>
    </row>
    <row r="460">
      <c r="A460" s="216"/>
      <c r="B460" s="216"/>
      <c r="C460" s="216" t="str">
        <f t="shared" si="1"/>
        <v/>
      </c>
      <c r="D460" s="216"/>
      <c r="E460" s="218" t="str">
        <f>IFERROR(__xludf.DUMMYFUNCTION("IFERROR(INDEX(FILTER(BUY_SEP!D:D,(BUY_SEP!B:B=A460)*(BUY_SEP!C:C=B460)),1),"""")"),"")</f>
        <v/>
      </c>
      <c r="F460" s="216"/>
      <c r="G460" s="216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  <c r="AA460" s="220"/>
      <c r="AB460" s="220"/>
    </row>
    <row r="461">
      <c r="A461" s="216"/>
      <c r="B461" s="216"/>
      <c r="C461" s="216" t="str">
        <f t="shared" si="1"/>
        <v/>
      </c>
      <c r="D461" s="216"/>
      <c r="E461" s="218" t="str">
        <f>IFERROR(__xludf.DUMMYFUNCTION("IFERROR(INDEX(FILTER(BUY_SEP!D:D,(BUY_SEP!B:B=A461)*(BUY_SEP!C:C=B461)),1),"""")"),"")</f>
        <v/>
      </c>
      <c r="F461" s="216"/>
      <c r="G461" s="216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  <c r="AA461" s="220"/>
      <c r="AB461" s="220"/>
    </row>
    <row r="462">
      <c r="A462" s="216"/>
      <c r="B462" s="216"/>
      <c r="C462" s="216" t="str">
        <f t="shared" si="1"/>
        <v/>
      </c>
      <c r="D462" s="216"/>
      <c r="E462" s="218" t="str">
        <f>IFERROR(__xludf.DUMMYFUNCTION("IFERROR(INDEX(FILTER(BUY_SEP!D:D,(BUY_SEP!B:B=A462)*(BUY_SEP!C:C=B462)),1),"""")"),"")</f>
        <v/>
      </c>
      <c r="F462" s="216"/>
      <c r="G462" s="216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  <c r="AA462" s="220"/>
      <c r="AB462" s="220"/>
    </row>
    <row r="463">
      <c r="A463" s="216"/>
      <c r="B463" s="216"/>
      <c r="C463" s="216" t="str">
        <f t="shared" si="1"/>
        <v/>
      </c>
      <c r="D463" s="216"/>
      <c r="E463" s="218" t="str">
        <f>IFERROR(__xludf.DUMMYFUNCTION("IFERROR(INDEX(FILTER(BUY_SEP!D:D,(BUY_SEP!B:B=A463)*(BUY_SEP!C:C=B463)),1),"""")"),"")</f>
        <v/>
      </c>
      <c r="F463" s="216"/>
      <c r="G463" s="216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  <c r="AA463" s="220"/>
      <c r="AB463" s="220"/>
    </row>
    <row r="464">
      <c r="A464" s="216"/>
      <c r="B464" s="216"/>
      <c r="C464" s="216" t="str">
        <f t="shared" si="1"/>
        <v/>
      </c>
      <c r="D464" s="216"/>
      <c r="E464" s="218" t="str">
        <f>IFERROR(__xludf.DUMMYFUNCTION("IFERROR(INDEX(FILTER(BUY_SEP!D:D,(BUY_SEP!B:B=A464)*(BUY_SEP!C:C=B464)),1),"""")"),"")</f>
        <v/>
      </c>
      <c r="F464" s="216"/>
      <c r="G464" s="216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  <c r="AA464" s="220"/>
      <c r="AB464" s="220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6.63"/>
    <col customWidth="1" min="3" max="7" width="26.63"/>
    <col customWidth="1" min="8" max="8" width="16.5"/>
    <col customWidth="1" min="9" max="9" width="34.0"/>
    <col customWidth="1" min="10" max="10" width="22.25"/>
    <col customWidth="1" min="11" max="27" width="26.63"/>
  </cols>
  <sheetData>
    <row r="1">
      <c r="A1" s="177" t="s">
        <v>4</v>
      </c>
      <c r="B1" s="177" t="s">
        <v>42</v>
      </c>
      <c r="C1" s="178" t="s">
        <v>65</v>
      </c>
      <c r="D1" s="178" t="s">
        <v>66</v>
      </c>
      <c r="E1" s="178" t="s">
        <v>67</v>
      </c>
      <c r="F1" s="179" t="s">
        <v>68</v>
      </c>
      <c r="G1" s="178" t="s">
        <v>69</v>
      </c>
      <c r="H1" s="178" t="s">
        <v>70</v>
      </c>
      <c r="I1" s="180" t="s">
        <v>71</v>
      </c>
      <c r="J1" s="180" t="s">
        <v>72</v>
      </c>
      <c r="K1" s="180" t="s">
        <v>73</v>
      </c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</row>
    <row r="2" ht="24.0" customHeight="1">
      <c r="A2" s="183" t="str">
        <f>IFERROR(__xludf.DUMMYFUNCTION("FILTER(OCT_back!B3:C999,OCT_back!B3:B999&lt;&gt;"""")"),"#REF!")</f>
        <v>#REF!</v>
      </c>
      <c r="B2" s="183"/>
      <c r="C2" s="183" t="str">
        <f t="shared" ref="C2:C110" si="1">IF(B2="","","INV-S"&amp;TEXT(A2,"yyyymmdd")&amp;"-"&amp;B2)</f>
        <v/>
      </c>
      <c r="D2" s="183" t="s">
        <v>74</v>
      </c>
      <c r="E2" s="184" t="s">
        <v>75</v>
      </c>
      <c r="F2" s="185" t="str">
        <f t="shared" ref="F2:F110" si="2">A2</f>
        <v>#REF!</v>
      </c>
      <c r="G2" s="192" t="str">
        <f t="shared" ref="G2:G110" si="3">A2</f>
        <v>#REF!</v>
      </c>
      <c r="H2" s="183" t="s">
        <v>76</v>
      </c>
      <c r="I2" s="192" t="str">
        <f>IFERROR(__xludf.DUMMYFUNCTION("IFERROR(FILTER(OCT_back!D3:D999,LEN(OCT_back!D3:D999)&gt;0),"""")"),"")</f>
        <v/>
      </c>
      <c r="J2" s="192" t="str">
        <f>IFERROR(__xludf.DUMMYFUNCTION("IFERROR(FILTER(OCT_back!G3:H999,OCT_back!G3:G999&lt;&gt;""""),"""")"),"")</f>
        <v/>
      </c>
      <c r="K2" s="192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</row>
    <row r="3" ht="24.0" customHeight="1">
      <c r="A3" s="192"/>
      <c r="B3" s="192"/>
      <c r="C3" s="183" t="str">
        <f t="shared" si="1"/>
        <v/>
      </c>
      <c r="D3" s="183" t="s">
        <v>74</v>
      </c>
      <c r="E3" s="184" t="s">
        <v>75</v>
      </c>
      <c r="F3" s="185" t="str">
        <f t="shared" si="2"/>
        <v/>
      </c>
      <c r="G3" s="192" t="str">
        <f t="shared" si="3"/>
        <v/>
      </c>
      <c r="H3" s="183" t="s">
        <v>76</v>
      </c>
      <c r="I3" s="192"/>
      <c r="J3" s="192"/>
      <c r="K3" s="192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</row>
    <row r="4" ht="24.0" customHeight="1">
      <c r="A4" s="192"/>
      <c r="B4" s="192"/>
      <c r="C4" s="183" t="str">
        <f t="shared" si="1"/>
        <v/>
      </c>
      <c r="D4" s="183" t="s">
        <v>74</v>
      </c>
      <c r="E4" s="184" t="s">
        <v>75</v>
      </c>
      <c r="F4" s="185" t="str">
        <f t="shared" si="2"/>
        <v/>
      </c>
      <c r="G4" s="192" t="str">
        <f t="shared" si="3"/>
        <v/>
      </c>
      <c r="H4" s="183" t="s">
        <v>76</v>
      </c>
      <c r="I4" s="192"/>
      <c r="J4" s="192"/>
      <c r="K4" s="192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</row>
    <row r="5" ht="24.0" customHeight="1">
      <c r="A5" s="192"/>
      <c r="B5" s="192"/>
      <c r="C5" s="183" t="str">
        <f t="shared" si="1"/>
        <v/>
      </c>
      <c r="D5" s="183" t="s">
        <v>74</v>
      </c>
      <c r="E5" s="184" t="s">
        <v>75</v>
      </c>
      <c r="F5" s="185" t="str">
        <f t="shared" si="2"/>
        <v/>
      </c>
      <c r="G5" s="192" t="str">
        <f t="shared" si="3"/>
        <v/>
      </c>
      <c r="H5" s="183" t="s">
        <v>76</v>
      </c>
      <c r="I5" s="192"/>
      <c r="J5" s="192"/>
      <c r="K5" s="192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</row>
    <row r="6" ht="24.0" customHeight="1">
      <c r="A6" s="192"/>
      <c r="B6" s="192"/>
      <c r="C6" s="183" t="str">
        <f t="shared" si="1"/>
        <v/>
      </c>
      <c r="D6" s="183" t="s">
        <v>74</v>
      </c>
      <c r="E6" s="184" t="s">
        <v>75</v>
      </c>
      <c r="F6" s="185" t="str">
        <f t="shared" si="2"/>
        <v/>
      </c>
      <c r="G6" s="192" t="str">
        <f t="shared" si="3"/>
        <v/>
      </c>
      <c r="H6" s="183" t="s">
        <v>76</v>
      </c>
      <c r="I6" s="192"/>
      <c r="J6" s="192"/>
      <c r="K6" s="192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</row>
    <row r="7" ht="24.0" customHeight="1">
      <c r="A7" s="192"/>
      <c r="B7" s="192"/>
      <c r="C7" s="183" t="str">
        <f t="shared" si="1"/>
        <v/>
      </c>
      <c r="D7" s="183" t="s">
        <v>74</v>
      </c>
      <c r="E7" s="184" t="s">
        <v>75</v>
      </c>
      <c r="F7" s="185" t="str">
        <f t="shared" si="2"/>
        <v/>
      </c>
      <c r="G7" s="192" t="str">
        <f t="shared" si="3"/>
        <v/>
      </c>
      <c r="H7" s="183" t="s">
        <v>76</v>
      </c>
      <c r="I7" s="192"/>
      <c r="J7" s="192"/>
      <c r="K7" s="192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</row>
    <row r="8" ht="24.0" customHeight="1">
      <c r="A8" s="192"/>
      <c r="B8" s="192"/>
      <c r="C8" s="183" t="str">
        <f t="shared" si="1"/>
        <v/>
      </c>
      <c r="D8" s="183" t="s">
        <v>74</v>
      </c>
      <c r="E8" s="184" t="s">
        <v>75</v>
      </c>
      <c r="F8" s="185" t="str">
        <f t="shared" si="2"/>
        <v/>
      </c>
      <c r="G8" s="192" t="str">
        <f t="shared" si="3"/>
        <v/>
      </c>
      <c r="H8" s="183" t="s">
        <v>76</v>
      </c>
      <c r="I8" s="192"/>
      <c r="J8" s="192"/>
      <c r="K8" s="192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</row>
    <row r="9" ht="24.0" customHeight="1">
      <c r="A9" s="192"/>
      <c r="B9" s="192"/>
      <c r="C9" s="183" t="str">
        <f t="shared" si="1"/>
        <v/>
      </c>
      <c r="D9" s="183" t="s">
        <v>74</v>
      </c>
      <c r="E9" s="184" t="s">
        <v>75</v>
      </c>
      <c r="F9" s="185" t="str">
        <f t="shared" si="2"/>
        <v/>
      </c>
      <c r="G9" s="192" t="str">
        <f t="shared" si="3"/>
        <v/>
      </c>
      <c r="H9" s="183" t="s">
        <v>76</v>
      </c>
      <c r="I9" s="192"/>
      <c r="J9" s="192"/>
      <c r="K9" s="192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</row>
    <row r="10" ht="24.0" customHeight="1">
      <c r="A10" s="192"/>
      <c r="B10" s="192"/>
      <c r="C10" s="183" t="str">
        <f t="shared" si="1"/>
        <v/>
      </c>
      <c r="D10" s="183" t="s">
        <v>74</v>
      </c>
      <c r="E10" s="184" t="s">
        <v>75</v>
      </c>
      <c r="F10" s="185" t="str">
        <f t="shared" si="2"/>
        <v/>
      </c>
      <c r="G10" s="192" t="str">
        <f t="shared" si="3"/>
        <v/>
      </c>
      <c r="H10" s="183" t="s">
        <v>76</v>
      </c>
      <c r="I10" s="192"/>
      <c r="J10" s="192"/>
      <c r="K10" s="192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</row>
    <row r="11" ht="24.0" customHeight="1">
      <c r="A11" s="192"/>
      <c r="B11" s="192"/>
      <c r="C11" s="183" t="str">
        <f t="shared" si="1"/>
        <v/>
      </c>
      <c r="D11" s="183" t="s">
        <v>74</v>
      </c>
      <c r="E11" s="184" t="s">
        <v>75</v>
      </c>
      <c r="F11" s="185" t="str">
        <f t="shared" si="2"/>
        <v/>
      </c>
      <c r="G11" s="192" t="str">
        <f t="shared" si="3"/>
        <v/>
      </c>
      <c r="H11" s="183" t="s">
        <v>76</v>
      </c>
      <c r="I11" s="192"/>
      <c r="J11" s="192"/>
      <c r="K11" s="192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</row>
    <row r="12" ht="24.0" customHeight="1">
      <c r="A12" s="192"/>
      <c r="B12" s="192"/>
      <c r="C12" s="183" t="str">
        <f t="shared" si="1"/>
        <v/>
      </c>
      <c r="D12" s="183" t="s">
        <v>74</v>
      </c>
      <c r="E12" s="184" t="s">
        <v>75</v>
      </c>
      <c r="F12" s="185" t="str">
        <f t="shared" si="2"/>
        <v/>
      </c>
      <c r="G12" s="192" t="str">
        <f t="shared" si="3"/>
        <v/>
      </c>
      <c r="H12" s="183" t="s">
        <v>76</v>
      </c>
      <c r="I12" s="192"/>
      <c r="J12" s="192"/>
      <c r="K12" s="192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</row>
    <row r="13" ht="24.0" customHeight="1">
      <c r="A13" s="192"/>
      <c r="B13" s="192"/>
      <c r="C13" s="183" t="str">
        <f t="shared" si="1"/>
        <v/>
      </c>
      <c r="D13" s="183" t="s">
        <v>74</v>
      </c>
      <c r="E13" s="184" t="s">
        <v>75</v>
      </c>
      <c r="F13" s="185" t="str">
        <f t="shared" si="2"/>
        <v/>
      </c>
      <c r="G13" s="192" t="str">
        <f t="shared" si="3"/>
        <v/>
      </c>
      <c r="H13" s="183" t="s">
        <v>76</v>
      </c>
      <c r="I13" s="192"/>
      <c r="J13" s="192"/>
      <c r="K13" s="192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</row>
    <row r="14" ht="24.0" customHeight="1">
      <c r="A14" s="192"/>
      <c r="B14" s="192"/>
      <c r="C14" s="183" t="str">
        <f t="shared" si="1"/>
        <v/>
      </c>
      <c r="D14" s="183" t="s">
        <v>74</v>
      </c>
      <c r="E14" s="184" t="s">
        <v>75</v>
      </c>
      <c r="F14" s="185" t="str">
        <f t="shared" si="2"/>
        <v/>
      </c>
      <c r="G14" s="192" t="str">
        <f t="shared" si="3"/>
        <v/>
      </c>
      <c r="H14" s="183" t="s">
        <v>76</v>
      </c>
      <c r="I14" s="192"/>
      <c r="J14" s="192"/>
      <c r="K14" s="192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</row>
    <row r="15" ht="24.0" customHeight="1">
      <c r="A15" s="192"/>
      <c r="B15" s="192"/>
      <c r="C15" s="183" t="str">
        <f t="shared" si="1"/>
        <v/>
      </c>
      <c r="D15" s="183" t="s">
        <v>74</v>
      </c>
      <c r="E15" s="184" t="s">
        <v>75</v>
      </c>
      <c r="F15" s="185" t="str">
        <f t="shared" si="2"/>
        <v/>
      </c>
      <c r="G15" s="192" t="str">
        <f t="shared" si="3"/>
        <v/>
      </c>
      <c r="H15" s="183" t="s">
        <v>76</v>
      </c>
      <c r="I15" s="192"/>
      <c r="J15" s="192"/>
      <c r="K15" s="192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</row>
    <row r="16" ht="24.0" customHeight="1">
      <c r="A16" s="192"/>
      <c r="B16" s="192"/>
      <c r="C16" s="183" t="str">
        <f t="shared" si="1"/>
        <v/>
      </c>
      <c r="D16" s="183" t="s">
        <v>74</v>
      </c>
      <c r="E16" s="184" t="s">
        <v>75</v>
      </c>
      <c r="F16" s="185" t="str">
        <f t="shared" si="2"/>
        <v/>
      </c>
      <c r="G16" s="192" t="str">
        <f t="shared" si="3"/>
        <v/>
      </c>
      <c r="H16" s="183" t="s">
        <v>76</v>
      </c>
      <c r="I16" s="192"/>
      <c r="J16" s="192"/>
      <c r="K16" s="192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</row>
    <row r="17" ht="24.0" customHeight="1">
      <c r="A17" s="192"/>
      <c r="B17" s="192"/>
      <c r="C17" s="183" t="str">
        <f t="shared" si="1"/>
        <v/>
      </c>
      <c r="D17" s="183" t="s">
        <v>74</v>
      </c>
      <c r="E17" s="184" t="s">
        <v>75</v>
      </c>
      <c r="F17" s="185" t="str">
        <f t="shared" si="2"/>
        <v/>
      </c>
      <c r="G17" s="192" t="str">
        <f t="shared" si="3"/>
        <v/>
      </c>
      <c r="H17" s="183" t="s">
        <v>76</v>
      </c>
      <c r="I17" s="192"/>
      <c r="J17" s="192"/>
      <c r="K17" s="192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</row>
    <row r="18" ht="24.0" customHeight="1">
      <c r="A18" s="192"/>
      <c r="B18" s="192"/>
      <c r="C18" s="183" t="str">
        <f t="shared" si="1"/>
        <v/>
      </c>
      <c r="D18" s="183" t="s">
        <v>74</v>
      </c>
      <c r="E18" s="184" t="s">
        <v>75</v>
      </c>
      <c r="F18" s="185" t="str">
        <f t="shared" si="2"/>
        <v/>
      </c>
      <c r="G18" s="192" t="str">
        <f t="shared" si="3"/>
        <v/>
      </c>
      <c r="H18" s="183" t="s">
        <v>76</v>
      </c>
      <c r="I18" s="192"/>
      <c r="J18" s="192"/>
      <c r="K18" s="192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</row>
    <row r="19" ht="24.0" customHeight="1">
      <c r="A19" s="192"/>
      <c r="B19" s="192"/>
      <c r="C19" s="183" t="str">
        <f t="shared" si="1"/>
        <v/>
      </c>
      <c r="D19" s="183" t="s">
        <v>74</v>
      </c>
      <c r="E19" s="184" t="s">
        <v>75</v>
      </c>
      <c r="F19" s="185" t="str">
        <f t="shared" si="2"/>
        <v/>
      </c>
      <c r="G19" s="192" t="str">
        <f t="shared" si="3"/>
        <v/>
      </c>
      <c r="H19" s="183" t="s">
        <v>76</v>
      </c>
      <c r="I19" s="192"/>
      <c r="J19" s="192"/>
      <c r="K19" s="192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</row>
    <row r="20" ht="24.0" customHeight="1">
      <c r="A20" s="192"/>
      <c r="B20" s="192"/>
      <c r="C20" s="183" t="str">
        <f t="shared" si="1"/>
        <v/>
      </c>
      <c r="D20" s="183" t="s">
        <v>74</v>
      </c>
      <c r="E20" s="184" t="s">
        <v>75</v>
      </c>
      <c r="F20" s="185" t="str">
        <f t="shared" si="2"/>
        <v/>
      </c>
      <c r="G20" s="192" t="str">
        <f t="shared" si="3"/>
        <v/>
      </c>
      <c r="H20" s="183" t="s">
        <v>76</v>
      </c>
      <c r="I20" s="192"/>
      <c r="J20" s="192"/>
      <c r="K20" s="192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</row>
    <row r="21" ht="24.0" customHeight="1">
      <c r="A21" s="192"/>
      <c r="B21" s="192"/>
      <c r="C21" s="183" t="str">
        <f t="shared" si="1"/>
        <v/>
      </c>
      <c r="D21" s="183" t="s">
        <v>74</v>
      </c>
      <c r="E21" s="184" t="s">
        <v>75</v>
      </c>
      <c r="F21" s="185" t="str">
        <f t="shared" si="2"/>
        <v/>
      </c>
      <c r="G21" s="192" t="str">
        <f t="shared" si="3"/>
        <v/>
      </c>
      <c r="H21" s="183" t="s">
        <v>76</v>
      </c>
      <c r="I21" s="192"/>
      <c r="J21" s="192"/>
      <c r="K21" s="192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</row>
    <row r="22" ht="24.0" customHeight="1">
      <c r="A22" s="192"/>
      <c r="B22" s="192"/>
      <c r="C22" s="183" t="str">
        <f t="shared" si="1"/>
        <v/>
      </c>
      <c r="D22" s="183" t="s">
        <v>74</v>
      </c>
      <c r="E22" s="184" t="s">
        <v>75</v>
      </c>
      <c r="F22" s="185" t="str">
        <f t="shared" si="2"/>
        <v/>
      </c>
      <c r="G22" s="192" t="str">
        <f t="shared" si="3"/>
        <v/>
      </c>
      <c r="H22" s="183" t="s">
        <v>76</v>
      </c>
      <c r="I22" s="192"/>
      <c r="J22" s="192"/>
      <c r="K22" s="192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</row>
    <row r="23" ht="24.0" customHeight="1">
      <c r="A23" s="192"/>
      <c r="B23" s="192"/>
      <c r="C23" s="183" t="str">
        <f t="shared" si="1"/>
        <v/>
      </c>
      <c r="D23" s="183" t="s">
        <v>74</v>
      </c>
      <c r="E23" s="184" t="s">
        <v>75</v>
      </c>
      <c r="F23" s="185" t="str">
        <f t="shared" si="2"/>
        <v/>
      </c>
      <c r="G23" s="192" t="str">
        <f t="shared" si="3"/>
        <v/>
      </c>
      <c r="H23" s="183" t="s">
        <v>76</v>
      </c>
      <c r="I23" s="192"/>
      <c r="J23" s="192"/>
      <c r="K23" s="192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</row>
    <row r="24" ht="24.0" customHeight="1">
      <c r="A24" s="192"/>
      <c r="B24" s="192"/>
      <c r="C24" s="183" t="str">
        <f t="shared" si="1"/>
        <v/>
      </c>
      <c r="D24" s="183" t="s">
        <v>74</v>
      </c>
      <c r="E24" s="184" t="s">
        <v>75</v>
      </c>
      <c r="F24" s="185" t="str">
        <f t="shared" si="2"/>
        <v/>
      </c>
      <c r="G24" s="192" t="str">
        <f t="shared" si="3"/>
        <v/>
      </c>
      <c r="H24" s="183" t="s">
        <v>76</v>
      </c>
      <c r="I24" s="192"/>
      <c r="J24" s="192"/>
      <c r="K24" s="192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</row>
    <row r="25" ht="24.0" customHeight="1">
      <c r="A25" s="192"/>
      <c r="B25" s="192"/>
      <c r="C25" s="183" t="str">
        <f t="shared" si="1"/>
        <v/>
      </c>
      <c r="D25" s="183" t="s">
        <v>74</v>
      </c>
      <c r="E25" s="184" t="s">
        <v>75</v>
      </c>
      <c r="F25" s="185" t="str">
        <f t="shared" si="2"/>
        <v/>
      </c>
      <c r="G25" s="192" t="str">
        <f t="shared" si="3"/>
        <v/>
      </c>
      <c r="H25" s="183" t="s">
        <v>76</v>
      </c>
      <c r="I25" s="192"/>
      <c r="J25" s="192"/>
      <c r="K25" s="192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</row>
    <row r="26" ht="24.0" customHeight="1">
      <c r="A26" s="192"/>
      <c r="B26" s="192"/>
      <c r="C26" s="183" t="str">
        <f t="shared" si="1"/>
        <v/>
      </c>
      <c r="D26" s="183" t="s">
        <v>74</v>
      </c>
      <c r="E26" s="184" t="s">
        <v>75</v>
      </c>
      <c r="F26" s="185" t="str">
        <f t="shared" si="2"/>
        <v/>
      </c>
      <c r="G26" s="192" t="str">
        <f t="shared" si="3"/>
        <v/>
      </c>
      <c r="H26" s="183" t="s">
        <v>76</v>
      </c>
      <c r="I26" s="192"/>
      <c r="J26" s="192"/>
      <c r="K26" s="192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</row>
    <row r="27" ht="24.0" customHeight="1">
      <c r="A27" s="192"/>
      <c r="B27" s="192"/>
      <c r="C27" s="183" t="str">
        <f t="shared" si="1"/>
        <v/>
      </c>
      <c r="D27" s="183" t="s">
        <v>74</v>
      </c>
      <c r="E27" s="184" t="s">
        <v>75</v>
      </c>
      <c r="F27" s="185" t="str">
        <f t="shared" si="2"/>
        <v/>
      </c>
      <c r="G27" s="192" t="str">
        <f t="shared" si="3"/>
        <v/>
      </c>
      <c r="H27" s="183" t="s">
        <v>76</v>
      </c>
      <c r="I27" s="192"/>
      <c r="J27" s="192"/>
      <c r="K27" s="192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</row>
    <row r="28" ht="24.0" customHeight="1">
      <c r="A28" s="192"/>
      <c r="B28" s="192"/>
      <c r="C28" s="183" t="str">
        <f t="shared" si="1"/>
        <v/>
      </c>
      <c r="D28" s="183" t="s">
        <v>74</v>
      </c>
      <c r="E28" s="184" t="s">
        <v>75</v>
      </c>
      <c r="F28" s="185" t="str">
        <f t="shared" si="2"/>
        <v/>
      </c>
      <c r="G28" s="192" t="str">
        <f t="shared" si="3"/>
        <v/>
      </c>
      <c r="H28" s="183" t="s">
        <v>76</v>
      </c>
      <c r="I28" s="192"/>
      <c r="J28" s="192"/>
      <c r="K28" s="192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</row>
    <row r="29" ht="24.0" customHeight="1">
      <c r="A29" s="192"/>
      <c r="B29" s="192"/>
      <c r="C29" s="183" t="str">
        <f t="shared" si="1"/>
        <v/>
      </c>
      <c r="D29" s="183" t="s">
        <v>74</v>
      </c>
      <c r="E29" s="184" t="s">
        <v>75</v>
      </c>
      <c r="F29" s="185" t="str">
        <f t="shared" si="2"/>
        <v/>
      </c>
      <c r="G29" s="192" t="str">
        <f t="shared" si="3"/>
        <v/>
      </c>
      <c r="H29" s="183" t="s">
        <v>76</v>
      </c>
      <c r="I29" s="192"/>
      <c r="J29" s="192"/>
      <c r="K29" s="192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</row>
    <row r="30" ht="24.0" customHeight="1">
      <c r="A30" s="192"/>
      <c r="B30" s="192"/>
      <c r="C30" s="183" t="str">
        <f t="shared" si="1"/>
        <v/>
      </c>
      <c r="D30" s="183" t="s">
        <v>74</v>
      </c>
      <c r="E30" s="184" t="s">
        <v>75</v>
      </c>
      <c r="F30" s="185" t="str">
        <f t="shared" si="2"/>
        <v/>
      </c>
      <c r="G30" s="192" t="str">
        <f t="shared" si="3"/>
        <v/>
      </c>
      <c r="H30" s="183" t="s">
        <v>76</v>
      </c>
      <c r="I30" s="192"/>
      <c r="J30" s="192"/>
      <c r="K30" s="192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</row>
    <row r="31" ht="24.0" customHeight="1">
      <c r="A31" s="192"/>
      <c r="B31" s="192"/>
      <c r="C31" s="183" t="str">
        <f t="shared" si="1"/>
        <v/>
      </c>
      <c r="D31" s="183" t="s">
        <v>74</v>
      </c>
      <c r="E31" s="184" t="s">
        <v>75</v>
      </c>
      <c r="F31" s="185" t="str">
        <f t="shared" si="2"/>
        <v/>
      </c>
      <c r="G31" s="192" t="str">
        <f t="shared" si="3"/>
        <v/>
      </c>
      <c r="H31" s="183" t="s">
        <v>76</v>
      </c>
      <c r="I31" s="192"/>
      <c r="J31" s="192"/>
      <c r="K31" s="192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</row>
    <row r="32" ht="24.0" customHeight="1">
      <c r="A32" s="192"/>
      <c r="B32" s="192"/>
      <c r="C32" s="183" t="str">
        <f t="shared" si="1"/>
        <v/>
      </c>
      <c r="D32" s="183" t="s">
        <v>74</v>
      </c>
      <c r="E32" s="184" t="s">
        <v>75</v>
      </c>
      <c r="F32" s="185" t="str">
        <f t="shared" si="2"/>
        <v/>
      </c>
      <c r="G32" s="192" t="str">
        <f t="shared" si="3"/>
        <v/>
      </c>
      <c r="H32" s="183" t="s">
        <v>76</v>
      </c>
      <c r="I32" s="192"/>
      <c r="J32" s="192"/>
      <c r="K32" s="192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</row>
    <row r="33" ht="24.0" customHeight="1">
      <c r="A33" s="192"/>
      <c r="B33" s="192"/>
      <c r="C33" s="183" t="str">
        <f t="shared" si="1"/>
        <v/>
      </c>
      <c r="D33" s="183" t="s">
        <v>74</v>
      </c>
      <c r="E33" s="184" t="s">
        <v>75</v>
      </c>
      <c r="F33" s="185" t="str">
        <f t="shared" si="2"/>
        <v/>
      </c>
      <c r="G33" s="192" t="str">
        <f t="shared" si="3"/>
        <v/>
      </c>
      <c r="H33" s="183" t="s">
        <v>76</v>
      </c>
      <c r="I33" s="192"/>
      <c r="J33" s="192"/>
      <c r="K33" s="192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</row>
    <row r="34" ht="24.0" customHeight="1">
      <c r="A34" s="192"/>
      <c r="B34" s="192"/>
      <c r="C34" s="183" t="str">
        <f t="shared" si="1"/>
        <v/>
      </c>
      <c r="D34" s="183" t="s">
        <v>74</v>
      </c>
      <c r="E34" s="184" t="s">
        <v>75</v>
      </c>
      <c r="F34" s="185" t="str">
        <f t="shared" si="2"/>
        <v/>
      </c>
      <c r="G34" s="192" t="str">
        <f t="shared" si="3"/>
        <v/>
      </c>
      <c r="H34" s="183" t="s">
        <v>76</v>
      </c>
      <c r="I34" s="192"/>
      <c r="J34" s="192"/>
      <c r="K34" s="192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</row>
    <row r="35" ht="24.0" customHeight="1">
      <c r="A35" s="192"/>
      <c r="B35" s="192"/>
      <c r="C35" s="183" t="str">
        <f t="shared" si="1"/>
        <v/>
      </c>
      <c r="D35" s="183" t="s">
        <v>74</v>
      </c>
      <c r="E35" s="184" t="s">
        <v>75</v>
      </c>
      <c r="F35" s="185" t="str">
        <f t="shared" si="2"/>
        <v/>
      </c>
      <c r="G35" s="192" t="str">
        <f t="shared" si="3"/>
        <v/>
      </c>
      <c r="H35" s="183" t="s">
        <v>76</v>
      </c>
      <c r="I35" s="192"/>
      <c r="J35" s="192"/>
      <c r="K35" s="192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</row>
    <row r="36" ht="24.0" customHeight="1">
      <c r="A36" s="192"/>
      <c r="B36" s="192"/>
      <c r="C36" s="183" t="str">
        <f t="shared" si="1"/>
        <v/>
      </c>
      <c r="D36" s="183" t="s">
        <v>74</v>
      </c>
      <c r="E36" s="184" t="s">
        <v>75</v>
      </c>
      <c r="F36" s="185" t="str">
        <f t="shared" si="2"/>
        <v/>
      </c>
      <c r="G36" s="192" t="str">
        <f t="shared" si="3"/>
        <v/>
      </c>
      <c r="H36" s="183" t="s">
        <v>76</v>
      </c>
      <c r="I36" s="192"/>
      <c r="J36" s="192"/>
      <c r="K36" s="192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</row>
    <row r="37" ht="24.0" customHeight="1">
      <c r="A37" s="192"/>
      <c r="B37" s="192"/>
      <c r="C37" s="183" t="str">
        <f t="shared" si="1"/>
        <v/>
      </c>
      <c r="D37" s="183" t="s">
        <v>74</v>
      </c>
      <c r="E37" s="184" t="s">
        <v>75</v>
      </c>
      <c r="F37" s="185" t="str">
        <f t="shared" si="2"/>
        <v/>
      </c>
      <c r="G37" s="192" t="str">
        <f t="shared" si="3"/>
        <v/>
      </c>
      <c r="H37" s="183" t="s">
        <v>76</v>
      </c>
      <c r="I37" s="192"/>
      <c r="J37" s="192"/>
      <c r="K37" s="192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</row>
    <row r="38" ht="24.0" customHeight="1">
      <c r="A38" s="192"/>
      <c r="B38" s="192"/>
      <c r="C38" s="183" t="str">
        <f t="shared" si="1"/>
        <v/>
      </c>
      <c r="D38" s="183" t="s">
        <v>74</v>
      </c>
      <c r="E38" s="184" t="s">
        <v>75</v>
      </c>
      <c r="F38" s="185" t="str">
        <f t="shared" si="2"/>
        <v/>
      </c>
      <c r="G38" s="192" t="str">
        <f t="shared" si="3"/>
        <v/>
      </c>
      <c r="H38" s="183" t="s">
        <v>76</v>
      </c>
      <c r="I38" s="192"/>
      <c r="J38" s="192"/>
      <c r="K38" s="192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</row>
    <row r="39" ht="24.0" customHeight="1">
      <c r="A39" s="192"/>
      <c r="B39" s="192"/>
      <c r="C39" s="183" t="str">
        <f t="shared" si="1"/>
        <v/>
      </c>
      <c r="D39" s="183" t="s">
        <v>74</v>
      </c>
      <c r="E39" s="184" t="s">
        <v>75</v>
      </c>
      <c r="F39" s="185" t="str">
        <f t="shared" si="2"/>
        <v/>
      </c>
      <c r="G39" s="192" t="str">
        <f t="shared" si="3"/>
        <v/>
      </c>
      <c r="H39" s="183" t="s">
        <v>76</v>
      </c>
      <c r="I39" s="192"/>
      <c r="J39" s="192"/>
      <c r="K39" s="192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</row>
    <row r="40" ht="24.0" customHeight="1">
      <c r="A40" s="192"/>
      <c r="B40" s="192"/>
      <c r="C40" s="183" t="str">
        <f t="shared" si="1"/>
        <v/>
      </c>
      <c r="D40" s="183" t="s">
        <v>74</v>
      </c>
      <c r="E40" s="184" t="s">
        <v>75</v>
      </c>
      <c r="F40" s="185" t="str">
        <f t="shared" si="2"/>
        <v/>
      </c>
      <c r="G40" s="192" t="str">
        <f t="shared" si="3"/>
        <v/>
      </c>
      <c r="H40" s="183" t="s">
        <v>76</v>
      </c>
      <c r="I40" s="192"/>
      <c r="J40" s="192"/>
      <c r="K40" s="192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</row>
    <row r="41" ht="24.0" customHeight="1">
      <c r="A41" s="192"/>
      <c r="B41" s="192"/>
      <c r="C41" s="183" t="str">
        <f t="shared" si="1"/>
        <v/>
      </c>
      <c r="D41" s="183" t="s">
        <v>74</v>
      </c>
      <c r="E41" s="184" t="s">
        <v>75</v>
      </c>
      <c r="F41" s="185" t="str">
        <f t="shared" si="2"/>
        <v/>
      </c>
      <c r="G41" s="192" t="str">
        <f t="shared" si="3"/>
        <v/>
      </c>
      <c r="H41" s="183" t="s">
        <v>76</v>
      </c>
      <c r="I41" s="192"/>
      <c r="J41" s="192"/>
      <c r="K41" s="192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</row>
    <row r="42" ht="24.0" customHeight="1">
      <c r="A42" s="192"/>
      <c r="B42" s="192"/>
      <c r="C42" s="183" t="str">
        <f t="shared" si="1"/>
        <v/>
      </c>
      <c r="D42" s="183" t="s">
        <v>74</v>
      </c>
      <c r="E42" s="184" t="s">
        <v>75</v>
      </c>
      <c r="F42" s="185" t="str">
        <f t="shared" si="2"/>
        <v/>
      </c>
      <c r="G42" s="192" t="str">
        <f t="shared" si="3"/>
        <v/>
      </c>
      <c r="H42" s="183" t="s">
        <v>76</v>
      </c>
      <c r="I42" s="192"/>
      <c r="J42" s="192"/>
      <c r="K42" s="192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</row>
    <row r="43" ht="24.0" customHeight="1">
      <c r="A43" s="192"/>
      <c r="B43" s="192"/>
      <c r="C43" s="183" t="str">
        <f t="shared" si="1"/>
        <v/>
      </c>
      <c r="D43" s="183" t="s">
        <v>74</v>
      </c>
      <c r="E43" s="184" t="s">
        <v>75</v>
      </c>
      <c r="F43" s="185" t="str">
        <f t="shared" si="2"/>
        <v/>
      </c>
      <c r="G43" s="192" t="str">
        <f t="shared" si="3"/>
        <v/>
      </c>
      <c r="H43" s="183" t="s">
        <v>76</v>
      </c>
      <c r="I43" s="192"/>
      <c r="J43" s="192"/>
      <c r="K43" s="192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</row>
    <row r="44" ht="24.0" customHeight="1">
      <c r="A44" s="192"/>
      <c r="B44" s="192"/>
      <c r="C44" s="183" t="str">
        <f t="shared" si="1"/>
        <v/>
      </c>
      <c r="D44" s="183" t="s">
        <v>74</v>
      </c>
      <c r="E44" s="184" t="s">
        <v>75</v>
      </c>
      <c r="F44" s="185" t="str">
        <f t="shared" si="2"/>
        <v/>
      </c>
      <c r="G44" s="192" t="str">
        <f t="shared" si="3"/>
        <v/>
      </c>
      <c r="H44" s="183" t="s">
        <v>76</v>
      </c>
      <c r="I44" s="192"/>
      <c r="J44" s="192"/>
      <c r="K44" s="192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</row>
    <row r="45" ht="24.0" customHeight="1">
      <c r="A45" s="192"/>
      <c r="B45" s="192"/>
      <c r="C45" s="183" t="str">
        <f t="shared" si="1"/>
        <v/>
      </c>
      <c r="D45" s="183" t="s">
        <v>74</v>
      </c>
      <c r="E45" s="184" t="s">
        <v>75</v>
      </c>
      <c r="F45" s="185" t="str">
        <f t="shared" si="2"/>
        <v/>
      </c>
      <c r="G45" s="192" t="str">
        <f t="shared" si="3"/>
        <v/>
      </c>
      <c r="H45" s="183" t="s">
        <v>76</v>
      </c>
      <c r="I45" s="192"/>
      <c r="J45" s="192"/>
      <c r="K45" s="192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</row>
    <row r="46" ht="24.0" customHeight="1">
      <c r="A46" s="192"/>
      <c r="B46" s="192"/>
      <c r="C46" s="183" t="str">
        <f t="shared" si="1"/>
        <v/>
      </c>
      <c r="D46" s="183" t="s">
        <v>74</v>
      </c>
      <c r="E46" s="184" t="s">
        <v>75</v>
      </c>
      <c r="F46" s="185" t="str">
        <f t="shared" si="2"/>
        <v/>
      </c>
      <c r="G46" s="192" t="str">
        <f t="shared" si="3"/>
        <v/>
      </c>
      <c r="H46" s="183" t="s">
        <v>76</v>
      </c>
      <c r="I46" s="192"/>
      <c r="J46" s="192"/>
      <c r="K46" s="192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</row>
    <row r="47" ht="24.0" customHeight="1">
      <c r="A47" s="192"/>
      <c r="B47" s="192"/>
      <c r="C47" s="183" t="str">
        <f t="shared" si="1"/>
        <v/>
      </c>
      <c r="D47" s="183" t="s">
        <v>74</v>
      </c>
      <c r="E47" s="184" t="s">
        <v>75</v>
      </c>
      <c r="F47" s="185" t="str">
        <f t="shared" si="2"/>
        <v/>
      </c>
      <c r="G47" s="192" t="str">
        <f t="shared" si="3"/>
        <v/>
      </c>
      <c r="H47" s="183" t="s">
        <v>76</v>
      </c>
      <c r="I47" s="192"/>
      <c r="J47" s="192"/>
      <c r="K47" s="192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</row>
    <row r="48" ht="24.0" customHeight="1">
      <c r="A48" s="192"/>
      <c r="B48" s="192"/>
      <c r="C48" s="183" t="str">
        <f t="shared" si="1"/>
        <v/>
      </c>
      <c r="D48" s="183" t="s">
        <v>74</v>
      </c>
      <c r="E48" s="184" t="s">
        <v>75</v>
      </c>
      <c r="F48" s="185" t="str">
        <f t="shared" si="2"/>
        <v/>
      </c>
      <c r="G48" s="192" t="str">
        <f t="shared" si="3"/>
        <v/>
      </c>
      <c r="H48" s="183" t="s">
        <v>76</v>
      </c>
      <c r="I48" s="192"/>
      <c r="J48" s="192"/>
      <c r="K48" s="192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</row>
    <row r="49" ht="24.0" customHeight="1">
      <c r="A49" s="192"/>
      <c r="B49" s="192"/>
      <c r="C49" s="183" t="str">
        <f t="shared" si="1"/>
        <v/>
      </c>
      <c r="D49" s="183" t="s">
        <v>74</v>
      </c>
      <c r="E49" s="184" t="s">
        <v>75</v>
      </c>
      <c r="F49" s="185" t="str">
        <f t="shared" si="2"/>
        <v/>
      </c>
      <c r="G49" s="192" t="str">
        <f t="shared" si="3"/>
        <v/>
      </c>
      <c r="H49" s="183" t="s">
        <v>76</v>
      </c>
      <c r="I49" s="192"/>
      <c r="J49" s="192"/>
      <c r="K49" s="192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</row>
    <row r="50" ht="24.0" customHeight="1">
      <c r="A50" s="192"/>
      <c r="B50" s="192"/>
      <c r="C50" s="183" t="str">
        <f t="shared" si="1"/>
        <v/>
      </c>
      <c r="D50" s="183" t="s">
        <v>74</v>
      </c>
      <c r="E50" s="184" t="s">
        <v>75</v>
      </c>
      <c r="F50" s="185" t="str">
        <f t="shared" si="2"/>
        <v/>
      </c>
      <c r="G50" s="192" t="str">
        <f t="shared" si="3"/>
        <v/>
      </c>
      <c r="H50" s="183" t="s">
        <v>76</v>
      </c>
      <c r="I50" s="192"/>
      <c r="J50" s="192"/>
      <c r="K50" s="192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</row>
    <row r="51" ht="24.0" customHeight="1">
      <c r="A51" s="192"/>
      <c r="B51" s="192"/>
      <c r="C51" s="183" t="str">
        <f t="shared" si="1"/>
        <v/>
      </c>
      <c r="D51" s="183" t="s">
        <v>74</v>
      </c>
      <c r="E51" s="184" t="s">
        <v>75</v>
      </c>
      <c r="F51" s="185" t="str">
        <f t="shared" si="2"/>
        <v/>
      </c>
      <c r="G51" s="192" t="str">
        <f t="shared" si="3"/>
        <v/>
      </c>
      <c r="H51" s="183" t="s">
        <v>76</v>
      </c>
      <c r="I51" s="192"/>
      <c r="J51" s="192"/>
      <c r="K51" s="192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</row>
    <row r="52" ht="24.0" customHeight="1">
      <c r="A52" s="192"/>
      <c r="B52" s="192"/>
      <c r="C52" s="183" t="str">
        <f t="shared" si="1"/>
        <v/>
      </c>
      <c r="D52" s="183" t="s">
        <v>74</v>
      </c>
      <c r="E52" s="184" t="s">
        <v>75</v>
      </c>
      <c r="F52" s="185" t="str">
        <f t="shared" si="2"/>
        <v/>
      </c>
      <c r="G52" s="192" t="str">
        <f t="shared" si="3"/>
        <v/>
      </c>
      <c r="H52" s="183" t="s">
        <v>76</v>
      </c>
      <c r="I52" s="192"/>
      <c r="J52" s="192"/>
      <c r="K52" s="192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</row>
    <row r="53" ht="24.0" customHeight="1">
      <c r="A53" s="192"/>
      <c r="B53" s="192"/>
      <c r="C53" s="183" t="str">
        <f t="shared" si="1"/>
        <v/>
      </c>
      <c r="D53" s="183" t="s">
        <v>74</v>
      </c>
      <c r="E53" s="184" t="s">
        <v>75</v>
      </c>
      <c r="F53" s="185" t="str">
        <f t="shared" si="2"/>
        <v/>
      </c>
      <c r="G53" s="192" t="str">
        <f t="shared" si="3"/>
        <v/>
      </c>
      <c r="H53" s="183" t="s">
        <v>76</v>
      </c>
      <c r="I53" s="192"/>
      <c r="J53" s="192"/>
      <c r="K53" s="192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</row>
    <row r="54" ht="24.0" customHeight="1">
      <c r="A54" s="192"/>
      <c r="B54" s="192"/>
      <c r="C54" s="183" t="str">
        <f t="shared" si="1"/>
        <v/>
      </c>
      <c r="D54" s="183" t="s">
        <v>74</v>
      </c>
      <c r="E54" s="184" t="s">
        <v>75</v>
      </c>
      <c r="F54" s="185" t="str">
        <f t="shared" si="2"/>
        <v/>
      </c>
      <c r="G54" s="192" t="str">
        <f t="shared" si="3"/>
        <v/>
      </c>
      <c r="H54" s="183" t="s">
        <v>76</v>
      </c>
      <c r="I54" s="192"/>
      <c r="J54" s="192"/>
      <c r="K54" s="192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</row>
    <row r="55" ht="24.0" customHeight="1">
      <c r="A55" s="192"/>
      <c r="B55" s="192"/>
      <c r="C55" s="183" t="str">
        <f t="shared" si="1"/>
        <v/>
      </c>
      <c r="D55" s="183" t="s">
        <v>74</v>
      </c>
      <c r="E55" s="184" t="s">
        <v>75</v>
      </c>
      <c r="F55" s="185" t="str">
        <f t="shared" si="2"/>
        <v/>
      </c>
      <c r="G55" s="192" t="str">
        <f t="shared" si="3"/>
        <v/>
      </c>
      <c r="H55" s="183" t="s">
        <v>76</v>
      </c>
      <c r="I55" s="192"/>
      <c r="J55" s="192"/>
      <c r="K55" s="192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</row>
    <row r="56" ht="24.0" customHeight="1">
      <c r="A56" s="192"/>
      <c r="B56" s="192"/>
      <c r="C56" s="183" t="str">
        <f t="shared" si="1"/>
        <v/>
      </c>
      <c r="D56" s="183" t="s">
        <v>74</v>
      </c>
      <c r="E56" s="184" t="s">
        <v>75</v>
      </c>
      <c r="F56" s="185" t="str">
        <f t="shared" si="2"/>
        <v/>
      </c>
      <c r="G56" s="192" t="str">
        <f t="shared" si="3"/>
        <v/>
      </c>
      <c r="H56" s="183" t="s">
        <v>76</v>
      </c>
      <c r="I56" s="192"/>
      <c r="J56" s="192"/>
      <c r="K56" s="192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</row>
    <row r="57" ht="24.0" customHeight="1">
      <c r="A57" s="192"/>
      <c r="B57" s="192"/>
      <c r="C57" s="183" t="str">
        <f t="shared" si="1"/>
        <v/>
      </c>
      <c r="D57" s="183" t="s">
        <v>74</v>
      </c>
      <c r="E57" s="184" t="s">
        <v>75</v>
      </c>
      <c r="F57" s="185" t="str">
        <f t="shared" si="2"/>
        <v/>
      </c>
      <c r="G57" s="192" t="str">
        <f t="shared" si="3"/>
        <v/>
      </c>
      <c r="H57" s="183" t="s">
        <v>76</v>
      </c>
      <c r="I57" s="192"/>
      <c r="J57" s="192"/>
      <c r="K57" s="192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</row>
    <row r="58" ht="24.0" customHeight="1">
      <c r="A58" s="192"/>
      <c r="B58" s="192"/>
      <c r="C58" s="183" t="str">
        <f t="shared" si="1"/>
        <v/>
      </c>
      <c r="D58" s="183" t="s">
        <v>74</v>
      </c>
      <c r="E58" s="184" t="s">
        <v>75</v>
      </c>
      <c r="F58" s="185" t="str">
        <f t="shared" si="2"/>
        <v/>
      </c>
      <c r="G58" s="192" t="str">
        <f t="shared" si="3"/>
        <v/>
      </c>
      <c r="H58" s="183" t="s">
        <v>76</v>
      </c>
      <c r="I58" s="192"/>
      <c r="J58" s="192"/>
      <c r="K58" s="192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</row>
    <row r="59" ht="24.0" customHeight="1">
      <c r="A59" s="192"/>
      <c r="B59" s="192"/>
      <c r="C59" s="183" t="str">
        <f t="shared" si="1"/>
        <v/>
      </c>
      <c r="D59" s="183" t="s">
        <v>74</v>
      </c>
      <c r="E59" s="184" t="s">
        <v>75</v>
      </c>
      <c r="F59" s="185" t="str">
        <f t="shared" si="2"/>
        <v/>
      </c>
      <c r="G59" s="192" t="str">
        <f t="shared" si="3"/>
        <v/>
      </c>
      <c r="H59" s="183" t="s">
        <v>76</v>
      </c>
      <c r="I59" s="192"/>
      <c r="J59" s="192"/>
      <c r="K59" s="192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</row>
    <row r="60" ht="24.0" customHeight="1">
      <c r="A60" s="192"/>
      <c r="B60" s="192"/>
      <c r="C60" s="183" t="str">
        <f t="shared" si="1"/>
        <v/>
      </c>
      <c r="D60" s="183" t="s">
        <v>74</v>
      </c>
      <c r="E60" s="184" t="s">
        <v>75</v>
      </c>
      <c r="F60" s="185" t="str">
        <f t="shared" si="2"/>
        <v/>
      </c>
      <c r="G60" s="192" t="str">
        <f t="shared" si="3"/>
        <v/>
      </c>
      <c r="H60" s="183" t="s">
        <v>76</v>
      </c>
      <c r="I60" s="192"/>
      <c r="J60" s="192"/>
      <c r="K60" s="192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</row>
    <row r="61" ht="24.0" customHeight="1">
      <c r="A61" s="192"/>
      <c r="B61" s="192"/>
      <c r="C61" s="183" t="str">
        <f t="shared" si="1"/>
        <v/>
      </c>
      <c r="D61" s="183" t="s">
        <v>74</v>
      </c>
      <c r="E61" s="184" t="s">
        <v>75</v>
      </c>
      <c r="F61" s="185" t="str">
        <f t="shared" si="2"/>
        <v/>
      </c>
      <c r="G61" s="192" t="str">
        <f t="shared" si="3"/>
        <v/>
      </c>
      <c r="H61" s="183" t="s">
        <v>76</v>
      </c>
      <c r="I61" s="192"/>
      <c r="J61" s="192"/>
      <c r="K61" s="192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</row>
    <row r="62" ht="24.0" customHeight="1">
      <c r="A62" s="192"/>
      <c r="B62" s="192"/>
      <c r="C62" s="183" t="str">
        <f t="shared" si="1"/>
        <v/>
      </c>
      <c r="D62" s="183" t="s">
        <v>74</v>
      </c>
      <c r="E62" s="184" t="s">
        <v>75</v>
      </c>
      <c r="F62" s="185" t="str">
        <f t="shared" si="2"/>
        <v/>
      </c>
      <c r="G62" s="192" t="str">
        <f t="shared" si="3"/>
        <v/>
      </c>
      <c r="H62" s="183" t="s">
        <v>76</v>
      </c>
      <c r="I62" s="192"/>
      <c r="J62" s="192"/>
      <c r="K62" s="192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</row>
    <row r="63" ht="24.0" customHeight="1">
      <c r="A63" s="192"/>
      <c r="B63" s="192"/>
      <c r="C63" s="183" t="str">
        <f t="shared" si="1"/>
        <v/>
      </c>
      <c r="D63" s="183" t="s">
        <v>74</v>
      </c>
      <c r="E63" s="184" t="s">
        <v>75</v>
      </c>
      <c r="F63" s="185" t="str">
        <f t="shared" si="2"/>
        <v/>
      </c>
      <c r="G63" s="192" t="str">
        <f t="shared" si="3"/>
        <v/>
      </c>
      <c r="H63" s="183" t="s">
        <v>76</v>
      </c>
      <c r="I63" s="192"/>
      <c r="J63" s="192"/>
      <c r="K63" s="192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</row>
    <row r="64" ht="24.0" customHeight="1">
      <c r="A64" s="192"/>
      <c r="B64" s="192"/>
      <c r="C64" s="183" t="str">
        <f t="shared" si="1"/>
        <v/>
      </c>
      <c r="D64" s="183" t="s">
        <v>74</v>
      </c>
      <c r="E64" s="184" t="s">
        <v>75</v>
      </c>
      <c r="F64" s="185" t="str">
        <f t="shared" si="2"/>
        <v/>
      </c>
      <c r="G64" s="192" t="str">
        <f t="shared" si="3"/>
        <v/>
      </c>
      <c r="H64" s="183" t="s">
        <v>76</v>
      </c>
      <c r="I64" s="192"/>
      <c r="J64" s="192"/>
      <c r="K64" s="192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</row>
    <row r="65" ht="24.0" customHeight="1">
      <c r="A65" s="192"/>
      <c r="B65" s="192"/>
      <c r="C65" s="183" t="str">
        <f t="shared" si="1"/>
        <v/>
      </c>
      <c r="D65" s="183" t="s">
        <v>74</v>
      </c>
      <c r="E65" s="184" t="s">
        <v>75</v>
      </c>
      <c r="F65" s="185" t="str">
        <f t="shared" si="2"/>
        <v/>
      </c>
      <c r="G65" s="192" t="str">
        <f t="shared" si="3"/>
        <v/>
      </c>
      <c r="H65" s="183" t="s">
        <v>76</v>
      </c>
      <c r="I65" s="192"/>
      <c r="J65" s="192"/>
      <c r="K65" s="192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</row>
    <row r="66" ht="24.0" customHeight="1">
      <c r="A66" s="192"/>
      <c r="B66" s="192"/>
      <c r="C66" s="183" t="str">
        <f t="shared" si="1"/>
        <v/>
      </c>
      <c r="D66" s="183" t="s">
        <v>74</v>
      </c>
      <c r="E66" s="184" t="s">
        <v>75</v>
      </c>
      <c r="F66" s="185" t="str">
        <f t="shared" si="2"/>
        <v/>
      </c>
      <c r="G66" s="192" t="str">
        <f t="shared" si="3"/>
        <v/>
      </c>
      <c r="H66" s="183" t="s">
        <v>76</v>
      </c>
      <c r="I66" s="192"/>
      <c r="J66" s="192"/>
      <c r="K66" s="192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</row>
    <row r="67" ht="24.0" customHeight="1">
      <c r="A67" s="192"/>
      <c r="B67" s="192"/>
      <c r="C67" s="183" t="str">
        <f t="shared" si="1"/>
        <v/>
      </c>
      <c r="D67" s="183" t="s">
        <v>74</v>
      </c>
      <c r="E67" s="184" t="s">
        <v>75</v>
      </c>
      <c r="F67" s="185" t="str">
        <f t="shared" si="2"/>
        <v/>
      </c>
      <c r="G67" s="192" t="str">
        <f t="shared" si="3"/>
        <v/>
      </c>
      <c r="H67" s="183" t="s">
        <v>76</v>
      </c>
      <c r="I67" s="192"/>
      <c r="J67" s="192"/>
      <c r="K67" s="192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</row>
    <row r="68" ht="24.0" customHeight="1">
      <c r="A68" s="192"/>
      <c r="B68" s="192"/>
      <c r="C68" s="183" t="str">
        <f t="shared" si="1"/>
        <v/>
      </c>
      <c r="D68" s="183" t="s">
        <v>74</v>
      </c>
      <c r="E68" s="184" t="s">
        <v>75</v>
      </c>
      <c r="F68" s="185" t="str">
        <f t="shared" si="2"/>
        <v/>
      </c>
      <c r="G68" s="192" t="str">
        <f t="shared" si="3"/>
        <v/>
      </c>
      <c r="H68" s="183" t="s">
        <v>76</v>
      </c>
      <c r="I68" s="192"/>
      <c r="J68" s="192"/>
      <c r="K68" s="192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</row>
    <row r="69" ht="24.0" customHeight="1">
      <c r="A69" s="192"/>
      <c r="B69" s="192"/>
      <c r="C69" s="183" t="str">
        <f t="shared" si="1"/>
        <v/>
      </c>
      <c r="D69" s="183" t="s">
        <v>74</v>
      </c>
      <c r="E69" s="184" t="s">
        <v>75</v>
      </c>
      <c r="F69" s="185" t="str">
        <f t="shared" si="2"/>
        <v/>
      </c>
      <c r="G69" s="192" t="str">
        <f t="shared" si="3"/>
        <v/>
      </c>
      <c r="H69" s="183" t="s">
        <v>76</v>
      </c>
      <c r="I69" s="192"/>
      <c r="J69" s="192"/>
      <c r="K69" s="192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</row>
    <row r="70" ht="24.0" customHeight="1">
      <c r="A70" s="192"/>
      <c r="B70" s="192"/>
      <c r="C70" s="183" t="str">
        <f t="shared" si="1"/>
        <v/>
      </c>
      <c r="D70" s="183" t="s">
        <v>74</v>
      </c>
      <c r="E70" s="184" t="s">
        <v>75</v>
      </c>
      <c r="F70" s="185" t="str">
        <f t="shared" si="2"/>
        <v/>
      </c>
      <c r="G70" s="192" t="str">
        <f t="shared" si="3"/>
        <v/>
      </c>
      <c r="H70" s="183" t="s">
        <v>76</v>
      </c>
      <c r="I70" s="192"/>
      <c r="J70" s="192"/>
      <c r="K70" s="192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</row>
    <row r="71" ht="24.0" customHeight="1">
      <c r="A71" s="192"/>
      <c r="B71" s="192"/>
      <c r="C71" s="183" t="str">
        <f t="shared" si="1"/>
        <v/>
      </c>
      <c r="D71" s="183" t="s">
        <v>74</v>
      </c>
      <c r="E71" s="184" t="s">
        <v>75</v>
      </c>
      <c r="F71" s="185" t="str">
        <f t="shared" si="2"/>
        <v/>
      </c>
      <c r="G71" s="192" t="str">
        <f t="shared" si="3"/>
        <v/>
      </c>
      <c r="H71" s="183" t="s">
        <v>76</v>
      </c>
      <c r="I71" s="192"/>
      <c r="J71" s="192"/>
      <c r="K71" s="192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</row>
    <row r="72" ht="24.0" customHeight="1">
      <c r="A72" s="192"/>
      <c r="B72" s="192"/>
      <c r="C72" s="183" t="str">
        <f t="shared" si="1"/>
        <v/>
      </c>
      <c r="D72" s="183" t="s">
        <v>74</v>
      </c>
      <c r="E72" s="184" t="s">
        <v>75</v>
      </c>
      <c r="F72" s="185" t="str">
        <f t="shared" si="2"/>
        <v/>
      </c>
      <c r="G72" s="192" t="str">
        <f t="shared" si="3"/>
        <v/>
      </c>
      <c r="H72" s="183" t="s">
        <v>76</v>
      </c>
      <c r="I72" s="192"/>
      <c r="J72" s="192"/>
      <c r="K72" s="192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</row>
    <row r="73" ht="24.0" customHeight="1">
      <c r="A73" s="192"/>
      <c r="B73" s="192"/>
      <c r="C73" s="183" t="str">
        <f t="shared" si="1"/>
        <v/>
      </c>
      <c r="D73" s="183" t="s">
        <v>74</v>
      </c>
      <c r="E73" s="184" t="s">
        <v>75</v>
      </c>
      <c r="F73" s="185" t="str">
        <f t="shared" si="2"/>
        <v/>
      </c>
      <c r="G73" s="192" t="str">
        <f t="shared" si="3"/>
        <v/>
      </c>
      <c r="H73" s="183" t="s">
        <v>76</v>
      </c>
      <c r="I73" s="192"/>
      <c r="J73" s="192"/>
      <c r="K73" s="192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</row>
    <row r="74" ht="24.0" customHeight="1">
      <c r="A74" s="192"/>
      <c r="B74" s="192"/>
      <c r="C74" s="183" t="str">
        <f t="shared" si="1"/>
        <v/>
      </c>
      <c r="D74" s="183" t="s">
        <v>74</v>
      </c>
      <c r="E74" s="184" t="s">
        <v>75</v>
      </c>
      <c r="F74" s="185" t="str">
        <f t="shared" si="2"/>
        <v/>
      </c>
      <c r="G74" s="192" t="str">
        <f t="shared" si="3"/>
        <v/>
      </c>
      <c r="H74" s="183" t="s">
        <v>76</v>
      </c>
      <c r="I74" s="192"/>
      <c r="J74" s="192"/>
      <c r="K74" s="192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</row>
    <row r="75" ht="24.0" customHeight="1">
      <c r="A75" s="192"/>
      <c r="B75" s="192"/>
      <c r="C75" s="183" t="str">
        <f t="shared" si="1"/>
        <v/>
      </c>
      <c r="D75" s="183" t="s">
        <v>74</v>
      </c>
      <c r="E75" s="184" t="s">
        <v>75</v>
      </c>
      <c r="F75" s="185" t="str">
        <f t="shared" si="2"/>
        <v/>
      </c>
      <c r="G75" s="192" t="str">
        <f t="shared" si="3"/>
        <v/>
      </c>
      <c r="H75" s="183" t="s">
        <v>76</v>
      </c>
      <c r="I75" s="192"/>
      <c r="J75" s="192"/>
      <c r="K75" s="192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</row>
    <row r="76" ht="24.0" customHeight="1">
      <c r="A76" s="192"/>
      <c r="B76" s="192"/>
      <c r="C76" s="183" t="str">
        <f t="shared" si="1"/>
        <v/>
      </c>
      <c r="D76" s="183" t="s">
        <v>74</v>
      </c>
      <c r="E76" s="184" t="s">
        <v>75</v>
      </c>
      <c r="F76" s="185" t="str">
        <f t="shared" si="2"/>
        <v/>
      </c>
      <c r="G76" s="192" t="str">
        <f t="shared" si="3"/>
        <v/>
      </c>
      <c r="H76" s="183" t="s">
        <v>76</v>
      </c>
      <c r="I76" s="192"/>
      <c r="J76" s="192"/>
      <c r="K76" s="192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</row>
    <row r="77" ht="24.0" customHeight="1">
      <c r="A77" s="192"/>
      <c r="B77" s="192"/>
      <c r="C77" s="183" t="str">
        <f t="shared" si="1"/>
        <v/>
      </c>
      <c r="D77" s="183" t="s">
        <v>74</v>
      </c>
      <c r="E77" s="184" t="s">
        <v>75</v>
      </c>
      <c r="F77" s="185" t="str">
        <f t="shared" si="2"/>
        <v/>
      </c>
      <c r="G77" s="192" t="str">
        <f t="shared" si="3"/>
        <v/>
      </c>
      <c r="H77" s="183" t="s">
        <v>76</v>
      </c>
      <c r="I77" s="192"/>
      <c r="J77" s="192"/>
      <c r="K77" s="192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</row>
    <row r="78" ht="24.0" customHeight="1">
      <c r="A78" s="192"/>
      <c r="B78" s="192"/>
      <c r="C78" s="183" t="str">
        <f t="shared" si="1"/>
        <v/>
      </c>
      <c r="D78" s="183" t="s">
        <v>74</v>
      </c>
      <c r="E78" s="184" t="s">
        <v>75</v>
      </c>
      <c r="F78" s="185" t="str">
        <f t="shared" si="2"/>
        <v/>
      </c>
      <c r="G78" s="192" t="str">
        <f t="shared" si="3"/>
        <v/>
      </c>
      <c r="H78" s="183" t="s">
        <v>76</v>
      </c>
      <c r="I78" s="192"/>
      <c r="J78" s="192"/>
      <c r="K78" s="192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</row>
    <row r="79" ht="24.0" customHeight="1">
      <c r="A79" s="192"/>
      <c r="B79" s="192"/>
      <c r="C79" s="183" t="str">
        <f t="shared" si="1"/>
        <v/>
      </c>
      <c r="D79" s="183" t="s">
        <v>74</v>
      </c>
      <c r="E79" s="184" t="s">
        <v>75</v>
      </c>
      <c r="F79" s="185" t="str">
        <f t="shared" si="2"/>
        <v/>
      </c>
      <c r="G79" s="192" t="str">
        <f t="shared" si="3"/>
        <v/>
      </c>
      <c r="H79" s="183" t="s">
        <v>76</v>
      </c>
      <c r="I79" s="192"/>
      <c r="J79" s="192"/>
      <c r="K79" s="192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</row>
    <row r="80" ht="24.0" customHeight="1">
      <c r="A80" s="192"/>
      <c r="B80" s="192"/>
      <c r="C80" s="183" t="str">
        <f t="shared" si="1"/>
        <v/>
      </c>
      <c r="D80" s="183" t="s">
        <v>74</v>
      </c>
      <c r="E80" s="184" t="s">
        <v>75</v>
      </c>
      <c r="F80" s="185" t="str">
        <f t="shared" si="2"/>
        <v/>
      </c>
      <c r="G80" s="192" t="str">
        <f t="shared" si="3"/>
        <v/>
      </c>
      <c r="H80" s="183" t="s">
        <v>76</v>
      </c>
      <c r="I80" s="192"/>
      <c r="J80" s="192"/>
      <c r="K80" s="192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</row>
    <row r="81" ht="24.0" customHeight="1">
      <c r="A81" s="192"/>
      <c r="B81" s="192"/>
      <c r="C81" s="183" t="str">
        <f t="shared" si="1"/>
        <v/>
      </c>
      <c r="D81" s="183" t="s">
        <v>74</v>
      </c>
      <c r="E81" s="184" t="s">
        <v>75</v>
      </c>
      <c r="F81" s="185" t="str">
        <f t="shared" si="2"/>
        <v/>
      </c>
      <c r="G81" s="192" t="str">
        <f t="shared" si="3"/>
        <v/>
      </c>
      <c r="H81" s="183" t="s">
        <v>76</v>
      </c>
      <c r="I81" s="192"/>
      <c r="J81" s="192"/>
      <c r="K81" s="192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</row>
    <row r="82" ht="24.0" customHeight="1">
      <c r="A82" s="192"/>
      <c r="B82" s="192"/>
      <c r="C82" s="183" t="str">
        <f t="shared" si="1"/>
        <v/>
      </c>
      <c r="D82" s="183" t="s">
        <v>74</v>
      </c>
      <c r="E82" s="184" t="s">
        <v>75</v>
      </c>
      <c r="F82" s="185" t="str">
        <f t="shared" si="2"/>
        <v/>
      </c>
      <c r="G82" s="192" t="str">
        <f t="shared" si="3"/>
        <v/>
      </c>
      <c r="H82" s="183" t="s">
        <v>76</v>
      </c>
      <c r="I82" s="192"/>
      <c r="J82" s="192"/>
      <c r="K82" s="192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</row>
    <row r="83" ht="24.0" customHeight="1">
      <c r="A83" s="192"/>
      <c r="B83" s="192"/>
      <c r="C83" s="183" t="str">
        <f t="shared" si="1"/>
        <v/>
      </c>
      <c r="D83" s="183" t="s">
        <v>74</v>
      </c>
      <c r="E83" s="184" t="s">
        <v>75</v>
      </c>
      <c r="F83" s="185" t="str">
        <f t="shared" si="2"/>
        <v/>
      </c>
      <c r="G83" s="192" t="str">
        <f t="shared" si="3"/>
        <v/>
      </c>
      <c r="H83" s="183" t="s">
        <v>76</v>
      </c>
      <c r="I83" s="192"/>
      <c r="J83" s="192"/>
      <c r="K83" s="192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</row>
    <row r="84" ht="24.0" customHeight="1">
      <c r="A84" s="192"/>
      <c r="B84" s="192"/>
      <c r="C84" s="183" t="str">
        <f t="shared" si="1"/>
        <v/>
      </c>
      <c r="D84" s="183" t="s">
        <v>74</v>
      </c>
      <c r="E84" s="184" t="s">
        <v>75</v>
      </c>
      <c r="F84" s="185" t="str">
        <f t="shared" si="2"/>
        <v/>
      </c>
      <c r="G84" s="192" t="str">
        <f t="shared" si="3"/>
        <v/>
      </c>
      <c r="H84" s="183" t="s">
        <v>76</v>
      </c>
      <c r="I84" s="192"/>
      <c r="J84" s="192"/>
      <c r="K84" s="192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</row>
    <row r="85" ht="24.0" customHeight="1">
      <c r="A85" s="192"/>
      <c r="B85" s="192"/>
      <c r="C85" s="183" t="str">
        <f t="shared" si="1"/>
        <v/>
      </c>
      <c r="D85" s="183" t="s">
        <v>74</v>
      </c>
      <c r="E85" s="184" t="s">
        <v>75</v>
      </c>
      <c r="F85" s="185" t="str">
        <f t="shared" si="2"/>
        <v/>
      </c>
      <c r="G85" s="192" t="str">
        <f t="shared" si="3"/>
        <v/>
      </c>
      <c r="H85" s="183" t="s">
        <v>76</v>
      </c>
      <c r="I85" s="192"/>
      <c r="J85" s="192"/>
      <c r="K85" s="192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</row>
    <row r="86" ht="24.0" customHeight="1">
      <c r="A86" s="192"/>
      <c r="B86" s="192"/>
      <c r="C86" s="183" t="str">
        <f t="shared" si="1"/>
        <v/>
      </c>
      <c r="D86" s="183" t="s">
        <v>74</v>
      </c>
      <c r="E86" s="184" t="s">
        <v>75</v>
      </c>
      <c r="F86" s="185" t="str">
        <f t="shared" si="2"/>
        <v/>
      </c>
      <c r="G86" s="192" t="str">
        <f t="shared" si="3"/>
        <v/>
      </c>
      <c r="H86" s="183" t="s">
        <v>76</v>
      </c>
      <c r="I86" s="192"/>
      <c r="J86" s="192"/>
      <c r="K86" s="192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</row>
    <row r="87" ht="24.0" customHeight="1">
      <c r="A87" s="192"/>
      <c r="B87" s="192"/>
      <c r="C87" s="183" t="str">
        <f t="shared" si="1"/>
        <v/>
      </c>
      <c r="D87" s="183" t="s">
        <v>74</v>
      </c>
      <c r="E87" s="184" t="s">
        <v>75</v>
      </c>
      <c r="F87" s="185" t="str">
        <f t="shared" si="2"/>
        <v/>
      </c>
      <c r="G87" s="192" t="str">
        <f t="shared" si="3"/>
        <v/>
      </c>
      <c r="H87" s="183" t="s">
        <v>76</v>
      </c>
      <c r="I87" s="192"/>
      <c r="J87" s="192"/>
      <c r="K87" s="192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</row>
    <row r="88" ht="24.0" customHeight="1">
      <c r="A88" s="192"/>
      <c r="B88" s="192"/>
      <c r="C88" s="183" t="str">
        <f t="shared" si="1"/>
        <v/>
      </c>
      <c r="D88" s="183" t="s">
        <v>74</v>
      </c>
      <c r="E88" s="184" t="s">
        <v>75</v>
      </c>
      <c r="F88" s="185" t="str">
        <f t="shared" si="2"/>
        <v/>
      </c>
      <c r="G88" s="192" t="str">
        <f t="shared" si="3"/>
        <v/>
      </c>
      <c r="H88" s="183" t="s">
        <v>76</v>
      </c>
      <c r="I88" s="192"/>
      <c r="J88" s="192"/>
      <c r="K88" s="192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</row>
    <row r="89" ht="24.0" customHeight="1">
      <c r="A89" s="192"/>
      <c r="B89" s="192"/>
      <c r="C89" s="183" t="str">
        <f t="shared" si="1"/>
        <v/>
      </c>
      <c r="D89" s="183" t="s">
        <v>74</v>
      </c>
      <c r="E89" s="184" t="s">
        <v>75</v>
      </c>
      <c r="F89" s="185" t="str">
        <f t="shared" si="2"/>
        <v/>
      </c>
      <c r="G89" s="192" t="str">
        <f t="shared" si="3"/>
        <v/>
      </c>
      <c r="H89" s="183" t="s">
        <v>76</v>
      </c>
      <c r="I89" s="192"/>
      <c r="J89" s="192"/>
      <c r="K89" s="192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</row>
    <row r="90" ht="24.0" customHeight="1">
      <c r="A90" s="192"/>
      <c r="B90" s="192"/>
      <c r="C90" s="183" t="str">
        <f t="shared" si="1"/>
        <v/>
      </c>
      <c r="D90" s="183" t="s">
        <v>74</v>
      </c>
      <c r="E90" s="184" t="s">
        <v>75</v>
      </c>
      <c r="F90" s="185" t="str">
        <f t="shared" si="2"/>
        <v/>
      </c>
      <c r="G90" s="192" t="str">
        <f t="shared" si="3"/>
        <v/>
      </c>
      <c r="H90" s="183" t="s">
        <v>76</v>
      </c>
      <c r="I90" s="192"/>
      <c r="J90" s="192"/>
      <c r="K90" s="192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</row>
    <row r="91" ht="24.0" customHeight="1">
      <c r="A91" s="192"/>
      <c r="B91" s="192"/>
      <c r="C91" s="183" t="str">
        <f t="shared" si="1"/>
        <v/>
      </c>
      <c r="D91" s="183" t="s">
        <v>74</v>
      </c>
      <c r="E91" s="184" t="s">
        <v>75</v>
      </c>
      <c r="F91" s="185" t="str">
        <f t="shared" si="2"/>
        <v/>
      </c>
      <c r="G91" s="192" t="str">
        <f t="shared" si="3"/>
        <v/>
      </c>
      <c r="H91" s="183" t="s">
        <v>76</v>
      </c>
      <c r="I91" s="192"/>
      <c r="J91" s="192"/>
      <c r="K91" s="192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</row>
    <row r="92" ht="24.0" customHeight="1">
      <c r="A92" s="192"/>
      <c r="B92" s="192"/>
      <c r="C92" s="183" t="str">
        <f t="shared" si="1"/>
        <v/>
      </c>
      <c r="D92" s="183" t="s">
        <v>74</v>
      </c>
      <c r="E92" s="184" t="s">
        <v>75</v>
      </c>
      <c r="F92" s="185" t="str">
        <f t="shared" si="2"/>
        <v/>
      </c>
      <c r="G92" s="192" t="str">
        <f t="shared" si="3"/>
        <v/>
      </c>
      <c r="H92" s="183" t="s">
        <v>76</v>
      </c>
      <c r="I92" s="192"/>
      <c r="J92" s="192"/>
      <c r="K92" s="192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</row>
    <row r="93" ht="24.0" customHeight="1">
      <c r="A93" s="192"/>
      <c r="B93" s="192"/>
      <c r="C93" s="183" t="str">
        <f t="shared" si="1"/>
        <v/>
      </c>
      <c r="D93" s="183" t="s">
        <v>74</v>
      </c>
      <c r="E93" s="184" t="s">
        <v>75</v>
      </c>
      <c r="F93" s="185" t="str">
        <f t="shared" si="2"/>
        <v/>
      </c>
      <c r="G93" s="192" t="str">
        <f t="shared" si="3"/>
        <v/>
      </c>
      <c r="H93" s="183" t="s">
        <v>76</v>
      </c>
      <c r="I93" s="192"/>
      <c r="J93" s="192"/>
      <c r="K93" s="192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</row>
    <row r="94" ht="24.0" customHeight="1">
      <c r="A94" s="192"/>
      <c r="B94" s="192"/>
      <c r="C94" s="183" t="str">
        <f t="shared" si="1"/>
        <v/>
      </c>
      <c r="D94" s="183" t="s">
        <v>74</v>
      </c>
      <c r="E94" s="184" t="s">
        <v>75</v>
      </c>
      <c r="F94" s="185" t="str">
        <f t="shared" si="2"/>
        <v/>
      </c>
      <c r="G94" s="192" t="str">
        <f t="shared" si="3"/>
        <v/>
      </c>
      <c r="H94" s="183" t="s">
        <v>76</v>
      </c>
      <c r="I94" s="192"/>
      <c r="J94" s="192"/>
      <c r="K94" s="192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</row>
    <row r="95" ht="24.0" customHeight="1">
      <c r="A95" s="192"/>
      <c r="B95" s="192"/>
      <c r="C95" s="183" t="str">
        <f t="shared" si="1"/>
        <v/>
      </c>
      <c r="D95" s="183" t="s">
        <v>74</v>
      </c>
      <c r="E95" s="184" t="s">
        <v>75</v>
      </c>
      <c r="F95" s="185" t="str">
        <f t="shared" si="2"/>
        <v/>
      </c>
      <c r="G95" s="192" t="str">
        <f t="shared" si="3"/>
        <v/>
      </c>
      <c r="H95" s="183" t="s">
        <v>76</v>
      </c>
      <c r="I95" s="192"/>
      <c r="J95" s="192"/>
      <c r="K95" s="192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</row>
    <row r="96" ht="24.0" customHeight="1">
      <c r="A96" s="192"/>
      <c r="B96" s="192"/>
      <c r="C96" s="183" t="str">
        <f t="shared" si="1"/>
        <v/>
      </c>
      <c r="D96" s="183" t="s">
        <v>74</v>
      </c>
      <c r="E96" s="184" t="s">
        <v>75</v>
      </c>
      <c r="F96" s="185" t="str">
        <f t="shared" si="2"/>
        <v/>
      </c>
      <c r="G96" s="192" t="str">
        <f t="shared" si="3"/>
        <v/>
      </c>
      <c r="H96" s="183" t="s">
        <v>76</v>
      </c>
      <c r="I96" s="192"/>
      <c r="J96" s="192"/>
      <c r="K96" s="192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</row>
    <row r="97" ht="24.0" customHeight="1">
      <c r="A97" s="192"/>
      <c r="B97" s="192"/>
      <c r="C97" s="183" t="str">
        <f t="shared" si="1"/>
        <v/>
      </c>
      <c r="D97" s="183" t="s">
        <v>74</v>
      </c>
      <c r="E97" s="184" t="s">
        <v>75</v>
      </c>
      <c r="F97" s="185" t="str">
        <f t="shared" si="2"/>
        <v/>
      </c>
      <c r="G97" s="192" t="str">
        <f t="shared" si="3"/>
        <v/>
      </c>
      <c r="H97" s="183" t="s">
        <v>76</v>
      </c>
      <c r="I97" s="192"/>
      <c r="J97" s="192"/>
      <c r="K97" s="192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</row>
    <row r="98" ht="24.0" customHeight="1">
      <c r="A98" s="192"/>
      <c r="B98" s="192"/>
      <c r="C98" s="183" t="str">
        <f t="shared" si="1"/>
        <v/>
      </c>
      <c r="D98" s="183" t="s">
        <v>74</v>
      </c>
      <c r="E98" s="184" t="s">
        <v>75</v>
      </c>
      <c r="F98" s="185" t="str">
        <f t="shared" si="2"/>
        <v/>
      </c>
      <c r="G98" s="192" t="str">
        <f t="shared" si="3"/>
        <v/>
      </c>
      <c r="H98" s="183" t="s">
        <v>76</v>
      </c>
      <c r="I98" s="192"/>
      <c r="J98" s="192"/>
      <c r="K98" s="192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</row>
    <row r="99" ht="24.0" customHeight="1">
      <c r="A99" s="192"/>
      <c r="B99" s="192"/>
      <c r="C99" s="183" t="str">
        <f t="shared" si="1"/>
        <v/>
      </c>
      <c r="D99" s="183" t="s">
        <v>74</v>
      </c>
      <c r="E99" s="184" t="s">
        <v>75</v>
      </c>
      <c r="F99" s="185" t="str">
        <f t="shared" si="2"/>
        <v/>
      </c>
      <c r="G99" s="192" t="str">
        <f t="shared" si="3"/>
        <v/>
      </c>
      <c r="H99" s="183" t="s">
        <v>76</v>
      </c>
      <c r="I99" s="192"/>
      <c r="J99" s="192"/>
      <c r="K99" s="192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</row>
    <row r="100" ht="24.0" customHeight="1">
      <c r="A100" s="192"/>
      <c r="B100" s="192"/>
      <c r="C100" s="183" t="str">
        <f t="shared" si="1"/>
        <v/>
      </c>
      <c r="D100" s="183" t="s">
        <v>74</v>
      </c>
      <c r="E100" s="184" t="s">
        <v>75</v>
      </c>
      <c r="F100" s="185" t="str">
        <f t="shared" si="2"/>
        <v/>
      </c>
      <c r="G100" s="192" t="str">
        <f t="shared" si="3"/>
        <v/>
      </c>
      <c r="H100" s="183" t="s">
        <v>76</v>
      </c>
      <c r="I100" s="192"/>
      <c r="J100" s="192"/>
      <c r="K100" s="192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</row>
    <row r="101" ht="24.0" customHeight="1">
      <c r="A101" s="196"/>
      <c r="B101" s="196"/>
      <c r="C101" s="183" t="str">
        <f t="shared" si="1"/>
        <v/>
      </c>
      <c r="D101" s="183" t="s">
        <v>74</v>
      </c>
      <c r="E101" s="184" t="s">
        <v>75</v>
      </c>
      <c r="F101" s="185" t="str">
        <f t="shared" si="2"/>
        <v/>
      </c>
      <c r="G101" s="192" t="str">
        <f t="shared" si="3"/>
        <v/>
      </c>
      <c r="H101" s="183" t="s">
        <v>76</v>
      </c>
      <c r="I101" s="196"/>
      <c r="J101" s="196"/>
      <c r="K101" s="196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  <c r="AA101" s="200"/>
    </row>
    <row r="102" ht="24.0" customHeight="1">
      <c r="A102" s="196"/>
      <c r="B102" s="196"/>
      <c r="C102" s="183" t="str">
        <f t="shared" si="1"/>
        <v/>
      </c>
      <c r="D102" s="183" t="s">
        <v>74</v>
      </c>
      <c r="E102" s="184" t="s">
        <v>75</v>
      </c>
      <c r="F102" s="185" t="str">
        <f t="shared" si="2"/>
        <v/>
      </c>
      <c r="G102" s="192" t="str">
        <f t="shared" si="3"/>
        <v/>
      </c>
      <c r="H102" s="183" t="s">
        <v>76</v>
      </c>
      <c r="I102" s="196"/>
      <c r="J102" s="196"/>
      <c r="K102" s="196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  <c r="AA102" s="200"/>
    </row>
    <row r="103" ht="24.0" customHeight="1">
      <c r="A103" s="196"/>
      <c r="B103" s="196"/>
      <c r="C103" s="183" t="str">
        <f t="shared" si="1"/>
        <v/>
      </c>
      <c r="D103" s="183" t="s">
        <v>74</v>
      </c>
      <c r="E103" s="184" t="s">
        <v>75</v>
      </c>
      <c r="F103" s="185" t="str">
        <f t="shared" si="2"/>
        <v/>
      </c>
      <c r="G103" s="192" t="str">
        <f t="shared" si="3"/>
        <v/>
      </c>
      <c r="H103" s="183" t="s">
        <v>76</v>
      </c>
      <c r="I103" s="196"/>
      <c r="J103" s="196"/>
      <c r="K103" s="196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  <c r="AA103" s="200"/>
    </row>
    <row r="104" ht="24.0" customHeight="1">
      <c r="A104" s="196"/>
      <c r="B104" s="196"/>
      <c r="C104" s="183" t="str">
        <f t="shared" si="1"/>
        <v/>
      </c>
      <c r="D104" s="183" t="s">
        <v>74</v>
      </c>
      <c r="E104" s="184" t="s">
        <v>75</v>
      </c>
      <c r="F104" s="185" t="str">
        <f t="shared" si="2"/>
        <v/>
      </c>
      <c r="G104" s="192" t="str">
        <f t="shared" si="3"/>
        <v/>
      </c>
      <c r="H104" s="183" t="s">
        <v>76</v>
      </c>
      <c r="I104" s="196"/>
      <c r="J104" s="196"/>
      <c r="K104" s="196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</row>
    <row r="105" ht="24.0" customHeight="1">
      <c r="A105" s="196"/>
      <c r="B105" s="196"/>
      <c r="C105" s="183" t="str">
        <f t="shared" si="1"/>
        <v/>
      </c>
      <c r="D105" s="183" t="s">
        <v>74</v>
      </c>
      <c r="E105" s="184" t="s">
        <v>75</v>
      </c>
      <c r="F105" s="185" t="str">
        <f t="shared" si="2"/>
        <v/>
      </c>
      <c r="G105" s="192" t="str">
        <f t="shared" si="3"/>
        <v/>
      </c>
      <c r="H105" s="183" t="s">
        <v>76</v>
      </c>
      <c r="I105" s="196"/>
      <c r="J105" s="196"/>
      <c r="K105" s="196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</row>
    <row r="106" ht="24.0" customHeight="1">
      <c r="A106" s="196"/>
      <c r="B106" s="196"/>
      <c r="C106" s="183" t="str">
        <f t="shared" si="1"/>
        <v/>
      </c>
      <c r="D106" s="183" t="s">
        <v>74</v>
      </c>
      <c r="E106" s="184" t="s">
        <v>75</v>
      </c>
      <c r="F106" s="185" t="str">
        <f t="shared" si="2"/>
        <v/>
      </c>
      <c r="G106" s="192" t="str">
        <f t="shared" si="3"/>
        <v/>
      </c>
      <c r="H106" s="183" t="s">
        <v>76</v>
      </c>
      <c r="I106" s="196"/>
      <c r="J106" s="196"/>
      <c r="K106" s="196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  <c r="AA106" s="200"/>
    </row>
    <row r="107" ht="24.0" customHeight="1">
      <c r="A107" s="196"/>
      <c r="B107" s="196"/>
      <c r="C107" s="183" t="str">
        <f t="shared" si="1"/>
        <v/>
      </c>
      <c r="D107" s="183" t="s">
        <v>74</v>
      </c>
      <c r="E107" s="184" t="s">
        <v>75</v>
      </c>
      <c r="F107" s="185" t="str">
        <f t="shared" si="2"/>
        <v/>
      </c>
      <c r="G107" s="192" t="str">
        <f t="shared" si="3"/>
        <v/>
      </c>
      <c r="H107" s="183" t="s">
        <v>76</v>
      </c>
      <c r="I107" s="196"/>
      <c r="J107" s="196"/>
      <c r="K107" s="196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  <c r="AA107" s="200"/>
    </row>
    <row r="108" ht="24.0" customHeight="1">
      <c r="A108" s="196"/>
      <c r="B108" s="196"/>
      <c r="C108" s="183" t="str">
        <f t="shared" si="1"/>
        <v/>
      </c>
      <c r="D108" s="183" t="s">
        <v>74</v>
      </c>
      <c r="E108" s="184" t="s">
        <v>75</v>
      </c>
      <c r="F108" s="185" t="str">
        <f t="shared" si="2"/>
        <v/>
      </c>
      <c r="G108" s="192" t="str">
        <f t="shared" si="3"/>
        <v/>
      </c>
      <c r="H108" s="183" t="s">
        <v>76</v>
      </c>
      <c r="I108" s="196"/>
      <c r="J108" s="196"/>
      <c r="K108" s="196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  <c r="AA108" s="200"/>
    </row>
    <row r="109" ht="24.0" customHeight="1">
      <c r="A109" s="196"/>
      <c r="B109" s="196"/>
      <c r="C109" s="183" t="str">
        <f t="shared" si="1"/>
        <v/>
      </c>
      <c r="D109" s="183" t="s">
        <v>74</v>
      </c>
      <c r="E109" s="184" t="s">
        <v>75</v>
      </c>
      <c r="F109" s="185" t="str">
        <f t="shared" si="2"/>
        <v/>
      </c>
      <c r="G109" s="192" t="str">
        <f t="shared" si="3"/>
        <v/>
      </c>
      <c r="H109" s="183" t="s">
        <v>76</v>
      </c>
      <c r="I109" s="196"/>
      <c r="J109" s="196"/>
      <c r="K109" s="196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  <c r="AA109" s="200"/>
    </row>
    <row r="110" ht="24.0" customHeight="1">
      <c r="A110" s="196"/>
      <c r="B110" s="196"/>
      <c r="C110" s="183" t="str">
        <f t="shared" si="1"/>
        <v/>
      </c>
      <c r="D110" s="196"/>
      <c r="E110" s="203"/>
      <c r="F110" s="185" t="str">
        <f t="shared" si="2"/>
        <v/>
      </c>
      <c r="G110" s="192" t="str">
        <f t="shared" si="3"/>
        <v/>
      </c>
      <c r="H110" s="196"/>
      <c r="I110" s="196"/>
      <c r="J110" s="196"/>
      <c r="K110" s="196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  <c r="AA110" s="200"/>
    </row>
    <row r="111">
      <c r="A111" s="200"/>
      <c r="B111" s="200"/>
      <c r="C111" s="200"/>
      <c r="D111" s="200"/>
      <c r="E111" s="200"/>
      <c r="F111" s="204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  <c r="AA111" s="200"/>
    </row>
    <row r="112">
      <c r="A112" s="200"/>
      <c r="B112" s="200"/>
      <c r="C112" s="200"/>
      <c r="D112" s="200"/>
      <c r="E112" s="200"/>
      <c r="F112" s="204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/>
    </row>
    <row r="113">
      <c r="A113" s="200"/>
      <c r="B113" s="200"/>
      <c r="C113" s="200"/>
      <c r="D113" s="200"/>
      <c r="E113" s="200"/>
      <c r="F113" s="204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/>
    </row>
    <row r="114">
      <c r="A114" s="200"/>
      <c r="B114" s="200"/>
      <c r="C114" s="200"/>
      <c r="D114" s="200"/>
      <c r="E114" s="200"/>
      <c r="F114" s="204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/>
    </row>
    <row r="115">
      <c r="A115" s="200"/>
      <c r="B115" s="200"/>
      <c r="C115" s="200"/>
      <c r="D115" s="200"/>
      <c r="E115" s="200"/>
      <c r="F115" s="204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</row>
    <row r="116">
      <c r="A116" s="200"/>
      <c r="B116" s="200"/>
      <c r="C116" s="200"/>
      <c r="D116" s="200"/>
      <c r="E116" s="200"/>
      <c r="F116" s="204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</row>
    <row r="117">
      <c r="A117" s="200"/>
      <c r="B117" s="200"/>
      <c r="C117" s="200"/>
      <c r="D117" s="200"/>
      <c r="E117" s="200"/>
      <c r="F117" s="204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</row>
    <row r="118">
      <c r="A118" s="200"/>
      <c r="B118" s="200"/>
      <c r="C118" s="200"/>
      <c r="D118" s="200"/>
      <c r="E118" s="200"/>
      <c r="F118" s="204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</row>
    <row r="119">
      <c r="A119" s="200"/>
      <c r="B119" s="200"/>
      <c r="C119" s="200"/>
      <c r="D119" s="200"/>
      <c r="E119" s="200"/>
      <c r="F119" s="204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0"/>
    </row>
    <row r="120">
      <c r="A120" s="200"/>
      <c r="B120" s="200"/>
      <c r="C120" s="200"/>
      <c r="D120" s="200"/>
      <c r="E120" s="200"/>
      <c r="F120" s="204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</row>
    <row r="121">
      <c r="A121" s="200"/>
      <c r="B121" s="200"/>
      <c r="C121" s="200"/>
      <c r="D121" s="200"/>
      <c r="E121" s="200"/>
      <c r="F121" s="204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</row>
    <row r="122">
      <c r="A122" s="200"/>
      <c r="B122" s="200"/>
      <c r="C122" s="200"/>
      <c r="D122" s="200"/>
      <c r="E122" s="200"/>
      <c r="F122" s="204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</row>
    <row r="123">
      <c r="A123" s="200"/>
      <c r="B123" s="200"/>
      <c r="C123" s="200"/>
      <c r="D123" s="200"/>
      <c r="E123" s="200"/>
      <c r="F123" s="204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  <c r="AA123" s="200"/>
    </row>
    <row r="124">
      <c r="A124" s="200"/>
      <c r="B124" s="200"/>
      <c r="C124" s="200"/>
      <c r="D124" s="200"/>
      <c r="E124" s="200"/>
      <c r="F124" s="204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</row>
    <row r="125">
      <c r="A125" s="200"/>
      <c r="B125" s="200"/>
      <c r="C125" s="200"/>
      <c r="D125" s="200"/>
      <c r="E125" s="200"/>
      <c r="F125" s="204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</row>
    <row r="126">
      <c r="A126" s="200"/>
      <c r="B126" s="200"/>
      <c r="C126" s="200"/>
      <c r="D126" s="200"/>
      <c r="E126" s="200"/>
      <c r="F126" s="204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</row>
    <row r="127">
      <c r="A127" s="200"/>
      <c r="B127" s="200"/>
      <c r="C127" s="200"/>
      <c r="D127" s="200"/>
      <c r="E127" s="200"/>
      <c r="F127" s="204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</row>
    <row r="128">
      <c r="A128" s="200"/>
      <c r="B128" s="200"/>
      <c r="C128" s="200"/>
      <c r="D128" s="200"/>
      <c r="E128" s="200"/>
      <c r="F128" s="204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0"/>
    </row>
    <row r="129">
      <c r="A129" s="200"/>
      <c r="B129" s="200"/>
      <c r="C129" s="200"/>
      <c r="D129" s="200"/>
      <c r="E129" s="200"/>
      <c r="F129" s="204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  <c r="AA129" s="200"/>
    </row>
    <row r="130">
      <c r="A130" s="200"/>
      <c r="B130" s="200"/>
      <c r="C130" s="200"/>
      <c r="D130" s="200"/>
      <c r="E130" s="200"/>
      <c r="F130" s="204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  <c r="AA130" s="200"/>
    </row>
    <row r="131">
      <c r="A131" s="200"/>
      <c r="B131" s="200"/>
      <c r="C131" s="200"/>
      <c r="D131" s="200"/>
      <c r="E131" s="200"/>
      <c r="F131" s="204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  <c r="AA131" s="200"/>
    </row>
    <row r="132">
      <c r="A132" s="200"/>
      <c r="B132" s="200"/>
      <c r="C132" s="200"/>
      <c r="D132" s="200"/>
      <c r="E132" s="200"/>
      <c r="F132" s="204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</row>
    <row r="133">
      <c r="A133" s="200"/>
      <c r="B133" s="200"/>
      <c r="C133" s="200"/>
      <c r="D133" s="200"/>
      <c r="E133" s="200"/>
      <c r="F133" s="204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</row>
    <row r="134">
      <c r="A134" s="200"/>
      <c r="B134" s="200"/>
      <c r="C134" s="200"/>
      <c r="D134" s="200"/>
      <c r="E134" s="200"/>
      <c r="F134" s="204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</row>
    <row r="135">
      <c r="A135" s="200"/>
      <c r="B135" s="200"/>
      <c r="C135" s="200"/>
      <c r="D135" s="200"/>
      <c r="E135" s="200"/>
      <c r="F135" s="204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  <c r="AA135" s="200"/>
    </row>
    <row r="136">
      <c r="A136" s="200"/>
      <c r="B136" s="200"/>
      <c r="C136" s="200"/>
      <c r="D136" s="200"/>
      <c r="E136" s="200"/>
      <c r="F136" s="204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</row>
    <row r="137">
      <c r="A137" s="200"/>
      <c r="B137" s="200"/>
      <c r="C137" s="200"/>
      <c r="D137" s="200"/>
      <c r="E137" s="200"/>
      <c r="F137" s="204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</row>
    <row r="138">
      <c r="A138" s="200"/>
      <c r="B138" s="200"/>
      <c r="C138" s="200"/>
      <c r="D138" s="200"/>
      <c r="E138" s="200"/>
      <c r="F138" s="204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0"/>
    </row>
    <row r="139">
      <c r="A139" s="200"/>
      <c r="B139" s="200"/>
      <c r="C139" s="200"/>
      <c r="D139" s="200"/>
      <c r="E139" s="200"/>
      <c r="F139" s="204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</row>
    <row r="140">
      <c r="A140" s="200"/>
      <c r="B140" s="200"/>
      <c r="C140" s="200"/>
      <c r="D140" s="200"/>
      <c r="E140" s="200"/>
      <c r="F140" s="204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</row>
    <row r="141">
      <c r="A141" s="200"/>
      <c r="B141" s="200"/>
      <c r="C141" s="200"/>
      <c r="D141" s="200"/>
      <c r="E141" s="200"/>
      <c r="F141" s="204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  <c r="AA141" s="200"/>
    </row>
    <row r="142">
      <c r="A142" s="200"/>
      <c r="B142" s="200"/>
      <c r="C142" s="200"/>
      <c r="D142" s="200"/>
      <c r="E142" s="200"/>
      <c r="F142" s="204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  <c r="AA142" s="200"/>
    </row>
    <row r="143">
      <c r="A143" s="200"/>
      <c r="B143" s="200"/>
      <c r="C143" s="200"/>
      <c r="D143" s="200"/>
      <c r="E143" s="200"/>
      <c r="F143" s="204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  <c r="AA143" s="200"/>
    </row>
    <row r="144">
      <c r="A144" s="200"/>
      <c r="B144" s="200"/>
      <c r="C144" s="200"/>
      <c r="D144" s="200"/>
      <c r="E144" s="200"/>
      <c r="F144" s="204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0"/>
    </row>
    <row r="145">
      <c r="A145" s="200"/>
      <c r="B145" s="200"/>
      <c r="C145" s="200"/>
      <c r="D145" s="200"/>
      <c r="E145" s="200"/>
      <c r="F145" s="204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  <c r="AA145" s="200"/>
    </row>
    <row r="146">
      <c r="A146" s="200"/>
      <c r="B146" s="200"/>
      <c r="C146" s="200"/>
      <c r="D146" s="200"/>
      <c r="E146" s="200"/>
      <c r="F146" s="204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  <c r="AA146" s="200"/>
    </row>
    <row r="147">
      <c r="A147" s="200"/>
      <c r="B147" s="200"/>
      <c r="C147" s="200"/>
      <c r="D147" s="200"/>
      <c r="E147" s="200"/>
      <c r="F147" s="204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  <c r="AA147" s="200"/>
    </row>
    <row r="148">
      <c r="A148" s="200"/>
      <c r="B148" s="200"/>
      <c r="C148" s="200"/>
      <c r="D148" s="200"/>
      <c r="E148" s="200"/>
      <c r="F148" s="204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  <c r="AA148" s="200"/>
    </row>
    <row r="149">
      <c r="A149" s="200"/>
      <c r="B149" s="200"/>
      <c r="C149" s="200"/>
      <c r="D149" s="200"/>
      <c r="E149" s="200"/>
      <c r="F149" s="204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</row>
    <row r="150">
      <c r="A150" s="200"/>
      <c r="B150" s="200"/>
      <c r="C150" s="200"/>
      <c r="D150" s="200"/>
      <c r="E150" s="200"/>
      <c r="F150" s="204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</row>
    <row r="151">
      <c r="A151" s="200"/>
      <c r="B151" s="200"/>
      <c r="C151" s="200"/>
      <c r="D151" s="200"/>
      <c r="E151" s="200"/>
      <c r="F151" s="204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  <c r="AA151" s="200"/>
    </row>
    <row r="152">
      <c r="A152" s="200"/>
      <c r="B152" s="200"/>
      <c r="C152" s="200"/>
      <c r="D152" s="200"/>
      <c r="E152" s="200"/>
      <c r="F152" s="204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</row>
    <row r="153">
      <c r="A153" s="200"/>
      <c r="B153" s="200"/>
      <c r="C153" s="200"/>
      <c r="D153" s="200"/>
      <c r="E153" s="200"/>
      <c r="F153" s="204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</row>
    <row r="154">
      <c r="A154" s="200"/>
      <c r="B154" s="200"/>
      <c r="C154" s="200"/>
      <c r="D154" s="200"/>
      <c r="E154" s="200"/>
      <c r="F154" s="204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  <c r="AA154" s="200"/>
    </row>
    <row r="155">
      <c r="A155" s="200"/>
      <c r="B155" s="200"/>
      <c r="C155" s="200"/>
      <c r="D155" s="200"/>
      <c r="E155" s="200"/>
      <c r="F155" s="204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200"/>
    </row>
    <row r="156">
      <c r="A156" s="200"/>
      <c r="B156" s="200"/>
      <c r="C156" s="200"/>
      <c r="D156" s="200"/>
      <c r="E156" s="200"/>
      <c r="F156" s="204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  <c r="AA156" s="200"/>
    </row>
    <row r="157">
      <c r="A157" s="200"/>
      <c r="B157" s="200"/>
      <c r="C157" s="200"/>
      <c r="D157" s="200"/>
      <c r="E157" s="200"/>
      <c r="F157" s="204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  <c r="AA157" s="200"/>
    </row>
    <row r="158">
      <c r="A158" s="200"/>
      <c r="B158" s="200"/>
      <c r="C158" s="200"/>
      <c r="D158" s="200"/>
      <c r="E158" s="200"/>
      <c r="F158" s="204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  <c r="AA158" s="200"/>
    </row>
    <row r="159">
      <c r="A159" s="200"/>
      <c r="B159" s="200"/>
      <c r="C159" s="200"/>
      <c r="D159" s="200"/>
      <c r="E159" s="200"/>
      <c r="F159" s="204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  <c r="AA159" s="200"/>
    </row>
    <row r="160">
      <c r="A160" s="200"/>
      <c r="B160" s="200"/>
      <c r="C160" s="200"/>
      <c r="D160" s="200"/>
      <c r="E160" s="200"/>
      <c r="F160" s="204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  <c r="AA160" s="200"/>
    </row>
    <row r="161">
      <c r="A161" s="200"/>
      <c r="B161" s="200"/>
      <c r="C161" s="200"/>
      <c r="D161" s="200"/>
      <c r="E161" s="200"/>
      <c r="F161" s="204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  <c r="AA161" s="200"/>
    </row>
    <row r="162">
      <c r="A162" s="200"/>
      <c r="B162" s="200"/>
      <c r="C162" s="200"/>
      <c r="D162" s="200"/>
      <c r="E162" s="200"/>
      <c r="F162" s="204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  <c r="AA162" s="200"/>
    </row>
    <row r="163">
      <c r="A163" s="200"/>
      <c r="B163" s="200"/>
      <c r="C163" s="200"/>
      <c r="D163" s="200"/>
      <c r="E163" s="200"/>
      <c r="F163" s="204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  <c r="AA163" s="200"/>
    </row>
    <row r="164">
      <c r="A164" s="200"/>
      <c r="B164" s="200"/>
      <c r="C164" s="200"/>
      <c r="D164" s="200"/>
      <c r="E164" s="200"/>
      <c r="F164" s="204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  <c r="AA164" s="200"/>
    </row>
    <row r="165">
      <c r="A165" s="200"/>
      <c r="B165" s="200"/>
      <c r="C165" s="200"/>
      <c r="D165" s="200"/>
      <c r="E165" s="200"/>
      <c r="F165" s="204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</row>
    <row r="166">
      <c r="A166" s="200"/>
      <c r="B166" s="200"/>
      <c r="C166" s="200"/>
      <c r="D166" s="200"/>
      <c r="E166" s="200"/>
      <c r="F166" s="204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</row>
    <row r="167">
      <c r="A167" s="200"/>
      <c r="B167" s="200"/>
      <c r="C167" s="200"/>
      <c r="D167" s="200"/>
      <c r="E167" s="200"/>
      <c r="F167" s="204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  <c r="AA167" s="200"/>
    </row>
    <row r="168">
      <c r="A168" s="200"/>
      <c r="B168" s="200"/>
      <c r="C168" s="200"/>
      <c r="D168" s="200"/>
      <c r="E168" s="200"/>
      <c r="F168" s="204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  <c r="AA168" s="200"/>
    </row>
    <row r="169">
      <c r="A169" s="200"/>
      <c r="B169" s="200"/>
      <c r="C169" s="200"/>
      <c r="D169" s="200"/>
      <c r="E169" s="200"/>
      <c r="F169" s="204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  <c r="AA169" s="200"/>
    </row>
    <row r="170">
      <c r="A170" s="200"/>
      <c r="B170" s="200"/>
      <c r="C170" s="200"/>
      <c r="D170" s="200"/>
      <c r="E170" s="200"/>
      <c r="F170" s="204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  <c r="AA170" s="200"/>
    </row>
    <row r="171">
      <c r="A171" s="200"/>
      <c r="B171" s="200"/>
      <c r="C171" s="200"/>
      <c r="D171" s="200"/>
      <c r="E171" s="200"/>
      <c r="F171" s="204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  <c r="AA171" s="200"/>
    </row>
    <row r="172">
      <c r="A172" s="200"/>
      <c r="B172" s="200"/>
      <c r="C172" s="200"/>
      <c r="D172" s="200"/>
      <c r="E172" s="200"/>
      <c r="F172" s="204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  <c r="AA172" s="200"/>
    </row>
    <row r="173">
      <c r="A173" s="200"/>
      <c r="B173" s="200"/>
      <c r="C173" s="200"/>
      <c r="D173" s="200"/>
      <c r="E173" s="200"/>
      <c r="F173" s="204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  <c r="AA173" s="200"/>
    </row>
    <row r="174">
      <c r="A174" s="200"/>
      <c r="B174" s="200"/>
      <c r="C174" s="200"/>
      <c r="D174" s="200"/>
      <c r="E174" s="200"/>
      <c r="F174" s="204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  <c r="AA174" s="200"/>
    </row>
    <row r="175">
      <c r="A175" s="200"/>
      <c r="B175" s="200"/>
      <c r="C175" s="200"/>
      <c r="D175" s="200"/>
      <c r="E175" s="200"/>
      <c r="F175" s="204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  <c r="AA175" s="200"/>
    </row>
    <row r="176">
      <c r="A176" s="200"/>
      <c r="B176" s="200"/>
      <c r="C176" s="200"/>
      <c r="D176" s="200"/>
      <c r="E176" s="200"/>
      <c r="F176" s="204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  <c r="AA176" s="200"/>
    </row>
    <row r="177">
      <c r="A177" s="200"/>
      <c r="B177" s="200"/>
      <c r="C177" s="200"/>
      <c r="D177" s="200"/>
      <c r="E177" s="200"/>
      <c r="F177" s="204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</row>
    <row r="178">
      <c r="A178" s="200"/>
      <c r="B178" s="200"/>
      <c r="C178" s="200"/>
      <c r="D178" s="200"/>
      <c r="E178" s="200"/>
      <c r="F178" s="204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</row>
    <row r="179">
      <c r="A179" s="200"/>
      <c r="B179" s="200"/>
      <c r="C179" s="200"/>
      <c r="D179" s="200"/>
      <c r="E179" s="200"/>
      <c r="F179" s="204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  <c r="AA179" s="200"/>
    </row>
    <row r="180">
      <c r="A180" s="200"/>
      <c r="B180" s="200"/>
      <c r="C180" s="200"/>
      <c r="D180" s="200"/>
      <c r="E180" s="200"/>
      <c r="F180" s="204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  <c r="AA180" s="200"/>
    </row>
    <row r="181">
      <c r="A181" s="200"/>
      <c r="B181" s="200"/>
      <c r="C181" s="200"/>
      <c r="D181" s="200"/>
      <c r="E181" s="200"/>
      <c r="F181" s="204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  <c r="AA181" s="200"/>
    </row>
    <row r="182">
      <c r="A182" s="200"/>
      <c r="B182" s="200"/>
      <c r="C182" s="200"/>
      <c r="D182" s="200"/>
      <c r="E182" s="200"/>
      <c r="F182" s="204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  <c r="AA182" s="200"/>
    </row>
    <row r="183">
      <c r="A183" s="200"/>
      <c r="B183" s="200"/>
      <c r="C183" s="200"/>
      <c r="D183" s="200"/>
      <c r="E183" s="200"/>
      <c r="F183" s="204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  <c r="AA183" s="200"/>
    </row>
    <row r="184">
      <c r="A184" s="200"/>
      <c r="B184" s="200"/>
      <c r="C184" s="200"/>
      <c r="D184" s="200"/>
      <c r="E184" s="200"/>
      <c r="F184" s="204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  <c r="AA184" s="200"/>
    </row>
    <row r="185">
      <c r="A185" s="200"/>
      <c r="B185" s="200"/>
      <c r="C185" s="200"/>
      <c r="D185" s="200"/>
      <c r="E185" s="200"/>
      <c r="F185" s="204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  <c r="AA185" s="200"/>
    </row>
    <row r="186">
      <c r="A186" s="200"/>
      <c r="B186" s="200"/>
      <c r="C186" s="200"/>
      <c r="D186" s="200"/>
      <c r="E186" s="200"/>
      <c r="F186" s="204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200"/>
    </row>
    <row r="187">
      <c r="A187" s="200"/>
      <c r="B187" s="200"/>
      <c r="C187" s="200"/>
      <c r="D187" s="200"/>
      <c r="E187" s="200"/>
      <c r="F187" s="204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  <c r="AA187" s="200"/>
    </row>
    <row r="188">
      <c r="A188" s="200"/>
      <c r="B188" s="200"/>
      <c r="C188" s="200"/>
      <c r="D188" s="200"/>
      <c r="E188" s="200"/>
      <c r="F188" s="204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  <c r="AA188" s="200"/>
    </row>
    <row r="189">
      <c r="A189" s="200"/>
      <c r="B189" s="200"/>
      <c r="C189" s="200"/>
      <c r="D189" s="200"/>
      <c r="E189" s="200"/>
      <c r="F189" s="204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  <c r="AA189" s="200"/>
    </row>
    <row r="190">
      <c r="A190" s="200"/>
      <c r="B190" s="200"/>
      <c r="C190" s="200"/>
      <c r="D190" s="200"/>
      <c r="E190" s="200"/>
      <c r="F190" s="204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  <c r="AA190" s="200"/>
    </row>
    <row r="191">
      <c r="A191" s="200"/>
      <c r="B191" s="200"/>
      <c r="C191" s="200"/>
      <c r="D191" s="200"/>
      <c r="E191" s="200"/>
      <c r="F191" s="204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  <c r="AA191" s="200"/>
    </row>
    <row r="192">
      <c r="A192" s="200"/>
      <c r="B192" s="200"/>
      <c r="C192" s="200"/>
      <c r="D192" s="200"/>
      <c r="E192" s="200"/>
      <c r="F192" s="204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  <c r="AA192" s="200"/>
    </row>
    <row r="193">
      <c r="A193" s="200"/>
      <c r="B193" s="200"/>
      <c r="C193" s="200"/>
      <c r="D193" s="200"/>
      <c r="E193" s="200"/>
      <c r="F193" s="204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  <c r="AA193" s="200"/>
    </row>
    <row r="194">
      <c r="A194" s="200"/>
      <c r="B194" s="200"/>
      <c r="C194" s="200"/>
      <c r="D194" s="200"/>
      <c r="E194" s="200"/>
      <c r="F194" s="204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  <c r="AA194" s="200"/>
    </row>
    <row r="195">
      <c r="A195" s="200"/>
      <c r="B195" s="200"/>
      <c r="C195" s="200"/>
      <c r="D195" s="200"/>
      <c r="E195" s="200"/>
      <c r="F195" s="204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  <c r="AA195" s="200"/>
    </row>
    <row r="196">
      <c r="A196" s="200"/>
      <c r="B196" s="200"/>
      <c r="C196" s="200"/>
      <c r="D196" s="200"/>
      <c r="E196" s="200"/>
      <c r="F196" s="204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  <c r="AA196" s="200"/>
    </row>
    <row r="197">
      <c r="A197" s="200"/>
      <c r="B197" s="200"/>
      <c r="C197" s="200"/>
      <c r="D197" s="200"/>
      <c r="E197" s="200"/>
      <c r="F197" s="204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200"/>
    </row>
    <row r="198">
      <c r="A198" s="200"/>
      <c r="B198" s="200"/>
      <c r="C198" s="200"/>
      <c r="D198" s="200"/>
      <c r="E198" s="200"/>
      <c r="F198" s="204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200"/>
    </row>
    <row r="199">
      <c r="A199" s="200"/>
      <c r="B199" s="200"/>
      <c r="C199" s="200"/>
      <c r="D199" s="200"/>
      <c r="E199" s="200"/>
      <c r="F199" s="204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  <c r="AA199" s="200"/>
    </row>
    <row r="200">
      <c r="A200" s="200"/>
      <c r="B200" s="200"/>
      <c r="C200" s="200"/>
      <c r="D200" s="200"/>
      <c r="E200" s="200"/>
      <c r="F200" s="204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  <c r="AA200" s="200"/>
    </row>
    <row r="201">
      <c r="A201" s="200"/>
      <c r="B201" s="200"/>
      <c r="C201" s="200"/>
      <c r="D201" s="200"/>
      <c r="E201" s="200"/>
      <c r="F201" s="204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  <c r="AA201" s="200"/>
    </row>
    <row r="202">
      <c r="A202" s="200"/>
      <c r="B202" s="200"/>
      <c r="C202" s="200"/>
      <c r="D202" s="200"/>
      <c r="E202" s="200"/>
      <c r="F202" s="204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  <c r="AA202" s="200"/>
    </row>
    <row r="203">
      <c r="A203" s="200"/>
      <c r="B203" s="200"/>
      <c r="C203" s="200"/>
      <c r="D203" s="200"/>
      <c r="E203" s="200"/>
      <c r="F203" s="204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  <c r="AA203" s="200"/>
    </row>
    <row r="204">
      <c r="A204" s="200"/>
      <c r="B204" s="200"/>
      <c r="C204" s="200"/>
      <c r="D204" s="200"/>
      <c r="E204" s="200"/>
      <c r="F204" s="204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  <c r="AA204" s="200"/>
    </row>
    <row r="205">
      <c r="A205" s="200"/>
      <c r="B205" s="200"/>
      <c r="C205" s="200"/>
      <c r="D205" s="200"/>
      <c r="E205" s="200"/>
      <c r="F205" s="204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  <c r="AA205" s="200"/>
    </row>
    <row r="206">
      <c r="A206" s="200"/>
      <c r="B206" s="200"/>
      <c r="C206" s="200"/>
      <c r="D206" s="200"/>
      <c r="E206" s="200"/>
      <c r="F206" s="204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  <c r="AA206" s="200"/>
    </row>
    <row r="207">
      <c r="A207" s="200"/>
      <c r="B207" s="200"/>
      <c r="C207" s="200"/>
      <c r="D207" s="200"/>
      <c r="E207" s="200"/>
      <c r="F207" s="204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  <c r="AA207" s="200"/>
    </row>
    <row r="208">
      <c r="A208" s="200"/>
      <c r="B208" s="200"/>
      <c r="C208" s="200"/>
      <c r="D208" s="200"/>
      <c r="E208" s="200"/>
      <c r="F208" s="204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  <c r="AA208" s="200"/>
    </row>
    <row r="209">
      <c r="A209" s="200"/>
      <c r="B209" s="200"/>
      <c r="C209" s="200"/>
      <c r="D209" s="200"/>
      <c r="E209" s="200"/>
      <c r="F209" s="204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200"/>
    </row>
    <row r="210">
      <c r="A210" s="200"/>
      <c r="B210" s="200"/>
      <c r="C210" s="200"/>
      <c r="D210" s="200"/>
      <c r="E210" s="200"/>
      <c r="F210" s="204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  <c r="AA210" s="200"/>
    </row>
    <row r="211">
      <c r="A211" s="200"/>
      <c r="B211" s="200"/>
      <c r="C211" s="200"/>
      <c r="D211" s="200"/>
      <c r="E211" s="200"/>
      <c r="F211" s="204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200"/>
    </row>
    <row r="212">
      <c r="A212" s="200"/>
      <c r="B212" s="200"/>
      <c r="C212" s="200"/>
      <c r="D212" s="200"/>
      <c r="E212" s="200"/>
      <c r="F212" s="204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</row>
    <row r="213">
      <c r="A213" s="200"/>
      <c r="B213" s="200"/>
      <c r="C213" s="200"/>
      <c r="D213" s="200"/>
      <c r="E213" s="200"/>
      <c r="F213" s="204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</row>
    <row r="214">
      <c r="A214" s="200"/>
      <c r="B214" s="200"/>
      <c r="C214" s="200"/>
      <c r="D214" s="200"/>
      <c r="E214" s="200"/>
      <c r="F214" s="204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  <c r="AA214" s="200"/>
    </row>
    <row r="215">
      <c r="A215" s="200"/>
      <c r="B215" s="200"/>
      <c r="C215" s="200"/>
      <c r="D215" s="200"/>
      <c r="E215" s="200"/>
      <c r="F215" s="204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</row>
    <row r="216">
      <c r="A216" s="200"/>
      <c r="B216" s="200"/>
      <c r="C216" s="200"/>
      <c r="D216" s="200"/>
      <c r="E216" s="200"/>
      <c r="F216" s="204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</row>
    <row r="217">
      <c r="A217" s="200"/>
      <c r="B217" s="200"/>
      <c r="C217" s="200"/>
      <c r="D217" s="200"/>
      <c r="E217" s="200"/>
      <c r="F217" s="204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  <c r="AA217" s="200"/>
    </row>
    <row r="218">
      <c r="A218" s="200"/>
      <c r="B218" s="200"/>
      <c r="C218" s="200"/>
      <c r="D218" s="200"/>
      <c r="E218" s="200"/>
      <c r="F218" s="204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  <c r="AA218" s="200"/>
    </row>
    <row r="219">
      <c r="A219" s="200"/>
      <c r="B219" s="200"/>
      <c r="C219" s="200"/>
      <c r="D219" s="200"/>
      <c r="E219" s="200"/>
      <c r="F219" s="204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  <c r="AA219" s="200"/>
    </row>
    <row r="220">
      <c r="A220" s="200"/>
      <c r="B220" s="200"/>
      <c r="C220" s="200"/>
      <c r="D220" s="200"/>
      <c r="E220" s="200"/>
      <c r="F220" s="204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</row>
    <row r="221">
      <c r="A221" s="200"/>
      <c r="B221" s="200"/>
      <c r="C221" s="200"/>
      <c r="D221" s="200"/>
      <c r="E221" s="200"/>
      <c r="F221" s="204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  <c r="AA221" s="200"/>
    </row>
    <row r="222">
      <c r="A222" s="200"/>
      <c r="B222" s="200"/>
      <c r="C222" s="200"/>
      <c r="D222" s="200"/>
      <c r="E222" s="200"/>
      <c r="F222" s="204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  <c r="AA222" s="200"/>
    </row>
    <row r="223">
      <c r="A223" s="200"/>
      <c r="B223" s="200"/>
      <c r="C223" s="200"/>
      <c r="D223" s="200"/>
      <c r="E223" s="200"/>
      <c r="F223" s="204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</row>
    <row r="224">
      <c r="A224" s="200"/>
      <c r="B224" s="200"/>
      <c r="C224" s="200"/>
      <c r="D224" s="200"/>
      <c r="E224" s="200"/>
      <c r="F224" s="204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</row>
    <row r="225">
      <c r="A225" s="200"/>
      <c r="B225" s="200"/>
      <c r="C225" s="200"/>
      <c r="D225" s="200"/>
      <c r="E225" s="200"/>
      <c r="F225" s="204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  <c r="AA225" s="200"/>
    </row>
    <row r="226">
      <c r="A226" s="200"/>
      <c r="B226" s="200"/>
      <c r="C226" s="200"/>
      <c r="D226" s="200"/>
      <c r="E226" s="200"/>
      <c r="F226" s="204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</row>
    <row r="227">
      <c r="A227" s="200"/>
      <c r="B227" s="200"/>
      <c r="C227" s="200"/>
      <c r="D227" s="200"/>
      <c r="E227" s="200"/>
      <c r="F227" s="204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</row>
    <row r="228">
      <c r="A228" s="200"/>
      <c r="B228" s="200"/>
      <c r="C228" s="200"/>
      <c r="D228" s="200"/>
      <c r="E228" s="200"/>
      <c r="F228" s="204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  <c r="AA228" s="200"/>
    </row>
    <row r="229">
      <c r="A229" s="200"/>
      <c r="B229" s="200"/>
      <c r="C229" s="200"/>
      <c r="D229" s="200"/>
      <c r="E229" s="200"/>
      <c r="F229" s="204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  <c r="AA229" s="200"/>
    </row>
    <row r="230">
      <c r="A230" s="200"/>
      <c r="B230" s="200"/>
      <c r="C230" s="200"/>
      <c r="D230" s="200"/>
      <c r="E230" s="200"/>
      <c r="F230" s="204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  <c r="AA230" s="200"/>
    </row>
    <row r="231">
      <c r="A231" s="200"/>
      <c r="B231" s="200"/>
      <c r="C231" s="200"/>
      <c r="D231" s="200"/>
      <c r="E231" s="200"/>
      <c r="F231" s="204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  <c r="AA231" s="200"/>
    </row>
    <row r="232">
      <c r="A232" s="200"/>
      <c r="B232" s="200"/>
      <c r="C232" s="200"/>
      <c r="D232" s="200"/>
      <c r="E232" s="200"/>
      <c r="F232" s="204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  <c r="AA232" s="200"/>
    </row>
    <row r="233">
      <c r="A233" s="200"/>
      <c r="B233" s="200"/>
      <c r="C233" s="200"/>
      <c r="D233" s="200"/>
      <c r="E233" s="200"/>
      <c r="F233" s="204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  <c r="AA233" s="200"/>
    </row>
    <row r="234">
      <c r="A234" s="200"/>
      <c r="B234" s="200"/>
      <c r="C234" s="200"/>
      <c r="D234" s="200"/>
      <c r="E234" s="200"/>
      <c r="F234" s="204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  <c r="AA234" s="200"/>
    </row>
    <row r="235">
      <c r="A235" s="200"/>
      <c r="B235" s="200"/>
      <c r="C235" s="200"/>
      <c r="D235" s="200"/>
      <c r="E235" s="200"/>
      <c r="F235" s="204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  <c r="AA235" s="200"/>
    </row>
    <row r="236">
      <c r="A236" s="200"/>
      <c r="B236" s="200"/>
      <c r="C236" s="200"/>
      <c r="D236" s="200"/>
      <c r="E236" s="200"/>
      <c r="F236" s="204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  <c r="AA236" s="200"/>
    </row>
    <row r="237">
      <c r="A237" s="200"/>
      <c r="B237" s="200"/>
      <c r="C237" s="200"/>
      <c r="D237" s="200"/>
      <c r="E237" s="200"/>
      <c r="F237" s="204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  <c r="AA237" s="200"/>
    </row>
    <row r="238">
      <c r="A238" s="200"/>
      <c r="B238" s="200"/>
      <c r="C238" s="200"/>
      <c r="D238" s="200"/>
      <c r="E238" s="200"/>
      <c r="F238" s="204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  <c r="AA238" s="200"/>
    </row>
    <row r="239">
      <c r="A239" s="200"/>
      <c r="B239" s="200"/>
      <c r="C239" s="200"/>
      <c r="D239" s="200"/>
      <c r="E239" s="200"/>
      <c r="F239" s="204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</row>
    <row r="240">
      <c r="A240" s="200"/>
      <c r="B240" s="200"/>
      <c r="C240" s="200"/>
      <c r="D240" s="200"/>
      <c r="E240" s="200"/>
      <c r="F240" s="204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</row>
    <row r="241">
      <c r="A241" s="200"/>
      <c r="B241" s="200"/>
      <c r="C241" s="200"/>
      <c r="D241" s="200"/>
      <c r="E241" s="200"/>
      <c r="F241" s="204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  <c r="AA241" s="200"/>
    </row>
    <row r="242">
      <c r="A242" s="200"/>
      <c r="B242" s="200"/>
      <c r="C242" s="200"/>
      <c r="D242" s="200"/>
      <c r="E242" s="200"/>
      <c r="F242" s="204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  <c r="AA242" s="200"/>
    </row>
    <row r="243">
      <c r="A243" s="200"/>
      <c r="B243" s="200"/>
      <c r="C243" s="200"/>
      <c r="D243" s="200"/>
      <c r="E243" s="200"/>
      <c r="F243" s="204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  <c r="AA243" s="200"/>
    </row>
    <row r="244">
      <c r="A244" s="200"/>
      <c r="B244" s="200"/>
      <c r="C244" s="200"/>
      <c r="D244" s="200"/>
      <c r="E244" s="200"/>
      <c r="F244" s="204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  <c r="AA244" s="200"/>
    </row>
    <row r="245">
      <c r="A245" s="200"/>
      <c r="B245" s="200"/>
      <c r="C245" s="200"/>
      <c r="D245" s="200"/>
      <c r="E245" s="200"/>
      <c r="F245" s="204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  <c r="AA245" s="200"/>
    </row>
    <row r="246">
      <c r="A246" s="200"/>
      <c r="B246" s="200"/>
      <c r="C246" s="200"/>
      <c r="D246" s="200"/>
      <c r="E246" s="200"/>
      <c r="F246" s="204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  <c r="AA246" s="200"/>
    </row>
    <row r="247">
      <c r="A247" s="200"/>
      <c r="B247" s="200"/>
      <c r="C247" s="200"/>
      <c r="D247" s="200"/>
      <c r="E247" s="200"/>
      <c r="F247" s="204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  <c r="AA247" s="200"/>
    </row>
    <row r="248">
      <c r="A248" s="200"/>
      <c r="B248" s="200"/>
      <c r="C248" s="200"/>
      <c r="D248" s="200"/>
      <c r="E248" s="200"/>
      <c r="F248" s="204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</row>
    <row r="249">
      <c r="A249" s="200"/>
      <c r="B249" s="200"/>
      <c r="C249" s="200"/>
      <c r="D249" s="200"/>
      <c r="E249" s="200"/>
      <c r="F249" s="204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</row>
    <row r="250">
      <c r="A250" s="200"/>
      <c r="B250" s="200"/>
      <c r="C250" s="200"/>
      <c r="D250" s="200"/>
      <c r="E250" s="200"/>
      <c r="F250" s="204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</row>
    <row r="251">
      <c r="A251" s="200"/>
      <c r="B251" s="200"/>
      <c r="C251" s="200"/>
      <c r="D251" s="200"/>
      <c r="E251" s="200"/>
      <c r="F251" s="204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  <c r="AA251" s="200"/>
    </row>
    <row r="252">
      <c r="A252" s="200"/>
      <c r="B252" s="200"/>
      <c r="C252" s="200"/>
      <c r="D252" s="200"/>
      <c r="E252" s="200"/>
      <c r="F252" s="204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</row>
    <row r="253">
      <c r="A253" s="200"/>
      <c r="B253" s="200"/>
      <c r="C253" s="200"/>
      <c r="D253" s="200"/>
      <c r="E253" s="200"/>
      <c r="F253" s="204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</row>
    <row r="254">
      <c r="A254" s="200"/>
      <c r="B254" s="200"/>
      <c r="C254" s="200"/>
      <c r="D254" s="200"/>
      <c r="E254" s="200"/>
      <c r="F254" s="204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  <c r="AA254" s="200"/>
    </row>
    <row r="255">
      <c r="A255" s="200"/>
      <c r="B255" s="200"/>
      <c r="C255" s="200"/>
      <c r="D255" s="200"/>
      <c r="E255" s="200"/>
      <c r="F255" s="204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  <c r="AA255" s="200"/>
    </row>
    <row r="256">
      <c r="A256" s="200"/>
      <c r="B256" s="200"/>
      <c r="C256" s="200"/>
      <c r="D256" s="200"/>
      <c r="E256" s="200"/>
      <c r="F256" s="204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  <c r="AA256" s="200"/>
    </row>
    <row r="257">
      <c r="A257" s="200"/>
      <c r="B257" s="200"/>
      <c r="C257" s="200"/>
      <c r="D257" s="200"/>
      <c r="E257" s="200"/>
      <c r="F257" s="204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  <c r="AA257" s="200"/>
    </row>
    <row r="258">
      <c r="A258" s="200"/>
      <c r="B258" s="200"/>
      <c r="C258" s="200"/>
      <c r="D258" s="200"/>
      <c r="E258" s="200"/>
      <c r="F258" s="204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  <c r="AA258" s="200"/>
    </row>
    <row r="259">
      <c r="A259" s="200"/>
      <c r="B259" s="200"/>
      <c r="C259" s="200"/>
      <c r="D259" s="200"/>
      <c r="E259" s="200"/>
      <c r="F259" s="204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  <c r="AA259" s="200"/>
    </row>
    <row r="260">
      <c r="A260" s="200"/>
      <c r="B260" s="200"/>
      <c r="C260" s="200"/>
      <c r="D260" s="200"/>
      <c r="E260" s="200"/>
      <c r="F260" s="204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</row>
    <row r="261">
      <c r="A261" s="200"/>
      <c r="B261" s="200"/>
      <c r="C261" s="200"/>
      <c r="D261" s="200"/>
      <c r="E261" s="200"/>
      <c r="F261" s="204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</row>
    <row r="262">
      <c r="A262" s="200"/>
      <c r="B262" s="200"/>
      <c r="C262" s="200"/>
      <c r="D262" s="200"/>
      <c r="E262" s="200"/>
      <c r="F262" s="204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</row>
    <row r="263">
      <c r="A263" s="200"/>
      <c r="B263" s="200"/>
      <c r="C263" s="200"/>
      <c r="D263" s="200"/>
      <c r="E263" s="200"/>
      <c r="F263" s="204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</row>
    <row r="264">
      <c r="A264" s="200"/>
      <c r="B264" s="200"/>
      <c r="C264" s="200"/>
      <c r="D264" s="200"/>
      <c r="E264" s="200"/>
      <c r="F264" s="204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  <c r="AA264" s="200"/>
    </row>
    <row r="265">
      <c r="A265" s="200"/>
      <c r="B265" s="200"/>
      <c r="C265" s="200"/>
      <c r="D265" s="200"/>
      <c r="E265" s="200"/>
      <c r="F265" s="204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  <c r="AA265" s="200"/>
    </row>
    <row r="266">
      <c r="A266" s="200"/>
      <c r="B266" s="200"/>
      <c r="C266" s="200"/>
      <c r="D266" s="200"/>
      <c r="E266" s="200"/>
      <c r="F266" s="204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  <c r="AA266" s="200"/>
    </row>
    <row r="267">
      <c r="A267" s="200"/>
      <c r="B267" s="200"/>
      <c r="C267" s="200"/>
      <c r="D267" s="200"/>
      <c r="E267" s="200"/>
      <c r="F267" s="204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  <c r="AA267" s="200"/>
    </row>
    <row r="268">
      <c r="A268" s="200"/>
      <c r="B268" s="200"/>
      <c r="C268" s="200"/>
      <c r="D268" s="200"/>
      <c r="E268" s="200"/>
      <c r="F268" s="204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  <c r="AA268" s="200"/>
    </row>
    <row r="269">
      <c r="A269" s="200"/>
      <c r="B269" s="200"/>
      <c r="C269" s="200"/>
      <c r="D269" s="200"/>
      <c r="E269" s="200"/>
      <c r="F269" s="204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  <c r="AA269" s="200"/>
    </row>
    <row r="270">
      <c r="A270" s="200"/>
      <c r="B270" s="200"/>
      <c r="C270" s="200"/>
      <c r="D270" s="200"/>
      <c r="E270" s="200"/>
      <c r="F270" s="204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  <c r="AA270" s="200"/>
    </row>
    <row r="271">
      <c r="A271" s="200"/>
      <c r="B271" s="200"/>
      <c r="C271" s="200"/>
      <c r="D271" s="200"/>
      <c r="E271" s="200"/>
      <c r="F271" s="204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  <c r="AA271" s="200"/>
    </row>
    <row r="272">
      <c r="A272" s="200"/>
      <c r="B272" s="200"/>
      <c r="C272" s="200"/>
      <c r="D272" s="200"/>
      <c r="E272" s="200"/>
      <c r="F272" s="204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  <c r="AA272" s="200"/>
    </row>
    <row r="273">
      <c r="A273" s="200"/>
      <c r="B273" s="200"/>
      <c r="C273" s="200"/>
      <c r="D273" s="200"/>
      <c r="E273" s="200"/>
      <c r="F273" s="204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  <c r="AA273" s="200"/>
    </row>
    <row r="274">
      <c r="A274" s="200"/>
      <c r="B274" s="200"/>
      <c r="C274" s="200"/>
      <c r="D274" s="200"/>
      <c r="E274" s="200"/>
      <c r="F274" s="204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  <c r="AA274" s="200"/>
    </row>
    <row r="275">
      <c r="A275" s="200"/>
      <c r="B275" s="200"/>
      <c r="C275" s="200"/>
      <c r="D275" s="200"/>
      <c r="E275" s="200"/>
      <c r="F275" s="204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  <c r="AA275" s="200"/>
    </row>
    <row r="276">
      <c r="A276" s="200"/>
      <c r="B276" s="200"/>
      <c r="C276" s="200"/>
      <c r="D276" s="200"/>
      <c r="E276" s="200"/>
      <c r="F276" s="204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  <c r="AA276" s="200"/>
    </row>
    <row r="277">
      <c r="A277" s="200"/>
      <c r="B277" s="200"/>
      <c r="C277" s="200"/>
      <c r="D277" s="200"/>
      <c r="E277" s="200"/>
      <c r="F277" s="204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  <c r="AA277" s="200"/>
    </row>
    <row r="278">
      <c r="A278" s="200"/>
      <c r="B278" s="200"/>
      <c r="C278" s="200"/>
      <c r="D278" s="200"/>
      <c r="E278" s="200"/>
      <c r="F278" s="204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  <c r="AA278" s="200"/>
    </row>
    <row r="279">
      <c r="A279" s="200"/>
      <c r="B279" s="200"/>
      <c r="C279" s="200"/>
      <c r="D279" s="200"/>
      <c r="E279" s="200"/>
      <c r="F279" s="204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  <c r="AA279" s="200"/>
    </row>
    <row r="280">
      <c r="A280" s="200"/>
      <c r="B280" s="200"/>
      <c r="C280" s="200"/>
      <c r="D280" s="200"/>
      <c r="E280" s="200"/>
      <c r="F280" s="204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  <c r="AA280" s="200"/>
    </row>
    <row r="281">
      <c r="A281" s="200"/>
      <c r="B281" s="200"/>
      <c r="C281" s="200"/>
      <c r="D281" s="200"/>
      <c r="E281" s="200"/>
      <c r="F281" s="204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  <c r="AA281" s="200"/>
    </row>
    <row r="282">
      <c r="A282" s="200"/>
      <c r="B282" s="200"/>
      <c r="C282" s="200"/>
      <c r="D282" s="200"/>
      <c r="E282" s="200"/>
      <c r="F282" s="204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  <c r="AA282" s="200"/>
    </row>
    <row r="283">
      <c r="A283" s="200"/>
      <c r="B283" s="200"/>
      <c r="C283" s="200"/>
      <c r="D283" s="200"/>
      <c r="E283" s="200"/>
      <c r="F283" s="204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  <c r="AA283" s="200"/>
    </row>
    <row r="284">
      <c r="A284" s="200"/>
      <c r="B284" s="200"/>
      <c r="C284" s="200"/>
      <c r="D284" s="200"/>
      <c r="E284" s="200"/>
      <c r="F284" s="204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  <c r="AA284" s="200"/>
    </row>
    <row r="285">
      <c r="A285" s="200"/>
      <c r="B285" s="200"/>
      <c r="C285" s="200"/>
      <c r="D285" s="200"/>
      <c r="E285" s="200"/>
      <c r="F285" s="204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  <c r="AA285" s="200"/>
    </row>
    <row r="286">
      <c r="A286" s="200"/>
      <c r="B286" s="200"/>
      <c r="C286" s="200"/>
      <c r="D286" s="200"/>
      <c r="E286" s="200"/>
      <c r="F286" s="204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  <c r="AA286" s="200"/>
    </row>
    <row r="287">
      <c r="A287" s="200"/>
      <c r="B287" s="200"/>
      <c r="C287" s="200"/>
      <c r="D287" s="200"/>
      <c r="E287" s="200"/>
      <c r="F287" s="204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  <c r="AA287" s="200"/>
    </row>
    <row r="288">
      <c r="A288" s="200"/>
      <c r="B288" s="200"/>
      <c r="C288" s="200"/>
      <c r="D288" s="200"/>
      <c r="E288" s="200"/>
      <c r="F288" s="204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  <c r="AA288" s="200"/>
    </row>
    <row r="289">
      <c r="A289" s="200"/>
      <c r="B289" s="200"/>
      <c r="C289" s="200"/>
      <c r="D289" s="200"/>
      <c r="E289" s="200"/>
      <c r="F289" s="204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  <c r="AA289" s="200"/>
    </row>
    <row r="290">
      <c r="A290" s="200"/>
      <c r="B290" s="200"/>
      <c r="C290" s="200"/>
      <c r="D290" s="200"/>
      <c r="E290" s="200"/>
      <c r="F290" s="204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  <c r="AA290" s="200"/>
    </row>
    <row r="291">
      <c r="A291" s="200"/>
      <c r="B291" s="200"/>
      <c r="C291" s="200"/>
      <c r="D291" s="200"/>
      <c r="E291" s="200"/>
      <c r="F291" s="204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  <c r="AA291" s="200"/>
    </row>
    <row r="292">
      <c r="A292" s="200"/>
      <c r="B292" s="200"/>
      <c r="C292" s="200"/>
      <c r="D292" s="200"/>
      <c r="E292" s="200"/>
      <c r="F292" s="204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  <c r="AA292" s="200"/>
    </row>
    <row r="293">
      <c r="A293" s="200"/>
      <c r="B293" s="200"/>
      <c r="C293" s="200"/>
      <c r="D293" s="200"/>
      <c r="E293" s="200"/>
      <c r="F293" s="204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  <c r="AA293" s="200"/>
    </row>
    <row r="294">
      <c r="A294" s="200"/>
      <c r="B294" s="200"/>
      <c r="C294" s="200"/>
      <c r="D294" s="200"/>
      <c r="E294" s="200"/>
      <c r="F294" s="204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  <c r="AA294" s="200"/>
    </row>
    <row r="295">
      <c r="A295" s="200"/>
      <c r="B295" s="200"/>
      <c r="C295" s="200"/>
      <c r="D295" s="200"/>
      <c r="E295" s="200"/>
      <c r="F295" s="204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  <c r="AA295" s="200"/>
    </row>
    <row r="296">
      <c r="A296" s="200"/>
      <c r="B296" s="200"/>
      <c r="C296" s="200"/>
      <c r="D296" s="200"/>
      <c r="E296" s="200"/>
      <c r="F296" s="204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  <c r="AA296" s="200"/>
    </row>
    <row r="297">
      <c r="A297" s="200"/>
      <c r="B297" s="200"/>
      <c r="C297" s="200"/>
      <c r="D297" s="200"/>
      <c r="E297" s="200"/>
      <c r="F297" s="204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  <c r="AA297" s="200"/>
    </row>
    <row r="298">
      <c r="A298" s="200"/>
      <c r="B298" s="200"/>
      <c r="C298" s="200"/>
      <c r="D298" s="200"/>
      <c r="E298" s="200"/>
      <c r="F298" s="204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  <c r="AA298" s="200"/>
    </row>
    <row r="299">
      <c r="A299" s="200"/>
      <c r="B299" s="200"/>
      <c r="C299" s="200"/>
      <c r="D299" s="200"/>
      <c r="E299" s="200"/>
      <c r="F299" s="204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  <c r="AA299" s="200"/>
    </row>
    <row r="300">
      <c r="A300" s="200"/>
      <c r="B300" s="200"/>
      <c r="C300" s="200"/>
      <c r="D300" s="200"/>
      <c r="E300" s="200"/>
      <c r="F300" s="204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  <c r="AA300" s="200"/>
    </row>
    <row r="301">
      <c r="A301" s="200"/>
      <c r="B301" s="200"/>
      <c r="C301" s="200"/>
      <c r="D301" s="200"/>
      <c r="E301" s="200"/>
      <c r="F301" s="204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  <c r="AA301" s="200"/>
    </row>
    <row r="302">
      <c r="A302" s="200"/>
      <c r="B302" s="200"/>
      <c r="C302" s="200"/>
      <c r="D302" s="200"/>
      <c r="E302" s="200"/>
      <c r="F302" s="204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  <c r="AA302" s="200"/>
    </row>
    <row r="303">
      <c r="A303" s="200"/>
      <c r="B303" s="200"/>
      <c r="C303" s="200"/>
      <c r="D303" s="200"/>
      <c r="E303" s="200"/>
      <c r="F303" s="204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  <c r="AA303" s="200"/>
    </row>
    <row r="304">
      <c r="A304" s="200"/>
      <c r="B304" s="200"/>
      <c r="C304" s="200"/>
      <c r="D304" s="200"/>
      <c r="E304" s="200"/>
      <c r="F304" s="204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  <c r="AA304" s="200"/>
    </row>
    <row r="305">
      <c r="A305" s="200"/>
      <c r="B305" s="200"/>
      <c r="C305" s="200"/>
      <c r="D305" s="200"/>
      <c r="E305" s="200"/>
      <c r="F305" s="204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  <c r="AA305" s="200"/>
    </row>
    <row r="306">
      <c r="A306" s="200"/>
      <c r="B306" s="200"/>
      <c r="C306" s="200"/>
      <c r="D306" s="200"/>
      <c r="E306" s="200"/>
      <c r="F306" s="204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  <c r="AA306" s="200"/>
    </row>
    <row r="307">
      <c r="A307" s="200"/>
      <c r="B307" s="200"/>
      <c r="C307" s="200"/>
      <c r="D307" s="200"/>
      <c r="E307" s="200"/>
      <c r="F307" s="204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  <c r="AA307" s="200"/>
    </row>
    <row r="308">
      <c r="A308" s="200"/>
      <c r="B308" s="200"/>
      <c r="C308" s="200"/>
      <c r="D308" s="200"/>
      <c r="E308" s="200"/>
      <c r="F308" s="204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  <c r="AA308" s="200"/>
    </row>
    <row r="309">
      <c r="A309" s="200"/>
      <c r="B309" s="200"/>
      <c r="C309" s="200"/>
      <c r="D309" s="200"/>
      <c r="E309" s="200"/>
      <c r="F309" s="204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  <c r="AA309" s="200"/>
    </row>
    <row r="310">
      <c r="A310" s="200"/>
      <c r="B310" s="200"/>
      <c r="C310" s="200"/>
      <c r="D310" s="200"/>
      <c r="E310" s="200"/>
      <c r="F310" s="204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  <c r="AA310" s="200"/>
    </row>
    <row r="311">
      <c r="A311" s="200"/>
      <c r="B311" s="200"/>
      <c r="C311" s="200"/>
      <c r="D311" s="200"/>
      <c r="E311" s="200"/>
      <c r="F311" s="204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  <c r="AA311" s="200"/>
    </row>
    <row r="312">
      <c r="A312" s="200"/>
      <c r="B312" s="200"/>
      <c r="C312" s="200"/>
      <c r="D312" s="200"/>
      <c r="E312" s="200"/>
      <c r="F312" s="204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  <c r="AA312" s="200"/>
    </row>
    <row r="313">
      <c r="A313" s="200"/>
      <c r="B313" s="200"/>
      <c r="C313" s="200"/>
      <c r="D313" s="200"/>
      <c r="E313" s="200"/>
      <c r="F313" s="204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  <c r="AA313" s="200"/>
    </row>
    <row r="314">
      <c r="A314" s="200"/>
      <c r="B314" s="200"/>
      <c r="C314" s="200"/>
      <c r="D314" s="200"/>
      <c r="E314" s="200"/>
      <c r="F314" s="204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  <c r="AA314" s="200"/>
    </row>
    <row r="315">
      <c r="A315" s="200"/>
      <c r="B315" s="200"/>
      <c r="C315" s="200"/>
      <c r="D315" s="200"/>
      <c r="E315" s="200"/>
      <c r="F315" s="204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  <c r="AA315" s="200"/>
    </row>
    <row r="316">
      <c r="A316" s="200"/>
      <c r="B316" s="200"/>
      <c r="C316" s="200"/>
      <c r="D316" s="200"/>
      <c r="E316" s="200"/>
      <c r="F316" s="204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  <c r="AA316" s="200"/>
    </row>
    <row r="317">
      <c r="A317" s="200"/>
      <c r="B317" s="200"/>
      <c r="C317" s="200"/>
      <c r="D317" s="200"/>
      <c r="E317" s="200"/>
      <c r="F317" s="204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  <c r="AA317" s="200"/>
    </row>
    <row r="318">
      <c r="A318" s="200"/>
      <c r="B318" s="200"/>
      <c r="C318" s="200"/>
      <c r="D318" s="200"/>
      <c r="E318" s="200"/>
      <c r="F318" s="204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  <c r="AA318" s="200"/>
    </row>
    <row r="319">
      <c r="A319" s="200"/>
      <c r="B319" s="200"/>
      <c r="C319" s="200"/>
      <c r="D319" s="200"/>
      <c r="E319" s="200"/>
      <c r="F319" s="204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  <c r="AA319" s="200"/>
    </row>
    <row r="320">
      <c r="A320" s="200"/>
      <c r="B320" s="200"/>
      <c r="C320" s="200"/>
      <c r="D320" s="200"/>
      <c r="E320" s="200"/>
      <c r="F320" s="204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  <c r="AA320" s="200"/>
    </row>
    <row r="321">
      <c r="A321" s="200"/>
      <c r="B321" s="200"/>
      <c r="C321" s="200"/>
      <c r="D321" s="200"/>
      <c r="E321" s="200"/>
      <c r="F321" s="204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  <c r="AA321" s="200"/>
    </row>
    <row r="322">
      <c r="A322" s="200"/>
      <c r="B322" s="200"/>
      <c r="C322" s="200"/>
      <c r="D322" s="200"/>
      <c r="E322" s="200"/>
      <c r="F322" s="204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  <c r="AA322" s="200"/>
    </row>
    <row r="323">
      <c r="A323" s="200"/>
      <c r="B323" s="200"/>
      <c r="C323" s="200"/>
      <c r="D323" s="200"/>
      <c r="E323" s="200"/>
      <c r="F323" s="204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  <c r="AA323" s="200"/>
    </row>
    <row r="324">
      <c r="A324" s="200"/>
      <c r="B324" s="200"/>
      <c r="C324" s="200"/>
      <c r="D324" s="200"/>
      <c r="E324" s="200"/>
      <c r="F324" s="204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  <c r="AA324" s="200"/>
    </row>
    <row r="325">
      <c r="A325" s="200"/>
      <c r="B325" s="200"/>
      <c r="C325" s="200"/>
      <c r="D325" s="200"/>
      <c r="E325" s="200"/>
      <c r="F325" s="204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  <c r="AA325" s="200"/>
    </row>
    <row r="326">
      <c r="A326" s="200"/>
      <c r="B326" s="200"/>
      <c r="C326" s="200"/>
      <c r="D326" s="200"/>
      <c r="E326" s="200"/>
      <c r="F326" s="204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  <c r="AA326" s="200"/>
    </row>
    <row r="327">
      <c r="A327" s="200"/>
      <c r="B327" s="200"/>
      <c r="C327" s="200"/>
      <c r="D327" s="200"/>
      <c r="E327" s="200"/>
      <c r="F327" s="204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  <c r="AA327" s="200"/>
    </row>
    <row r="328">
      <c r="A328" s="200"/>
      <c r="B328" s="200"/>
      <c r="C328" s="200"/>
      <c r="D328" s="200"/>
      <c r="E328" s="200"/>
      <c r="F328" s="204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  <c r="AA328" s="200"/>
    </row>
    <row r="329">
      <c r="A329" s="200"/>
      <c r="B329" s="200"/>
      <c r="C329" s="200"/>
      <c r="D329" s="200"/>
      <c r="E329" s="200"/>
      <c r="F329" s="204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  <c r="AA329" s="200"/>
    </row>
    <row r="330">
      <c r="A330" s="200"/>
      <c r="B330" s="200"/>
      <c r="C330" s="200"/>
      <c r="D330" s="200"/>
      <c r="E330" s="200"/>
      <c r="F330" s="204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  <c r="AA330" s="200"/>
    </row>
    <row r="331">
      <c r="A331" s="200"/>
      <c r="B331" s="200"/>
      <c r="C331" s="200"/>
      <c r="D331" s="200"/>
      <c r="E331" s="200"/>
      <c r="F331" s="204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  <c r="AA331" s="200"/>
    </row>
    <row r="332">
      <c r="A332" s="200"/>
      <c r="B332" s="200"/>
      <c r="C332" s="200"/>
      <c r="D332" s="200"/>
      <c r="E332" s="200"/>
      <c r="F332" s="204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  <c r="AA332" s="200"/>
    </row>
    <row r="333">
      <c r="A333" s="200"/>
      <c r="B333" s="200"/>
      <c r="C333" s="200"/>
      <c r="D333" s="200"/>
      <c r="E333" s="200"/>
      <c r="F333" s="204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  <c r="AA333" s="200"/>
    </row>
    <row r="334">
      <c r="A334" s="200"/>
      <c r="B334" s="200"/>
      <c r="C334" s="200"/>
      <c r="D334" s="200"/>
      <c r="E334" s="200"/>
      <c r="F334" s="204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  <c r="AA334" s="200"/>
    </row>
    <row r="335">
      <c r="A335" s="200"/>
      <c r="B335" s="200"/>
      <c r="C335" s="200"/>
      <c r="D335" s="200"/>
      <c r="E335" s="200"/>
      <c r="F335" s="204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  <c r="AA335" s="200"/>
    </row>
    <row r="336">
      <c r="A336" s="200"/>
      <c r="B336" s="200"/>
      <c r="C336" s="200"/>
      <c r="D336" s="200"/>
      <c r="E336" s="200"/>
      <c r="F336" s="204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  <c r="AA336" s="200"/>
    </row>
    <row r="337">
      <c r="A337" s="200"/>
      <c r="B337" s="200"/>
      <c r="C337" s="200"/>
      <c r="D337" s="200"/>
      <c r="E337" s="200"/>
      <c r="F337" s="204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  <c r="AA337" s="200"/>
    </row>
    <row r="338">
      <c r="A338" s="200"/>
      <c r="B338" s="200"/>
      <c r="C338" s="200"/>
      <c r="D338" s="200"/>
      <c r="E338" s="200"/>
      <c r="F338" s="204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  <c r="AA338" s="200"/>
    </row>
    <row r="339">
      <c r="A339" s="200"/>
      <c r="B339" s="200"/>
      <c r="C339" s="200"/>
      <c r="D339" s="200"/>
      <c r="E339" s="200"/>
      <c r="F339" s="204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  <c r="AA339" s="200"/>
    </row>
    <row r="340">
      <c r="A340" s="200"/>
      <c r="B340" s="200"/>
      <c r="C340" s="200"/>
      <c r="D340" s="200"/>
      <c r="E340" s="200"/>
      <c r="F340" s="204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  <c r="AA340" s="200"/>
    </row>
    <row r="341">
      <c r="A341" s="200"/>
      <c r="B341" s="200"/>
      <c r="C341" s="200"/>
      <c r="D341" s="200"/>
      <c r="E341" s="200"/>
      <c r="F341" s="204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  <c r="AA341" s="200"/>
    </row>
    <row r="342">
      <c r="A342" s="200"/>
      <c r="B342" s="200"/>
      <c r="C342" s="200"/>
      <c r="D342" s="200"/>
      <c r="E342" s="200"/>
      <c r="F342" s="204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  <c r="AA342" s="200"/>
    </row>
    <row r="343">
      <c r="A343" s="200"/>
      <c r="B343" s="200"/>
      <c r="C343" s="200"/>
      <c r="D343" s="200"/>
      <c r="E343" s="200"/>
      <c r="F343" s="204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  <c r="AA343" s="200"/>
    </row>
    <row r="344">
      <c r="A344" s="200"/>
      <c r="B344" s="200"/>
      <c r="C344" s="200"/>
      <c r="D344" s="200"/>
      <c r="E344" s="200"/>
      <c r="F344" s="204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  <c r="AA344" s="200"/>
    </row>
    <row r="345">
      <c r="A345" s="200"/>
      <c r="B345" s="200"/>
      <c r="C345" s="200"/>
      <c r="D345" s="200"/>
      <c r="E345" s="200"/>
      <c r="F345" s="204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  <c r="AA345" s="200"/>
    </row>
    <row r="346">
      <c r="A346" s="200"/>
      <c r="B346" s="200"/>
      <c r="C346" s="200"/>
      <c r="D346" s="200"/>
      <c r="E346" s="200"/>
      <c r="F346" s="204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  <c r="AA346" s="200"/>
    </row>
    <row r="347">
      <c r="A347" s="200"/>
      <c r="B347" s="200"/>
      <c r="C347" s="200"/>
      <c r="D347" s="200"/>
      <c r="E347" s="200"/>
      <c r="F347" s="204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  <c r="AA347" s="200"/>
    </row>
    <row r="348">
      <c r="A348" s="200"/>
      <c r="B348" s="200"/>
      <c r="C348" s="200"/>
      <c r="D348" s="200"/>
      <c r="E348" s="200"/>
      <c r="F348" s="204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  <c r="AA348" s="200"/>
    </row>
    <row r="349">
      <c r="A349" s="200"/>
      <c r="B349" s="200"/>
      <c r="C349" s="200"/>
      <c r="D349" s="200"/>
      <c r="E349" s="200"/>
      <c r="F349" s="204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  <c r="AA349" s="200"/>
    </row>
    <row r="350">
      <c r="A350" s="200"/>
      <c r="B350" s="200"/>
      <c r="C350" s="200"/>
      <c r="D350" s="200"/>
      <c r="E350" s="200"/>
      <c r="F350" s="204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  <c r="AA350" s="200"/>
    </row>
    <row r="351">
      <c r="A351" s="200"/>
      <c r="B351" s="200"/>
      <c r="C351" s="200"/>
      <c r="D351" s="200"/>
      <c r="E351" s="200"/>
      <c r="F351" s="204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  <c r="AA351" s="200"/>
    </row>
    <row r="352">
      <c r="A352" s="200"/>
      <c r="B352" s="200"/>
      <c r="C352" s="200"/>
      <c r="D352" s="200"/>
      <c r="E352" s="200"/>
      <c r="F352" s="204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  <c r="AA352" s="200"/>
    </row>
    <row r="353">
      <c r="A353" s="200"/>
      <c r="B353" s="200"/>
      <c r="C353" s="200"/>
      <c r="D353" s="200"/>
      <c r="E353" s="200"/>
      <c r="F353" s="204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  <c r="AA353" s="200"/>
    </row>
    <row r="354">
      <c r="A354" s="200"/>
      <c r="B354" s="200"/>
      <c r="C354" s="200"/>
      <c r="D354" s="200"/>
      <c r="E354" s="200"/>
      <c r="F354" s="204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  <c r="AA354" s="200"/>
    </row>
    <row r="355">
      <c r="A355" s="200"/>
      <c r="B355" s="200"/>
      <c r="C355" s="200"/>
      <c r="D355" s="200"/>
      <c r="E355" s="200"/>
      <c r="F355" s="204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  <c r="AA355" s="200"/>
    </row>
    <row r="356">
      <c r="A356" s="200"/>
      <c r="B356" s="200"/>
      <c r="C356" s="200"/>
      <c r="D356" s="200"/>
      <c r="E356" s="200"/>
      <c r="F356" s="204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  <c r="AA356" s="200"/>
    </row>
    <row r="357">
      <c r="A357" s="200"/>
      <c r="B357" s="200"/>
      <c r="C357" s="200"/>
      <c r="D357" s="200"/>
      <c r="E357" s="200"/>
      <c r="F357" s="204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  <c r="AA357" s="200"/>
    </row>
    <row r="358">
      <c r="A358" s="200"/>
      <c r="B358" s="200"/>
      <c r="C358" s="200"/>
      <c r="D358" s="200"/>
      <c r="E358" s="200"/>
      <c r="F358" s="204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  <c r="AA358" s="200"/>
    </row>
    <row r="359">
      <c r="A359" s="200"/>
      <c r="B359" s="200"/>
      <c r="C359" s="200"/>
      <c r="D359" s="200"/>
      <c r="E359" s="200"/>
      <c r="F359" s="204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  <c r="AA359" s="200"/>
    </row>
    <row r="360">
      <c r="A360" s="200"/>
      <c r="B360" s="200"/>
      <c r="C360" s="200"/>
      <c r="D360" s="200"/>
      <c r="E360" s="200"/>
      <c r="F360" s="204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  <c r="AA360" s="200"/>
    </row>
    <row r="361">
      <c r="A361" s="200"/>
      <c r="B361" s="200"/>
      <c r="C361" s="200"/>
      <c r="D361" s="200"/>
      <c r="E361" s="200"/>
      <c r="F361" s="204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  <c r="AA361" s="200"/>
    </row>
    <row r="362">
      <c r="A362" s="200"/>
      <c r="B362" s="200"/>
      <c r="C362" s="200"/>
      <c r="D362" s="200"/>
      <c r="E362" s="200"/>
      <c r="F362" s="204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  <c r="AA362" s="200"/>
    </row>
    <row r="363">
      <c r="A363" s="200"/>
      <c r="B363" s="200"/>
      <c r="C363" s="200"/>
      <c r="D363" s="200"/>
      <c r="E363" s="200"/>
      <c r="F363" s="204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  <c r="AA363" s="200"/>
    </row>
    <row r="364">
      <c r="A364" s="200"/>
      <c r="B364" s="200"/>
      <c r="C364" s="200"/>
      <c r="D364" s="200"/>
      <c r="E364" s="200"/>
      <c r="F364" s="204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  <c r="AA364" s="200"/>
    </row>
    <row r="365">
      <c r="A365" s="200"/>
      <c r="B365" s="200"/>
      <c r="C365" s="200"/>
      <c r="D365" s="200"/>
      <c r="E365" s="200"/>
      <c r="F365" s="204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  <c r="AA365" s="200"/>
    </row>
    <row r="366">
      <c r="A366" s="200"/>
      <c r="B366" s="200"/>
      <c r="C366" s="200"/>
      <c r="D366" s="200"/>
      <c r="E366" s="200"/>
      <c r="F366" s="204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  <c r="AA366" s="200"/>
    </row>
    <row r="367">
      <c r="A367" s="200"/>
      <c r="B367" s="200"/>
      <c r="C367" s="200"/>
      <c r="D367" s="200"/>
      <c r="E367" s="200"/>
      <c r="F367" s="204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  <c r="AA367" s="200"/>
    </row>
    <row r="368">
      <c r="A368" s="200"/>
      <c r="B368" s="200"/>
      <c r="C368" s="200"/>
      <c r="D368" s="200"/>
      <c r="E368" s="200"/>
      <c r="F368" s="204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  <c r="AA368" s="200"/>
    </row>
    <row r="369">
      <c r="A369" s="200"/>
      <c r="B369" s="200"/>
      <c r="C369" s="200"/>
      <c r="D369" s="200"/>
      <c r="E369" s="200"/>
      <c r="F369" s="204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  <c r="AA369" s="200"/>
    </row>
    <row r="370">
      <c r="A370" s="200"/>
      <c r="B370" s="200"/>
      <c r="C370" s="200"/>
      <c r="D370" s="200"/>
      <c r="E370" s="200"/>
      <c r="F370" s="204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  <c r="AA370" s="200"/>
    </row>
    <row r="371">
      <c r="A371" s="200"/>
      <c r="B371" s="200"/>
      <c r="C371" s="200"/>
      <c r="D371" s="200"/>
      <c r="E371" s="200"/>
      <c r="F371" s="204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  <c r="AA371" s="200"/>
    </row>
    <row r="372">
      <c r="A372" s="200"/>
      <c r="B372" s="200"/>
      <c r="C372" s="200"/>
      <c r="D372" s="200"/>
      <c r="E372" s="200"/>
      <c r="F372" s="204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  <c r="AA372" s="200"/>
    </row>
    <row r="373">
      <c r="A373" s="200"/>
      <c r="B373" s="200"/>
      <c r="C373" s="200"/>
      <c r="D373" s="200"/>
      <c r="E373" s="200"/>
      <c r="F373" s="204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  <c r="AA373" s="200"/>
    </row>
    <row r="374">
      <c r="A374" s="200"/>
      <c r="B374" s="200"/>
      <c r="C374" s="200"/>
      <c r="D374" s="200"/>
      <c r="E374" s="200"/>
      <c r="F374" s="204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  <c r="AA374" s="200"/>
    </row>
    <row r="375">
      <c r="A375" s="200"/>
      <c r="B375" s="200"/>
      <c r="C375" s="200"/>
      <c r="D375" s="200"/>
      <c r="E375" s="200"/>
      <c r="F375" s="204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  <c r="AA375" s="200"/>
    </row>
    <row r="376">
      <c r="A376" s="200"/>
      <c r="B376" s="200"/>
      <c r="C376" s="200"/>
      <c r="D376" s="200"/>
      <c r="E376" s="200"/>
      <c r="F376" s="204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  <c r="AA376" s="200"/>
    </row>
    <row r="377">
      <c r="A377" s="200"/>
      <c r="B377" s="200"/>
      <c r="C377" s="200"/>
      <c r="D377" s="200"/>
      <c r="E377" s="200"/>
      <c r="F377" s="204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  <c r="AA377" s="200"/>
    </row>
    <row r="378">
      <c r="A378" s="200"/>
      <c r="B378" s="200"/>
      <c r="C378" s="200"/>
      <c r="D378" s="200"/>
      <c r="E378" s="200"/>
      <c r="F378" s="204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  <c r="AA378" s="200"/>
    </row>
    <row r="379">
      <c r="A379" s="200"/>
      <c r="B379" s="200"/>
      <c r="C379" s="200"/>
      <c r="D379" s="200"/>
      <c r="E379" s="200"/>
      <c r="F379" s="204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  <c r="AA379" s="200"/>
    </row>
    <row r="380">
      <c r="A380" s="200"/>
      <c r="B380" s="200"/>
      <c r="C380" s="200"/>
      <c r="D380" s="200"/>
      <c r="E380" s="200"/>
      <c r="F380" s="204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  <c r="AA380" s="200"/>
    </row>
    <row r="381">
      <c r="A381" s="200"/>
      <c r="B381" s="200"/>
      <c r="C381" s="200"/>
      <c r="D381" s="200"/>
      <c r="E381" s="200"/>
      <c r="F381" s="204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  <c r="AA381" s="200"/>
    </row>
    <row r="382">
      <c r="A382" s="200"/>
      <c r="B382" s="200"/>
      <c r="C382" s="200"/>
      <c r="D382" s="200"/>
      <c r="E382" s="200"/>
      <c r="F382" s="204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  <c r="AA382" s="200"/>
    </row>
    <row r="383">
      <c r="A383" s="200"/>
      <c r="B383" s="200"/>
      <c r="C383" s="200"/>
      <c r="D383" s="200"/>
      <c r="E383" s="200"/>
      <c r="F383" s="204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  <c r="AA383" s="200"/>
    </row>
    <row r="384">
      <c r="A384" s="200"/>
      <c r="B384" s="200"/>
      <c r="C384" s="200"/>
      <c r="D384" s="200"/>
      <c r="E384" s="200"/>
      <c r="F384" s="204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  <c r="AA384" s="200"/>
    </row>
    <row r="385">
      <c r="A385" s="200"/>
      <c r="B385" s="200"/>
      <c r="C385" s="200"/>
      <c r="D385" s="200"/>
      <c r="E385" s="200"/>
      <c r="F385" s="204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  <c r="AA385" s="200"/>
    </row>
    <row r="386">
      <c r="A386" s="200"/>
      <c r="B386" s="200"/>
      <c r="C386" s="200"/>
      <c r="D386" s="200"/>
      <c r="E386" s="200"/>
      <c r="F386" s="204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  <c r="AA386" s="200"/>
    </row>
    <row r="387">
      <c r="A387" s="200"/>
      <c r="B387" s="200"/>
      <c r="C387" s="200"/>
      <c r="D387" s="200"/>
      <c r="E387" s="200"/>
      <c r="F387" s="204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  <c r="AA387" s="200"/>
    </row>
    <row r="388">
      <c r="A388" s="200"/>
      <c r="B388" s="200"/>
      <c r="C388" s="200"/>
      <c r="D388" s="200"/>
      <c r="E388" s="200"/>
      <c r="F388" s="204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  <c r="AA388" s="200"/>
    </row>
    <row r="389">
      <c r="A389" s="200"/>
      <c r="B389" s="200"/>
      <c r="C389" s="200"/>
      <c r="D389" s="200"/>
      <c r="E389" s="200"/>
      <c r="F389" s="204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  <c r="AA389" s="200"/>
    </row>
    <row r="390">
      <c r="A390" s="200"/>
      <c r="B390" s="200"/>
      <c r="C390" s="200"/>
      <c r="D390" s="200"/>
      <c r="E390" s="200"/>
      <c r="F390" s="204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  <c r="AA390" s="200"/>
    </row>
    <row r="391">
      <c r="A391" s="200"/>
      <c r="B391" s="200"/>
      <c r="C391" s="200"/>
      <c r="D391" s="200"/>
      <c r="E391" s="200"/>
      <c r="F391" s="204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  <c r="AA391" s="200"/>
    </row>
    <row r="392">
      <c r="A392" s="200"/>
      <c r="B392" s="200"/>
      <c r="C392" s="200"/>
      <c r="D392" s="200"/>
      <c r="E392" s="200"/>
      <c r="F392" s="204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  <c r="AA392" s="200"/>
    </row>
    <row r="393">
      <c r="A393" s="200"/>
      <c r="B393" s="200"/>
      <c r="C393" s="200"/>
      <c r="D393" s="200"/>
      <c r="E393" s="200"/>
      <c r="F393" s="204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  <c r="AA393" s="200"/>
    </row>
    <row r="394">
      <c r="A394" s="200"/>
      <c r="B394" s="200"/>
      <c r="C394" s="200"/>
      <c r="D394" s="200"/>
      <c r="E394" s="200"/>
      <c r="F394" s="204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  <c r="AA394" s="200"/>
    </row>
    <row r="395">
      <c r="A395" s="200"/>
      <c r="B395" s="200"/>
      <c r="C395" s="200"/>
      <c r="D395" s="200"/>
      <c r="E395" s="200"/>
      <c r="F395" s="204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  <c r="AA395" s="200"/>
    </row>
    <row r="396">
      <c r="A396" s="200"/>
      <c r="B396" s="200"/>
      <c r="C396" s="200"/>
      <c r="D396" s="200"/>
      <c r="E396" s="200"/>
      <c r="F396" s="204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  <c r="AA396" s="200"/>
    </row>
    <row r="397">
      <c r="A397" s="200"/>
      <c r="B397" s="200"/>
      <c r="C397" s="200"/>
      <c r="D397" s="200"/>
      <c r="E397" s="200"/>
      <c r="F397" s="204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  <c r="AA397" s="200"/>
    </row>
    <row r="398">
      <c r="A398" s="200"/>
      <c r="B398" s="200"/>
      <c r="C398" s="200"/>
      <c r="D398" s="200"/>
      <c r="E398" s="200"/>
      <c r="F398" s="204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  <c r="AA398" s="200"/>
    </row>
    <row r="399">
      <c r="A399" s="200"/>
      <c r="B399" s="200"/>
      <c r="C399" s="200"/>
      <c r="D399" s="200"/>
      <c r="E399" s="200"/>
      <c r="F399" s="204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  <c r="AA399" s="200"/>
    </row>
    <row r="400">
      <c r="A400" s="200"/>
      <c r="B400" s="200"/>
      <c r="C400" s="200"/>
      <c r="D400" s="200"/>
      <c r="E400" s="200"/>
      <c r="F400" s="204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  <c r="AA400" s="200"/>
    </row>
    <row r="401">
      <c r="A401" s="200"/>
      <c r="B401" s="200"/>
      <c r="C401" s="200"/>
      <c r="D401" s="200"/>
      <c r="E401" s="200"/>
      <c r="F401" s="204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  <c r="AA401" s="200"/>
    </row>
    <row r="402">
      <c r="A402" s="200"/>
      <c r="B402" s="200"/>
      <c r="C402" s="200"/>
      <c r="D402" s="200"/>
      <c r="E402" s="200"/>
      <c r="F402" s="204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  <c r="AA402" s="200"/>
    </row>
    <row r="403">
      <c r="A403" s="200"/>
      <c r="B403" s="200"/>
      <c r="C403" s="200"/>
      <c r="D403" s="200"/>
      <c r="E403" s="200"/>
      <c r="F403" s="204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  <c r="AA403" s="200"/>
    </row>
    <row r="404">
      <c r="A404" s="200"/>
      <c r="B404" s="200"/>
      <c r="C404" s="200"/>
      <c r="D404" s="200"/>
      <c r="E404" s="200"/>
      <c r="F404" s="204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  <c r="AA404" s="200"/>
    </row>
    <row r="405">
      <c r="A405" s="200"/>
      <c r="B405" s="200"/>
      <c r="C405" s="200"/>
      <c r="D405" s="200"/>
      <c r="E405" s="200"/>
      <c r="F405" s="204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  <c r="AA405" s="200"/>
    </row>
    <row r="406">
      <c r="A406" s="200"/>
      <c r="B406" s="200"/>
      <c r="C406" s="200"/>
      <c r="D406" s="200"/>
      <c r="E406" s="200"/>
      <c r="F406" s="204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  <c r="AA406" s="200"/>
    </row>
    <row r="407">
      <c r="A407" s="200"/>
      <c r="B407" s="200"/>
      <c r="C407" s="200"/>
      <c r="D407" s="200"/>
      <c r="E407" s="200"/>
      <c r="F407" s="204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  <c r="AA407" s="200"/>
    </row>
    <row r="408">
      <c r="A408" s="200"/>
      <c r="B408" s="200"/>
      <c r="C408" s="200"/>
      <c r="D408" s="200"/>
      <c r="E408" s="200"/>
      <c r="F408" s="204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  <c r="AA408" s="200"/>
    </row>
    <row r="409">
      <c r="A409" s="200"/>
      <c r="B409" s="200"/>
      <c r="C409" s="200"/>
      <c r="D409" s="200"/>
      <c r="E409" s="200"/>
      <c r="F409" s="204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  <c r="AA409" s="200"/>
    </row>
    <row r="410">
      <c r="A410" s="200"/>
      <c r="B410" s="200"/>
      <c r="C410" s="200"/>
      <c r="D410" s="200"/>
      <c r="E410" s="200"/>
      <c r="F410" s="204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  <c r="AA410" s="200"/>
    </row>
    <row r="411">
      <c r="A411" s="200"/>
      <c r="B411" s="200"/>
      <c r="C411" s="200"/>
      <c r="D411" s="200"/>
      <c r="E411" s="200"/>
      <c r="F411" s="204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  <c r="AA411" s="200"/>
    </row>
    <row r="412">
      <c r="A412" s="200"/>
      <c r="B412" s="200"/>
      <c r="C412" s="200"/>
      <c r="D412" s="200"/>
      <c r="E412" s="200"/>
      <c r="F412" s="204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  <c r="AA412" s="200"/>
    </row>
    <row r="413">
      <c r="A413" s="200"/>
      <c r="B413" s="200"/>
      <c r="C413" s="200"/>
      <c r="D413" s="200"/>
      <c r="E413" s="200"/>
      <c r="F413" s="204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  <c r="AA413" s="200"/>
    </row>
    <row r="414">
      <c r="A414" s="200"/>
      <c r="B414" s="200"/>
      <c r="C414" s="200"/>
      <c r="D414" s="200"/>
      <c r="E414" s="200"/>
      <c r="F414" s="204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  <c r="AA414" s="200"/>
    </row>
    <row r="415">
      <c r="A415" s="200"/>
      <c r="B415" s="200"/>
      <c r="C415" s="200"/>
      <c r="D415" s="200"/>
      <c r="E415" s="200"/>
      <c r="F415" s="204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  <c r="AA415" s="200"/>
    </row>
    <row r="416">
      <c r="A416" s="200"/>
      <c r="B416" s="200"/>
      <c r="C416" s="200"/>
      <c r="D416" s="200"/>
      <c r="E416" s="200"/>
      <c r="F416" s="204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  <c r="AA416" s="200"/>
    </row>
    <row r="417">
      <c r="A417" s="200"/>
      <c r="B417" s="200"/>
      <c r="C417" s="200"/>
      <c r="D417" s="200"/>
      <c r="E417" s="200"/>
      <c r="F417" s="204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  <c r="AA417" s="200"/>
    </row>
    <row r="418">
      <c r="A418" s="200"/>
      <c r="B418" s="200"/>
      <c r="C418" s="200"/>
      <c r="D418" s="200"/>
      <c r="E418" s="200"/>
      <c r="F418" s="204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  <c r="AA418" s="200"/>
    </row>
    <row r="419">
      <c r="A419" s="200"/>
      <c r="B419" s="200"/>
      <c r="C419" s="200"/>
      <c r="D419" s="200"/>
      <c r="E419" s="200"/>
      <c r="F419" s="204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  <c r="AA419" s="200"/>
    </row>
    <row r="420">
      <c r="A420" s="200"/>
      <c r="B420" s="200"/>
      <c r="C420" s="200"/>
      <c r="D420" s="200"/>
      <c r="E420" s="200"/>
      <c r="F420" s="204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  <c r="AA420" s="200"/>
    </row>
    <row r="421">
      <c r="A421" s="200"/>
      <c r="B421" s="200"/>
      <c r="C421" s="200"/>
      <c r="D421" s="200"/>
      <c r="E421" s="200"/>
      <c r="F421" s="204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  <c r="AA421" s="200"/>
    </row>
    <row r="422">
      <c r="A422" s="200"/>
      <c r="B422" s="200"/>
      <c r="C422" s="200"/>
      <c r="D422" s="200"/>
      <c r="E422" s="200"/>
      <c r="F422" s="204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  <c r="AA422" s="200"/>
    </row>
    <row r="423">
      <c r="A423" s="200"/>
      <c r="B423" s="200"/>
      <c r="C423" s="200"/>
      <c r="D423" s="200"/>
      <c r="E423" s="200"/>
      <c r="F423" s="204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  <c r="AA423" s="200"/>
    </row>
    <row r="424">
      <c r="A424" s="200"/>
      <c r="B424" s="200"/>
      <c r="C424" s="200"/>
      <c r="D424" s="200"/>
      <c r="E424" s="200"/>
      <c r="F424" s="204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  <c r="AA424" s="200"/>
    </row>
    <row r="425">
      <c r="A425" s="200"/>
      <c r="B425" s="200"/>
      <c r="C425" s="200"/>
      <c r="D425" s="200"/>
      <c r="E425" s="200"/>
      <c r="F425" s="204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  <c r="AA425" s="200"/>
    </row>
    <row r="426">
      <c r="A426" s="200"/>
      <c r="B426" s="200"/>
      <c r="C426" s="200"/>
      <c r="D426" s="200"/>
      <c r="E426" s="200"/>
      <c r="F426" s="204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  <c r="AA426" s="200"/>
    </row>
    <row r="427">
      <c r="A427" s="200"/>
      <c r="B427" s="200"/>
      <c r="C427" s="200"/>
      <c r="D427" s="200"/>
      <c r="E427" s="200"/>
      <c r="F427" s="204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  <c r="AA427" s="200"/>
    </row>
    <row r="428">
      <c r="A428" s="200"/>
      <c r="B428" s="200"/>
      <c r="C428" s="200"/>
      <c r="D428" s="200"/>
      <c r="E428" s="200"/>
      <c r="F428" s="204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  <c r="AA428" s="200"/>
    </row>
    <row r="429">
      <c r="A429" s="200"/>
      <c r="B429" s="200"/>
      <c r="C429" s="200"/>
      <c r="D429" s="200"/>
      <c r="E429" s="200"/>
      <c r="F429" s="204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  <c r="AA429" s="200"/>
    </row>
    <row r="430">
      <c r="A430" s="200"/>
      <c r="B430" s="200"/>
      <c r="C430" s="200"/>
      <c r="D430" s="200"/>
      <c r="E430" s="200"/>
      <c r="F430" s="204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  <c r="AA430" s="200"/>
    </row>
    <row r="431">
      <c r="A431" s="200"/>
      <c r="B431" s="200"/>
      <c r="C431" s="200"/>
      <c r="D431" s="200"/>
      <c r="E431" s="200"/>
      <c r="F431" s="204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  <c r="AA431" s="200"/>
    </row>
    <row r="432">
      <c r="A432" s="200"/>
      <c r="B432" s="200"/>
      <c r="C432" s="200"/>
      <c r="D432" s="200"/>
      <c r="E432" s="200"/>
      <c r="F432" s="204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  <c r="AA432" s="200"/>
    </row>
    <row r="433">
      <c r="A433" s="200"/>
      <c r="B433" s="200"/>
      <c r="C433" s="200"/>
      <c r="D433" s="200"/>
      <c r="E433" s="200"/>
      <c r="F433" s="204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  <c r="AA433" s="200"/>
    </row>
    <row r="434">
      <c r="A434" s="200"/>
      <c r="B434" s="200"/>
      <c r="C434" s="200"/>
      <c r="D434" s="200"/>
      <c r="E434" s="200"/>
      <c r="F434" s="204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  <c r="AA434" s="200"/>
    </row>
    <row r="435">
      <c r="A435" s="200"/>
      <c r="B435" s="200"/>
      <c r="C435" s="200"/>
      <c r="D435" s="200"/>
      <c r="E435" s="200"/>
      <c r="F435" s="204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  <c r="AA435" s="200"/>
    </row>
    <row r="436">
      <c r="A436" s="200"/>
      <c r="B436" s="200"/>
      <c r="C436" s="200"/>
      <c r="D436" s="200"/>
      <c r="E436" s="200"/>
      <c r="F436" s="204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  <c r="AA436" s="200"/>
    </row>
    <row r="437">
      <c r="A437" s="200"/>
      <c r="B437" s="200"/>
      <c r="C437" s="200"/>
      <c r="D437" s="200"/>
      <c r="E437" s="200"/>
      <c r="F437" s="204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  <c r="AA437" s="200"/>
    </row>
    <row r="438">
      <c r="A438" s="200"/>
      <c r="B438" s="200"/>
      <c r="C438" s="200"/>
      <c r="D438" s="200"/>
      <c r="E438" s="200"/>
      <c r="F438" s="204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  <c r="AA438" s="200"/>
    </row>
    <row r="439">
      <c r="A439" s="200"/>
      <c r="B439" s="200"/>
      <c r="C439" s="200"/>
      <c r="D439" s="200"/>
      <c r="E439" s="200"/>
      <c r="F439" s="204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  <c r="AA439" s="200"/>
    </row>
    <row r="440">
      <c r="A440" s="200"/>
      <c r="B440" s="200"/>
      <c r="C440" s="200"/>
      <c r="D440" s="200"/>
      <c r="E440" s="200"/>
      <c r="F440" s="204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  <c r="AA440" s="200"/>
    </row>
    <row r="441">
      <c r="A441" s="200"/>
      <c r="B441" s="200"/>
      <c r="C441" s="200"/>
      <c r="D441" s="200"/>
      <c r="E441" s="200"/>
      <c r="F441" s="204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  <c r="AA441" s="200"/>
    </row>
    <row r="442">
      <c r="A442" s="200"/>
      <c r="B442" s="200"/>
      <c r="C442" s="200"/>
      <c r="D442" s="200"/>
      <c r="E442" s="200"/>
      <c r="F442" s="204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  <c r="AA442" s="200"/>
    </row>
    <row r="443">
      <c r="A443" s="200"/>
      <c r="B443" s="200"/>
      <c r="C443" s="200"/>
      <c r="D443" s="200"/>
      <c r="E443" s="200"/>
      <c r="F443" s="204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  <c r="AA443" s="200"/>
    </row>
    <row r="444">
      <c r="A444" s="200"/>
      <c r="B444" s="200"/>
      <c r="C444" s="200"/>
      <c r="D444" s="200"/>
      <c r="E444" s="200"/>
      <c r="F444" s="204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  <c r="AA444" s="200"/>
    </row>
    <row r="445">
      <c r="A445" s="200"/>
      <c r="B445" s="200"/>
      <c r="C445" s="200"/>
      <c r="D445" s="200"/>
      <c r="E445" s="200"/>
      <c r="F445" s="204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  <c r="AA445" s="200"/>
    </row>
    <row r="446">
      <c r="A446" s="200"/>
      <c r="B446" s="200"/>
      <c r="C446" s="200"/>
      <c r="D446" s="200"/>
      <c r="E446" s="200"/>
      <c r="F446" s="204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  <c r="AA446" s="200"/>
    </row>
    <row r="447">
      <c r="A447" s="200"/>
      <c r="B447" s="200"/>
      <c r="C447" s="200"/>
      <c r="D447" s="200"/>
      <c r="E447" s="200"/>
      <c r="F447" s="204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  <c r="AA447" s="200"/>
    </row>
    <row r="448">
      <c r="A448" s="200"/>
      <c r="B448" s="200"/>
      <c r="C448" s="200"/>
      <c r="D448" s="200"/>
      <c r="E448" s="200"/>
      <c r="F448" s="204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  <c r="AA448" s="200"/>
    </row>
    <row r="449">
      <c r="A449" s="200"/>
      <c r="B449" s="200"/>
      <c r="C449" s="200"/>
      <c r="D449" s="200"/>
      <c r="E449" s="200"/>
      <c r="F449" s="204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  <c r="AA449" s="200"/>
    </row>
    <row r="450">
      <c r="A450" s="200"/>
      <c r="B450" s="200"/>
      <c r="C450" s="200"/>
      <c r="D450" s="200"/>
      <c r="E450" s="200"/>
      <c r="F450" s="204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  <c r="AA450" s="200"/>
    </row>
    <row r="451">
      <c r="A451" s="200"/>
      <c r="B451" s="200"/>
      <c r="C451" s="200"/>
      <c r="D451" s="200"/>
      <c r="E451" s="200"/>
      <c r="F451" s="204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  <c r="AA451" s="200"/>
    </row>
    <row r="452">
      <c r="A452" s="200"/>
      <c r="B452" s="200"/>
      <c r="C452" s="200"/>
      <c r="D452" s="200"/>
      <c r="E452" s="200"/>
      <c r="F452" s="204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  <c r="AA452" s="200"/>
    </row>
    <row r="453">
      <c r="A453" s="200"/>
      <c r="B453" s="200"/>
      <c r="C453" s="200"/>
      <c r="D453" s="200"/>
      <c r="E453" s="200"/>
      <c r="F453" s="204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  <c r="AA453" s="200"/>
    </row>
    <row r="454">
      <c r="A454" s="200"/>
      <c r="B454" s="200"/>
      <c r="C454" s="200"/>
      <c r="D454" s="200"/>
      <c r="E454" s="200"/>
      <c r="F454" s="204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  <c r="AA454" s="200"/>
    </row>
    <row r="455">
      <c r="A455" s="200"/>
      <c r="B455" s="200"/>
      <c r="C455" s="200"/>
      <c r="D455" s="200"/>
      <c r="E455" s="200"/>
      <c r="F455" s="204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  <c r="AA455" s="200"/>
    </row>
    <row r="456">
      <c r="A456" s="200"/>
      <c r="B456" s="200"/>
      <c r="C456" s="200"/>
      <c r="D456" s="200"/>
      <c r="E456" s="200"/>
      <c r="F456" s="204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  <c r="AA456" s="200"/>
    </row>
    <row r="457">
      <c r="A457" s="200"/>
      <c r="B457" s="200"/>
      <c r="C457" s="200"/>
      <c r="D457" s="200"/>
      <c r="E457" s="200"/>
      <c r="F457" s="204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  <c r="AA457" s="200"/>
    </row>
    <row r="458">
      <c r="A458" s="200"/>
      <c r="B458" s="200"/>
      <c r="C458" s="200"/>
      <c r="D458" s="200"/>
      <c r="E458" s="200"/>
      <c r="F458" s="204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  <c r="AA458" s="200"/>
    </row>
    <row r="459">
      <c r="A459" s="200"/>
      <c r="B459" s="200"/>
      <c r="C459" s="200"/>
      <c r="D459" s="200"/>
      <c r="E459" s="200"/>
      <c r="F459" s="204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  <c r="AA459" s="200"/>
    </row>
    <row r="460">
      <c r="A460" s="200"/>
      <c r="B460" s="200"/>
      <c r="C460" s="200"/>
      <c r="D460" s="200"/>
      <c r="E460" s="200"/>
      <c r="F460" s="204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  <c r="AA460" s="200"/>
    </row>
    <row r="461">
      <c r="A461" s="200"/>
      <c r="B461" s="200"/>
      <c r="C461" s="200"/>
      <c r="D461" s="200"/>
      <c r="E461" s="200"/>
      <c r="F461" s="204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  <c r="AA461" s="200"/>
    </row>
    <row r="462">
      <c r="A462" s="200"/>
      <c r="B462" s="200"/>
      <c r="C462" s="200"/>
      <c r="D462" s="200"/>
      <c r="E462" s="200"/>
      <c r="F462" s="204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  <c r="AA462" s="200"/>
    </row>
    <row r="463">
      <c r="A463" s="200"/>
      <c r="B463" s="200"/>
      <c r="C463" s="200"/>
      <c r="D463" s="200"/>
      <c r="E463" s="200"/>
      <c r="F463" s="204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  <c r="AA463" s="200"/>
    </row>
    <row r="464">
      <c r="A464" s="200"/>
      <c r="B464" s="200"/>
      <c r="C464" s="200"/>
      <c r="D464" s="200"/>
      <c r="E464" s="200"/>
      <c r="F464" s="204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  <c r="AA464" s="200"/>
    </row>
    <row r="465">
      <c r="A465" s="200"/>
      <c r="B465" s="200"/>
      <c r="C465" s="200"/>
      <c r="D465" s="200"/>
      <c r="E465" s="200"/>
      <c r="F465" s="204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  <c r="AA465" s="200"/>
    </row>
    <row r="466">
      <c r="A466" s="200"/>
      <c r="B466" s="200"/>
      <c r="C466" s="200"/>
      <c r="D466" s="200"/>
      <c r="E466" s="200"/>
      <c r="F466" s="204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  <c r="AA466" s="200"/>
    </row>
    <row r="467">
      <c r="A467" s="200"/>
      <c r="B467" s="200"/>
      <c r="C467" s="200"/>
      <c r="D467" s="200"/>
      <c r="E467" s="200"/>
      <c r="F467" s="204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  <c r="AA467" s="200"/>
    </row>
    <row r="468">
      <c r="A468" s="200"/>
      <c r="B468" s="200"/>
      <c r="C468" s="200"/>
      <c r="D468" s="200"/>
      <c r="E468" s="200"/>
      <c r="F468" s="204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  <c r="AA468" s="200"/>
    </row>
    <row r="469">
      <c r="A469" s="200"/>
      <c r="B469" s="200"/>
      <c r="C469" s="200"/>
      <c r="D469" s="200"/>
      <c r="E469" s="200"/>
      <c r="F469" s="204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  <c r="AA469" s="200"/>
    </row>
    <row r="470">
      <c r="A470" s="200"/>
      <c r="B470" s="200"/>
      <c r="C470" s="200"/>
      <c r="D470" s="200"/>
      <c r="E470" s="200"/>
      <c r="F470" s="204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  <c r="AA470" s="200"/>
    </row>
    <row r="471">
      <c r="A471" s="200"/>
      <c r="B471" s="200"/>
      <c r="C471" s="200"/>
      <c r="D471" s="200"/>
      <c r="E471" s="200"/>
      <c r="F471" s="204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  <c r="AA471" s="200"/>
    </row>
    <row r="472">
      <c r="A472" s="200"/>
      <c r="B472" s="200"/>
      <c r="C472" s="200"/>
      <c r="D472" s="200"/>
      <c r="E472" s="200"/>
      <c r="F472" s="204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  <c r="AA472" s="200"/>
    </row>
    <row r="473">
      <c r="A473" s="200"/>
      <c r="B473" s="200"/>
      <c r="C473" s="200"/>
      <c r="D473" s="200"/>
      <c r="E473" s="200"/>
      <c r="F473" s="204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  <c r="AA473" s="200"/>
    </row>
    <row r="474">
      <c r="A474" s="200"/>
      <c r="B474" s="200"/>
      <c r="C474" s="200"/>
      <c r="D474" s="200"/>
      <c r="E474" s="200"/>
      <c r="F474" s="204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  <c r="AA474" s="200"/>
    </row>
    <row r="475">
      <c r="A475" s="200"/>
      <c r="B475" s="200"/>
      <c r="C475" s="200"/>
      <c r="D475" s="200"/>
      <c r="E475" s="200"/>
      <c r="F475" s="204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  <c r="AA475" s="200"/>
    </row>
    <row r="476">
      <c r="A476" s="200"/>
      <c r="B476" s="200"/>
      <c r="C476" s="200"/>
      <c r="D476" s="200"/>
      <c r="E476" s="200"/>
      <c r="F476" s="204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  <c r="AA476" s="200"/>
    </row>
    <row r="477">
      <c r="A477" s="200"/>
      <c r="B477" s="200"/>
      <c r="C477" s="200"/>
      <c r="D477" s="200"/>
      <c r="E477" s="200"/>
      <c r="F477" s="204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  <c r="AA477" s="200"/>
    </row>
    <row r="478">
      <c r="A478" s="200"/>
      <c r="B478" s="200"/>
      <c r="C478" s="200"/>
      <c r="D478" s="200"/>
      <c r="E478" s="200"/>
      <c r="F478" s="204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  <c r="AA478" s="200"/>
    </row>
    <row r="479">
      <c r="A479" s="200"/>
      <c r="B479" s="200"/>
      <c r="C479" s="200"/>
      <c r="D479" s="200"/>
      <c r="E479" s="200"/>
      <c r="F479" s="204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  <c r="AA479" s="200"/>
    </row>
    <row r="480">
      <c r="A480" s="200"/>
      <c r="B480" s="200"/>
      <c r="C480" s="200"/>
      <c r="D480" s="200"/>
      <c r="E480" s="200"/>
      <c r="F480" s="204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  <c r="AA480" s="200"/>
    </row>
    <row r="481">
      <c r="A481" s="200"/>
      <c r="B481" s="200"/>
      <c r="C481" s="200"/>
      <c r="D481" s="200"/>
      <c r="E481" s="200"/>
      <c r="F481" s="204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  <c r="AA481" s="200"/>
    </row>
    <row r="482">
      <c r="A482" s="200"/>
      <c r="B482" s="200"/>
      <c r="C482" s="200"/>
      <c r="D482" s="200"/>
      <c r="E482" s="200"/>
      <c r="F482" s="204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  <c r="AA482" s="200"/>
    </row>
    <row r="483">
      <c r="A483" s="200"/>
      <c r="B483" s="200"/>
      <c r="C483" s="200"/>
      <c r="D483" s="200"/>
      <c r="E483" s="200"/>
      <c r="F483" s="204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  <c r="AA483" s="200"/>
    </row>
    <row r="484">
      <c r="A484" s="200"/>
      <c r="B484" s="200"/>
      <c r="C484" s="200"/>
      <c r="D484" s="200"/>
      <c r="E484" s="200"/>
      <c r="F484" s="204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  <c r="AA484" s="200"/>
    </row>
    <row r="485">
      <c r="A485" s="200"/>
      <c r="B485" s="200"/>
      <c r="C485" s="200"/>
      <c r="D485" s="200"/>
      <c r="E485" s="200"/>
      <c r="F485" s="204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  <c r="AA485" s="200"/>
    </row>
    <row r="486">
      <c r="A486" s="200"/>
      <c r="B486" s="200"/>
      <c r="C486" s="200"/>
      <c r="D486" s="200"/>
      <c r="E486" s="200"/>
      <c r="F486" s="204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  <c r="AA486" s="200"/>
    </row>
    <row r="487">
      <c r="A487" s="200"/>
      <c r="B487" s="200"/>
      <c r="C487" s="200"/>
      <c r="D487" s="200"/>
      <c r="E487" s="200"/>
      <c r="F487" s="204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  <c r="AA487" s="200"/>
    </row>
    <row r="488">
      <c r="A488" s="200"/>
      <c r="B488" s="200"/>
      <c r="C488" s="200"/>
      <c r="D488" s="200"/>
      <c r="E488" s="200"/>
      <c r="F488" s="204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  <c r="AA488" s="200"/>
    </row>
    <row r="489">
      <c r="A489" s="200"/>
      <c r="B489" s="200"/>
      <c r="C489" s="200"/>
      <c r="D489" s="200"/>
      <c r="E489" s="200"/>
      <c r="F489" s="204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  <c r="AA489" s="200"/>
    </row>
    <row r="490">
      <c r="A490" s="200"/>
      <c r="B490" s="200"/>
      <c r="C490" s="200"/>
      <c r="D490" s="200"/>
      <c r="E490" s="200"/>
      <c r="F490" s="204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  <c r="AA490" s="200"/>
    </row>
    <row r="491">
      <c r="A491" s="200"/>
      <c r="B491" s="200"/>
      <c r="C491" s="200"/>
      <c r="D491" s="200"/>
      <c r="E491" s="200"/>
      <c r="F491" s="204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  <c r="AA491" s="200"/>
    </row>
    <row r="492">
      <c r="A492" s="200"/>
      <c r="B492" s="200"/>
      <c r="C492" s="200"/>
      <c r="D492" s="200"/>
      <c r="E492" s="200"/>
      <c r="F492" s="204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  <c r="AA492" s="200"/>
    </row>
    <row r="493">
      <c r="A493" s="200"/>
      <c r="B493" s="200"/>
      <c r="C493" s="200"/>
      <c r="D493" s="200"/>
      <c r="E493" s="200"/>
      <c r="F493" s="204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  <c r="AA493" s="200"/>
    </row>
    <row r="494">
      <c r="A494" s="200"/>
      <c r="B494" s="200"/>
      <c r="C494" s="200"/>
      <c r="D494" s="200"/>
      <c r="E494" s="200"/>
      <c r="F494" s="204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</row>
    <row r="495">
      <c r="A495" s="200"/>
      <c r="B495" s="200"/>
      <c r="C495" s="200"/>
      <c r="D495" s="200"/>
      <c r="E495" s="200"/>
      <c r="F495" s="204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  <c r="AA495" s="200"/>
    </row>
    <row r="496">
      <c r="A496" s="200"/>
      <c r="B496" s="200"/>
      <c r="C496" s="200"/>
      <c r="D496" s="200"/>
      <c r="E496" s="200"/>
      <c r="F496" s="204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  <c r="AA496" s="200"/>
    </row>
    <row r="497">
      <c r="A497" s="200"/>
      <c r="B497" s="200"/>
      <c r="C497" s="200"/>
      <c r="D497" s="200"/>
      <c r="E497" s="200"/>
      <c r="F497" s="204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  <c r="AA497" s="200"/>
    </row>
    <row r="498">
      <c r="A498" s="200"/>
      <c r="B498" s="200"/>
      <c r="C498" s="200"/>
      <c r="D498" s="200"/>
      <c r="E498" s="200"/>
      <c r="F498" s="204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  <c r="AA498" s="200"/>
    </row>
    <row r="499">
      <c r="A499" s="200"/>
      <c r="B499" s="200"/>
      <c r="C499" s="200"/>
      <c r="D499" s="200"/>
      <c r="E499" s="200"/>
      <c r="F499" s="204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  <c r="AA499" s="200"/>
    </row>
    <row r="500">
      <c r="A500" s="200"/>
      <c r="B500" s="200"/>
      <c r="C500" s="200"/>
      <c r="D500" s="200"/>
      <c r="E500" s="200"/>
      <c r="F500" s="204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  <c r="AA500" s="200"/>
    </row>
    <row r="501">
      <c r="A501" s="200"/>
      <c r="B501" s="200"/>
      <c r="C501" s="200"/>
      <c r="D501" s="200"/>
      <c r="E501" s="200"/>
      <c r="F501" s="204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  <c r="AA501" s="200"/>
    </row>
    <row r="502">
      <c r="A502" s="200"/>
      <c r="B502" s="200"/>
      <c r="C502" s="200"/>
      <c r="D502" s="200"/>
      <c r="E502" s="200"/>
      <c r="F502" s="204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  <c r="AA502" s="200"/>
    </row>
    <row r="503">
      <c r="A503" s="200"/>
      <c r="B503" s="200"/>
      <c r="C503" s="200"/>
      <c r="D503" s="200"/>
      <c r="E503" s="200"/>
      <c r="F503" s="204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  <c r="AA503" s="200"/>
    </row>
    <row r="504">
      <c r="A504" s="200"/>
      <c r="B504" s="200"/>
      <c r="C504" s="200"/>
      <c r="D504" s="200"/>
      <c r="E504" s="200"/>
      <c r="F504" s="204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  <c r="AA504" s="200"/>
    </row>
    <row r="505">
      <c r="A505" s="200"/>
      <c r="B505" s="200"/>
      <c r="C505" s="200"/>
      <c r="D505" s="200"/>
      <c r="E505" s="200"/>
      <c r="F505" s="204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  <c r="AA505" s="200"/>
    </row>
    <row r="506">
      <c r="A506" s="200"/>
      <c r="B506" s="200"/>
      <c r="C506" s="200"/>
      <c r="D506" s="200"/>
      <c r="E506" s="200"/>
      <c r="F506" s="204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  <c r="AA506" s="200"/>
    </row>
    <row r="507">
      <c r="A507" s="200"/>
      <c r="B507" s="200"/>
      <c r="C507" s="200"/>
      <c r="D507" s="200"/>
      <c r="E507" s="200"/>
      <c r="F507" s="204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  <c r="AA507" s="200"/>
    </row>
    <row r="508">
      <c r="A508" s="200"/>
      <c r="B508" s="200"/>
      <c r="C508" s="200"/>
      <c r="D508" s="200"/>
      <c r="E508" s="200"/>
      <c r="F508" s="204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  <c r="AA508" s="200"/>
    </row>
    <row r="509">
      <c r="A509" s="200"/>
      <c r="B509" s="200"/>
      <c r="C509" s="200"/>
      <c r="D509" s="200"/>
      <c r="E509" s="200"/>
      <c r="F509" s="204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  <c r="AA509" s="200"/>
    </row>
    <row r="510">
      <c r="A510" s="200"/>
      <c r="B510" s="200"/>
      <c r="C510" s="200"/>
      <c r="D510" s="200"/>
      <c r="E510" s="200"/>
      <c r="F510" s="204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  <c r="AA510" s="200"/>
    </row>
    <row r="511">
      <c r="A511" s="200"/>
      <c r="B511" s="200"/>
      <c r="C511" s="200"/>
      <c r="D511" s="200"/>
      <c r="E511" s="200"/>
      <c r="F511" s="204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  <c r="AA511" s="200"/>
    </row>
    <row r="512">
      <c r="A512" s="200"/>
      <c r="B512" s="200"/>
      <c r="C512" s="200"/>
      <c r="D512" s="200"/>
      <c r="E512" s="200"/>
      <c r="F512" s="204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  <c r="AA512" s="200"/>
    </row>
    <row r="513">
      <c r="A513" s="200"/>
      <c r="B513" s="200"/>
      <c r="C513" s="200"/>
      <c r="D513" s="200"/>
      <c r="E513" s="200"/>
      <c r="F513" s="204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  <c r="AA513" s="200"/>
    </row>
    <row r="514">
      <c r="A514" s="200"/>
      <c r="B514" s="200"/>
      <c r="C514" s="200"/>
      <c r="D514" s="200"/>
      <c r="E514" s="200"/>
      <c r="F514" s="204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  <c r="AA514" s="200"/>
    </row>
    <row r="515">
      <c r="A515" s="200"/>
      <c r="B515" s="200"/>
      <c r="C515" s="200"/>
      <c r="D515" s="200"/>
      <c r="E515" s="200"/>
      <c r="F515" s="204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  <c r="AA515" s="200"/>
    </row>
    <row r="516">
      <c r="A516" s="200"/>
      <c r="B516" s="200"/>
      <c r="C516" s="200"/>
      <c r="D516" s="200"/>
      <c r="E516" s="200"/>
      <c r="F516" s="204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  <c r="AA516" s="200"/>
    </row>
    <row r="517">
      <c r="A517" s="200"/>
      <c r="B517" s="200"/>
      <c r="C517" s="200"/>
      <c r="D517" s="200"/>
      <c r="E517" s="200"/>
      <c r="F517" s="204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</row>
    <row r="518">
      <c r="A518" s="200"/>
      <c r="B518" s="200"/>
      <c r="C518" s="200"/>
      <c r="D518" s="200"/>
      <c r="E518" s="200"/>
      <c r="F518" s="204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</row>
    <row r="519">
      <c r="A519" s="200"/>
      <c r="B519" s="200"/>
      <c r="C519" s="200"/>
      <c r="D519" s="200"/>
      <c r="E519" s="200"/>
      <c r="F519" s="204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</row>
    <row r="520">
      <c r="A520" s="200"/>
      <c r="B520" s="200"/>
      <c r="C520" s="200"/>
      <c r="D520" s="200"/>
      <c r="E520" s="200"/>
      <c r="F520" s="204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  <c r="AA520" s="200"/>
    </row>
    <row r="521">
      <c r="A521" s="200"/>
      <c r="B521" s="200"/>
      <c r="C521" s="200"/>
      <c r="D521" s="200"/>
      <c r="E521" s="200"/>
      <c r="F521" s="204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  <c r="AA521" s="200"/>
    </row>
    <row r="522">
      <c r="A522" s="200"/>
      <c r="B522" s="200"/>
      <c r="C522" s="200"/>
      <c r="D522" s="200"/>
      <c r="E522" s="200"/>
      <c r="F522" s="204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</row>
    <row r="523">
      <c r="A523" s="200"/>
      <c r="B523" s="200"/>
      <c r="C523" s="200"/>
      <c r="D523" s="200"/>
      <c r="E523" s="200"/>
      <c r="F523" s="204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  <c r="AA523" s="200"/>
    </row>
    <row r="524">
      <c r="A524" s="200"/>
      <c r="B524" s="200"/>
      <c r="C524" s="200"/>
      <c r="D524" s="200"/>
      <c r="E524" s="200"/>
      <c r="F524" s="204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  <c r="AA524" s="200"/>
    </row>
    <row r="525">
      <c r="A525" s="200"/>
      <c r="B525" s="200"/>
      <c r="C525" s="200"/>
      <c r="D525" s="200"/>
      <c r="E525" s="200"/>
      <c r="F525" s="204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  <c r="AA525" s="200"/>
    </row>
    <row r="526">
      <c r="A526" s="200"/>
      <c r="B526" s="200"/>
      <c r="C526" s="200"/>
      <c r="D526" s="200"/>
      <c r="E526" s="200"/>
      <c r="F526" s="204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  <c r="AA526" s="200"/>
    </row>
    <row r="527">
      <c r="A527" s="200"/>
      <c r="B527" s="200"/>
      <c r="C527" s="200"/>
      <c r="D527" s="200"/>
      <c r="E527" s="200"/>
      <c r="F527" s="204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  <c r="AA527" s="200"/>
    </row>
    <row r="528">
      <c r="A528" s="200"/>
      <c r="B528" s="200"/>
      <c r="C528" s="200"/>
      <c r="D528" s="200"/>
      <c r="E528" s="200"/>
      <c r="F528" s="204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  <c r="AA528" s="200"/>
    </row>
    <row r="529">
      <c r="A529" s="200"/>
      <c r="B529" s="200"/>
      <c r="C529" s="200"/>
      <c r="D529" s="200"/>
      <c r="E529" s="200"/>
      <c r="F529" s="204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  <c r="AA529" s="200"/>
    </row>
    <row r="530">
      <c r="A530" s="200"/>
      <c r="B530" s="200"/>
      <c r="C530" s="200"/>
      <c r="D530" s="200"/>
      <c r="E530" s="200"/>
      <c r="F530" s="204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  <c r="AA530" s="200"/>
    </row>
    <row r="531">
      <c r="A531" s="200"/>
      <c r="B531" s="200"/>
      <c r="C531" s="200"/>
      <c r="D531" s="200"/>
      <c r="E531" s="200"/>
      <c r="F531" s="204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  <c r="AA531" s="200"/>
    </row>
    <row r="532">
      <c r="A532" s="200"/>
      <c r="B532" s="200"/>
      <c r="C532" s="200"/>
      <c r="D532" s="200"/>
      <c r="E532" s="200"/>
      <c r="F532" s="204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  <c r="AA532" s="200"/>
    </row>
    <row r="533">
      <c r="A533" s="200"/>
      <c r="B533" s="200"/>
      <c r="C533" s="200"/>
      <c r="D533" s="200"/>
      <c r="E533" s="200"/>
      <c r="F533" s="204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  <c r="AA533" s="200"/>
    </row>
    <row r="534">
      <c r="A534" s="200"/>
      <c r="B534" s="200"/>
      <c r="C534" s="200"/>
      <c r="D534" s="200"/>
      <c r="E534" s="200"/>
      <c r="F534" s="204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  <c r="AA534" s="200"/>
    </row>
    <row r="535">
      <c r="A535" s="200"/>
      <c r="B535" s="200"/>
      <c r="C535" s="200"/>
      <c r="D535" s="200"/>
      <c r="E535" s="200"/>
      <c r="F535" s="204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  <c r="AA535" s="200"/>
    </row>
    <row r="536">
      <c r="A536" s="200"/>
      <c r="B536" s="200"/>
      <c r="C536" s="200"/>
      <c r="D536" s="200"/>
      <c r="E536" s="200"/>
      <c r="F536" s="204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  <c r="AA536" s="200"/>
    </row>
    <row r="537">
      <c r="A537" s="200"/>
      <c r="B537" s="200"/>
      <c r="C537" s="200"/>
      <c r="D537" s="200"/>
      <c r="E537" s="200"/>
      <c r="F537" s="204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  <c r="AA537" s="200"/>
    </row>
    <row r="538">
      <c r="A538" s="200"/>
      <c r="B538" s="200"/>
      <c r="C538" s="200"/>
      <c r="D538" s="200"/>
      <c r="E538" s="200"/>
      <c r="F538" s="204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  <c r="AA538" s="200"/>
    </row>
    <row r="539">
      <c r="A539" s="200"/>
      <c r="B539" s="200"/>
      <c r="C539" s="200"/>
      <c r="D539" s="200"/>
      <c r="E539" s="200"/>
      <c r="F539" s="204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  <c r="AA539" s="200"/>
    </row>
    <row r="540">
      <c r="A540" s="200"/>
      <c r="B540" s="200"/>
      <c r="C540" s="200"/>
      <c r="D540" s="200"/>
      <c r="E540" s="200"/>
      <c r="F540" s="204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  <c r="AA540" s="200"/>
    </row>
    <row r="541">
      <c r="A541" s="200"/>
      <c r="B541" s="200"/>
      <c r="C541" s="200"/>
      <c r="D541" s="200"/>
      <c r="E541" s="200"/>
      <c r="F541" s="204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  <c r="AA541" s="200"/>
    </row>
    <row r="542">
      <c r="A542" s="200"/>
      <c r="B542" s="200"/>
      <c r="C542" s="200"/>
      <c r="D542" s="200"/>
      <c r="E542" s="200"/>
      <c r="F542" s="204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  <c r="AA542" s="200"/>
    </row>
    <row r="543">
      <c r="A543" s="200"/>
      <c r="B543" s="200"/>
      <c r="C543" s="200"/>
      <c r="D543" s="200"/>
      <c r="E543" s="200"/>
      <c r="F543" s="204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  <c r="AA543" s="200"/>
    </row>
    <row r="544">
      <c r="A544" s="200"/>
      <c r="B544" s="200"/>
      <c r="C544" s="200"/>
      <c r="D544" s="200"/>
      <c r="E544" s="200"/>
      <c r="F544" s="204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  <c r="AA544" s="200"/>
    </row>
    <row r="545">
      <c r="A545" s="200"/>
      <c r="B545" s="200"/>
      <c r="C545" s="200"/>
      <c r="D545" s="200"/>
      <c r="E545" s="200"/>
      <c r="F545" s="204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  <c r="AA545" s="200"/>
    </row>
    <row r="546">
      <c r="A546" s="200"/>
      <c r="B546" s="200"/>
      <c r="C546" s="200"/>
      <c r="D546" s="200"/>
      <c r="E546" s="200"/>
      <c r="F546" s="204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</row>
    <row r="547">
      <c r="A547" s="200"/>
      <c r="B547" s="200"/>
      <c r="C547" s="200"/>
      <c r="D547" s="200"/>
      <c r="E547" s="200"/>
      <c r="F547" s="204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  <c r="AA547" s="200"/>
    </row>
    <row r="548">
      <c r="A548" s="200"/>
      <c r="B548" s="200"/>
      <c r="C548" s="200"/>
      <c r="D548" s="200"/>
      <c r="E548" s="200"/>
      <c r="F548" s="204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  <c r="AA548" s="200"/>
    </row>
    <row r="549">
      <c r="A549" s="200"/>
      <c r="B549" s="200"/>
      <c r="C549" s="200"/>
      <c r="D549" s="200"/>
      <c r="E549" s="200"/>
      <c r="F549" s="204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  <c r="AA549" s="200"/>
    </row>
    <row r="550">
      <c r="A550" s="200"/>
      <c r="B550" s="200"/>
      <c r="C550" s="200"/>
      <c r="D550" s="200"/>
      <c r="E550" s="200"/>
      <c r="F550" s="204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  <c r="AA550" s="200"/>
    </row>
    <row r="551">
      <c r="A551" s="200"/>
      <c r="B551" s="200"/>
      <c r="C551" s="200"/>
      <c r="D551" s="200"/>
      <c r="E551" s="200"/>
      <c r="F551" s="204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  <c r="AA551" s="200"/>
    </row>
    <row r="552">
      <c r="A552" s="200"/>
      <c r="B552" s="200"/>
      <c r="C552" s="200"/>
      <c r="D552" s="200"/>
      <c r="E552" s="200"/>
      <c r="F552" s="204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  <c r="AA552" s="200"/>
    </row>
    <row r="553">
      <c r="A553" s="200"/>
      <c r="B553" s="200"/>
      <c r="C553" s="200"/>
      <c r="D553" s="200"/>
      <c r="E553" s="200"/>
      <c r="F553" s="204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  <c r="AA553" s="200"/>
    </row>
    <row r="554">
      <c r="A554" s="200"/>
      <c r="B554" s="200"/>
      <c r="C554" s="200"/>
      <c r="D554" s="200"/>
      <c r="E554" s="200"/>
      <c r="F554" s="204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  <c r="AA554" s="200"/>
    </row>
    <row r="555">
      <c r="A555" s="200"/>
      <c r="B555" s="200"/>
      <c r="C555" s="200"/>
      <c r="D555" s="200"/>
      <c r="E555" s="200"/>
      <c r="F555" s="204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  <c r="AA555" s="200"/>
    </row>
    <row r="556">
      <c r="A556" s="200"/>
      <c r="B556" s="200"/>
      <c r="C556" s="200"/>
      <c r="D556" s="200"/>
      <c r="E556" s="200"/>
      <c r="F556" s="204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  <c r="AA556" s="200"/>
    </row>
    <row r="557">
      <c r="A557" s="200"/>
      <c r="B557" s="200"/>
      <c r="C557" s="200"/>
      <c r="D557" s="200"/>
      <c r="E557" s="200"/>
      <c r="F557" s="204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  <c r="AA557" s="200"/>
    </row>
    <row r="558">
      <c r="A558" s="200"/>
      <c r="B558" s="200"/>
      <c r="C558" s="200"/>
      <c r="D558" s="200"/>
      <c r="E558" s="200"/>
      <c r="F558" s="204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  <c r="AA558" s="200"/>
    </row>
    <row r="559">
      <c r="A559" s="200"/>
      <c r="B559" s="200"/>
      <c r="C559" s="200"/>
      <c r="D559" s="200"/>
      <c r="E559" s="200"/>
      <c r="F559" s="204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  <c r="AA559" s="200"/>
    </row>
    <row r="560">
      <c r="A560" s="200"/>
      <c r="B560" s="200"/>
      <c r="C560" s="200"/>
      <c r="D560" s="200"/>
      <c r="E560" s="200"/>
      <c r="F560" s="204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  <c r="AA560" s="200"/>
    </row>
    <row r="561">
      <c r="A561" s="200"/>
      <c r="B561" s="200"/>
      <c r="C561" s="200"/>
      <c r="D561" s="200"/>
      <c r="E561" s="200"/>
      <c r="F561" s="204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  <c r="AA561" s="200"/>
    </row>
    <row r="562">
      <c r="A562" s="200"/>
      <c r="B562" s="200"/>
      <c r="C562" s="200"/>
      <c r="D562" s="200"/>
      <c r="E562" s="200"/>
      <c r="F562" s="204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  <c r="AA562" s="200"/>
    </row>
    <row r="563">
      <c r="A563" s="200"/>
      <c r="B563" s="200"/>
      <c r="C563" s="200"/>
      <c r="D563" s="200"/>
      <c r="E563" s="200"/>
      <c r="F563" s="204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  <c r="AA563" s="200"/>
    </row>
    <row r="564">
      <c r="A564" s="200"/>
      <c r="B564" s="200"/>
      <c r="C564" s="200"/>
      <c r="D564" s="200"/>
      <c r="E564" s="200"/>
      <c r="F564" s="204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  <c r="AA564" s="200"/>
    </row>
    <row r="565">
      <c r="A565" s="200"/>
      <c r="B565" s="200"/>
      <c r="C565" s="200"/>
      <c r="D565" s="200"/>
      <c r="E565" s="200"/>
      <c r="F565" s="204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  <c r="AA565" s="200"/>
    </row>
    <row r="566">
      <c r="A566" s="200"/>
      <c r="B566" s="200"/>
      <c r="C566" s="200"/>
      <c r="D566" s="200"/>
      <c r="E566" s="200"/>
      <c r="F566" s="204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</row>
    <row r="567">
      <c r="A567" s="200"/>
      <c r="B567" s="200"/>
      <c r="C567" s="200"/>
      <c r="D567" s="200"/>
      <c r="E567" s="200"/>
      <c r="F567" s="204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  <c r="AA567" s="200"/>
    </row>
    <row r="568">
      <c r="A568" s="200"/>
      <c r="B568" s="200"/>
      <c r="C568" s="200"/>
      <c r="D568" s="200"/>
      <c r="E568" s="200"/>
      <c r="F568" s="204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  <c r="AA568" s="200"/>
    </row>
    <row r="569">
      <c r="A569" s="200"/>
      <c r="B569" s="200"/>
      <c r="C569" s="200"/>
      <c r="D569" s="200"/>
      <c r="E569" s="200"/>
      <c r="F569" s="204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  <c r="AA569" s="200"/>
    </row>
    <row r="570">
      <c r="A570" s="200"/>
      <c r="B570" s="200"/>
      <c r="C570" s="200"/>
      <c r="D570" s="200"/>
      <c r="E570" s="200"/>
      <c r="F570" s="204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  <c r="AA570" s="200"/>
    </row>
    <row r="571">
      <c r="A571" s="200"/>
      <c r="B571" s="200"/>
      <c r="C571" s="200"/>
      <c r="D571" s="200"/>
      <c r="E571" s="200"/>
      <c r="F571" s="204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  <c r="AA571" s="200"/>
    </row>
    <row r="572">
      <c r="A572" s="200"/>
      <c r="B572" s="200"/>
      <c r="C572" s="200"/>
      <c r="D572" s="200"/>
      <c r="E572" s="200"/>
      <c r="F572" s="204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  <c r="AA572" s="200"/>
    </row>
    <row r="573">
      <c r="A573" s="200"/>
      <c r="B573" s="200"/>
      <c r="C573" s="200"/>
      <c r="D573" s="200"/>
      <c r="E573" s="200"/>
      <c r="F573" s="204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  <c r="AA573" s="200"/>
    </row>
    <row r="574">
      <c r="A574" s="200"/>
      <c r="B574" s="200"/>
      <c r="C574" s="200"/>
      <c r="D574" s="200"/>
      <c r="E574" s="200"/>
      <c r="F574" s="204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  <c r="AA574" s="200"/>
    </row>
    <row r="575">
      <c r="A575" s="200"/>
      <c r="B575" s="200"/>
      <c r="C575" s="200"/>
      <c r="D575" s="200"/>
      <c r="E575" s="200"/>
      <c r="F575" s="204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  <c r="AA575" s="200"/>
    </row>
    <row r="576">
      <c r="A576" s="200"/>
      <c r="B576" s="200"/>
      <c r="C576" s="200"/>
      <c r="D576" s="200"/>
      <c r="E576" s="200"/>
      <c r="F576" s="204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  <c r="AA576" s="200"/>
    </row>
    <row r="577">
      <c r="A577" s="200"/>
      <c r="B577" s="200"/>
      <c r="C577" s="200"/>
      <c r="D577" s="200"/>
      <c r="E577" s="200"/>
      <c r="F577" s="204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  <c r="AA577" s="200"/>
    </row>
    <row r="578">
      <c r="A578" s="200"/>
      <c r="B578" s="200"/>
      <c r="C578" s="200"/>
      <c r="D578" s="200"/>
      <c r="E578" s="200"/>
      <c r="F578" s="204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  <c r="AA578" s="200"/>
    </row>
    <row r="579">
      <c r="A579" s="200"/>
      <c r="B579" s="200"/>
      <c r="C579" s="200"/>
      <c r="D579" s="200"/>
      <c r="E579" s="200"/>
      <c r="F579" s="204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  <c r="AA579" s="200"/>
    </row>
    <row r="580">
      <c r="A580" s="200"/>
      <c r="B580" s="200"/>
      <c r="C580" s="200"/>
      <c r="D580" s="200"/>
      <c r="E580" s="200"/>
      <c r="F580" s="204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</row>
    <row r="581">
      <c r="A581" s="200"/>
      <c r="B581" s="200"/>
      <c r="C581" s="200"/>
      <c r="D581" s="200"/>
      <c r="E581" s="200"/>
      <c r="F581" s="204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  <c r="AA581" s="200"/>
    </row>
    <row r="582">
      <c r="A582" s="200"/>
      <c r="B582" s="200"/>
      <c r="C582" s="200"/>
      <c r="D582" s="200"/>
      <c r="E582" s="200"/>
      <c r="F582" s="204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  <c r="AA582" s="200"/>
    </row>
    <row r="583">
      <c r="A583" s="200"/>
      <c r="B583" s="200"/>
      <c r="C583" s="200"/>
      <c r="D583" s="200"/>
      <c r="E583" s="200"/>
      <c r="F583" s="204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  <c r="AA583" s="200"/>
    </row>
    <row r="584">
      <c r="A584" s="200"/>
      <c r="B584" s="200"/>
      <c r="C584" s="200"/>
      <c r="D584" s="200"/>
      <c r="E584" s="200"/>
      <c r="F584" s="204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  <c r="AA584" s="200"/>
    </row>
    <row r="585">
      <c r="A585" s="200"/>
      <c r="B585" s="200"/>
      <c r="C585" s="200"/>
      <c r="D585" s="200"/>
      <c r="E585" s="200"/>
      <c r="F585" s="204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  <c r="AA585" s="200"/>
    </row>
    <row r="586">
      <c r="A586" s="200"/>
      <c r="B586" s="200"/>
      <c r="C586" s="200"/>
      <c r="D586" s="200"/>
      <c r="E586" s="200"/>
      <c r="F586" s="204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  <c r="AA586" s="200"/>
    </row>
    <row r="587">
      <c r="A587" s="200"/>
      <c r="B587" s="200"/>
      <c r="C587" s="200"/>
      <c r="D587" s="200"/>
      <c r="E587" s="200"/>
      <c r="F587" s="204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  <c r="AA587" s="200"/>
    </row>
    <row r="588">
      <c r="A588" s="200"/>
      <c r="B588" s="200"/>
      <c r="C588" s="200"/>
      <c r="D588" s="200"/>
      <c r="E588" s="200"/>
      <c r="F588" s="204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  <c r="AA588" s="200"/>
    </row>
    <row r="589">
      <c r="A589" s="200"/>
      <c r="B589" s="200"/>
      <c r="C589" s="200"/>
      <c r="D589" s="200"/>
      <c r="E589" s="200"/>
      <c r="F589" s="204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  <c r="AA589" s="200"/>
    </row>
    <row r="590">
      <c r="A590" s="200"/>
      <c r="B590" s="200"/>
      <c r="C590" s="200"/>
      <c r="D590" s="200"/>
      <c r="E590" s="200"/>
      <c r="F590" s="204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  <c r="AA590" s="200"/>
    </row>
    <row r="591">
      <c r="A591" s="200"/>
      <c r="B591" s="200"/>
      <c r="C591" s="200"/>
      <c r="D591" s="200"/>
      <c r="E591" s="200"/>
      <c r="F591" s="204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  <c r="AA591" s="200"/>
    </row>
    <row r="592">
      <c r="A592" s="200"/>
      <c r="B592" s="200"/>
      <c r="C592" s="200"/>
      <c r="D592" s="200"/>
      <c r="E592" s="200"/>
      <c r="F592" s="204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  <c r="AA592" s="200"/>
    </row>
    <row r="593">
      <c r="A593" s="200"/>
      <c r="B593" s="200"/>
      <c r="C593" s="200"/>
      <c r="D593" s="200"/>
      <c r="E593" s="200"/>
      <c r="F593" s="204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  <c r="AA593" s="200"/>
    </row>
    <row r="594">
      <c r="A594" s="200"/>
      <c r="B594" s="200"/>
      <c r="C594" s="200"/>
      <c r="D594" s="200"/>
      <c r="E594" s="200"/>
      <c r="F594" s="204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  <c r="AA594" s="200"/>
    </row>
    <row r="595">
      <c r="A595" s="200"/>
      <c r="B595" s="200"/>
      <c r="C595" s="200"/>
      <c r="D595" s="200"/>
      <c r="E595" s="200"/>
      <c r="F595" s="204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  <c r="AA595" s="200"/>
    </row>
    <row r="596">
      <c r="A596" s="200"/>
      <c r="B596" s="200"/>
      <c r="C596" s="200"/>
      <c r="D596" s="200"/>
      <c r="E596" s="200"/>
      <c r="F596" s="204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  <c r="AA596" s="200"/>
    </row>
    <row r="597">
      <c r="A597" s="200"/>
      <c r="B597" s="200"/>
      <c r="C597" s="200"/>
      <c r="D597" s="200"/>
      <c r="E597" s="200"/>
      <c r="F597" s="204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  <c r="AA597" s="200"/>
    </row>
    <row r="598">
      <c r="A598" s="200"/>
      <c r="B598" s="200"/>
      <c r="C598" s="200"/>
      <c r="D598" s="200"/>
      <c r="E598" s="200"/>
      <c r="F598" s="204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  <c r="AA598" s="200"/>
    </row>
    <row r="599">
      <c r="A599" s="200"/>
      <c r="B599" s="200"/>
      <c r="C599" s="200"/>
      <c r="D599" s="200"/>
      <c r="E599" s="200"/>
      <c r="F599" s="204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  <c r="AA599" s="200"/>
    </row>
    <row r="600">
      <c r="A600" s="200"/>
      <c r="B600" s="200"/>
      <c r="C600" s="200"/>
      <c r="D600" s="200"/>
      <c r="E600" s="200"/>
      <c r="F600" s="204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  <c r="AA600" s="200"/>
    </row>
    <row r="601">
      <c r="A601" s="200"/>
      <c r="B601" s="200"/>
      <c r="C601" s="200"/>
      <c r="D601" s="200"/>
      <c r="E601" s="200"/>
      <c r="F601" s="204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  <c r="AA601" s="200"/>
    </row>
    <row r="602">
      <c r="A602" s="200"/>
      <c r="B602" s="200"/>
      <c r="C602" s="200"/>
      <c r="D602" s="200"/>
      <c r="E602" s="200"/>
      <c r="F602" s="204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  <c r="AA602" s="200"/>
    </row>
    <row r="603">
      <c r="A603" s="200"/>
      <c r="B603" s="200"/>
      <c r="C603" s="200"/>
      <c r="D603" s="200"/>
      <c r="E603" s="200"/>
      <c r="F603" s="204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  <c r="AA603" s="200"/>
    </row>
    <row r="604">
      <c r="A604" s="200"/>
      <c r="B604" s="200"/>
      <c r="C604" s="200"/>
      <c r="D604" s="200"/>
      <c r="E604" s="200"/>
      <c r="F604" s="204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  <c r="AA604" s="200"/>
    </row>
    <row r="605">
      <c r="A605" s="200"/>
      <c r="B605" s="200"/>
      <c r="C605" s="200"/>
      <c r="D605" s="200"/>
      <c r="E605" s="200"/>
      <c r="F605" s="204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  <c r="AA605" s="200"/>
    </row>
    <row r="606">
      <c r="A606" s="200"/>
      <c r="B606" s="200"/>
      <c r="C606" s="200"/>
      <c r="D606" s="200"/>
      <c r="E606" s="200"/>
      <c r="F606" s="204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  <c r="AA606" s="200"/>
    </row>
    <row r="607">
      <c r="A607" s="200"/>
      <c r="B607" s="200"/>
      <c r="C607" s="200"/>
      <c r="D607" s="200"/>
      <c r="E607" s="200"/>
      <c r="F607" s="204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  <c r="AA607" s="200"/>
    </row>
    <row r="608">
      <c r="A608" s="200"/>
      <c r="B608" s="200"/>
      <c r="C608" s="200"/>
      <c r="D608" s="200"/>
      <c r="E608" s="200"/>
      <c r="F608" s="204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  <c r="AA608" s="200"/>
    </row>
    <row r="609">
      <c r="A609" s="200"/>
      <c r="B609" s="200"/>
      <c r="C609" s="200"/>
      <c r="D609" s="200"/>
      <c r="E609" s="200"/>
      <c r="F609" s="204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  <c r="AA609" s="200"/>
    </row>
    <row r="610">
      <c r="A610" s="200"/>
      <c r="B610" s="200"/>
      <c r="C610" s="200"/>
      <c r="D610" s="200"/>
      <c r="E610" s="200"/>
      <c r="F610" s="204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  <c r="AA610" s="200"/>
    </row>
    <row r="611">
      <c r="A611" s="200"/>
      <c r="B611" s="200"/>
      <c r="C611" s="200"/>
      <c r="D611" s="200"/>
      <c r="E611" s="200"/>
      <c r="F611" s="204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  <c r="AA611" s="200"/>
    </row>
    <row r="612">
      <c r="A612" s="200"/>
      <c r="B612" s="200"/>
      <c r="C612" s="200"/>
      <c r="D612" s="200"/>
      <c r="E612" s="200"/>
      <c r="F612" s="204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  <c r="AA612" s="200"/>
    </row>
    <row r="613">
      <c r="A613" s="200"/>
      <c r="B613" s="200"/>
      <c r="C613" s="200"/>
      <c r="D613" s="200"/>
      <c r="E613" s="200"/>
      <c r="F613" s="204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  <c r="AA613" s="200"/>
    </row>
    <row r="614">
      <c r="A614" s="200"/>
      <c r="B614" s="200"/>
      <c r="C614" s="200"/>
      <c r="D614" s="200"/>
      <c r="E614" s="200"/>
      <c r="F614" s="204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  <c r="AA614" s="200"/>
    </row>
    <row r="615">
      <c r="A615" s="200"/>
      <c r="B615" s="200"/>
      <c r="C615" s="200"/>
      <c r="D615" s="200"/>
      <c r="E615" s="200"/>
      <c r="F615" s="204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  <c r="AA615" s="200"/>
    </row>
    <row r="616">
      <c r="A616" s="200"/>
      <c r="B616" s="200"/>
      <c r="C616" s="200"/>
      <c r="D616" s="200"/>
      <c r="E616" s="200"/>
      <c r="F616" s="204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  <c r="AA616" s="200"/>
    </row>
    <row r="617">
      <c r="A617" s="200"/>
      <c r="B617" s="200"/>
      <c r="C617" s="200"/>
      <c r="D617" s="200"/>
      <c r="E617" s="200"/>
      <c r="F617" s="204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  <c r="AA617" s="200"/>
    </row>
    <row r="618">
      <c r="A618" s="200"/>
      <c r="B618" s="200"/>
      <c r="C618" s="200"/>
      <c r="D618" s="200"/>
      <c r="E618" s="200"/>
      <c r="F618" s="204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  <c r="AA618" s="200"/>
    </row>
    <row r="619">
      <c r="A619" s="200"/>
      <c r="B619" s="200"/>
      <c r="C619" s="200"/>
      <c r="D619" s="200"/>
      <c r="E619" s="200"/>
      <c r="F619" s="204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  <c r="AA619" s="200"/>
    </row>
    <row r="620">
      <c r="A620" s="200"/>
      <c r="B620" s="200"/>
      <c r="C620" s="200"/>
      <c r="D620" s="200"/>
      <c r="E620" s="200"/>
      <c r="F620" s="204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  <c r="AA620" s="200"/>
    </row>
    <row r="621">
      <c r="A621" s="200"/>
      <c r="B621" s="200"/>
      <c r="C621" s="200"/>
      <c r="D621" s="200"/>
      <c r="E621" s="200"/>
      <c r="F621" s="204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  <c r="AA621" s="200"/>
    </row>
    <row r="622">
      <c r="A622" s="200"/>
      <c r="B622" s="200"/>
      <c r="C622" s="200"/>
      <c r="D622" s="200"/>
      <c r="E622" s="200"/>
      <c r="F622" s="204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  <c r="AA622" s="200"/>
    </row>
    <row r="623">
      <c r="A623" s="200"/>
      <c r="B623" s="200"/>
      <c r="C623" s="200"/>
      <c r="D623" s="200"/>
      <c r="E623" s="200"/>
      <c r="F623" s="204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  <c r="AA623" s="200"/>
    </row>
    <row r="624">
      <c r="A624" s="200"/>
      <c r="B624" s="200"/>
      <c r="C624" s="200"/>
      <c r="D624" s="200"/>
      <c r="E624" s="200"/>
      <c r="F624" s="204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  <c r="AA624" s="200"/>
    </row>
    <row r="625">
      <c r="A625" s="200"/>
      <c r="B625" s="200"/>
      <c r="C625" s="200"/>
      <c r="D625" s="200"/>
      <c r="E625" s="200"/>
      <c r="F625" s="204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  <c r="AA625" s="200"/>
    </row>
    <row r="626">
      <c r="A626" s="200"/>
      <c r="B626" s="200"/>
      <c r="C626" s="200"/>
      <c r="D626" s="200"/>
      <c r="E626" s="200"/>
      <c r="F626" s="204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  <c r="AA626" s="200"/>
    </row>
    <row r="627">
      <c r="A627" s="200"/>
      <c r="B627" s="200"/>
      <c r="C627" s="200"/>
      <c r="D627" s="200"/>
      <c r="E627" s="200"/>
      <c r="F627" s="204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  <c r="AA627" s="200"/>
    </row>
    <row r="628">
      <c r="A628" s="200"/>
      <c r="B628" s="200"/>
      <c r="C628" s="200"/>
      <c r="D628" s="200"/>
      <c r="E628" s="200"/>
      <c r="F628" s="204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  <c r="AA628" s="200"/>
    </row>
    <row r="629">
      <c r="A629" s="200"/>
      <c r="B629" s="200"/>
      <c r="C629" s="200"/>
      <c r="D629" s="200"/>
      <c r="E629" s="200"/>
      <c r="F629" s="204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  <c r="AA629" s="200"/>
    </row>
    <row r="630">
      <c r="A630" s="200"/>
      <c r="B630" s="200"/>
      <c r="C630" s="200"/>
      <c r="D630" s="200"/>
      <c r="E630" s="200"/>
      <c r="F630" s="204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  <c r="AA630" s="200"/>
    </row>
    <row r="631">
      <c r="A631" s="200"/>
      <c r="B631" s="200"/>
      <c r="C631" s="200"/>
      <c r="D631" s="200"/>
      <c r="E631" s="200"/>
      <c r="F631" s="204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  <c r="AA631" s="200"/>
    </row>
    <row r="632">
      <c r="A632" s="200"/>
      <c r="B632" s="200"/>
      <c r="C632" s="200"/>
      <c r="D632" s="200"/>
      <c r="E632" s="200"/>
      <c r="F632" s="204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  <c r="AA632" s="200"/>
    </row>
    <row r="633">
      <c r="A633" s="200"/>
      <c r="B633" s="200"/>
      <c r="C633" s="200"/>
      <c r="D633" s="200"/>
      <c r="E633" s="200"/>
      <c r="F633" s="204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  <c r="AA633" s="200"/>
    </row>
    <row r="634">
      <c r="A634" s="200"/>
      <c r="B634" s="200"/>
      <c r="C634" s="200"/>
      <c r="D634" s="200"/>
      <c r="E634" s="200"/>
      <c r="F634" s="204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  <c r="AA634" s="200"/>
    </row>
    <row r="635">
      <c r="A635" s="200"/>
      <c r="B635" s="200"/>
      <c r="C635" s="200"/>
      <c r="D635" s="200"/>
      <c r="E635" s="200"/>
      <c r="F635" s="204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  <c r="AA635" s="200"/>
    </row>
    <row r="636">
      <c r="A636" s="200"/>
      <c r="B636" s="200"/>
      <c r="C636" s="200"/>
      <c r="D636" s="200"/>
      <c r="E636" s="200"/>
      <c r="F636" s="204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  <c r="AA636" s="200"/>
    </row>
    <row r="637">
      <c r="A637" s="200"/>
      <c r="B637" s="200"/>
      <c r="C637" s="200"/>
      <c r="D637" s="200"/>
      <c r="E637" s="200"/>
      <c r="F637" s="204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  <c r="AA637" s="200"/>
    </row>
    <row r="638">
      <c r="A638" s="200"/>
      <c r="B638" s="200"/>
      <c r="C638" s="200"/>
      <c r="D638" s="200"/>
      <c r="E638" s="200"/>
      <c r="F638" s="204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  <c r="AA638" s="200"/>
    </row>
    <row r="639">
      <c r="A639" s="200"/>
      <c r="B639" s="200"/>
      <c r="C639" s="200"/>
      <c r="D639" s="200"/>
      <c r="E639" s="200"/>
      <c r="F639" s="204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  <c r="AA639" s="200"/>
    </row>
    <row r="640">
      <c r="A640" s="200"/>
      <c r="B640" s="200"/>
      <c r="C640" s="200"/>
      <c r="D640" s="200"/>
      <c r="E640" s="200"/>
      <c r="F640" s="204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  <c r="AA640" s="200"/>
    </row>
    <row r="641">
      <c r="A641" s="200"/>
      <c r="B641" s="200"/>
      <c r="C641" s="200"/>
      <c r="D641" s="200"/>
      <c r="E641" s="200"/>
      <c r="F641" s="204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  <c r="AA641" s="200"/>
    </row>
    <row r="642">
      <c r="A642" s="200"/>
      <c r="B642" s="200"/>
      <c r="C642" s="200"/>
      <c r="D642" s="200"/>
      <c r="E642" s="200"/>
      <c r="F642" s="204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  <c r="AA642" s="200"/>
    </row>
    <row r="643">
      <c r="A643" s="200"/>
      <c r="B643" s="200"/>
      <c r="C643" s="200"/>
      <c r="D643" s="200"/>
      <c r="E643" s="200"/>
      <c r="F643" s="204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  <c r="AA643" s="200"/>
    </row>
    <row r="644">
      <c r="A644" s="200"/>
      <c r="B644" s="200"/>
      <c r="C644" s="200"/>
      <c r="D644" s="200"/>
      <c r="E644" s="200"/>
      <c r="F644" s="204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  <c r="AA644" s="200"/>
    </row>
    <row r="645">
      <c r="A645" s="200"/>
      <c r="B645" s="200"/>
      <c r="C645" s="200"/>
      <c r="D645" s="200"/>
      <c r="E645" s="200"/>
      <c r="F645" s="204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  <c r="AA645" s="200"/>
    </row>
    <row r="646">
      <c r="A646" s="200"/>
      <c r="B646" s="200"/>
      <c r="C646" s="200"/>
      <c r="D646" s="200"/>
      <c r="E646" s="200"/>
      <c r="F646" s="204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  <c r="AA646" s="200"/>
    </row>
    <row r="647">
      <c r="A647" s="200"/>
      <c r="B647" s="200"/>
      <c r="C647" s="200"/>
      <c r="D647" s="200"/>
      <c r="E647" s="200"/>
      <c r="F647" s="204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  <c r="AA647" s="200"/>
    </row>
    <row r="648">
      <c r="A648" s="200"/>
      <c r="B648" s="200"/>
      <c r="C648" s="200"/>
      <c r="D648" s="200"/>
      <c r="E648" s="200"/>
      <c r="F648" s="204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  <c r="AA648" s="200"/>
    </row>
    <row r="649">
      <c r="A649" s="200"/>
      <c r="B649" s="200"/>
      <c r="C649" s="200"/>
      <c r="D649" s="200"/>
      <c r="E649" s="200"/>
      <c r="F649" s="204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  <c r="AA649" s="200"/>
    </row>
    <row r="650">
      <c r="A650" s="200"/>
      <c r="B650" s="200"/>
      <c r="C650" s="200"/>
      <c r="D650" s="200"/>
      <c r="E650" s="200"/>
      <c r="F650" s="204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  <c r="AA650" s="200"/>
    </row>
    <row r="651">
      <c r="A651" s="200"/>
      <c r="B651" s="200"/>
      <c r="C651" s="200"/>
      <c r="D651" s="200"/>
      <c r="E651" s="200"/>
      <c r="F651" s="204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  <c r="AA651" s="200"/>
    </row>
    <row r="652">
      <c r="A652" s="200"/>
      <c r="B652" s="200"/>
      <c r="C652" s="200"/>
      <c r="D652" s="200"/>
      <c r="E652" s="200"/>
      <c r="F652" s="204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  <c r="AA652" s="200"/>
    </row>
    <row r="653">
      <c r="A653" s="200"/>
      <c r="B653" s="200"/>
      <c r="C653" s="200"/>
      <c r="D653" s="200"/>
      <c r="E653" s="200"/>
      <c r="F653" s="204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  <c r="AA653" s="200"/>
    </row>
    <row r="654">
      <c r="A654" s="200"/>
      <c r="B654" s="200"/>
      <c r="C654" s="200"/>
      <c r="D654" s="200"/>
      <c r="E654" s="200"/>
      <c r="F654" s="204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  <c r="AA654" s="200"/>
    </row>
    <row r="655">
      <c r="A655" s="200"/>
      <c r="B655" s="200"/>
      <c r="C655" s="200"/>
      <c r="D655" s="200"/>
      <c r="E655" s="200"/>
      <c r="F655" s="204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  <c r="AA655" s="200"/>
    </row>
    <row r="656">
      <c r="A656" s="200"/>
      <c r="B656" s="200"/>
      <c r="C656" s="200"/>
      <c r="D656" s="200"/>
      <c r="E656" s="200"/>
      <c r="F656" s="204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  <c r="AA656" s="200"/>
    </row>
    <row r="657">
      <c r="A657" s="200"/>
      <c r="B657" s="200"/>
      <c r="C657" s="200"/>
      <c r="D657" s="200"/>
      <c r="E657" s="200"/>
      <c r="F657" s="204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  <c r="AA657" s="200"/>
    </row>
    <row r="658">
      <c r="A658" s="200"/>
      <c r="B658" s="200"/>
      <c r="C658" s="200"/>
      <c r="D658" s="200"/>
      <c r="E658" s="200"/>
      <c r="F658" s="204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  <c r="AA658" s="200"/>
    </row>
    <row r="659">
      <c r="A659" s="200"/>
      <c r="B659" s="200"/>
      <c r="C659" s="200"/>
      <c r="D659" s="200"/>
      <c r="E659" s="200"/>
      <c r="F659" s="204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  <c r="AA659" s="200"/>
    </row>
    <row r="660">
      <c r="A660" s="200"/>
      <c r="B660" s="200"/>
      <c r="C660" s="200"/>
      <c r="D660" s="200"/>
      <c r="E660" s="200"/>
      <c r="F660" s="204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  <c r="AA660" s="200"/>
    </row>
    <row r="661">
      <c r="A661" s="200"/>
      <c r="B661" s="200"/>
      <c r="C661" s="200"/>
      <c r="D661" s="200"/>
      <c r="E661" s="200"/>
      <c r="F661" s="204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  <c r="AA661" s="200"/>
    </row>
    <row r="662">
      <c r="A662" s="200"/>
      <c r="B662" s="200"/>
      <c r="C662" s="200"/>
      <c r="D662" s="200"/>
      <c r="E662" s="200"/>
      <c r="F662" s="204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  <c r="AA662" s="200"/>
    </row>
    <row r="663">
      <c r="A663" s="200"/>
      <c r="B663" s="200"/>
      <c r="C663" s="200"/>
      <c r="D663" s="200"/>
      <c r="E663" s="200"/>
      <c r="F663" s="204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  <c r="AA663" s="200"/>
    </row>
    <row r="664">
      <c r="A664" s="200"/>
      <c r="B664" s="200"/>
      <c r="C664" s="200"/>
      <c r="D664" s="200"/>
      <c r="E664" s="200"/>
      <c r="F664" s="204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  <c r="AA664" s="200"/>
    </row>
    <row r="665">
      <c r="A665" s="200"/>
      <c r="B665" s="200"/>
      <c r="C665" s="200"/>
      <c r="D665" s="200"/>
      <c r="E665" s="200"/>
      <c r="F665" s="204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  <c r="AA665" s="200"/>
    </row>
    <row r="666">
      <c r="A666" s="200"/>
      <c r="B666" s="200"/>
      <c r="C666" s="200"/>
      <c r="D666" s="200"/>
      <c r="E666" s="200"/>
      <c r="F666" s="204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  <c r="AA666" s="200"/>
    </row>
    <row r="667">
      <c r="A667" s="200"/>
      <c r="B667" s="200"/>
      <c r="C667" s="200"/>
      <c r="D667" s="200"/>
      <c r="E667" s="200"/>
      <c r="F667" s="204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  <c r="AA667" s="200"/>
    </row>
    <row r="668">
      <c r="A668" s="200"/>
      <c r="B668" s="200"/>
      <c r="C668" s="200"/>
      <c r="D668" s="200"/>
      <c r="E668" s="200"/>
      <c r="F668" s="204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  <c r="AA668" s="200"/>
    </row>
    <row r="669">
      <c r="A669" s="200"/>
      <c r="B669" s="200"/>
      <c r="C669" s="200"/>
      <c r="D669" s="200"/>
      <c r="E669" s="200"/>
      <c r="F669" s="204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  <c r="AA669" s="200"/>
    </row>
    <row r="670">
      <c r="A670" s="200"/>
      <c r="B670" s="200"/>
      <c r="C670" s="200"/>
      <c r="D670" s="200"/>
      <c r="E670" s="200"/>
      <c r="F670" s="204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  <c r="AA670" s="200"/>
    </row>
    <row r="671">
      <c r="A671" s="200"/>
      <c r="B671" s="200"/>
      <c r="C671" s="200"/>
      <c r="D671" s="200"/>
      <c r="E671" s="200"/>
      <c r="F671" s="204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  <c r="AA671" s="200"/>
    </row>
    <row r="672">
      <c r="A672" s="200"/>
      <c r="B672" s="200"/>
      <c r="C672" s="200"/>
      <c r="D672" s="200"/>
      <c r="E672" s="200"/>
      <c r="F672" s="204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  <c r="AA672" s="200"/>
    </row>
    <row r="673">
      <c r="A673" s="200"/>
      <c r="B673" s="200"/>
      <c r="C673" s="200"/>
      <c r="D673" s="200"/>
      <c r="E673" s="200"/>
      <c r="F673" s="204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  <c r="AA673" s="200"/>
    </row>
    <row r="674">
      <c r="A674" s="200"/>
      <c r="B674" s="200"/>
      <c r="C674" s="200"/>
      <c r="D674" s="200"/>
      <c r="E674" s="200"/>
      <c r="F674" s="204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  <c r="AA674" s="200"/>
    </row>
    <row r="675">
      <c r="A675" s="200"/>
      <c r="B675" s="200"/>
      <c r="C675" s="200"/>
      <c r="D675" s="200"/>
      <c r="E675" s="200"/>
      <c r="F675" s="204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  <c r="AA675" s="200"/>
    </row>
    <row r="676">
      <c r="A676" s="200"/>
      <c r="B676" s="200"/>
      <c r="C676" s="200"/>
      <c r="D676" s="200"/>
      <c r="E676" s="200"/>
      <c r="F676" s="204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  <c r="AA676" s="200"/>
    </row>
    <row r="677">
      <c r="A677" s="200"/>
      <c r="B677" s="200"/>
      <c r="C677" s="200"/>
      <c r="D677" s="200"/>
      <c r="E677" s="200"/>
      <c r="F677" s="204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  <c r="AA677" s="200"/>
    </row>
    <row r="678">
      <c r="A678" s="200"/>
      <c r="B678" s="200"/>
      <c r="C678" s="200"/>
      <c r="D678" s="200"/>
      <c r="E678" s="200"/>
      <c r="F678" s="204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  <c r="AA678" s="200"/>
    </row>
    <row r="679">
      <c r="A679" s="200"/>
      <c r="B679" s="200"/>
      <c r="C679" s="200"/>
      <c r="D679" s="200"/>
      <c r="E679" s="200"/>
      <c r="F679" s="204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  <c r="AA679" s="200"/>
    </row>
    <row r="680">
      <c r="A680" s="200"/>
      <c r="B680" s="200"/>
      <c r="C680" s="200"/>
      <c r="D680" s="200"/>
      <c r="E680" s="200"/>
      <c r="F680" s="204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  <c r="AA680" s="200"/>
    </row>
    <row r="681">
      <c r="A681" s="200"/>
      <c r="B681" s="200"/>
      <c r="C681" s="200"/>
      <c r="D681" s="200"/>
      <c r="E681" s="200"/>
      <c r="F681" s="204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  <c r="AA681" s="200"/>
    </row>
    <row r="682">
      <c r="A682" s="200"/>
      <c r="B682" s="200"/>
      <c r="C682" s="200"/>
      <c r="D682" s="200"/>
      <c r="E682" s="200"/>
      <c r="F682" s="204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  <c r="AA682" s="200"/>
    </row>
    <row r="683">
      <c r="A683" s="200"/>
      <c r="B683" s="200"/>
      <c r="C683" s="200"/>
      <c r="D683" s="200"/>
      <c r="E683" s="200"/>
      <c r="F683" s="204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  <c r="AA683" s="200"/>
    </row>
    <row r="684">
      <c r="A684" s="200"/>
      <c r="B684" s="200"/>
      <c r="C684" s="200"/>
      <c r="D684" s="200"/>
      <c r="E684" s="200"/>
      <c r="F684" s="204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  <c r="AA684" s="200"/>
    </row>
    <row r="685">
      <c r="A685" s="200"/>
      <c r="B685" s="200"/>
      <c r="C685" s="200"/>
      <c r="D685" s="200"/>
      <c r="E685" s="200"/>
      <c r="F685" s="204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  <c r="AA685" s="200"/>
    </row>
    <row r="686">
      <c r="A686" s="200"/>
      <c r="B686" s="200"/>
      <c r="C686" s="200"/>
      <c r="D686" s="200"/>
      <c r="E686" s="200"/>
      <c r="F686" s="204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  <c r="AA686" s="200"/>
    </row>
    <row r="687">
      <c r="A687" s="200"/>
      <c r="B687" s="200"/>
      <c r="C687" s="200"/>
      <c r="D687" s="200"/>
      <c r="E687" s="200"/>
      <c r="F687" s="204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  <c r="AA687" s="200"/>
    </row>
    <row r="688">
      <c r="A688" s="200"/>
      <c r="B688" s="200"/>
      <c r="C688" s="200"/>
      <c r="D688" s="200"/>
      <c r="E688" s="200"/>
      <c r="F688" s="204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  <c r="AA688" s="200"/>
    </row>
    <row r="689">
      <c r="A689" s="200"/>
      <c r="B689" s="200"/>
      <c r="C689" s="200"/>
      <c r="D689" s="200"/>
      <c r="E689" s="200"/>
      <c r="F689" s="204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  <c r="AA689" s="200"/>
    </row>
    <row r="690">
      <c r="A690" s="200"/>
      <c r="B690" s="200"/>
      <c r="C690" s="200"/>
      <c r="D690" s="200"/>
      <c r="E690" s="200"/>
      <c r="F690" s="204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  <c r="AA690" s="200"/>
    </row>
    <row r="691">
      <c r="A691" s="200"/>
      <c r="B691" s="200"/>
      <c r="C691" s="200"/>
      <c r="D691" s="200"/>
      <c r="E691" s="200"/>
      <c r="F691" s="204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  <c r="AA691" s="200"/>
    </row>
    <row r="692">
      <c r="A692" s="200"/>
      <c r="B692" s="200"/>
      <c r="C692" s="200"/>
      <c r="D692" s="200"/>
      <c r="E692" s="200"/>
      <c r="F692" s="204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  <c r="AA692" s="200"/>
    </row>
    <row r="693">
      <c r="A693" s="200"/>
      <c r="B693" s="200"/>
      <c r="C693" s="200"/>
      <c r="D693" s="200"/>
      <c r="E693" s="200"/>
      <c r="F693" s="204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  <c r="AA693" s="200"/>
    </row>
    <row r="694">
      <c r="A694" s="200"/>
      <c r="B694" s="200"/>
      <c r="C694" s="200"/>
      <c r="D694" s="200"/>
      <c r="E694" s="200"/>
      <c r="F694" s="204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  <c r="AA694" s="200"/>
    </row>
    <row r="695">
      <c r="A695" s="200"/>
      <c r="B695" s="200"/>
      <c r="C695" s="200"/>
      <c r="D695" s="200"/>
      <c r="E695" s="200"/>
      <c r="F695" s="204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  <c r="AA695" s="200"/>
    </row>
    <row r="696">
      <c r="A696" s="200"/>
      <c r="B696" s="200"/>
      <c r="C696" s="200"/>
      <c r="D696" s="200"/>
      <c r="E696" s="200"/>
      <c r="F696" s="204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  <c r="AA696" s="200"/>
    </row>
    <row r="697">
      <c r="A697" s="200"/>
      <c r="B697" s="200"/>
      <c r="C697" s="200"/>
      <c r="D697" s="200"/>
      <c r="E697" s="200"/>
      <c r="F697" s="204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  <c r="AA697" s="200"/>
    </row>
    <row r="698">
      <c r="A698" s="200"/>
      <c r="B698" s="200"/>
      <c r="C698" s="200"/>
      <c r="D698" s="200"/>
      <c r="E698" s="200"/>
      <c r="F698" s="204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  <c r="AA698" s="200"/>
    </row>
    <row r="699">
      <c r="A699" s="200"/>
      <c r="B699" s="200"/>
      <c r="C699" s="200"/>
      <c r="D699" s="200"/>
      <c r="E699" s="200"/>
      <c r="F699" s="204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  <c r="AA699" s="200"/>
    </row>
    <row r="700">
      <c r="A700" s="200"/>
      <c r="B700" s="200"/>
      <c r="C700" s="200"/>
      <c r="D700" s="200"/>
      <c r="E700" s="200"/>
      <c r="F700" s="204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  <c r="AA700" s="200"/>
    </row>
    <row r="701">
      <c r="A701" s="200"/>
      <c r="B701" s="200"/>
      <c r="C701" s="200"/>
      <c r="D701" s="200"/>
      <c r="E701" s="200"/>
      <c r="F701" s="204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  <c r="AA701" s="200"/>
    </row>
    <row r="702">
      <c r="A702" s="200"/>
      <c r="B702" s="200"/>
      <c r="C702" s="200"/>
      <c r="D702" s="200"/>
      <c r="E702" s="200"/>
      <c r="F702" s="204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  <c r="AA702" s="200"/>
    </row>
    <row r="703">
      <c r="A703" s="200"/>
      <c r="B703" s="200"/>
      <c r="C703" s="200"/>
      <c r="D703" s="200"/>
      <c r="E703" s="200"/>
      <c r="F703" s="204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  <c r="AA703" s="200"/>
    </row>
    <row r="704">
      <c r="A704" s="200"/>
      <c r="B704" s="200"/>
      <c r="C704" s="200"/>
      <c r="D704" s="200"/>
      <c r="E704" s="200"/>
      <c r="F704" s="204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  <c r="AA704" s="200"/>
    </row>
    <row r="705">
      <c r="A705" s="200"/>
      <c r="B705" s="200"/>
      <c r="C705" s="200"/>
      <c r="D705" s="200"/>
      <c r="E705" s="200"/>
      <c r="F705" s="204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  <c r="AA705" s="200"/>
    </row>
    <row r="706">
      <c r="A706" s="200"/>
      <c r="B706" s="200"/>
      <c r="C706" s="200"/>
      <c r="D706" s="200"/>
      <c r="E706" s="200"/>
      <c r="F706" s="204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  <c r="AA706" s="200"/>
    </row>
    <row r="707">
      <c r="A707" s="200"/>
      <c r="B707" s="200"/>
      <c r="C707" s="200"/>
      <c r="D707" s="200"/>
      <c r="E707" s="200"/>
      <c r="F707" s="204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  <c r="AA707" s="200"/>
    </row>
    <row r="708">
      <c r="A708" s="200"/>
      <c r="B708" s="200"/>
      <c r="C708" s="200"/>
      <c r="D708" s="200"/>
      <c r="E708" s="200"/>
      <c r="F708" s="204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  <c r="AA708" s="200"/>
    </row>
    <row r="709">
      <c r="A709" s="200"/>
      <c r="B709" s="200"/>
      <c r="C709" s="200"/>
      <c r="D709" s="200"/>
      <c r="E709" s="200"/>
      <c r="F709" s="204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  <c r="AA709" s="200"/>
    </row>
    <row r="710">
      <c r="A710" s="200"/>
      <c r="B710" s="200"/>
      <c r="C710" s="200"/>
      <c r="D710" s="200"/>
      <c r="E710" s="200"/>
      <c r="F710" s="204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  <c r="AA710" s="200"/>
    </row>
    <row r="711">
      <c r="A711" s="200"/>
      <c r="B711" s="200"/>
      <c r="C711" s="200"/>
      <c r="D711" s="200"/>
      <c r="E711" s="200"/>
      <c r="F711" s="204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  <c r="AA711" s="200"/>
    </row>
    <row r="712">
      <c r="A712" s="200"/>
      <c r="B712" s="200"/>
      <c r="C712" s="200"/>
      <c r="D712" s="200"/>
      <c r="E712" s="200"/>
      <c r="F712" s="204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  <c r="AA712" s="200"/>
    </row>
    <row r="713">
      <c r="A713" s="200"/>
      <c r="B713" s="200"/>
      <c r="C713" s="200"/>
      <c r="D713" s="200"/>
      <c r="E713" s="200"/>
      <c r="F713" s="204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  <c r="AA713" s="200"/>
    </row>
    <row r="714">
      <c r="A714" s="200"/>
      <c r="B714" s="200"/>
      <c r="C714" s="200"/>
      <c r="D714" s="200"/>
      <c r="E714" s="200"/>
      <c r="F714" s="204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  <c r="AA714" s="200"/>
    </row>
    <row r="715">
      <c r="A715" s="200"/>
      <c r="B715" s="200"/>
      <c r="C715" s="200"/>
      <c r="D715" s="200"/>
      <c r="E715" s="200"/>
      <c r="F715" s="204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  <c r="AA715" s="200"/>
    </row>
    <row r="716">
      <c r="A716" s="200"/>
      <c r="B716" s="200"/>
      <c r="C716" s="200"/>
      <c r="D716" s="200"/>
      <c r="E716" s="200"/>
      <c r="F716" s="204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  <c r="AA716" s="200"/>
    </row>
    <row r="717">
      <c r="A717" s="200"/>
      <c r="B717" s="200"/>
      <c r="C717" s="200"/>
      <c r="D717" s="200"/>
      <c r="E717" s="200"/>
      <c r="F717" s="204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  <c r="AA717" s="200"/>
    </row>
    <row r="718">
      <c r="A718" s="200"/>
      <c r="B718" s="200"/>
      <c r="C718" s="200"/>
      <c r="D718" s="200"/>
      <c r="E718" s="200"/>
      <c r="F718" s="204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  <c r="AA718" s="200"/>
    </row>
    <row r="719">
      <c r="A719" s="200"/>
      <c r="B719" s="200"/>
      <c r="C719" s="200"/>
      <c r="D719" s="200"/>
      <c r="E719" s="200"/>
      <c r="F719" s="204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  <c r="AA719" s="200"/>
    </row>
    <row r="720">
      <c r="A720" s="200"/>
      <c r="B720" s="200"/>
      <c r="C720" s="200"/>
      <c r="D720" s="200"/>
      <c r="E720" s="200"/>
      <c r="F720" s="204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  <c r="AA720" s="200"/>
    </row>
    <row r="721">
      <c r="A721" s="200"/>
      <c r="B721" s="200"/>
      <c r="C721" s="200"/>
      <c r="D721" s="200"/>
      <c r="E721" s="200"/>
      <c r="F721" s="204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  <c r="AA721" s="200"/>
    </row>
    <row r="722">
      <c r="A722" s="200"/>
      <c r="B722" s="200"/>
      <c r="C722" s="200"/>
      <c r="D722" s="200"/>
      <c r="E722" s="200"/>
      <c r="F722" s="204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  <c r="AA722" s="200"/>
    </row>
    <row r="723">
      <c r="A723" s="200"/>
      <c r="B723" s="200"/>
      <c r="C723" s="200"/>
      <c r="D723" s="200"/>
      <c r="E723" s="200"/>
      <c r="F723" s="204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  <c r="AA723" s="200"/>
    </row>
    <row r="724">
      <c r="A724" s="200"/>
      <c r="B724" s="200"/>
      <c r="C724" s="200"/>
      <c r="D724" s="200"/>
      <c r="E724" s="200"/>
      <c r="F724" s="204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  <c r="AA724" s="200"/>
    </row>
    <row r="725">
      <c r="A725" s="200"/>
      <c r="B725" s="200"/>
      <c r="C725" s="200"/>
      <c r="D725" s="200"/>
      <c r="E725" s="200"/>
      <c r="F725" s="204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  <c r="AA725" s="200"/>
    </row>
    <row r="726">
      <c r="A726" s="200"/>
      <c r="B726" s="200"/>
      <c r="C726" s="200"/>
      <c r="D726" s="200"/>
      <c r="E726" s="200"/>
      <c r="F726" s="204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  <c r="AA726" s="200"/>
    </row>
    <row r="727">
      <c r="A727" s="200"/>
      <c r="B727" s="200"/>
      <c r="C727" s="200"/>
      <c r="D727" s="200"/>
      <c r="E727" s="200"/>
      <c r="F727" s="204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  <c r="AA727" s="200"/>
    </row>
    <row r="728">
      <c r="A728" s="200"/>
      <c r="B728" s="200"/>
      <c r="C728" s="200"/>
      <c r="D728" s="200"/>
      <c r="E728" s="200"/>
      <c r="F728" s="204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  <c r="AA728" s="200"/>
    </row>
    <row r="729">
      <c r="A729" s="200"/>
      <c r="B729" s="200"/>
      <c r="C729" s="200"/>
      <c r="D729" s="200"/>
      <c r="E729" s="200"/>
      <c r="F729" s="204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  <c r="AA729" s="200"/>
    </row>
    <row r="730">
      <c r="A730" s="200"/>
      <c r="B730" s="200"/>
      <c r="C730" s="200"/>
      <c r="D730" s="200"/>
      <c r="E730" s="200"/>
      <c r="F730" s="204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  <c r="AA730" s="200"/>
    </row>
    <row r="731">
      <c r="A731" s="200"/>
      <c r="B731" s="200"/>
      <c r="C731" s="200"/>
      <c r="D731" s="200"/>
      <c r="E731" s="200"/>
      <c r="F731" s="204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  <c r="AA731" s="200"/>
    </row>
    <row r="732">
      <c r="A732" s="200"/>
      <c r="B732" s="200"/>
      <c r="C732" s="200"/>
      <c r="D732" s="200"/>
      <c r="E732" s="200"/>
      <c r="F732" s="204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  <c r="AA732" s="200"/>
    </row>
    <row r="733">
      <c r="A733" s="200"/>
      <c r="B733" s="200"/>
      <c r="C733" s="200"/>
      <c r="D733" s="200"/>
      <c r="E733" s="200"/>
      <c r="F733" s="204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  <c r="AA733" s="200"/>
    </row>
    <row r="734">
      <c r="A734" s="200"/>
      <c r="B734" s="200"/>
      <c r="C734" s="200"/>
      <c r="D734" s="200"/>
      <c r="E734" s="200"/>
      <c r="F734" s="204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  <c r="AA734" s="200"/>
    </row>
    <row r="735">
      <c r="A735" s="200"/>
      <c r="B735" s="200"/>
      <c r="C735" s="200"/>
      <c r="D735" s="200"/>
      <c r="E735" s="200"/>
      <c r="F735" s="204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  <c r="AA735" s="200"/>
    </row>
    <row r="736">
      <c r="A736" s="200"/>
      <c r="B736" s="200"/>
      <c r="C736" s="200"/>
      <c r="D736" s="200"/>
      <c r="E736" s="200"/>
      <c r="F736" s="204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  <c r="AA736" s="200"/>
    </row>
    <row r="737">
      <c r="A737" s="200"/>
      <c r="B737" s="200"/>
      <c r="C737" s="200"/>
      <c r="D737" s="200"/>
      <c r="E737" s="200"/>
      <c r="F737" s="204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  <c r="AA737" s="200"/>
    </row>
    <row r="738">
      <c r="A738" s="200"/>
      <c r="B738" s="200"/>
      <c r="C738" s="200"/>
      <c r="D738" s="200"/>
      <c r="E738" s="200"/>
      <c r="F738" s="204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  <c r="AA738" s="200"/>
    </row>
    <row r="739">
      <c r="A739" s="200"/>
      <c r="B739" s="200"/>
      <c r="C739" s="200"/>
      <c r="D739" s="200"/>
      <c r="E739" s="200"/>
      <c r="F739" s="204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  <c r="AA739" s="200"/>
    </row>
    <row r="740">
      <c r="A740" s="200"/>
      <c r="B740" s="200"/>
      <c r="C740" s="200"/>
      <c r="D740" s="200"/>
      <c r="E740" s="200"/>
      <c r="F740" s="204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  <c r="AA740" s="200"/>
    </row>
    <row r="741">
      <c r="A741" s="200"/>
      <c r="B741" s="200"/>
      <c r="C741" s="200"/>
      <c r="D741" s="200"/>
      <c r="E741" s="200"/>
      <c r="F741" s="204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  <c r="AA741" s="200"/>
    </row>
    <row r="742">
      <c r="A742" s="200"/>
      <c r="B742" s="200"/>
      <c r="C742" s="200"/>
      <c r="D742" s="200"/>
      <c r="E742" s="200"/>
      <c r="F742" s="204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  <c r="AA742" s="200"/>
    </row>
    <row r="743">
      <c r="A743" s="200"/>
      <c r="B743" s="200"/>
      <c r="C743" s="200"/>
      <c r="D743" s="200"/>
      <c r="E743" s="200"/>
      <c r="F743" s="204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  <c r="AA743" s="200"/>
    </row>
    <row r="744">
      <c r="A744" s="200"/>
      <c r="B744" s="200"/>
      <c r="C744" s="200"/>
      <c r="D744" s="200"/>
      <c r="E744" s="200"/>
      <c r="F744" s="204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  <c r="AA744" s="200"/>
    </row>
    <row r="745">
      <c r="A745" s="200"/>
      <c r="B745" s="200"/>
      <c r="C745" s="200"/>
      <c r="D745" s="200"/>
      <c r="E745" s="200"/>
      <c r="F745" s="204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  <c r="AA745" s="200"/>
    </row>
    <row r="746">
      <c r="A746" s="200"/>
      <c r="B746" s="200"/>
      <c r="C746" s="200"/>
      <c r="D746" s="200"/>
      <c r="E746" s="200"/>
      <c r="F746" s="204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  <c r="AA746" s="200"/>
    </row>
    <row r="747">
      <c r="A747" s="200"/>
      <c r="B747" s="200"/>
      <c r="C747" s="200"/>
      <c r="D747" s="200"/>
      <c r="E747" s="200"/>
      <c r="F747" s="204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  <c r="AA747" s="200"/>
    </row>
    <row r="748">
      <c r="A748" s="200"/>
      <c r="B748" s="200"/>
      <c r="C748" s="200"/>
      <c r="D748" s="200"/>
      <c r="E748" s="200"/>
      <c r="F748" s="204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  <c r="AA748" s="200"/>
    </row>
    <row r="749">
      <c r="A749" s="200"/>
      <c r="B749" s="200"/>
      <c r="C749" s="200"/>
      <c r="D749" s="200"/>
      <c r="E749" s="200"/>
      <c r="F749" s="204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  <c r="AA749" s="200"/>
    </row>
    <row r="750">
      <c r="A750" s="200"/>
      <c r="B750" s="200"/>
      <c r="C750" s="200"/>
      <c r="D750" s="200"/>
      <c r="E750" s="200"/>
      <c r="F750" s="204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  <c r="AA750" s="200"/>
    </row>
    <row r="751">
      <c r="A751" s="200"/>
      <c r="B751" s="200"/>
      <c r="C751" s="200"/>
      <c r="D751" s="200"/>
      <c r="E751" s="200"/>
      <c r="F751" s="204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  <c r="AA751" s="200"/>
    </row>
    <row r="752">
      <c r="A752" s="200"/>
      <c r="B752" s="200"/>
      <c r="C752" s="200"/>
      <c r="D752" s="200"/>
      <c r="E752" s="200"/>
      <c r="F752" s="204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  <c r="AA752" s="200"/>
    </row>
    <row r="753">
      <c r="A753" s="200"/>
      <c r="B753" s="200"/>
      <c r="C753" s="200"/>
      <c r="D753" s="200"/>
      <c r="E753" s="200"/>
      <c r="F753" s="204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  <c r="AA753" s="200"/>
    </row>
    <row r="754">
      <c r="A754" s="200"/>
      <c r="B754" s="200"/>
      <c r="C754" s="200"/>
      <c r="D754" s="200"/>
      <c r="E754" s="200"/>
      <c r="F754" s="204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  <c r="AA754" s="200"/>
    </row>
    <row r="755">
      <c r="A755" s="200"/>
      <c r="B755" s="200"/>
      <c r="C755" s="200"/>
      <c r="D755" s="200"/>
      <c r="E755" s="200"/>
      <c r="F755" s="204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  <c r="AA755" s="200"/>
    </row>
    <row r="756">
      <c r="A756" s="200"/>
      <c r="B756" s="200"/>
      <c r="C756" s="200"/>
      <c r="D756" s="200"/>
      <c r="E756" s="200"/>
      <c r="F756" s="204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  <c r="AA756" s="200"/>
    </row>
    <row r="757">
      <c r="A757" s="200"/>
      <c r="B757" s="200"/>
      <c r="C757" s="200"/>
      <c r="D757" s="200"/>
      <c r="E757" s="200"/>
      <c r="F757" s="204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  <c r="AA757" s="200"/>
    </row>
    <row r="758">
      <c r="A758" s="200"/>
      <c r="B758" s="200"/>
      <c r="C758" s="200"/>
      <c r="D758" s="200"/>
      <c r="E758" s="200"/>
      <c r="F758" s="204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  <c r="AA758" s="200"/>
    </row>
    <row r="759">
      <c r="A759" s="200"/>
      <c r="B759" s="200"/>
      <c r="C759" s="200"/>
      <c r="D759" s="200"/>
      <c r="E759" s="200"/>
      <c r="F759" s="204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  <c r="AA759" s="200"/>
    </row>
    <row r="760">
      <c r="A760" s="200"/>
      <c r="B760" s="200"/>
      <c r="C760" s="200"/>
      <c r="D760" s="200"/>
      <c r="E760" s="200"/>
      <c r="F760" s="204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  <c r="AA760" s="200"/>
    </row>
    <row r="761">
      <c r="A761" s="200"/>
      <c r="B761" s="200"/>
      <c r="C761" s="200"/>
      <c r="D761" s="200"/>
      <c r="E761" s="200"/>
      <c r="F761" s="204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  <c r="AA761" s="200"/>
    </row>
    <row r="762">
      <c r="A762" s="200"/>
      <c r="B762" s="200"/>
      <c r="C762" s="200"/>
      <c r="D762" s="200"/>
      <c r="E762" s="200"/>
      <c r="F762" s="204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  <c r="AA762" s="200"/>
    </row>
    <row r="763">
      <c r="A763" s="200"/>
      <c r="B763" s="200"/>
      <c r="C763" s="200"/>
      <c r="D763" s="200"/>
      <c r="E763" s="200"/>
      <c r="F763" s="204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  <c r="AA763" s="200"/>
    </row>
    <row r="764">
      <c r="A764" s="200"/>
      <c r="B764" s="200"/>
      <c r="C764" s="200"/>
      <c r="D764" s="200"/>
      <c r="E764" s="200"/>
      <c r="F764" s="204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  <c r="AA764" s="200"/>
    </row>
    <row r="765">
      <c r="A765" s="200"/>
      <c r="B765" s="200"/>
      <c r="C765" s="200"/>
      <c r="D765" s="200"/>
      <c r="E765" s="200"/>
      <c r="F765" s="204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  <c r="AA765" s="200"/>
    </row>
    <row r="766">
      <c r="A766" s="200"/>
      <c r="B766" s="200"/>
      <c r="C766" s="200"/>
      <c r="D766" s="200"/>
      <c r="E766" s="200"/>
      <c r="F766" s="204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  <c r="AA766" s="200"/>
    </row>
    <row r="767">
      <c r="A767" s="200"/>
      <c r="B767" s="200"/>
      <c r="C767" s="200"/>
      <c r="D767" s="200"/>
      <c r="E767" s="200"/>
      <c r="F767" s="204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  <c r="AA767" s="200"/>
    </row>
    <row r="768">
      <c r="A768" s="200"/>
      <c r="B768" s="200"/>
      <c r="C768" s="200"/>
      <c r="D768" s="200"/>
      <c r="E768" s="200"/>
      <c r="F768" s="204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  <c r="AA768" s="200"/>
    </row>
    <row r="769">
      <c r="A769" s="200"/>
      <c r="B769" s="200"/>
      <c r="C769" s="200"/>
      <c r="D769" s="200"/>
      <c r="E769" s="200"/>
      <c r="F769" s="204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  <c r="AA769" s="200"/>
    </row>
    <row r="770">
      <c r="A770" s="200"/>
      <c r="B770" s="200"/>
      <c r="C770" s="200"/>
      <c r="D770" s="200"/>
      <c r="E770" s="200"/>
      <c r="F770" s="204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  <c r="AA770" s="200"/>
    </row>
    <row r="771">
      <c r="A771" s="200"/>
      <c r="B771" s="200"/>
      <c r="C771" s="200"/>
      <c r="D771" s="200"/>
      <c r="E771" s="200"/>
      <c r="F771" s="204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  <c r="AA771" s="200"/>
    </row>
    <row r="772">
      <c r="A772" s="200"/>
      <c r="B772" s="200"/>
      <c r="C772" s="200"/>
      <c r="D772" s="200"/>
      <c r="E772" s="200"/>
      <c r="F772" s="204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  <c r="AA772" s="200"/>
    </row>
    <row r="773">
      <c r="A773" s="200"/>
      <c r="B773" s="200"/>
      <c r="C773" s="200"/>
      <c r="D773" s="200"/>
      <c r="E773" s="200"/>
      <c r="F773" s="204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  <c r="AA773" s="200"/>
    </row>
    <row r="774">
      <c r="A774" s="200"/>
      <c r="B774" s="200"/>
      <c r="C774" s="200"/>
      <c r="D774" s="200"/>
      <c r="E774" s="200"/>
      <c r="F774" s="204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  <c r="AA774" s="200"/>
    </row>
    <row r="775">
      <c r="A775" s="200"/>
      <c r="B775" s="200"/>
      <c r="C775" s="200"/>
      <c r="D775" s="200"/>
      <c r="E775" s="200"/>
      <c r="F775" s="204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  <c r="AA775" s="200"/>
    </row>
    <row r="776">
      <c r="A776" s="200"/>
      <c r="B776" s="200"/>
      <c r="C776" s="200"/>
      <c r="D776" s="200"/>
      <c r="E776" s="200"/>
      <c r="F776" s="204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  <c r="AA776" s="200"/>
    </row>
    <row r="777">
      <c r="A777" s="200"/>
      <c r="B777" s="200"/>
      <c r="C777" s="200"/>
      <c r="D777" s="200"/>
      <c r="E777" s="200"/>
      <c r="F777" s="204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  <c r="AA777" s="200"/>
    </row>
    <row r="778">
      <c r="A778" s="200"/>
      <c r="B778" s="200"/>
      <c r="C778" s="200"/>
      <c r="D778" s="200"/>
      <c r="E778" s="200"/>
      <c r="F778" s="204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  <c r="AA778" s="200"/>
    </row>
    <row r="779">
      <c r="A779" s="200"/>
      <c r="B779" s="200"/>
      <c r="C779" s="200"/>
      <c r="D779" s="200"/>
      <c r="E779" s="200"/>
      <c r="F779" s="204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  <c r="AA779" s="200"/>
    </row>
    <row r="780">
      <c r="A780" s="200"/>
      <c r="B780" s="200"/>
      <c r="C780" s="200"/>
      <c r="D780" s="200"/>
      <c r="E780" s="200"/>
      <c r="F780" s="204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  <c r="AA780" s="200"/>
    </row>
    <row r="781">
      <c r="A781" s="200"/>
      <c r="B781" s="200"/>
      <c r="C781" s="200"/>
      <c r="D781" s="200"/>
      <c r="E781" s="200"/>
      <c r="F781" s="204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  <c r="AA781" s="200"/>
    </row>
    <row r="782">
      <c r="A782" s="200"/>
      <c r="B782" s="200"/>
      <c r="C782" s="200"/>
      <c r="D782" s="200"/>
      <c r="E782" s="200"/>
      <c r="F782" s="204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  <c r="AA782" s="200"/>
    </row>
    <row r="783">
      <c r="A783" s="200"/>
      <c r="B783" s="200"/>
      <c r="C783" s="200"/>
      <c r="D783" s="200"/>
      <c r="E783" s="200"/>
      <c r="F783" s="204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  <c r="AA783" s="200"/>
    </row>
    <row r="784">
      <c r="A784" s="200"/>
      <c r="B784" s="200"/>
      <c r="C784" s="200"/>
      <c r="D784" s="200"/>
      <c r="E784" s="200"/>
      <c r="F784" s="204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  <c r="AA784" s="200"/>
    </row>
    <row r="785">
      <c r="A785" s="200"/>
      <c r="B785" s="200"/>
      <c r="C785" s="200"/>
      <c r="D785" s="200"/>
      <c r="E785" s="200"/>
      <c r="F785" s="204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  <c r="AA785" s="200"/>
    </row>
    <row r="786">
      <c r="A786" s="200"/>
      <c r="B786" s="200"/>
      <c r="C786" s="200"/>
      <c r="D786" s="200"/>
      <c r="E786" s="200"/>
      <c r="F786" s="204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  <c r="AA786" s="200"/>
    </row>
    <row r="787">
      <c r="A787" s="200"/>
      <c r="B787" s="200"/>
      <c r="C787" s="200"/>
      <c r="D787" s="200"/>
      <c r="E787" s="200"/>
      <c r="F787" s="204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  <c r="AA787" s="200"/>
    </row>
    <row r="788">
      <c r="A788" s="200"/>
      <c r="B788" s="200"/>
      <c r="C788" s="200"/>
      <c r="D788" s="200"/>
      <c r="E788" s="200"/>
      <c r="F788" s="204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  <c r="AA788" s="200"/>
    </row>
    <row r="789">
      <c r="A789" s="200"/>
      <c r="B789" s="200"/>
      <c r="C789" s="200"/>
      <c r="D789" s="200"/>
      <c r="E789" s="200"/>
      <c r="F789" s="204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  <c r="AA789" s="200"/>
    </row>
    <row r="790">
      <c r="A790" s="200"/>
      <c r="B790" s="200"/>
      <c r="C790" s="200"/>
      <c r="D790" s="200"/>
      <c r="E790" s="200"/>
      <c r="F790" s="204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  <c r="AA790" s="200"/>
    </row>
    <row r="791">
      <c r="A791" s="200"/>
      <c r="B791" s="200"/>
      <c r="C791" s="200"/>
      <c r="D791" s="200"/>
      <c r="E791" s="200"/>
      <c r="F791" s="204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  <c r="AA791" s="200"/>
    </row>
    <row r="792">
      <c r="A792" s="200"/>
      <c r="B792" s="200"/>
      <c r="C792" s="200"/>
      <c r="D792" s="200"/>
      <c r="E792" s="200"/>
      <c r="F792" s="204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  <c r="AA792" s="200"/>
    </row>
    <row r="793">
      <c r="A793" s="200"/>
      <c r="B793" s="200"/>
      <c r="C793" s="200"/>
      <c r="D793" s="200"/>
      <c r="E793" s="200"/>
      <c r="F793" s="204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  <c r="AA793" s="200"/>
    </row>
    <row r="794">
      <c r="A794" s="200"/>
      <c r="B794" s="200"/>
      <c r="C794" s="200"/>
      <c r="D794" s="200"/>
      <c r="E794" s="200"/>
      <c r="F794" s="204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  <c r="AA794" s="200"/>
    </row>
    <row r="795">
      <c r="A795" s="200"/>
      <c r="B795" s="200"/>
      <c r="C795" s="200"/>
      <c r="D795" s="200"/>
      <c r="E795" s="200"/>
      <c r="F795" s="204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  <c r="AA795" s="200"/>
    </row>
    <row r="796">
      <c r="A796" s="200"/>
      <c r="B796" s="200"/>
      <c r="C796" s="200"/>
      <c r="D796" s="200"/>
      <c r="E796" s="200"/>
      <c r="F796" s="204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  <c r="AA796" s="200"/>
    </row>
    <row r="797">
      <c r="A797" s="200"/>
      <c r="B797" s="200"/>
      <c r="C797" s="200"/>
      <c r="D797" s="200"/>
      <c r="E797" s="200"/>
      <c r="F797" s="204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  <c r="AA797" s="200"/>
    </row>
    <row r="798">
      <c r="A798" s="200"/>
      <c r="B798" s="200"/>
      <c r="C798" s="200"/>
      <c r="D798" s="200"/>
      <c r="E798" s="200"/>
      <c r="F798" s="204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  <c r="AA798" s="200"/>
    </row>
    <row r="799">
      <c r="A799" s="200"/>
      <c r="B799" s="200"/>
      <c r="C799" s="200"/>
      <c r="D799" s="200"/>
      <c r="E799" s="200"/>
      <c r="F799" s="204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  <c r="AA799" s="200"/>
    </row>
    <row r="800">
      <c r="A800" s="200"/>
      <c r="B800" s="200"/>
      <c r="C800" s="200"/>
      <c r="D800" s="200"/>
      <c r="E800" s="200"/>
      <c r="F800" s="204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  <c r="AA800" s="200"/>
    </row>
    <row r="801">
      <c r="A801" s="200"/>
      <c r="B801" s="200"/>
      <c r="C801" s="200"/>
      <c r="D801" s="200"/>
      <c r="E801" s="200"/>
      <c r="F801" s="204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  <c r="AA801" s="200"/>
    </row>
    <row r="802">
      <c r="A802" s="200"/>
      <c r="B802" s="200"/>
      <c r="C802" s="200"/>
      <c r="D802" s="200"/>
      <c r="E802" s="200"/>
      <c r="F802" s="204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  <c r="AA802" s="200"/>
    </row>
    <row r="803">
      <c r="A803" s="200"/>
      <c r="B803" s="200"/>
      <c r="C803" s="200"/>
      <c r="D803" s="200"/>
      <c r="E803" s="200"/>
      <c r="F803" s="204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  <c r="AA803" s="200"/>
    </row>
    <row r="804">
      <c r="A804" s="200"/>
      <c r="B804" s="200"/>
      <c r="C804" s="200"/>
      <c r="D804" s="200"/>
      <c r="E804" s="200"/>
      <c r="F804" s="204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  <c r="AA804" s="200"/>
    </row>
    <row r="805">
      <c r="A805" s="200"/>
      <c r="B805" s="200"/>
      <c r="C805" s="200"/>
      <c r="D805" s="200"/>
      <c r="E805" s="200"/>
      <c r="F805" s="204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  <c r="AA805" s="200"/>
    </row>
    <row r="806">
      <c r="A806" s="200"/>
      <c r="B806" s="200"/>
      <c r="C806" s="200"/>
      <c r="D806" s="200"/>
      <c r="E806" s="200"/>
      <c r="F806" s="204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  <c r="AA806" s="200"/>
    </row>
    <row r="807">
      <c r="A807" s="200"/>
      <c r="B807" s="200"/>
      <c r="C807" s="200"/>
      <c r="D807" s="200"/>
      <c r="E807" s="200"/>
      <c r="F807" s="204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  <c r="AA807" s="200"/>
    </row>
    <row r="808">
      <c r="A808" s="200"/>
      <c r="B808" s="200"/>
      <c r="C808" s="200"/>
      <c r="D808" s="200"/>
      <c r="E808" s="200"/>
      <c r="F808" s="204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  <c r="AA808" s="200"/>
    </row>
    <row r="809">
      <c r="A809" s="200"/>
      <c r="B809" s="200"/>
      <c r="C809" s="200"/>
      <c r="D809" s="200"/>
      <c r="E809" s="200"/>
      <c r="F809" s="204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  <c r="AA809" s="200"/>
    </row>
    <row r="810">
      <c r="A810" s="200"/>
      <c r="B810" s="200"/>
      <c r="C810" s="200"/>
      <c r="D810" s="200"/>
      <c r="E810" s="200"/>
      <c r="F810" s="204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  <c r="AA810" s="200"/>
    </row>
    <row r="811">
      <c r="A811" s="200"/>
      <c r="B811" s="200"/>
      <c r="C811" s="200"/>
      <c r="D811" s="200"/>
      <c r="E811" s="200"/>
      <c r="F811" s="204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  <c r="AA811" s="200"/>
    </row>
    <row r="812">
      <c r="A812" s="200"/>
      <c r="B812" s="200"/>
      <c r="C812" s="200"/>
      <c r="D812" s="200"/>
      <c r="E812" s="200"/>
      <c r="F812" s="204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  <c r="AA812" s="200"/>
    </row>
    <row r="813">
      <c r="A813" s="200"/>
      <c r="B813" s="200"/>
      <c r="C813" s="200"/>
      <c r="D813" s="200"/>
      <c r="E813" s="200"/>
      <c r="F813" s="204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  <c r="AA813" s="200"/>
    </row>
    <row r="814">
      <c r="A814" s="200"/>
      <c r="B814" s="200"/>
      <c r="C814" s="200"/>
      <c r="D814" s="200"/>
      <c r="E814" s="200"/>
      <c r="F814" s="204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  <c r="AA814" s="200"/>
    </row>
    <row r="815">
      <c r="A815" s="200"/>
      <c r="B815" s="200"/>
      <c r="C815" s="200"/>
      <c r="D815" s="200"/>
      <c r="E815" s="200"/>
      <c r="F815" s="204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  <c r="AA815" s="200"/>
    </row>
    <row r="816">
      <c r="A816" s="200"/>
      <c r="B816" s="200"/>
      <c r="C816" s="200"/>
      <c r="D816" s="200"/>
      <c r="E816" s="200"/>
      <c r="F816" s="204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  <c r="AA816" s="200"/>
    </row>
    <row r="817">
      <c r="A817" s="200"/>
      <c r="B817" s="200"/>
      <c r="C817" s="200"/>
      <c r="D817" s="200"/>
      <c r="E817" s="200"/>
      <c r="F817" s="204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  <c r="AA817" s="200"/>
    </row>
    <row r="818">
      <c r="A818" s="200"/>
      <c r="B818" s="200"/>
      <c r="C818" s="200"/>
      <c r="D818" s="200"/>
      <c r="E818" s="200"/>
      <c r="F818" s="204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  <c r="AA818" s="200"/>
    </row>
    <row r="819">
      <c r="A819" s="200"/>
      <c r="B819" s="200"/>
      <c r="C819" s="200"/>
      <c r="D819" s="200"/>
      <c r="E819" s="200"/>
      <c r="F819" s="204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  <c r="AA819" s="200"/>
    </row>
    <row r="820">
      <c r="A820" s="200"/>
      <c r="B820" s="200"/>
      <c r="C820" s="200"/>
      <c r="D820" s="200"/>
      <c r="E820" s="200"/>
      <c r="F820" s="204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  <c r="AA820" s="200"/>
    </row>
    <row r="821">
      <c r="A821" s="200"/>
      <c r="B821" s="200"/>
      <c r="C821" s="200"/>
      <c r="D821" s="200"/>
      <c r="E821" s="200"/>
      <c r="F821" s="204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  <c r="AA821" s="200"/>
    </row>
    <row r="822">
      <c r="A822" s="200"/>
      <c r="B822" s="200"/>
      <c r="C822" s="200"/>
      <c r="D822" s="200"/>
      <c r="E822" s="200"/>
      <c r="F822" s="204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  <c r="AA822" s="200"/>
    </row>
    <row r="823">
      <c r="A823" s="200"/>
      <c r="B823" s="200"/>
      <c r="C823" s="200"/>
      <c r="D823" s="200"/>
      <c r="E823" s="200"/>
      <c r="F823" s="204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  <c r="AA823" s="200"/>
    </row>
    <row r="824">
      <c r="A824" s="200"/>
      <c r="B824" s="200"/>
      <c r="C824" s="200"/>
      <c r="D824" s="200"/>
      <c r="E824" s="200"/>
      <c r="F824" s="204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  <c r="AA824" s="200"/>
    </row>
    <row r="825">
      <c r="A825" s="200"/>
      <c r="B825" s="200"/>
      <c r="C825" s="200"/>
      <c r="D825" s="200"/>
      <c r="E825" s="200"/>
      <c r="F825" s="204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  <c r="AA825" s="200"/>
    </row>
    <row r="826">
      <c r="A826" s="200"/>
      <c r="B826" s="200"/>
      <c r="C826" s="200"/>
      <c r="D826" s="200"/>
      <c r="E826" s="200"/>
      <c r="F826" s="204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  <c r="AA826" s="200"/>
    </row>
    <row r="827">
      <c r="A827" s="200"/>
      <c r="B827" s="200"/>
      <c r="C827" s="200"/>
      <c r="D827" s="200"/>
      <c r="E827" s="200"/>
      <c r="F827" s="204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  <c r="AA827" s="200"/>
    </row>
    <row r="828">
      <c r="A828" s="200"/>
      <c r="B828" s="200"/>
      <c r="C828" s="200"/>
      <c r="D828" s="200"/>
      <c r="E828" s="200"/>
      <c r="F828" s="204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  <c r="AA828" s="200"/>
    </row>
    <row r="829">
      <c r="A829" s="200"/>
      <c r="B829" s="200"/>
      <c r="C829" s="200"/>
      <c r="D829" s="200"/>
      <c r="E829" s="200"/>
      <c r="F829" s="204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  <c r="AA829" s="200"/>
    </row>
    <row r="830">
      <c r="A830" s="200"/>
      <c r="B830" s="200"/>
      <c r="C830" s="200"/>
      <c r="D830" s="200"/>
      <c r="E830" s="200"/>
      <c r="F830" s="204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  <c r="AA830" s="200"/>
    </row>
    <row r="831">
      <c r="A831" s="200"/>
      <c r="B831" s="200"/>
      <c r="C831" s="200"/>
      <c r="D831" s="200"/>
      <c r="E831" s="200"/>
      <c r="F831" s="204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  <c r="AA831" s="200"/>
    </row>
    <row r="832">
      <c r="A832" s="200"/>
      <c r="B832" s="200"/>
      <c r="C832" s="200"/>
      <c r="D832" s="200"/>
      <c r="E832" s="200"/>
      <c r="F832" s="204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  <c r="AA832" s="200"/>
    </row>
    <row r="833">
      <c r="A833" s="200"/>
      <c r="B833" s="200"/>
      <c r="C833" s="200"/>
      <c r="D833" s="200"/>
      <c r="E833" s="200"/>
      <c r="F833" s="204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  <c r="AA833" s="200"/>
    </row>
    <row r="834">
      <c r="A834" s="200"/>
      <c r="B834" s="200"/>
      <c r="C834" s="200"/>
      <c r="D834" s="200"/>
      <c r="E834" s="200"/>
      <c r="F834" s="204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  <c r="AA834" s="200"/>
    </row>
    <row r="835">
      <c r="A835" s="200"/>
      <c r="B835" s="200"/>
      <c r="C835" s="200"/>
      <c r="D835" s="200"/>
      <c r="E835" s="200"/>
      <c r="F835" s="204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  <c r="AA835" s="200"/>
    </row>
    <row r="836">
      <c r="A836" s="200"/>
      <c r="B836" s="200"/>
      <c r="C836" s="200"/>
      <c r="D836" s="200"/>
      <c r="E836" s="200"/>
      <c r="F836" s="204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  <c r="AA836" s="200"/>
    </row>
    <row r="837">
      <c r="A837" s="200"/>
      <c r="B837" s="200"/>
      <c r="C837" s="200"/>
      <c r="D837" s="200"/>
      <c r="E837" s="200"/>
      <c r="F837" s="204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  <c r="AA837" s="200"/>
    </row>
    <row r="838">
      <c r="A838" s="200"/>
      <c r="B838" s="200"/>
      <c r="C838" s="200"/>
      <c r="D838" s="200"/>
      <c r="E838" s="200"/>
      <c r="F838" s="204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  <c r="AA838" s="200"/>
    </row>
    <row r="839">
      <c r="A839" s="200"/>
      <c r="B839" s="200"/>
      <c r="C839" s="200"/>
      <c r="D839" s="200"/>
      <c r="E839" s="200"/>
      <c r="F839" s="204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  <c r="AA839" s="200"/>
    </row>
    <row r="840">
      <c r="A840" s="200"/>
      <c r="B840" s="200"/>
      <c r="C840" s="200"/>
      <c r="D840" s="200"/>
      <c r="E840" s="200"/>
      <c r="F840" s="204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  <c r="AA840" s="200"/>
    </row>
    <row r="841">
      <c r="A841" s="200"/>
      <c r="B841" s="200"/>
      <c r="C841" s="200"/>
      <c r="D841" s="200"/>
      <c r="E841" s="200"/>
      <c r="F841" s="204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  <c r="AA841" s="200"/>
    </row>
    <row r="842">
      <c r="A842" s="200"/>
      <c r="B842" s="200"/>
      <c r="C842" s="200"/>
      <c r="D842" s="200"/>
      <c r="E842" s="200"/>
      <c r="F842" s="204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  <c r="AA842" s="200"/>
    </row>
    <row r="843">
      <c r="A843" s="200"/>
      <c r="B843" s="200"/>
      <c r="C843" s="200"/>
      <c r="D843" s="200"/>
      <c r="E843" s="200"/>
      <c r="F843" s="204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  <c r="AA843" s="200"/>
    </row>
    <row r="844">
      <c r="A844" s="200"/>
      <c r="B844" s="200"/>
      <c r="C844" s="200"/>
      <c r="D844" s="200"/>
      <c r="E844" s="200"/>
      <c r="F844" s="204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  <c r="AA844" s="200"/>
    </row>
    <row r="845">
      <c r="A845" s="200"/>
      <c r="B845" s="200"/>
      <c r="C845" s="200"/>
      <c r="D845" s="200"/>
      <c r="E845" s="200"/>
      <c r="F845" s="204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  <c r="AA845" s="200"/>
    </row>
    <row r="846">
      <c r="A846" s="200"/>
      <c r="B846" s="200"/>
      <c r="C846" s="200"/>
      <c r="D846" s="200"/>
      <c r="E846" s="200"/>
      <c r="F846" s="204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  <c r="AA846" s="200"/>
    </row>
    <row r="847">
      <c r="A847" s="200"/>
      <c r="B847" s="200"/>
      <c r="C847" s="200"/>
      <c r="D847" s="200"/>
      <c r="E847" s="200"/>
      <c r="F847" s="204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  <c r="AA847" s="200"/>
    </row>
    <row r="848">
      <c r="A848" s="200"/>
      <c r="B848" s="200"/>
      <c r="C848" s="200"/>
      <c r="D848" s="200"/>
      <c r="E848" s="200"/>
      <c r="F848" s="204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  <c r="AA848" s="200"/>
    </row>
    <row r="849">
      <c r="A849" s="200"/>
      <c r="B849" s="200"/>
      <c r="C849" s="200"/>
      <c r="D849" s="200"/>
      <c r="E849" s="200"/>
      <c r="F849" s="204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  <c r="AA849" s="200"/>
    </row>
    <row r="850">
      <c r="A850" s="200"/>
      <c r="B850" s="200"/>
      <c r="C850" s="200"/>
      <c r="D850" s="200"/>
      <c r="E850" s="200"/>
      <c r="F850" s="204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  <c r="AA850" s="200"/>
    </row>
    <row r="851">
      <c r="A851" s="200"/>
      <c r="B851" s="200"/>
      <c r="C851" s="200"/>
      <c r="D851" s="200"/>
      <c r="E851" s="200"/>
      <c r="F851" s="204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  <c r="AA851" s="200"/>
    </row>
    <row r="852">
      <c r="A852" s="200"/>
      <c r="B852" s="200"/>
      <c r="C852" s="200"/>
      <c r="D852" s="200"/>
      <c r="E852" s="200"/>
      <c r="F852" s="204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  <c r="AA852" s="200"/>
    </row>
    <row r="853">
      <c r="A853" s="200"/>
      <c r="B853" s="200"/>
      <c r="C853" s="200"/>
      <c r="D853" s="200"/>
      <c r="E853" s="200"/>
      <c r="F853" s="204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  <c r="AA853" s="200"/>
    </row>
    <row r="854">
      <c r="A854" s="200"/>
      <c r="B854" s="200"/>
      <c r="C854" s="200"/>
      <c r="D854" s="200"/>
      <c r="E854" s="200"/>
      <c r="F854" s="204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  <c r="AA854" s="200"/>
    </row>
    <row r="855">
      <c r="A855" s="200"/>
      <c r="B855" s="200"/>
      <c r="C855" s="200"/>
      <c r="D855" s="200"/>
      <c r="E855" s="200"/>
      <c r="F855" s="204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  <c r="AA855" s="200"/>
    </row>
    <row r="856">
      <c r="A856" s="200"/>
      <c r="B856" s="200"/>
      <c r="C856" s="200"/>
      <c r="D856" s="200"/>
      <c r="E856" s="200"/>
      <c r="F856" s="204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  <c r="AA856" s="200"/>
    </row>
    <row r="857">
      <c r="A857" s="200"/>
      <c r="B857" s="200"/>
      <c r="C857" s="200"/>
      <c r="D857" s="200"/>
      <c r="E857" s="200"/>
      <c r="F857" s="204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  <c r="AA857" s="200"/>
    </row>
    <row r="858">
      <c r="A858" s="200"/>
      <c r="B858" s="200"/>
      <c r="C858" s="200"/>
      <c r="D858" s="200"/>
      <c r="E858" s="200"/>
      <c r="F858" s="204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  <c r="AA858" s="200"/>
    </row>
    <row r="859">
      <c r="A859" s="200"/>
      <c r="B859" s="200"/>
      <c r="C859" s="200"/>
      <c r="D859" s="200"/>
      <c r="E859" s="200"/>
      <c r="F859" s="204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  <c r="AA859" s="200"/>
    </row>
    <row r="860">
      <c r="A860" s="200"/>
      <c r="B860" s="200"/>
      <c r="C860" s="200"/>
      <c r="D860" s="200"/>
      <c r="E860" s="200"/>
      <c r="F860" s="204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  <c r="AA860" s="200"/>
    </row>
    <row r="861">
      <c r="A861" s="200"/>
      <c r="B861" s="200"/>
      <c r="C861" s="200"/>
      <c r="D861" s="200"/>
      <c r="E861" s="200"/>
      <c r="F861" s="204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  <c r="AA861" s="200"/>
    </row>
    <row r="862">
      <c r="A862" s="200"/>
      <c r="B862" s="200"/>
      <c r="C862" s="200"/>
      <c r="D862" s="200"/>
      <c r="E862" s="200"/>
      <c r="F862" s="204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  <c r="AA862" s="200"/>
    </row>
    <row r="863">
      <c r="A863" s="200"/>
      <c r="B863" s="200"/>
      <c r="C863" s="200"/>
      <c r="D863" s="200"/>
      <c r="E863" s="200"/>
      <c r="F863" s="204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  <c r="AA863" s="200"/>
    </row>
    <row r="864">
      <c r="A864" s="200"/>
      <c r="B864" s="200"/>
      <c r="C864" s="200"/>
      <c r="D864" s="200"/>
      <c r="E864" s="200"/>
      <c r="F864" s="204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  <c r="AA864" s="200"/>
    </row>
    <row r="865">
      <c r="A865" s="200"/>
      <c r="B865" s="200"/>
      <c r="C865" s="200"/>
      <c r="D865" s="200"/>
      <c r="E865" s="200"/>
      <c r="F865" s="204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  <c r="AA865" s="200"/>
    </row>
    <row r="866">
      <c r="A866" s="200"/>
      <c r="B866" s="200"/>
      <c r="C866" s="200"/>
      <c r="D866" s="200"/>
      <c r="E866" s="200"/>
      <c r="F866" s="204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  <c r="AA866" s="200"/>
    </row>
    <row r="867">
      <c r="A867" s="200"/>
      <c r="B867" s="200"/>
      <c r="C867" s="200"/>
      <c r="D867" s="200"/>
      <c r="E867" s="200"/>
      <c r="F867" s="204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  <c r="AA867" s="200"/>
    </row>
    <row r="868">
      <c r="A868" s="200"/>
      <c r="B868" s="200"/>
      <c r="C868" s="200"/>
      <c r="D868" s="200"/>
      <c r="E868" s="200"/>
      <c r="F868" s="204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  <c r="AA868" s="200"/>
    </row>
    <row r="869">
      <c r="A869" s="200"/>
      <c r="B869" s="200"/>
      <c r="C869" s="200"/>
      <c r="D869" s="200"/>
      <c r="E869" s="200"/>
      <c r="F869" s="204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  <c r="AA869" s="200"/>
    </row>
    <row r="870">
      <c r="A870" s="200"/>
      <c r="B870" s="200"/>
      <c r="C870" s="200"/>
      <c r="D870" s="200"/>
      <c r="E870" s="200"/>
      <c r="F870" s="204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  <c r="AA870" s="200"/>
    </row>
    <row r="871">
      <c r="A871" s="200"/>
      <c r="B871" s="200"/>
      <c r="C871" s="200"/>
      <c r="D871" s="200"/>
      <c r="E871" s="200"/>
      <c r="F871" s="204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  <c r="AA871" s="200"/>
    </row>
    <row r="872">
      <c r="A872" s="200"/>
      <c r="B872" s="200"/>
      <c r="C872" s="200"/>
      <c r="D872" s="200"/>
      <c r="E872" s="200"/>
      <c r="F872" s="204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  <c r="AA872" s="200"/>
    </row>
    <row r="873">
      <c r="A873" s="200"/>
      <c r="B873" s="200"/>
      <c r="C873" s="200"/>
      <c r="D873" s="200"/>
      <c r="E873" s="200"/>
      <c r="F873" s="204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  <c r="AA873" s="200"/>
    </row>
    <row r="874">
      <c r="A874" s="200"/>
      <c r="B874" s="200"/>
      <c r="C874" s="200"/>
      <c r="D874" s="200"/>
      <c r="E874" s="200"/>
      <c r="F874" s="204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  <c r="AA874" s="200"/>
    </row>
    <row r="875">
      <c r="A875" s="200"/>
      <c r="B875" s="200"/>
      <c r="C875" s="200"/>
      <c r="D875" s="200"/>
      <c r="E875" s="200"/>
      <c r="F875" s="204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  <c r="AA875" s="200"/>
    </row>
    <row r="876">
      <c r="A876" s="200"/>
      <c r="B876" s="200"/>
      <c r="C876" s="200"/>
      <c r="D876" s="200"/>
      <c r="E876" s="200"/>
      <c r="F876" s="204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  <c r="AA876" s="200"/>
    </row>
    <row r="877">
      <c r="A877" s="200"/>
      <c r="B877" s="200"/>
      <c r="C877" s="200"/>
      <c r="D877" s="200"/>
      <c r="E877" s="200"/>
      <c r="F877" s="204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  <c r="AA877" s="200"/>
    </row>
    <row r="878">
      <c r="A878" s="200"/>
      <c r="B878" s="200"/>
      <c r="C878" s="200"/>
      <c r="D878" s="200"/>
      <c r="E878" s="200"/>
      <c r="F878" s="204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  <c r="AA878" s="200"/>
    </row>
    <row r="879">
      <c r="A879" s="200"/>
      <c r="B879" s="200"/>
      <c r="C879" s="200"/>
      <c r="D879" s="200"/>
      <c r="E879" s="200"/>
      <c r="F879" s="204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  <c r="AA879" s="200"/>
    </row>
    <row r="880">
      <c r="A880" s="200"/>
      <c r="B880" s="200"/>
      <c r="C880" s="200"/>
      <c r="D880" s="200"/>
      <c r="E880" s="200"/>
      <c r="F880" s="204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  <c r="AA880" s="200"/>
    </row>
    <row r="881">
      <c r="A881" s="200"/>
      <c r="B881" s="200"/>
      <c r="C881" s="200"/>
      <c r="D881" s="200"/>
      <c r="E881" s="200"/>
      <c r="F881" s="204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  <c r="AA881" s="200"/>
    </row>
    <row r="882">
      <c r="A882" s="200"/>
      <c r="B882" s="200"/>
      <c r="C882" s="200"/>
      <c r="D882" s="200"/>
      <c r="E882" s="200"/>
      <c r="F882" s="204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  <c r="AA882" s="200"/>
    </row>
    <row r="883">
      <c r="A883" s="200"/>
      <c r="B883" s="200"/>
      <c r="C883" s="200"/>
      <c r="D883" s="200"/>
      <c r="E883" s="200"/>
      <c r="F883" s="204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  <c r="AA883" s="200"/>
    </row>
    <row r="884">
      <c r="A884" s="200"/>
      <c r="B884" s="200"/>
      <c r="C884" s="200"/>
      <c r="D884" s="200"/>
      <c r="E884" s="200"/>
      <c r="F884" s="204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  <c r="AA884" s="200"/>
    </row>
    <row r="885">
      <c r="A885" s="200"/>
      <c r="B885" s="200"/>
      <c r="C885" s="200"/>
      <c r="D885" s="200"/>
      <c r="E885" s="200"/>
      <c r="F885" s="204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  <c r="AA885" s="200"/>
    </row>
    <row r="886">
      <c r="A886" s="200"/>
      <c r="B886" s="200"/>
      <c r="C886" s="200"/>
      <c r="D886" s="200"/>
      <c r="E886" s="200"/>
      <c r="F886" s="204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  <c r="AA886" s="200"/>
    </row>
    <row r="887">
      <c r="A887" s="200"/>
      <c r="B887" s="200"/>
      <c r="C887" s="200"/>
      <c r="D887" s="200"/>
      <c r="E887" s="200"/>
      <c r="F887" s="204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  <c r="AA887" s="200"/>
    </row>
    <row r="888">
      <c r="A888" s="200"/>
      <c r="B888" s="200"/>
      <c r="C888" s="200"/>
      <c r="D888" s="200"/>
      <c r="E888" s="200"/>
      <c r="F888" s="204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  <c r="AA888" s="200"/>
    </row>
    <row r="889">
      <c r="A889" s="200"/>
      <c r="B889" s="200"/>
      <c r="C889" s="200"/>
      <c r="D889" s="200"/>
      <c r="E889" s="200"/>
      <c r="F889" s="204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  <c r="AA889" s="200"/>
    </row>
    <row r="890">
      <c r="A890" s="200"/>
      <c r="B890" s="200"/>
      <c r="C890" s="200"/>
      <c r="D890" s="200"/>
      <c r="E890" s="200"/>
      <c r="F890" s="204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  <c r="AA890" s="200"/>
    </row>
    <row r="891">
      <c r="A891" s="200"/>
      <c r="B891" s="200"/>
      <c r="C891" s="200"/>
      <c r="D891" s="200"/>
      <c r="E891" s="200"/>
      <c r="F891" s="204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  <c r="AA891" s="200"/>
    </row>
    <row r="892">
      <c r="A892" s="200"/>
      <c r="B892" s="200"/>
      <c r="C892" s="200"/>
      <c r="D892" s="200"/>
      <c r="E892" s="200"/>
      <c r="F892" s="204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  <c r="AA892" s="200"/>
    </row>
    <row r="893">
      <c r="A893" s="200"/>
      <c r="B893" s="200"/>
      <c r="C893" s="200"/>
      <c r="D893" s="200"/>
      <c r="E893" s="200"/>
      <c r="F893" s="204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  <c r="AA893" s="200"/>
    </row>
    <row r="894">
      <c r="A894" s="200"/>
      <c r="B894" s="200"/>
      <c r="C894" s="200"/>
      <c r="D894" s="200"/>
      <c r="E894" s="200"/>
      <c r="F894" s="204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  <c r="AA894" s="200"/>
    </row>
    <row r="895">
      <c r="A895" s="200"/>
      <c r="B895" s="200"/>
      <c r="C895" s="200"/>
      <c r="D895" s="200"/>
      <c r="E895" s="200"/>
      <c r="F895" s="204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  <c r="AA895" s="200"/>
    </row>
    <row r="896">
      <c r="A896" s="200"/>
      <c r="B896" s="200"/>
      <c r="C896" s="200"/>
      <c r="D896" s="200"/>
      <c r="E896" s="200"/>
      <c r="F896" s="204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  <c r="AA896" s="200"/>
    </row>
    <row r="897">
      <c r="A897" s="200"/>
      <c r="B897" s="200"/>
      <c r="C897" s="200"/>
      <c r="D897" s="200"/>
      <c r="E897" s="200"/>
      <c r="F897" s="204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  <c r="AA897" s="200"/>
    </row>
    <row r="898">
      <c r="A898" s="200"/>
      <c r="B898" s="200"/>
      <c r="C898" s="200"/>
      <c r="D898" s="200"/>
      <c r="E898" s="200"/>
      <c r="F898" s="204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  <c r="AA898" s="200"/>
    </row>
    <row r="899">
      <c r="A899" s="200"/>
      <c r="B899" s="200"/>
      <c r="C899" s="200"/>
      <c r="D899" s="200"/>
      <c r="E899" s="200"/>
      <c r="F899" s="204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  <c r="AA899" s="200"/>
    </row>
    <row r="900">
      <c r="A900" s="200"/>
      <c r="B900" s="200"/>
      <c r="C900" s="200"/>
      <c r="D900" s="200"/>
      <c r="E900" s="200"/>
      <c r="F900" s="204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  <c r="AA900" s="200"/>
    </row>
    <row r="901">
      <c r="A901" s="200"/>
      <c r="B901" s="200"/>
      <c r="C901" s="200"/>
      <c r="D901" s="200"/>
      <c r="E901" s="200"/>
      <c r="F901" s="204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  <c r="AA901" s="200"/>
    </row>
    <row r="902">
      <c r="A902" s="200"/>
      <c r="B902" s="200"/>
      <c r="C902" s="200"/>
      <c r="D902" s="200"/>
      <c r="E902" s="200"/>
      <c r="F902" s="204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  <c r="AA902" s="200"/>
    </row>
    <row r="903">
      <c r="A903" s="200"/>
      <c r="B903" s="200"/>
      <c r="C903" s="200"/>
      <c r="D903" s="200"/>
      <c r="E903" s="200"/>
      <c r="F903" s="204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  <c r="AA903" s="200"/>
    </row>
    <row r="904">
      <c r="A904" s="200"/>
      <c r="B904" s="200"/>
      <c r="C904" s="200"/>
      <c r="D904" s="200"/>
      <c r="E904" s="200"/>
      <c r="F904" s="204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  <c r="AA904" s="200"/>
    </row>
    <row r="905">
      <c r="A905" s="200"/>
      <c r="B905" s="200"/>
      <c r="C905" s="200"/>
      <c r="D905" s="200"/>
      <c r="E905" s="200"/>
      <c r="F905" s="204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  <c r="AA905" s="200"/>
    </row>
    <row r="906">
      <c r="A906" s="200"/>
      <c r="B906" s="200"/>
      <c r="C906" s="200"/>
      <c r="D906" s="200"/>
      <c r="E906" s="200"/>
      <c r="F906" s="204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  <c r="AA906" s="200"/>
    </row>
    <row r="907">
      <c r="A907" s="200"/>
      <c r="B907" s="200"/>
      <c r="C907" s="200"/>
      <c r="D907" s="200"/>
      <c r="E907" s="200"/>
      <c r="F907" s="204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  <c r="AA907" s="200"/>
    </row>
    <row r="908">
      <c r="A908" s="200"/>
      <c r="B908" s="200"/>
      <c r="C908" s="200"/>
      <c r="D908" s="200"/>
      <c r="E908" s="200"/>
      <c r="F908" s="204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  <c r="AA908" s="200"/>
    </row>
    <row r="909">
      <c r="A909" s="200"/>
      <c r="B909" s="200"/>
      <c r="C909" s="200"/>
      <c r="D909" s="200"/>
      <c r="E909" s="200"/>
      <c r="F909" s="204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  <c r="AA909" s="200"/>
    </row>
    <row r="910">
      <c r="A910" s="200"/>
      <c r="B910" s="200"/>
      <c r="C910" s="200"/>
      <c r="D910" s="200"/>
      <c r="E910" s="200"/>
      <c r="F910" s="204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  <c r="AA910" s="200"/>
    </row>
    <row r="911">
      <c r="A911" s="200"/>
      <c r="B911" s="200"/>
      <c r="C911" s="200"/>
      <c r="D911" s="200"/>
      <c r="E911" s="200"/>
      <c r="F911" s="204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  <c r="AA911" s="200"/>
    </row>
    <row r="912">
      <c r="A912" s="200"/>
      <c r="B912" s="200"/>
      <c r="C912" s="200"/>
      <c r="D912" s="200"/>
      <c r="E912" s="200"/>
      <c r="F912" s="204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  <c r="AA912" s="200"/>
    </row>
    <row r="913">
      <c r="A913" s="200"/>
      <c r="B913" s="200"/>
      <c r="C913" s="200"/>
      <c r="D913" s="200"/>
      <c r="E913" s="200"/>
      <c r="F913" s="204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  <c r="AA913" s="200"/>
    </row>
    <row r="914">
      <c r="A914" s="200"/>
      <c r="B914" s="200"/>
      <c r="C914" s="200"/>
      <c r="D914" s="200"/>
      <c r="E914" s="200"/>
      <c r="F914" s="204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  <c r="AA914" s="200"/>
    </row>
    <row r="915">
      <c r="A915" s="200"/>
      <c r="B915" s="200"/>
      <c r="C915" s="200"/>
      <c r="D915" s="200"/>
      <c r="E915" s="200"/>
      <c r="F915" s="204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  <c r="AA915" s="200"/>
    </row>
    <row r="916">
      <c r="A916" s="200"/>
      <c r="B916" s="200"/>
      <c r="C916" s="200"/>
      <c r="D916" s="200"/>
      <c r="E916" s="200"/>
      <c r="F916" s="204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  <c r="AA916" s="200"/>
    </row>
    <row r="917">
      <c r="A917" s="200"/>
      <c r="B917" s="200"/>
      <c r="C917" s="200"/>
      <c r="D917" s="200"/>
      <c r="E917" s="200"/>
      <c r="F917" s="204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  <c r="AA917" s="200"/>
    </row>
    <row r="918">
      <c r="A918" s="200"/>
      <c r="B918" s="200"/>
      <c r="C918" s="200"/>
      <c r="D918" s="200"/>
      <c r="E918" s="200"/>
      <c r="F918" s="204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  <c r="AA918" s="200"/>
    </row>
    <row r="919">
      <c r="A919" s="200"/>
      <c r="B919" s="200"/>
      <c r="C919" s="200"/>
      <c r="D919" s="200"/>
      <c r="E919" s="200"/>
      <c r="F919" s="204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  <c r="AA919" s="200"/>
    </row>
    <row r="920">
      <c r="A920" s="200"/>
      <c r="B920" s="200"/>
      <c r="C920" s="200"/>
      <c r="D920" s="200"/>
      <c r="E920" s="200"/>
      <c r="F920" s="204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  <c r="AA920" s="200"/>
    </row>
    <row r="921">
      <c r="A921" s="200"/>
      <c r="B921" s="200"/>
      <c r="C921" s="200"/>
      <c r="D921" s="200"/>
      <c r="E921" s="200"/>
      <c r="F921" s="204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  <c r="AA921" s="200"/>
    </row>
    <row r="922">
      <c r="A922" s="200"/>
      <c r="B922" s="200"/>
      <c r="C922" s="200"/>
      <c r="D922" s="200"/>
      <c r="E922" s="200"/>
      <c r="F922" s="204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  <c r="AA922" s="200"/>
    </row>
    <row r="923">
      <c r="A923" s="200"/>
      <c r="B923" s="200"/>
      <c r="C923" s="200"/>
      <c r="D923" s="200"/>
      <c r="E923" s="200"/>
      <c r="F923" s="204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  <c r="AA923" s="200"/>
    </row>
    <row r="924">
      <c r="A924" s="200"/>
      <c r="B924" s="200"/>
      <c r="C924" s="200"/>
      <c r="D924" s="200"/>
      <c r="E924" s="200"/>
      <c r="F924" s="204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  <c r="AA924" s="200"/>
    </row>
    <row r="925">
      <c r="A925" s="200"/>
      <c r="B925" s="200"/>
      <c r="C925" s="200"/>
      <c r="D925" s="200"/>
      <c r="E925" s="200"/>
      <c r="F925" s="204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  <c r="AA925" s="200"/>
    </row>
    <row r="926">
      <c r="A926" s="200"/>
      <c r="B926" s="200"/>
      <c r="C926" s="200"/>
      <c r="D926" s="200"/>
      <c r="E926" s="200"/>
      <c r="F926" s="204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  <c r="AA926" s="200"/>
    </row>
    <row r="927">
      <c r="A927" s="200"/>
      <c r="B927" s="200"/>
      <c r="C927" s="200"/>
      <c r="D927" s="200"/>
      <c r="E927" s="200"/>
      <c r="F927" s="204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  <c r="AA927" s="200"/>
    </row>
    <row r="928">
      <c r="A928" s="200"/>
      <c r="B928" s="200"/>
      <c r="C928" s="200"/>
      <c r="D928" s="200"/>
      <c r="E928" s="200"/>
      <c r="F928" s="204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  <c r="AA928" s="200"/>
    </row>
    <row r="929">
      <c r="A929" s="200"/>
      <c r="B929" s="200"/>
      <c r="C929" s="200"/>
      <c r="D929" s="200"/>
      <c r="E929" s="200"/>
      <c r="F929" s="204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  <c r="AA929" s="200"/>
    </row>
    <row r="930">
      <c r="A930" s="200"/>
      <c r="B930" s="200"/>
      <c r="C930" s="200"/>
      <c r="D930" s="200"/>
      <c r="E930" s="200"/>
      <c r="F930" s="204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  <c r="AA930" s="200"/>
    </row>
    <row r="931">
      <c r="A931" s="200"/>
      <c r="B931" s="200"/>
      <c r="C931" s="200"/>
      <c r="D931" s="200"/>
      <c r="E931" s="200"/>
      <c r="F931" s="204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  <c r="AA931" s="200"/>
    </row>
    <row r="932">
      <c r="A932" s="200"/>
      <c r="B932" s="200"/>
      <c r="C932" s="200"/>
      <c r="D932" s="200"/>
      <c r="E932" s="200"/>
      <c r="F932" s="204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  <c r="AA932" s="200"/>
    </row>
    <row r="933">
      <c r="A933" s="200"/>
      <c r="B933" s="200"/>
      <c r="C933" s="200"/>
      <c r="D933" s="200"/>
      <c r="E933" s="200"/>
      <c r="F933" s="204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  <c r="AA933" s="200"/>
    </row>
    <row r="934">
      <c r="A934" s="200"/>
      <c r="B934" s="200"/>
      <c r="C934" s="200"/>
      <c r="D934" s="200"/>
      <c r="E934" s="200"/>
      <c r="F934" s="204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  <c r="AA934" s="200"/>
    </row>
    <row r="935">
      <c r="A935" s="200"/>
      <c r="B935" s="200"/>
      <c r="C935" s="200"/>
      <c r="D935" s="200"/>
      <c r="E935" s="200"/>
      <c r="F935" s="204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  <c r="AA935" s="200"/>
    </row>
    <row r="936">
      <c r="A936" s="200"/>
      <c r="B936" s="200"/>
      <c r="C936" s="200"/>
      <c r="D936" s="200"/>
      <c r="E936" s="200"/>
      <c r="F936" s="204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  <c r="AA936" s="200"/>
    </row>
    <row r="937">
      <c r="A937" s="200"/>
      <c r="B937" s="200"/>
      <c r="C937" s="200"/>
      <c r="D937" s="200"/>
      <c r="E937" s="200"/>
      <c r="F937" s="204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  <c r="AA937" s="200"/>
    </row>
    <row r="938">
      <c r="A938" s="200"/>
      <c r="B938" s="200"/>
      <c r="C938" s="200"/>
      <c r="D938" s="200"/>
      <c r="E938" s="200"/>
      <c r="F938" s="204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  <c r="AA938" s="200"/>
    </row>
    <row r="939">
      <c r="A939" s="200"/>
      <c r="B939" s="200"/>
      <c r="C939" s="200"/>
      <c r="D939" s="200"/>
      <c r="E939" s="200"/>
      <c r="F939" s="204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  <c r="AA939" s="200"/>
    </row>
    <row r="940">
      <c r="A940" s="200"/>
      <c r="B940" s="200"/>
      <c r="C940" s="200"/>
      <c r="D940" s="200"/>
      <c r="E940" s="200"/>
      <c r="F940" s="204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  <c r="AA940" s="200"/>
    </row>
    <row r="941">
      <c r="A941" s="200"/>
      <c r="B941" s="200"/>
      <c r="C941" s="200"/>
      <c r="D941" s="200"/>
      <c r="E941" s="200"/>
      <c r="F941" s="204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  <c r="AA941" s="200"/>
    </row>
    <row r="942">
      <c r="A942" s="200"/>
      <c r="B942" s="200"/>
      <c r="C942" s="200"/>
      <c r="D942" s="200"/>
      <c r="E942" s="200"/>
      <c r="F942" s="204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  <c r="AA942" s="200"/>
    </row>
    <row r="943">
      <c r="A943" s="200"/>
      <c r="B943" s="200"/>
      <c r="C943" s="200"/>
      <c r="D943" s="200"/>
      <c r="E943" s="200"/>
      <c r="F943" s="204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  <c r="AA943" s="200"/>
    </row>
    <row r="944">
      <c r="A944" s="200"/>
      <c r="B944" s="200"/>
      <c r="C944" s="200"/>
      <c r="D944" s="200"/>
      <c r="E944" s="200"/>
      <c r="F944" s="204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  <c r="AA944" s="200"/>
    </row>
    <row r="945">
      <c r="A945" s="200"/>
      <c r="B945" s="200"/>
      <c r="C945" s="200"/>
      <c r="D945" s="200"/>
      <c r="E945" s="200"/>
      <c r="F945" s="204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  <c r="AA945" s="200"/>
    </row>
    <row r="946">
      <c r="A946" s="200"/>
      <c r="B946" s="200"/>
      <c r="C946" s="200"/>
      <c r="D946" s="200"/>
      <c r="E946" s="200"/>
      <c r="F946" s="204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  <c r="AA946" s="200"/>
    </row>
    <row r="947">
      <c r="A947" s="200"/>
      <c r="B947" s="200"/>
      <c r="C947" s="200"/>
      <c r="D947" s="200"/>
      <c r="E947" s="200"/>
      <c r="F947" s="204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  <c r="AA947" s="200"/>
    </row>
    <row r="948">
      <c r="A948" s="200"/>
      <c r="B948" s="200"/>
      <c r="C948" s="200"/>
      <c r="D948" s="200"/>
      <c r="E948" s="200"/>
      <c r="F948" s="204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  <c r="AA948" s="200"/>
    </row>
    <row r="949">
      <c r="A949" s="200"/>
      <c r="B949" s="200"/>
      <c r="C949" s="200"/>
      <c r="D949" s="200"/>
      <c r="E949" s="200"/>
      <c r="F949" s="204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  <c r="AA949" s="200"/>
    </row>
    <row r="950">
      <c r="A950" s="200"/>
      <c r="B950" s="200"/>
      <c r="C950" s="200"/>
      <c r="D950" s="200"/>
      <c r="E950" s="200"/>
      <c r="F950" s="204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  <c r="AA950" s="200"/>
    </row>
    <row r="951">
      <c r="A951" s="200"/>
      <c r="B951" s="200"/>
      <c r="C951" s="200"/>
      <c r="D951" s="200"/>
      <c r="E951" s="200"/>
      <c r="F951" s="204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  <c r="AA951" s="200"/>
    </row>
    <row r="952">
      <c r="A952" s="200"/>
      <c r="B952" s="200"/>
      <c r="C952" s="200"/>
      <c r="D952" s="200"/>
      <c r="E952" s="200"/>
      <c r="F952" s="204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  <c r="AA952" s="200"/>
    </row>
    <row r="953">
      <c r="A953" s="200"/>
      <c r="B953" s="200"/>
      <c r="C953" s="200"/>
      <c r="D953" s="200"/>
      <c r="E953" s="200"/>
      <c r="F953" s="204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  <c r="AA953" s="200"/>
    </row>
    <row r="954">
      <c r="A954" s="200"/>
      <c r="B954" s="200"/>
      <c r="C954" s="200"/>
      <c r="D954" s="200"/>
      <c r="E954" s="200"/>
      <c r="F954" s="204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  <c r="AA954" s="200"/>
    </row>
    <row r="955">
      <c r="A955" s="200"/>
      <c r="B955" s="200"/>
      <c r="C955" s="200"/>
      <c r="D955" s="200"/>
      <c r="E955" s="200"/>
      <c r="F955" s="204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  <c r="AA955" s="200"/>
    </row>
    <row r="956">
      <c r="A956" s="200"/>
      <c r="B956" s="200"/>
      <c r="C956" s="200"/>
      <c r="D956" s="200"/>
      <c r="E956" s="200"/>
      <c r="F956" s="204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  <c r="AA956" s="200"/>
    </row>
    <row r="957">
      <c r="A957" s="200"/>
      <c r="B957" s="200"/>
      <c r="C957" s="200"/>
      <c r="D957" s="200"/>
      <c r="E957" s="200"/>
      <c r="F957" s="204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  <c r="AA957" s="200"/>
    </row>
    <row r="958">
      <c r="A958" s="200"/>
      <c r="B958" s="200"/>
      <c r="C958" s="200"/>
      <c r="D958" s="200"/>
      <c r="E958" s="200"/>
      <c r="F958" s="204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  <c r="AA958" s="200"/>
    </row>
    <row r="959">
      <c r="A959" s="200"/>
      <c r="B959" s="200"/>
      <c r="C959" s="200"/>
      <c r="D959" s="200"/>
      <c r="E959" s="200"/>
      <c r="F959" s="204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  <c r="AA959" s="200"/>
    </row>
    <row r="960">
      <c r="A960" s="200"/>
      <c r="B960" s="200"/>
      <c r="C960" s="200"/>
      <c r="D960" s="200"/>
      <c r="E960" s="200"/>
      <c r="F960" s="204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  <c r="AA960" s="200"/>
    </row>
    <row r="961">
      <c r="A961" s="200"/>
      <c r="B961" s="200"/>
      <c r="C961" s="200"/>
      <c r="D961" s="200"/>
      <c r="E961" s="200"/>
      <c r="F961" s="204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  <c r="AA961" s="200"/>
    </row>
    <row r="962">
      <c r="A962" s="200"/>
      <c r="B962" s="200"/>
      <c r="C962" s="200"/>
      <c r="D962" s="200"/>
      <c r="E962" s="200"/>
      <c r="F962" s="204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  <c r="AA962" s="200"/>
    </row>
    <row r="963">
      <c r="A963" s="200"/>
      <c r="B963" s="200"/>
      <c r="C963" s="200"/>
      <c r="D963" s="200"/>
      <c r="E963" s="200"/>
      <c r="F963" s="204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  <c r="AA963" s="200"/>
    </row>
    <row r="964">
      <c r="A964" s="200"/>
      <c r="B964" s="200"/>
      <c r="C964" s="200"/>
      <c r="D964" s="200"/>
      <c r="E964" s="200"/>
      <c r="F964" s="204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  <c r="AA964" s="200"/>
    </row>
    <row r="965">
      <c r="A965" s="200"/>
      <c r="B965" s="200"/>
      <c r="C965" s="200"/>
      <c r="D965" s="200"/>
      <c r="E965" s="200"/>
      <c r="F965" s="204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  <c r="AA965" s="200"/>
    </row>
    <row r="966">
      <c r="A966" s="200"/>
      <c r="B966" s="200"/>
      <c r="C966" s="200"/>
      <c r="D966" s="200"/>
      <c r="E966" s="200"/>
      <c r="F966" s="204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  <c r="AA966" s="200"/>
    </row>
    <row r="967">
      <c r="A967" s="200"/>
      <c r="B967" s="200"/>
      <c r="C967" s="200"/>
      <c r="D967" s="200"/>
      <c r="E967" s="200"/>
      <c r="F967" s="204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  <c r="AA967" s="200"/>
    </row>
    <row r="968">
      <c r="A968" s="200"/>
      <c r="B968" s="200"/>
      <c r="C968" s="200"/>
      <c r="D968" s="200"/>
      <c r="E968" s="200"/>
      <c r="F968" s="204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  <c r="AA968" s="200"/>
    </row>
    <row r="969">
      <c r="A969" s="200"/>
      <c r="B969" s="200"/>
      <c r="C969" s="200"/>
      <c r="D969" s="200"/>
      <c r="E969" s="200"/>
      <c r="F969" s="204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  <c r="AA969" s="200"/>
    </row>
    <row r="970">
      <c r="A970" s="200"/>
      <c r="B970" s="200"/>
      <c r="C970" s="200"/>
      <c r="D970" s="200"/>
      <c r="E970" s="200"/>
      <c r="F970" s="204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  <c r="AA970" s="200"/>
    </row>
    <row r="971">
      <c r="A971" s="200"/>
      <c r="B971" s="200"/>
      <c r="C971" s="200"/>
      <c r="D971" s="200"/>
      <c r="E971" s="200"/>
      <c r="F971" s="204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  <c r="AA971" s="200"/>
    </row>
    <row r="972">
      <c r="A972" s="200"/>
      <c r="B972" s="200"/>
      <c r="C972" s="200"/>
      <c r="D972" s="200"/>
      <c r="E972" s="200"/>
      <c r="F972" s="204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  <c r="AA972" s="200"/>
    </row>
    <row r="973">
      <c r="A973" s="200"/>
      <c r="B973" s="200"/>
      <c r="C973" s="200"/>
      <c r="D973" s="200"/>
      <c r="E973" s="200"/>
      <c r="F973" s="204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  <c r="AA973" s="200"/>
    </row>
    <row r="974">
      <c r="A974" s="200"/>
      <c r="B974" s="200"/>
      <c r="C974" s="200"/>
      <c r="D974" s="200"/>
      <c r="E974" s="200"/>
      <c r="F974" s="204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  <c r="AA974" s="200"/>
    </row>
    <row r="975">
      <c r="A975" s="200"/>
      <c r="B975" s="200"/>
      <c r="C975" s="200"/>
      <c r="D975" s="200"/>
      <c r="E975" s="200"/>
      <c r="F975" s="204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  <c r="AA975" s="200"/>
    </row>
    <row r="976">
      <c r="A976" s="200"/>
      <c r="B976" s="200"/>
      <c r="C976" s="200"/>
      <c r="D976" s="200"/>
      <c r="E976" s="200"/>
      <c r="F976" s="204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  <c r="AA976" s="200"/>
    </row>
    <row r="977">
      <c r="A977" s="200"/>
      <c r="B977" s="200"/>
      <c r="C977" s="200"/>
      <c r="D977" s="200"/>
      <c r="E977" s="200"/>
      <c r="F977" s="204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  <c r="AA977" s="200"/>
    </row>
    <row r="978">
      <c r="A978" s="200"/>
      <c r="B978" s="200"/>
      <c r="C978" s="200"/>
      <c r="D978" s="200"/>
      <c r="E978" s="200"/>
      <c r="F978" s="204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  <c r="AA978" s="200"/>
    </row>
    <row r="979">
      <c r="A979" s="200"/>
      <c r="B979" s="200"/>
      <c r="C979" s="200"/>
      <c r="D979" s="200"/>
      <c r="E979" s="200"/>
      <c r="F979" s="204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  <c r="AA979" s="200"/>
    </row>
    <row r="980">
      <c r="A980" s="200"/>
      <c r="B980" s="200"/>
      <c r="C980" s="200"/>
      <c r="D980" s="200"/>
      <c r="E980" s="200"/>
      <c r="F980" s="204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  <c r="AA980" s="200"/>
    </row>
    <row r="981">
      <c r="A981" s="200"/>
      <c r="B981" s="200"/>
      <c r="C981" s="200"/>
      <c r="D981" s="200"/>
      <c r="E981" s="200"/>
      <c r="F981" s="204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  <c r="AA981" s="200"/>
    </row>
    <row r="982">
      <c r="A982" s="200"/>
      <c r="B982" s="200"/>
      <c r="C982" s="200"/>
      <c r="D982" s="200"/>
      <c r="E982" s="200"/>
      <c r="F982" s="204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  <c r="AA982" s="200"/>
    </row>
    <row r="983">
      <c r="A983" s="200"/>
      <c r="B983" s="200"/>
      <c r="C983" s="200"/>
      <c r="D983" s="200"/>
      <c r="E983" s="200"/>
      <c r="F983" s="204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  <c r="AA983" s="200"/>
    </row>
    <row r="984">
      <c r="A984" s="200"/>
      <c r="B984" s="200"/>
      <c r="C984" s="200"/>
      <c r="D984" s="200"/>
      <c r="E984" s="200"/>
      <c r="F984" s="204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  <c r="AA984" s="200"/>
    </row>
    <row r="985">
      <c r="A985" s="200"/>
      <c r="B985" s="200"/>
      <c r="C985" s="200"/>
      <c r="D985" s="200"/>
      <c r="E985" s="200"/>
      <c r="F985" s="204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  <c r="AA985" s="200"/>
    </row>
    <row r="986">
      <c r="A986" s="200"/>
      <c r="B986" s="200"/>
      <c r="C986" s="200"/>
      <c r="D986" s="200"/>
      <c r="E986" s="200"/>
      <c r="F986" s="204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  <c r="AA986" s="200"/>
    </row>
    <row r="987">
      <c r="A987" s="200"/>
      <c r="B987" s="200"/>
      <c r="C987" s="200"/>
      <c r="D987" s="200"/>
      <c r="E987" s="200"/>
      <c r="F987" s="204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  <c r="AA987" s="200"/>
    </row>
    <row r="988">
      <c r="A988" s="200"/>
      <c r="B988" s="200"/>
      <c r="C988" s="200"/>
      <c r="D988" s="200"/>
      <c r="E988" s="200"/>
      <c r="F988" s="204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  <c r="AA988" s="200"/>
    </row>
    <row r="989">
      <c r="A989" s="200"/>
      <c r="B989" s="200"/>
      <c r="C989" s="200"/>
      <c r="D989" s="200"/>
      <c r="E989" s="200"/>
      <c r="F989" s="204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  <c r="AA989" s="200"/>
    </row>
    <row r="990">
      <c r="A990" s="200"/>
      <c r="B990" s="200"/>
      <c r="C990" s="200"/>
      <c r="D990" s="200"/>
      <c r="E990" s="200"/>
      <c r="F990" s="204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  <c r="AA990" s="200"/>
    </row>
    <row r="991">
      <c r="A991" s="200"/>
      <c r="B991" s="200"/>
      <c r="C991" s="200"/>
      <c r="D991" s="200"/>
      <c r="E991" s="200"/>
      <c r="F991" s="204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  <c r="AA991" s="200"/>
    </row>
    <row r="992">
      <c r="A992" s="200"/>
      <c r="B992" s="200"/>
      <c r="C992" s="200"/>
      <c r="D992" s="200"/>
      <c r="E992" s="200"/>
      <c r="F992" s="204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  <c r="AA992" s="200"/>
    </row>
    <row r="993">
      <c r="A993" s="200"/>
      <c r="B993" s="200"/>
      <c r="C993" s="200"/>
      <c r="D993" s="200"/>
      <c r="E993" s="200"/>
      <c r="F993" s="204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  <c r="AA993" s="200"/>
    </row>
    <row r="994">
      <c r="A994" s="200"/>
      <c r="B994" s="200"/>
      <c r="C994" s="200"/>
      <c r="D994" s="200"/>
      <c r="E994" s="200"/>
      <c r="F994" s="204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  <c r="AA994" s="200"/>
    </row>
    <row r="995">
      <c r="A995" s="200"/>
      <c r="B995" s="200"/>
      <c r="C995" s="200"/>
      <c r="D995" s="200"/>
      <c r="E995" s="200"/>
      <c r="F995" s="204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  <c r="AA995" s="200"/>
    </row>
    <row r="996">
      <c r="A996" s="200"/>
      <c r="B996" s="200"/>
      <c r="C996" s="200"/>
      <c r="D996" s="200"/>
      <c r="E996" s="200"/>
      <c r="F996" s="204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  <c r="AA996" s="200"/>
    </row>
    <row r="997">
      <c r="A997" s="200"/>
      <c r="B997" s="200"/>
      <c r="C997" s="200"/>
      <c r="D997" s="200"/>
      <c r="E997" s="200"/>
      <c r="F997" s="204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  <c r="AA997" s="200"/>
    </row>
    <row r="998">
      <c r="A998" s="200"/>
      <c r="B998" s="200"/>
      <c r="C998" s="200"/>
      <c r="D998" s="200"/>
      <c r="E998" s="200"/>
      <c r="F998" s="204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  <c r="AA998" s="200"/>
    </row>
    <row r="999">
      <c r="A999" s="200"/>
      <c r="B999" s="200"/>
      <c r="C999" s="200"/>
      <c r="D999" s="200"/>
      <c r="E999" s="200"/>
      <c r="F999" s="204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  <c r="AA999" s="200"/>
    </row>
    <row r="1000">
      <c r="A1000" s="200"/>
      <c r="B1000" s="200"/>
      <c r="C1000" s="200"/>
      <c r="D1000" s="200"/>
      <c r="E1000" s="200"/>
      <c r="F1000" s="204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  <c r="AA1000" s="200"/>
    </row>
  </sheetData>
  <conditionalFormatting sqref="E2:E109">
    <cfRule type="notContainsBlanks" dxfId="5" priority="1">
      <formula>LEN(TRIM(E2))&gt;0</formula>
    </cfRule>
  </conditionalFormatting>
  <dataValidations>
    <dataValidation type="list" allowBlank="1" showErrorMessage="1" sqref="E2:E110">
      <formula1>LEGEND!$E$2:$E$100</formula1>
    </dataValidation>
    <dataValidation type="list" allowBlank="1" showErrorMessage="1" sqref="H2:H109">
      <formula1>LEGEND!$F$2:$F$13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0" t="s">
        <v>2</v>
      </c>
      <c r="B1" s="80" t="s">
        <v>4</v>
      </c>
      <c r="C1" s="80" t="s">
        <v>42</v>
      </c>
      <c r="D1" s="81" t="s">
        <v>43</v>
      </c>
      <c r="E1" s="81" t="s">
        <v>44</v>
      </c>
      <c r="F1" s="81" t="s">
        <v>45</v>
      </c>
      <c r="G1" s="2" t="s">
        <v>46</v>
      </c>
      <c r="H1" s="82" t="s">
        <v>4</v>
      </c>
      <c r="I1" s="82" t="s">
        <v>42</v>
      </c>
      <c r="J1" s="84" t="s">
        <v>43</v>
      </c>
      <c r="K1" s="84" t="s">
        <v>45</v>
      </c>
      <c r="L1" s="84" t="s">
        <v>33</v>
      </c>
      <c r="M1" s="85" t="s">
        <v>47</v>
      </c>
      <c r="N1" s="82" t="s">
        <v>4</v>
      </c>
      <c r="O1" s="84" t="s">
        <v>43</v>
      </c>
      <c r="P1" s="84" t="s">
        <v>45</v>
      </c>
      <c r="Q1" s="84" t="s">
        <v>48</v>
      </c>
      <c r="R1" s="84" t="s">
        <v>83</v>
      </c>
      <c r="S1" s="84" t="s">
        <v>51</v>
      </c>
      <c r="T1" s="84" t="s">
        <v>52</v>
      </c>
      <c r="U1" s="84" t="s">
        <v>53</v>
      </c>
    </row>
    <row r="2">
      <c r="A2" s="74" t="str">
        <f t="shared" ref="A2:A89" si="1">IF(ISBLANK(B2),"",TEXT(B2,"dddd"))</f>
        <v>Sunday</v>
      </c>
      <c r="B2" s="49">
        <v>46327.0</v>
      </c>
      <c r="C2" s="142"/>
      <c r="D2" s="143"/>
      <c r="E2" s="88"/>
      <c r="F2" s="88">
        <f t="shared" ref="F2:F89" si="2">D2*E2</f>
        <v>0</v>
      </c>
      <c r="H2" s="234">
        <f t="array" ref="H2:H32">INDEX(UNIQUE(B2:C1000), , 1)
</f>
        <v>46327</v>
      </c>
      <c r="I2" s="235" t="str">
        <f t="array" ref="I2:I32">INDEX(UNIQUE(B2:C1000), , 2)
</f>
        <v/>
      </c>
      <c r="J2" s="93">
        <f>SUMIFS(D2:D89, B2:B89, H2, C2:C89, I2)</f>
        <v>0</v>
      </c>
      <c r="K2" s="94">
        <f>SUMIFS(F1:F89, B1:B89, H2, C1:C89, I2)</f>
        <v>0</v>
      </c>
      <c r="L2" s="95">
        <f t="shared" ref="L2:L41" si="3">IFERROR(K2/J2, 0)</f>
        <v>0</v>
      </c>
      <c r="N2" s="96">
        <f t="array" ref="N2:N32">UNIQUE(H2:H89)</f>
        <v>46327</v>
      </c>
      <c r="O2" s="97">
        <f>SUMIF(H2:H89, N2, J2:J89)</f>
        <v>0</v>
      </c>
      <c r="P2" s="98">
        <f>SUMIF(H2:H89, N2, K2:K89)</f>
        <v>0</v>
      </c>
      <c r="Q2" s="99" t="str">
        <f t="shared" ref="Q2:Q41" si="4">IF(N2="", "", IFERROR(P2/O2, "-"))
</f>
        <v>-</v>
      </c>
      <c r="R2" s="101">
        <f>O2*LEGEND!A3%</f>
        <v>0</v>
      </c>
      <c r="S2" s="101">
        <f t="shared" ref="S2:S41" si="5">O2-R2</f>
        <v>0</v>
      </c>
      <c r="T2" s="101"/>
      <c r="U2" s="98" t="str">
        <f t="shared" ref="U2:U41" si="6">IFERROR(ROUND(VALUE(T2)*VALUE(Q2), 2), "-")</f>
        <v>-</v>
      </c>
    </row>
    <row r="3">
      <c r="A3" s="74" t="str">
        <f t="shared" si="1"/>
        <v>Monday</v>
      </c>
      <c r="B3" s="49">
        <v>46328.0</v>
      </c>
      <c r="C3" s="142"/>
      <c r="D3" s="236"/>
      <c r="E3" s="88"/>
      <c r="F3" s="88">
        <f t="shared" si="2"/>
        <v>0</v>
      </c>
      <c r="G3" s="104"/>
      <c r="H3" s="91">
        <v>46328.0</v>
      </c>
      <c r="I3" s="105"/>
      <c r="J3" s="93">
        <f>SUMIFS(D3:D89, B3:B89, H3, C3:C89, I3)</f>
        <v>0</v>
      </c>
      <c r="K3" s="94">
        <f>SUMIFS(F2:F89, B2:B89, H3, C2:C89, I3)</f>
        <v>0</v>
      </c>
      <c r="L3" s="95">
        <f t="shared" si="3"/>
        <v>0</v>
      </c>
      <c r="N3" s="96">
        <v>46328.0</v>
      </c>
      <c r="O3" s="97">
        <f>SUMIF(H3:H89, N3, J3:J89)</f>
        <v>0</v>
      </c>
      <c r="P3" s="98">
        <f>SUMIF(H3:H89, N3, K3:K89)</f>
        <v>0</v>
      </c>
      <c r="Q3" s="99" t="str">
        <f t="shared" si="4"/>
        <v>-</v>
      </c>
      <c r="R3" s="101">
        <f>O3*LEGEND!A3%</f>
        <v>0</v>
      </c>
      <c r="S3" s="101">
        <f t="shared" si="5"/>
        <v>0</v>
      </c>
      <c r="T3" s="101"/>
      <c r="U3" s="98" t="str">
        <f t="shared" si="6"/>
        <v>-</v>
      </c>
    </row>
    <row r="4">
      <c r="A4" s="74" t="str">
        <f t="shared" si="1"/>
        <v>Tuesday</v>
      </c>
      <c r="B4" s="49">
        <v>46329.0</v>
      </c>
      <c r="C4" s="148"/>
      <c r="D4" s="236"/>
      <c r="E4" s="88"/>
      <c r="F4" s="88">
        <f t="shared" si="2"/>
        <v>0</v>
      </c>
      <c r="H4" s="91">
        <v>46329.0</v>
      </c>
      <c r="I4" s="105"/>
      <c r="J4" s="93">
        <f>SUMIFS(D4:D89, B4:B89, H4, C4:C89, I4)</f>
        <v>0</v>
      </c>
      <c r="K4" s="94">
        <f>SUMIFS(F3:F89, B3:B89, H4, C3:C89, I4)</f>
        <v>0</v>
      </c>
      <c r="L4" s="95">
        <f t="shared" si="3"/>
        <v>0</v>
      </c>
      <c r="N4" s="96">
        <v>46329.0</v>
      </c>
      <c r="O4" s="97">
        <f>SUMIF(H4:H89, N4, J4:J89)</f>
        <v>0</v>
      </c>
      <c r="P4" s="98">
        <f>SUMIF(H4:H89, N4, K4:K89)</f>
        <v>0</v>
      </c>
      <c r="Q4" s="99" t="str">
        <f t="shared" si="4"/>
        <v>-</v>
      </c>
      <c r="R4" s="101">
        <f>O4*LEGEND!A4%</f>
        <v>0</v>
      </c>
      <c r="S4" s="101">
        <f t="shared" si="5"/>
        <v>0</v>
      </c>
      <c r="T4" s="101"/>
      <c r="U4" s="98" t="str">
        <f t="shared" si="6"/>
        <v>-</v>
      </c>
    </row>
    <row r="5">
      <c r="A5" s="74" t="str">
        <f t="shared" si="1"/>
        <v>Wednesday</v>
      </c>
      <c r="B5" s="49">
        <v>46330.0</v>
      </c>
      <c r="C5" s="148"/>
      <c r="D5" s="236"/>
      <c r="E5" s="88"/>
      <c r="F5" s="88">
        <f t="shared" si="2"/>
        <v>0</v>
      </c>
      <c r="H5" s="91">
        <v>46330.0</v>
      </c>
      <c r="I5" s="105"/>
      <c r="J5" s="93">
        <f>SUMIFS(D5:D89, B5:B89, H5, C5:C89, I5)</f>
        <v>0</v>
      </c>
      <c r="K5" s="94">
        <f>SUMIFS(F4:F89, B4:B89, H5, C4:C89, I5)</f>
        <v>0</v>
      </c>
      <c r="L5" s="95">
        <f t="shared" si="3"/>
        <v>0</v>
      </c>
      <c r="N5" s="96">
        <v>46330.0</v>
      </c>
      <c r="O5" s="97">
        <f>SUMIF(H5:H89, N5, J5:J89)</f>
        <v>0</v>
      </c>
      <c r="P5" s="98">
        <f>SUMIF(H5:H89, N5, K5:K89)</f>
        <v>0</v>
      </c>
      <c r="Q5" s="99" t="str">
        <f t="shared" si="4"/>
        <v>-</v>
      </c>
      <c r="R5" s="101">
        <f>O5*LEGEND!A5%</f>
        <v>0</v>
      </c>
      <c r="S5" s="101">
        <f t="shared" si="5"/>
        <v>0</v>
      </c>
      <c r="T5" s="101"/>
      <c r="U5" s="98" t="str">
        <f t="shared" si="6"/>
        <v>-</v>
      </c>
    </row>
    <row r="6">
      <c r="A6" s="74" t="str">
        <f t="shared" si="1"/>
        <v>Thursday</v>
      </c>
      <c r="B6" s="49">
        <v>46331.0</v>
      </c>
      <c r="C6" s="148"/>
      <c r="D6" s="236"/>
      <c r="E6" s="88"/>
      <c r="F6" s="88">
        <f t="shared" si="2"/>
        <v>0</v>
      </c>
      <c r="H6" s="91">
        <v>46331.0</v>
      </c>
      <c r="I6" s="105"/>
      <c r="J6" s="93">
        <f>SUMIFS(D6:D89, B6:B89, H6, C6:C89, I6)</f>
        <v>0</v>
      </c>
      <c r="K6" s="94">
        <f>SUMIFS(F5:F89, B5:B89, H6, C5:C89, I6)</f>
        <v>0</v>
      </c>
      <c r="L6" s="95">
        <f t="shared" si="3"/>
        <v>0</v>
      </c>
      <c r="N6" s="96">
        <v>46331.0</v>
      </c>
      <c r="O6" s="97">
        <f>SUMIF(H6:H89, N6, J6:J89)</f>
        <v>0</v>
      </c>
      <c r="P6" s="98">
        <f>SUMIF(H6:H89, N6, K6:K89)</f>
        <v>0</v>
      </c>
      <c r="Q6" s="99" t="str">
        <f t="shared" si="4"/>
        <v>-</v>
      </c>
      <c r="R6" s="237" t="str">
        <f>O6*#REF!%</f>
        <v>#REF!</v>
      </c>
      <c r="S6" s="237" t="str">
        <f t="shared" si="5"/>
        <v>#REF!</v>
      </c>
      <c r="T6" s="101"/>
      <c r="U6" s="98" t="str">
        <f t="shared" si="6"/>
        <v>-</v>
      </c>
    </row>
    <row r="7">
      <c r="A7" s="74" t="str">
        <f t="shared" si="1"/>
        <v>Friday</v>
      </c>
      <c r="B7" s="49">
        <v>46332.0</v>
      </c>
      <c r="C7" s="148"/>
      <c r="D7" s="236"/>
      <c r="E7" s="88"/>
      <c r="F7" s="88">
        <f t="shared" si="2"/>
        <v>0</v>
      </c>
      <c r="H7" s="91">
        <v>46332.0</v>
      </c>
      <c r="I7" s="105"/>
      <c r="J7" s="93">
        <f>SUMIFS(D7:D89, B7:B89, H7, C7:C89, I7)</f>
        <v>0</v>
      </c>
      <c r="K7" s="94">
        <f>SUMIFS(F6:F89, B6:B89, H7, C6:C89, I7)</f>
        <v>0</v>
      </c>
      <c r="L7" s="95">
        <f t="shared" si="3"/>
        <v>0</v>
      </c>
      <c r="N7" s="96">
        <v>46332.0</v>
      </c>
      <c r="O7" s="97">
        <f>SUMIF(H7:H89, N7, J7:J89)</f>
        <v>0</v>
      </c>
      <c r="P7" s="98">
        <f>SUMIF(H7:H89, N7, K7:K89)</f>
        <v>0</v>
      </c>
      <c r="Q7" s="99" t="str">
        <f t="shared" si="4"/>
        <v>-</v>
      </c>
      <c r="R7" s="101">
        <f>O7*LEGEND!A6%</f>
        <v>0</v>
      </c>
      <c r="S7" s="101">
        <f t="shared" si="5"/>
        <v>0</v>
      </c>
      <c r="T7" s="101"/>
      <c r="U7" s="98" t="str">
        <f t="shared" si="6"/>
        <v>-</v>
      </c>
    </row>
    <row r="8">
      <c r="A8" s="74" t="str">
        <f t="shared" si="1"/>
        <v>Saturday</v>
      </c>
      <c r="B8" s="49">
        <v>46333.0</v>
      </c>
      <c r="C8" s="148"/>
      <c r="D8" s="236"/>
      <c r="E8" s="88"/>
      <c r="F8" s="88">
        <f t="shared" si="2"/>
        <v>0</v>
      </c>
      <c r="H8" s="91">
        <v>46333.0</v>
      </c>
      <c r="I8" s="105"/>
      <c r="J8" s="93">
        <f>SUMIFS(D8:D89, B8:B89, H8, C8:C89, I8)</f>
        <v>0</v>
      </c>
      <c r="K8" s="94">
        <f>SUMIFS(F7:F89, B7:B89, H8, C7:C89, I8)</f>
        <v>0</v>
      </c>
      <c r="L8" s="95">
        <f t="shared" si="3"/>
        <v>0</v>
      </c>
      <c r="N8" s="96">
        <v>46333.0</v>
      </c>
      <c r="O8" s="97">
        <f>SUMIF(H8:H89, N8, J8:J89)</f>
        <v>0</v>
      </c>
      <c r="P8" s="98">
        <f>SUMIF(H8:H89, N8, K8:K89)</f>
        <v>0</v>
      </c>
      <c r="Q8" s="99" t="str">
        <f t="shared" si="4"/>
        <v>-</v>
      </c>
      <c r="R8" s="101">
        <f>O8*LEGEND!A7%</f>
        <v>0</v>
      </c>
      <c r="S8" s="101">
        <f t="shared" si="5"/>
        <v>0</v>
      </c>
      <c r="T8" s="101"/>
      <c r="U8" s="98" t="str">
        <f t="shared" si="6"/>
        <v>-</v>
      </c>
    </row>
    <row r="9">
      <c r="A9" s="74" t="str">
        <f t="shared" si="1"/>
        <v>Sunday</v>
      </c>
      <c r="B9" s="49">
        <v>46334.0</v>
      </c>
      <c r="C9" s="148"/>
      <c r="D9" s="236"/>
      <c r="E9" s="88"/>
      <c r="F9" s="88">
        <f t="shared" si="2"/>
        <v>0</v>
      </c>
      <c r="H9" s="91">
        <v>46334.0</v>
      </c>
      <c r="I9" s="105"/>
      <c r="J9" s="93">
        <f>SUMIFS(D9:D89, B9:B89, H9, C9:C89, I9)</f>
        <v>0</v>
      </c>
      <c r="K9" s="94">
        <f>SUMIFS(F8:F89, B8:B89, H9, C8:C89, I9)</f>
        <v>0</v>
      </c>
      <c r="L9" s="95">
        <f t="shared" si="3"/>
        <v>0</v>
      </c>
      <c r="N9" s="96">
        <v>46334.0</v>
      </c>
      <c r="O9" s="97">
        <f>SUMIF(H9:H89, N9, J9:J89)</f>
        <v>0</v>
      </c>
      <c r="P9" s="98">
        <f>SUMIF(H9:H89, N9, K9:K89)</f>
        <v>0</v>
      </c>
      <c r="Q9" s="99" t="str">
        <f t="shared" si="4"/>
        <v>-</v>
      </c>
      <c r="R9" s="101">
        <f>O9*LEGEND!A8%</f>
        <v>0</v>
      </c>
      <c r="S9" s="101">
        <f t="shared" si="5"/>
        <v>0</v>
      </c>
      <c r="T9" s="101"/>
      <c r="U9" s="98" t="str">
        <f t="shared" si="6"/>
        <v>-</v>
      </c>
    </row>
    <row r="10">
      <c r="A10" s="74" t="str">
        <f t="shared" si="1"/>
        <v>Monday</v>
      </c>
      <c r="B10" s="49">
        <v>46335.0</v>
      </c>
      <c r="C10" s="148"/>
      <c r="D10" s="236"/>
      <c r="E10" s="88"/>
      <c r="F10" s="88">
        <f t="shared" si="2"/>
        <v>0</v>
      </c>
      <c r="H10" s="91">
        <v>46335.0</v>
      </c>
      <c r="I10" s="105"/>
      <c r="J10" s="93">
        <f>SUMIFS(D10:D89, B10:B89, H10, C10:C89, I10)</f>
        <v>0</v>
      </c>
      <c r="K10" s="94">
        <f>SUMIFS(F9:F89, B9:B89, H10, C9:C89, I10)</f>
        <v>0</v>
      </c>
      <c r="L10" s="95">
        <f t="shared" si="3"/>
        <v>0</v>
      </c>
      <c r="N10" s="96">
        <v>46335.0</v>
      </c>
      <c r="O10" s="97">
        <f>SUMIF(H10:H89, N10, J10:J89)</f>
        <v>0</v>
      </c>
      <c r="P10" s="98">
        <f>SUMIF(H10:H89, N10, K10:K89)</f>
        <v>0</v>
      </c>
      <c r="Q10" s="99" t="str">
        <f t="shared" si="4"/>
        <v>-</v>
      </c>
      <c r="R10" s="101">
        <f>O10*LEGEND!A9%</f>
        <v>0</v>
      </c>
      <c r="S10" s="101">
        <f t="shared" si="5"/>
        <v>0</v>
      </c>
      <c r="T10" s="101"/>
      <c r="U10" s="98" t="str">
        <f t="shared" si="6"/>
        <v>-</v>
      </c>
    </row>
    <row r="11">
      <c r="A11" s="74" t="str">
        <f t="shared" si="1"/>
        <v>Tuesday</v>
      </c>
      <c r="B11" s="49">
        <v>46336.0</v>
      </c>
      <c r="C11" s="148"/>
      <c r="D11" s="236"/>
      <c r="E11" s="88"/>
      <c r="F11" s="88">
        <f t="shared" si="2"/>
        <v>0</v>
      </c>
      <c r="H11" s="91">
        <v>46336.0</v>
      </c>
      <c r="I11" s="105"/>
      <c r="J11" s="93">
        <f>SUMIFS(D11:D89, B11:B89, H11, C11:C89, I11)</f>
        <v>0</v>
      </c>
      <c r="K11" s="94">
        <f>SUMIFS(F10:F89, B10:B89, H11, C10:C89, I11)</f>
        <v>0</v>
      </c>
      <c r="L11" s="95">
        <f t="shared" si="3"/>
        <v>0</v>
      </c>
      <c r="N11" s="96">
        <v>46336.0</v>
      </c>
      <c r="O11" s="97">
        <f>SUMIF(H11:H89, N11, J11:J89)</f>
        <v>0</v>
      </c>
      <c r="P11" s="98">
        <f>SUMIF(H11:H89, N11, K11:K89)</f>
        <v>0</v>
      </c>
      <c r="Q11" s="99" t="str">
        <f t="shared" si="4"/>
        <v>-</v>
      </c>
      <c r="R11" s="101">
        <f>O11*LEGEND!A10%</f>
        <v>0</v>
      </c>
      <c r="S11" s="101">
        <f t="shared" si="5"/>
        <v>0</v>
      </c>
      <c r="T11" s="101"/>
      <c r="U11" s="98" t="str">
        <f t="shared" si="6"/>
        <v>-</v>
      </c>
    </row>
    <row r="12">
      <c r="A12" s="74" t="str">
        <f t="shared" si="1"/>
        <v>Wednesday</v>
      </c>
      <c r="B12" s="49">
        <v>46337.0</v>
      </c>
      <c r="C12" s="148"/>
      <c r="D12" s="236"/>
      <c r="E12" s="88"/>
      <c r="F12" s="88">
        <f t="shared" si="2"/>
        <v>0</v>
      </c>
      <c r="H12" s="91">
        <v>46337.0</v>
      </c>
      <c r="I12" s="105"/>
      <c r="J12" s="93">
        <f>SUMIFS(D12:D89, B12:B89, H12, C12:C89, I12)</f>
        <v>0</v>
      </c>
      <c r="K12" s="94">
        <f>SUMIFS(F11:F89, B11:B89, H12, C11:C89, I12)</f>
        <v>0</v>
      </c>
      <c r="L12" s="95">
        <f t="shared" si="3"/>
        <v>0</v>
      </c>
      <c r="N12" s="96">
        <v>46337.0</v>
      </c>
      <c r="O12" s="97">
        <f>SUMIF(H12:H89, N12, J12:J89)</f>
        <v>0</v>
      </c>
      <c r="P12" s="98">
        <f>SUMIF(H12:H89, N12, K12:K89)</f>
        <v>0</v>
      </c>
      <c r="Q12" s="99" t="str">
        <f t="shared" si="4"/>
        <v>-</v>
      </c>
      <c r="R12" s="101">
        <f>O12*LEGEND!A11%</f>
        <v>0</v>
      </c>
      <c r="S12" s="101">
        <f t="shared" si="5"/>
        <v>0</v>
      </c>
      <c r="T12" s="101"/>
      <c r="U12" s="98" t="str">
        <f t="shared" si="6"/>
        <v>-</v>
      </c>
    </row>
    <row r="13">
      <c r="A13" s="74" t="str">
        <f t="shared" si="1"/>
        <v>Thursday</v>
      </c>
      <c r="B13" s="49">
        <v>46338.0</v>
      </c>
      <c r="C13" s="148"/>
      <c r="D13" s="236"/>
      <c r="E13" s="88"/>
      <c r="F13" s="88">
        <f t="shared" si="2"/>
        <v>0</v>
      </c>
      <c r="H13" s="91">
        <v>46338.0</v>
      </c>
      <c r="I13" s="105"/>
      <c r="J13" s="93">
        <f>SUMIFS(D13:D89, B13:B89, H13, C13:C89, I13)</f>
        <v>0</v>
      </c>
      <c r="K13" s="94">
        <f>SUMIFS(F12:F89, B12:B89, H13, C12:C89, I13)</f>
        <v>0</v>
      </c>
      <c r="L13" s="95">
        <f t="shared" si="3"/>
        <v>0</v>
      </c>
      <c r="N13" s="96">
        <v>46338.0</v>
      </c>
      <c r="O13" s="97">
        <f>SUMIF(H13:H89, N13, J13:J89)</f>
        <v>0</v>
      </c>
      <c r="P13" s="98">
        <f>SUMIF(H13:H89, N13, K13:K89)</f>
        <v>0</v>
      </c>
      <c r="Q13" s="99" t="str">
        <f t="shared" si="4"/>
        <v>-</v>
      </c>
      <c r="R13" s="101">
        <f>O13*LEGEND!A12%</f>
        <v>0</v>
      </c>
      <c r="S13" s="101">
        <f t="shared" si="5"/>
        <v>0</v>
      </c>
      <c r="T13" s="101"/>
      <c r="U13" s="98" t="str">
        <f t="shared" si="6"/>
        <v>-</v>
      </c>
    </row>
    <row r="14">
      <c r="A14" s="74" t="str">
        <f t="shared" si="1"/>
        <v>Friday</v>
      </c>
      <c r="B14" s="49">
        <v>46339.0</v>
      </c>
      <c r="C14" s="148"/>
      <c r="D14" s="236"/>
      <c r="E14" s="88"/>
      <c r="F14" s="88">
        <f t="shared" si="2"/>
        <v>0</v>
      </c>
      <c r="H14" s="91">
        <v>46339.0</v>
      </c>
      <c r="I14" s="105"/>
      <c r="J14" s="93">
        <f>SUMIFS(D14:D89, B14:B89, H14, C14:C89, I14)</f>
        <v>0</v>
      </c>
      <c r="K14" s="94">
        <f>SUMIFS(F13:F89, B13:B89, H14, C13:C89, I14)</f>
        <v>0</v>
      </c>
      <c r="L14" s="95">
        <f t="shared" si="3"/>
        <v>0</v>
      </c>
      <c r="N14" s="96">
        <v>46339.0</v>
      </c>
      <c r="O14" s="97">
        <f>SUMIF(H14:H89, N14, J14:J89)</f>
        <v>0</v>
      </c>
      <c r="P14" s="98">
        <f>SUMIF(H14:H89, N14, K14:K89)</f>
        <v>0</v>
      </c>
      <c r="Q14" s="99" t="str">
        <f t="shared" si="4"/>
        <v>-</v>
      </c>
      <c r="R14" s="101">
        <f>O14*LEGEND!A13%</f>
        <v>0</v>
      </c>
      <c r="S14" s="101">
        <f t="shared" si="5"/>
        <v>0</v>
      </c>
      <c r="T14" s="101"/>
      <c r="U14" s="98" t="str">
        <f t="shared" si="6"/>
        <v>-</v>
      </c>
    </row>
    <row r="15">
      <c r="A15" s="74" t="str">
        <f t="shared" si="1"/>
        <v>Saturday</v>
      </c>
      <c r="B15" s="49">
        <v>46340.0</v>
      </c>
      <c r="C15" s="148"/>
      <c r="D15" s="236"/>
      <c r="E15" s="88"/>
      <c r="F15" s="88">
        <f t="shared" si="2"/>
        <v>0</v>
      </c>
      <c r="H15" s="91">
        <v>46340.0</v>
      </c>
      <c r="I15" s="105"/>
      <c r="J15" s="93">
        <f>SUMIFS(D15:D89, B15:B89, H15, C15:C89, I15)</f>
        <v>0</v>
      </c>
      <c r="K15" s="94">
        <f>SUMIFS(F14:F89, B14:B89, H15, C14:C89, I15)</f>
        <v>0</v>
      </c>
      <c r="L15" s="95">
        <f t="shared" si="3"/>
        <v>0</v>
      </c>
      <c r="N15" s="96">
        <v>46340.0</v>
      </c>
      <c r="O15" s="97">
        <f>SUMIF(H15:H89, N15, J15:J89)</f>
        <v>0</v>
      </c>
      <c r="P15" s="98">
        <f>SUMIF(H15:H89, N15, K15:K89)</f>
        <v>0</v>
      </c>
      <c r="Q15" s="99" t="str">
        <f t="shared" si="4"/>
        <v>-</v>
      </c>
      <c r="R15" s="101">
        <f>O15*LEGEND!A14%</f>
        <v>0</v>
      </c>
      <c r="S15" s="101">
        <f t="shared" si="5"/>
        <v>0</v>
      </c>
      <c r="T15" s="101"/>
      <c r="U15" s="98" t="str">
        <f t="shared" si="6"/>
        <v>-</v>
      </c>
    </row>
    <row r="16">
      <c r="A16" s="74" t="str">
        <f t="shared" si="1"/>
        <v>Sunday</v>
      </c>
      <c r="B16" s="49">
        <v>46341.0</v>
      </c>
      <c r="C16" s="148"/>
      <c r="D16" s="236"/>
      <c r="E16" s="88"/>
      <c r="F16" s="88">
        <f t="shared" si="2"/>
        <v>0</v>
      </c>
      <c r="H16" s="91">
        <v>46341.0</v>
      </c>
      <c r="I16" s="105"/>
      <c r="J16" s="93">
        <f>SUMIFS(D16:D89, B16:B89, H16, C16:C89, I16)</f>
        <v>0</v>
      </c>
      <c r="K16" s="94">
        <f>SUMIFS(F15:F89, B15:B89, H16, C15:C89, I16)</f>
        <v>0</v>
      </c>
      <c r="L16" s="95">
        <f t="shared" si="3"/>
        <v>0</v>
      </c>
      <c r="N16" s="96">
        <v>46341.0</v>
      </c>
      <c r="O16" s="97">
        <f>SUMIF(H16:H89, N16, J16:J89)</f>
        <v>0</v>
      </c>
      <c r="P16" s="98">
        <f>SUMIF(H16:H89, N16, K16:K89)</f>
        <v>0</v>
      </c>
      <c r="Q16" s="99" t="str">
        <f t="shared" si="4"/>
        <v>-</v>
      </c>
      <c r="R16" s="101">
        <f>O16*LEGEND!A15%</f>
        <v>0</v>
      </c>
      <c r="S16" s="101">
        <f t="shared" si="5"/>
        <v>0</v>
      </c>
      <c r="T16" s="101"/>
      <c r="U16" s="98" t="str">
        <f t="shared" si="6"/>
        <v>-</v>
      </c>
    </row>
    <row r="17">
      <c r="A17" s="74" t="str">
        <f t="shared" si="1"/>
        <v>Monday</v>
      </c>
      <c r="B17" s="49">
        <v>46342.0</v>
      </c>
      <c r="C17" s="148"/>
      <c r="D17" s="236"/>
      <c r="E17" s="88"/>
      <c r="F17" s="88">
        <f t="shared" si="2"/>
        <v>0</v>
      </c>
      <c r="H17" s="91">
        <v>46342.0</v>
      </c>
      <c r="I17" s="105"/>
      <c r="J17" s="93">
        <f>SUMIFS(D17:D89, B17:B89, H17, C17:C89, I17)</f>
        <v>0</v>
      </c>
      <c r="K17" s="94">
        <f>SUMIFS(F16:F89, B16:B89, H17, C16:C89, I17)</f>
        <v>0</v>
      </c>
      <c r="L17" s="95">
        <f t="shared" si="3"/>
        <v>0</v>
      </c>
      <c r="N17" s="96">
        <v>46342.0</v>
      </c>
      <c r="O17" s="97">
        <f>SUMIF(H17:H89, N17, J17:J89)</f>
        <v>0</v>
      </c>
      <c r="P17" s="98">
        <f>SUMIF(H17:H89, N17, K17:K89)</f>
        <v>0</v>
      </c>
      <c r="Q17" s="99" t="str">
        <f t="shared" si="4"/>
        <v>-</v>
      </c>
      <c r="R17" s="101">
        <f>O17*LEGEND!A16%</f>
        <v>0</v>
      </c>
      <c r="S17" s="101">
        <f t="shared" si="5"/>
        <v>0</v>
      </c>
      <c r="T17" s="101"/>
      <c r="U17" s="98" t="str">
        <f t="shared" si="6"/>
        <v>-</v>
      </c>
    </row>
    <row r="18">
      <c r="A18" s="74" t="str">
        <f t="shared" si="1"/>
        <v>Tuesday</v>
      </c>
      <c r="B18" s="49">
        <v>46343.0</v>
      </c>
      <c r="C18" s="148"/>
      <c r="D18" s="236"/>
      <c r="E18" s="88"/>
      <c r="F18" s="88">
        <f t="shared" si="2"/>
        <v>0</v>
      </c>
      <c r="H18" s="91">
        <v>46343.0</v>
      </c>
      <c r="I18" s="105"/>
      <c r="J18" s="93">
        <f>SUMIFS(D18:D89, B18:B89, H18, C18:C89, I18)</f>
        <v>0</v>
      </c>
      <c r="K18" s="94">
        <f>SUMIFS(F17:F89, B17:B89, H18, C17:C89, I18)</f>
        <v>0</v>
      </c>
      <c r="L18" s="95">
        <f t="shared" si="3"/>
        <v>0</v>
      </c>
      <c r="N18" s="96">
        <v>46343.0</v>
      </c>
      <c r="O18" s="97">
        <f>SUMIF(H18:H89, N18, J18:J89)</f>
        <v>0</v>
      </c>
      <c r="P18" s="98">
        <f>SUMIF(H18:H89, N18, K18:K89)</f>
        <v>0</v>
      </c>
      <c r="Q18" s="99" t="str">
        <f t="shared" si="4"/>
        <v>-</v>
      </c>
      <c r="R18" s="101">
        <f>O18*LEGEND!A17%</f>
        <v>0</v>
      </c>
      <c r="S18" s="101">
        <f t="shared" si="5"/>
        <v>0</v>
      </c>
      <c r="T18" s="101"/>
      <c r="U18" s="98" t="str">
        <f t="shared" si="6"/>
        <v>-</v>
      </c>
    </row>
    <row r="19">
      <c r="A19" s="74" t="str">
        <f t="shared" si="1"/>
        <v>Wednesday</v>
      </c>
      <c r="B19" s="49">
        <v>46344.0</v>
      </c>
      <c r="C19" s="148"/>
      <c r="D19" s="236"/>
      <c r="E19" s="88"/>
      <c r="F19" s="88">
        <f t="shared" si="2"/>
        <v>0</v>
      </c>
      <c r="H19" s="91">
        <v>46344.0</v>
      </c>
      <c r="I19" s="105"/>
      <c r="J19" s="93">
        <f>SUMIFS(D19:D89, B19:B89, H19, C19:C89, I19)</f>
        <v>0</v>
      </c>
      <c r="K19" s="94">
        <f>SUMIFS(F18:F89, B18:B89, H19, C18:C89, I19)</f>
        <v>0</v>
      </c>
      <c r="L19" s="95">
        <f t="shared" si="3"/>
        <v>0</v>
      </c>
      <c r="N19" s="96">
        <v>46344.0</v>
      </c>
      <c r="O19" s="97">
        <f>SUMIF(H19:H89, N19, J19:J89)</f>
        <v>0</v>
      </c>
      <c r="P19" s="98">
        <f>SUMIF(H19:H89, N19, K19:K89)</f>
        <v>0</v>
      </c>
      <c r="Q19" s="99" t="str">
        <f t="shared" si="4"/>
        <v>-</v>
      </c>
      <c r="R19" s="101">
        <f>O19*LEGEND!A18%</f>
        <v>0</v>
      </c>
      <c r="S19" s="101">
        <f t="shared" si="5"/>
        <v>0</v>
      </c>
      <c r="T19" s="101"/>
      <c r="U19" s="98" t="str">
        <f t="shared" si="6"/>
        <v>-</v>
      </c>
    </row>
    <row r="20">
      <c r="A20" s="74" t="str">
        <f t="shared" si="1"/>
        <v>Thursday</v>
      </c>
      <c r="B20" s="49">
        <v>46345.0</v>
      </c>
      <c r="C20" s="148"/>
      <c r="D20" s="236"/>
      <c r="E20" s="88"/>
      <c r="F20" s="88">
        <f t="shared" si="2"/>
        <v>0</v>
      </c>
      <c r="H20" s="91">
        <v>46345.0</v>
      </c>
      <c r="I20" s="105"/>
      <c r="J20" s="93">
        <f>SUMIFS(D20:D89, B20:B89, H20, C20:C89, I20)</f>
        <v>0</v>
      </c>
      <c r="K20" s="94">
        <f>SUMIFS(F19:F89, B19:B89, H20, C19:C89, I20)</f>
        <v>0</v>
      </c>
      <c r="L20" s="95">
        <f t="shared" si="3"/>
        <v>0</v>
      </c>
      <c r="N20" s="96">
        <v>46345.0</v>
      </c>
      <c r="O20" s="97">
        <f>SUMIF(H20:H89, N20, J20:J89)</f>
        <v>0</v>
      </c>
      <c r="P20" s="98">
        <f>SUMIF(H20:H89, N20, K20:K89)</f>
        <v>0</v>
      </c>
      <c r="Q20" s="99" t="str">
        <f t="shared" si="4"/>
        <v>-</v>
      </c>
      <c r="R20" s="101">
        <f>O20*LEGEND!A19%</f>
        <v>0</v>
      </c>
      <c r="S20" s="101">
        <f t="shared" si="5"/>
        <v>0</v>
      </c>
      <c r="T20" s="101"/>
      <c r="U20" s="98" t="str">
        <f t="shared" si="6"/>
        <v>-</v>
      </c>
    </row>
    <row r="21">
      <c r="A21" s="74" t="str">
        <f t="shared" si="1"/>
        <v>Friday</v>
      </c>
      <c r="B21" s="49">
        <v>46346.0</v>
      </c>
      <c r="C21" s="148"/>
      <c r="D21" s="236"/>
      <c r="E21" s="88"/>
      <c r="F21" s="88">
        <f t="shared" si="2"/>
        <v>0</v>
      </c>
      <c r="H21" s="91">
        <v>46346.0</v>
      </c>
      <c r="I21" s="105"/>
      <c r="J21" s="93">
        <f>SUMIFS(D21:D89, B21:B89, H21, C21:C89, I21)</f>
        <v>0</v>
      </c>
      <c r="K21" s="94">
        <f>SUMIFS(F20:F89, B20:B89, H21, C20:C89, I21)</f>
        <v>0</v>
      </c>
      <c r="L21" s="95">
        <f t="shared" si="3"/>
        <v>0</v>
      </c>
      <c r="N21" s="96">
        <v>46346.0</v>
      </c>
      <c r="O21" s="97">
        <f>SUMIF(H21:H89, N21, J21:J89)</f>
        <v>0</v>
      </c>
      <c r="P21" s="98">
        <f>SUMIF(H21:H89, N21, K21:K89)</f>
        <v>0</v>
      </c>
      <c r="Q21" s="99" t="str">
        <f t="shared" si="4"/>
        <v>-</v>
      </c>
      <c r="R21" s="101">
        <f>O21*LEGEND!A20%</f>
        <v>0</v>
      </c>
      <c r="S21" s="101">
        <f t="shared" si="5"/>
        <v>0</v>
      </c>
      <c r="T21" s="101"/>
      <c r="U21" s="98" t="str">
        <f t="shared" si="6"/>
        <v>-</v>
      </c>
    </row>
    <row r="22">
      <c r="A22" s="74" t="str">
        <f t="shared" si="1"/>
        <v>Saturday</v>
      </c>
      <c r="B22" s="49">
        <v>46347.0</v>
      </c>
      <c r="C22" s="148"/>
      <c r="D22" s="236"/>
      <c r="E22" s="88"/>
      <c r="F22" s="88">
        <f t="shared" si="2"/>
        <v>0</v>
      </c>
      <c r="H22" s="91">
        <v>46347.0</v>
      </c>
      <c r="I22" s="105"/>
      <c r="J22" s="93">
        <f>SUMIFS(D22:D89, B22:B89, H22, C22:C89, I22)</f>
        <v>0</v>
      </c>
      <c r="K22" s="94">
        <f>SUMIFS(F21:F89, B21:B89, H22, C21:C89, I22)</f>
        <v>0</v>
      </c>
      <c r="L22" s="95">
        <f t="shared" si="3"/>
        <v>0</v>
      </c>
      <c r="N22" s="96">
        <v>46347.0</v>
      </c>
      <c r="O22" s="97">
        <f>SUMIF(H22:H89, N22, J22:J89)</f>
        <v>0</v>
      </c>
      <c r="P22" s="98">
        <f>SUMIF(H22:H89, N22, K22:K89)</f>
        <v>0</v>
      </c>
      <c r="Q22" s="99" t="str">
        <f t="shared" si="4"/>
        <v>-</v>
      </c>
      <c r="R22" s="101">
        <f>O22*LEGEND!A21%</f>
        <v>0</v>
      </c>
      <c r="S22" s="101">
        <f t="shared" si="5"/>
        <v>0</v>
      </c>
      <c r="T22" s="101"/>
      <c r="U22" s="98" t="str">
        <f t="shared" si="6"/>
        <v>-</v>
      </c>
    </row>
    <row r="23">
      <c r="A23" s="74" t="str">
        <f t="shared" si="1"/>
        <v>Sunday</v>
      </c>
      <c r="B23" s="49">
        <v>46348.0</v>
      </c>
      <c r="C23" s="148"/>
      <c r="D23" s="236"/>
      <c r="E23" s="88"/>
      <c r="F23" s="88">
        <f t="shared" si="2"/>
        <v>0</v>
      </c>
      <c r="H23" s="91">
        <v>46348.0</v>
      </c>
      <c r="I23" s="105"/>
      <c r="J23" s="93">
        <f>SUMIFS(D23:D89, B23:B89, H23, C23:C89, I23)</f>
        <v>0</v>
      </c>
      <c r="K23" s="94">
        <f>SUMIFS(F22:F89, B22:B89, H23, C22:C89, I23)</f>
        <v>0</v>
      </c>
      <c r="L23" s="95">
        <f t="shared" si="3"/>
        <v>0</v>
      </c>
      <c r="N23" s="96">
        <v>46348.0</v>
      </c>
      <c r="O23" s="97">
        <f>SUMIF(H23:H89, N23, J23:J89)</f>
        <v>0</v>
      </c>
      <c r="P23" s="98">
        <f>SUMIF(H23:H89, N23, K23:K89)</f>
        <v>0</v>
      </c>
      <c r="Q23" s="99" t="str">
        <f t="shared" si="4"/>
        <v>-</v>
      </c>
      <c r="R23" s="101">
        <f>O23*LEGEND!A22%</f>
        <v>0</v>
      </c>
      <c r="S23" s="101">
        <f t="shared" si="5"/>
        <v>0</v>
      </c>
      <c r="T23" s="101"/>
      <c r="U23" s="98" t="str">
        <f t="shared" si="6"/>
        <v>-</v>
      </c>
    </row>
    <row r="24">
      <c r="A24" s="74" t="str">
        <f t="shared" si="1"/>
        <v>Monday</v>
      </c>
      <c r="B24" s="49">
        <v>46349.0</v>
      </c>
      <c r="C24" s="148"/>
      <c r="D24" s="236"/>
      <c r="E24" s="88"/>
      <c r="F24" s="88">
        <f t="shared" si="2"/>
        <v>0</v>
      </c>
      <c r="H24" s="91">
        <v>46349.0</v>
      </c>
      <c r="I24" s="105"/>
      <c r="J24" s="93">
        <f>SUMIFS(D24:D89, B24:B89, H24, C24:C89, I24)</f>
        <v>0</v>
      </c>
      <c r="K24" s="94">
        <f>SUMIFS(F23:F89, B23:B89, H24, C23:C89, I24)</f>
        <v>0</v>
      </c>
      <c r="L24" s="95">
        <f t="shared" si="3"/>
        <v>0</v>
      </c>
      <c r="N24" s="96">
        <v>46349.0</v>
      </c>
      <c r="O24" s="97">
        <f>SUMIF(H24:H89, N24, J24:J89)</f>
        <v>0</v>
      </c>
      <c r="P24" s="98">
        <f>SUMIF(H24:H89, N24, K24:K89)</f>
        <v>0</v>
      </c>
      <c r="Q24" s="99" t="str">
        <f t="shared" si="4"/>
        <v>-</v>
      </c>
      <c r="R24" s="101">
        <f>O24*LEGEND!A23%</f>
        <v>0</v>
      </c>
      <c r="S24" s="101">
        <f t="shared" si="5"/>
        <v>0</v>
      </c>
      <c r="T24" s="101"/>
      <c r="U24" s="98" t="str">
        <f t="shared" si="6"/>
        <v>-</v>
      </c>
    </row>
    <row r="25">
      <c r="A25" s="74" t="str">
        <f t="shared" si="1"/>
        <v>Tuesday</v>
      </c>
      <c r="B25" s="49">
        <v>46350.0</v>
      </c>
      <c r="C25" s="148"/>
      <c r="D25" s="236"/>
      <c r="E25" s="88"/>
      <c r="F25" s="88">
        <f t="shared" si="2"/>
        <v>0</v>
      </c>
      <c r="H25" s="91">
        <v>46350.0</v>
      </c>
      <c r="I25" s="105"/>
      <c r="J25" s="93">
        <f>SUMIFS(D25:D89, B25:B89, H25, C25:C89, I25)</f>
        <v>0</v>
      </c>
      <c r="K25" s="94">
        <f>SUMIFS(F24:F89, B24:B89, H25, C24:C89, I25)</f>
        <v>0</v>
      </c>
      <c r="L25" s="95">
        <f t="shared" si="3"/>
        <v>0</v>
      </c>
      <c r="N25" s="96">
        <v>46350.0</v>
      </c>
      <c r="O25" s="97">
        <f>SUMIF(H25:H89, N25, J25:J89)</f>
        <v>0</v>
      </c>
      <c r="P25" s="98">
        <f>SUMIF(H25:H89, N25, K25:K89)</f>
        <v>0</v>
      </c>
      <c r="Q25" s="99" t="str">
        <f t="shared" si="4"/>
        <v>-</v>
      </c>
      <c r="R25" s="101">
        <f>O25*LEGEND!A24%</f>
        <v>0</v>
      </c>
      <c r="S25" s="101">
        <f t="shared" si="5"/>
        <v>0</v>
      </c>
      <c r="T25" s="101"/>
      <c r="U25" s="98" t="str">
        <f t="shared" si="6"/>
        <v>-</v>
      </c>
    </row>
    <row r="26">
      <c r="A26" s="74" t="str">
        <f t="shared" si="1"/>
        <v>Wednesday</v>
      </c>
      <c r="B26" s="49">
        <v>46351.0</v>
      </c>
      <c r="C26" s="148"/>
      <c r="D26" s="236"/>
      <c r="E26" s="88"/>
      <c r="F26" s="88">
        <f t="shared" si="2"/>
        <v>0</v>
      </c>
      <c r="H26" s="91">
        <v>46351.0</v>
      </c>
      <c r="I26" s="105"/>
      <c r="J26" s="93">
        <f>SUMIFS(D26:D89, B26:B89, H26, C26:C89, I26)</f>
        <v>0</v>
      </c>
      <c r="K26" s="94">
        <f>SUMIFS(F25:F89, B25:B89, H26, C25:C89, I26)</f>
        <v>0</v>
      </c>
      <c r="L26" s="95">
        <f t="shared" si="3"/>
        <v>0</v>
      </c>
      <c r="N26" s="96">
        <v>46351.0</v>
      </c>
      <c r="O26" s="97">
        <f>SUMIF(H26:H89, N26, J26:J89)</f>
        <v>0</v>
      </c>
      <c r="P26" s="98">
        <f>SUMIF(H26:H89, N26, K26:K89)</f>
        <v>0</v>
      </c>
      <c r="Q26" s="99" t="str">
        <f t="shared" si="4"/>
        <v>-</v>
      </c>
      <c r="R26" s="101">
        <f>O26*LEGEND!A25%</f>
        <v>0</v>
      </c>
      <c r="S26" s="101">
        <f t="shared" si="5"/>
        <v>0</v>
      </c>
      <c r="T26" s="101"/>
      <c r="U26" s="98" t="str">
        <f t="shared" si="6"/>
        <v>-</v>
      </c>
    </row>
    <row r="27">
      <c r="A27" s="74" t="str">
        <f t="shared" si="1"/>
        <v>Thursday</v>
      </c>
      <c r="B27" s="49">
        <v>46352.0</v>
      </c>
      <c r="C27" s="148"/>
      <c r="D27" s="236"/>
      <c r="E27" s="88"/>
      <c r="F27" s="88">
        <f t="shared" si="2"/>
        <v>0</v>
      </c>
      <c r="H27" s="91">
        <v>46352.0</v>
      </c>
      <c r="I27" s="105"/>
      <c r="J27" s="93">
        <f>SUMIFS(D27:D89, B27:B89, H27, C27:C89, I27)</f>
        <v>0</v>
      </c>
      <c r="K27" s="94">
        <f>SUMIFS(F26:F89, B26:B89, H27, C26:C89, I27)</f>
        <v>0</v>
      </c>
      <c r="L27" s="95">
        <f t="shared" si="3"/>
        <v>0</v>
      </c>
      <c r="N27" s="96">
        <v>46352.0</v>
      </c>
      <c r="O27" s="97">
        <f>SUMIF(H27:H89, N27, J27:J89)</f>
        <v>0</v>
      </c>
      <c r="P27" s="98">
        <f>SUMIF(H27:H89, N27, K27:K89)</f>
        <v>0</v>
      </c>
      <c r="Q27" s="99" t="str">
        <f t="shared" si="4"/>
        <v>-</v>
      </c>
      <c r="R27" s="101">
        <f>O27*LEGEND!A26%</f>
        <v>0</v>
      </c>
      <c r="S27" s="101">
        <f t="shared" si="5"/>
        <v>0</v>
      </c>
      <c r="T27" s="101"/>
      <c r="U27" s="98" t="str">
        <f t="shared" si="6"/>
        <v>-</v>
      </c>
    </row>
    <row r="28">
      <c r="A28" s="74" t="str">
        <f t="shared" si="1"/>
        <v>Friday</v>
      </c>
      <c r="B28" s="49">
        <v>46353.0</v>
      </c>
      <c r="C28" s="148"/>
      <c r="D28" s="236"/>
      <c r="E28" s="88"/>
      <c r="F28" s="88">
        <f t="shared" si="2"/>
        <v>0</v>
      </c>
      <c r="H28" s="91">
        <v>46353.0</v>
      </c>
      <c r="I28" s="105"/>
      <c r="J28" s="93">
        <f>SUMIFS(D28:D89, B28:B89, H28, C28:C89, I28)</f>
        <v>0</v>
      </c>
      <c r="K28" s="94">
        <f>SUMIFS(F27:F89, B27:B89, H28, C27:C89, I28)</f>
        <v>0</v>
      </c>
      <c r="L28" s="95">
        <f t="shared" si="3"/>
        <v>0</v>
      </c>
      <c r="N28" s="96">
        <v>46353.0</v>
      </c>
      <c r="O28" s="97">
        <f>SUMIF(H28:H89, N28, J28:J89)</f>
        <v>0</v>
      </c>
      <c r="P28" s="98">
        <f>SUMIF(H28:H89, N28, K28:K89)</f>
        <v>0</v>
      </c>
      <c r="Q28" s="99" t="str">
        <f t="shared" si="4"/>
        <v>-</v>
      </c>
      <c r="R28" s="101">
        <f>O28*LEGEND!A27%</f>
        <v>0</v>
      </c>
      <c r="S28" s="101">
        <f t="shared" si="5"/>
        <v>0</v>
      </c>
      <c r="T28" s="101"/>
      <c r="U28" s="98" t="str">
        <f t="shared" si="6"/>
        <v>-</v>
      </c>
    </row>
    <row r="29">
      <c r="A29" s="74" t="str">
        <f t="shared" si="1"/>
        <v>Saturday</v>
      </c>
      <c r="B29" s="49">
        <v>46354.0</v>
      </c>
      <c r="C29" s="148"/>
      <c r="D29" s="201"/>
      <c r="E29" s="202"/>
      <c r="F29" s="88">
        <f t="shared" si="2"/>
        <v>0</v>
      </c>
      <c r="H29" s="91">
        <v>46354.0</v>
      </c>
      <c r="I29" s="105"/>
      <c r="J29" s="93">
        <f>SUMIFS(D29:D89, B29:B89, H29, C29:C89, I29)</f>
        <v>0</v>
      </c>
      <c r="K29" s="94">
        <f>SUMIFS(F28:F89, B28:B89, H29, C28:C89, I29)</f>
        <v>0</v>
      </c>
      <c r="L29" s="95">
        <f t="shared" si="3"/>
        <v>0</v>
      </c>
      <c r="N29" s="96">
        <v>46354.0</v>
      </c>
      <c r="O29" s="97">
        <f>SUMIF(H29:H89, N29, J29:J89)</f>
        <v>0</v>
      </c>
      <c r="P29" s="98">
        <f>SUMIF(H29:H89, N29, K29:K89)</f>
        <v>0</v>
      </c>
      <c r="Q29" s="99" t="str">
        <f t="shared" si="4"/>
        <v>-</v>
      </c>
      <c r="R29" s="101">
        <f>O29*LEGEND!A28%</f>
        <v>0</v>
      </c>
      <c r="S29" s="101">
        <f t="shared" si="5"/>
        <v>0</v>
      </c>
      <c r="T29" s="101"/>
      <c r="U29" s="98" t="str">
        <f t="shared" si="6"/>
        <v>-</v>
      </c>
    </row>
    <row r="30">
      <c r="A30" s="74" t="str">
        <f t="shared" si="1"/>
        <v>Sunday</v>
      </c>
      <c r="B30" s="49">
        <v>46355.0</v>
      </c>
      <c r="C30" s="148"/>
      <c r="D30" s="201"/>
      <c r="E30" s="202"/>
      <c r="F30" s="88">
        <f t="shared" si="2"/>
        <v>0</v>
      </c>
      <c r="H30" s="91">
        <v>46355.0</v>
      </c>
      <c r="I30" s="105"/>
      <c r="J30" s="93">
        <f>SUMIFS(D30:D89, B30:B89, H30, C30:C89, I30)</f>
        <v>0</v>
      </c>
      <c r="K30" s="94">
        <f>SUMIFS(F29:F89, B29:B89, H30, C29:C89, I30)</f>
        <v>0</v>
      </c>
      <c r="L30" s="95">
        <f t="shared" si="3"/>
        <v>0</v>
      </c>
      <c r="N30" s="96">
        <v>46355.0</v>
      </c>
      <c r="O30" s="97">
        <f>SUMIF(H30:H89, N30, J30:J89)</f>
        <v>0</v>
      </c>
      <c r="P30" s="98">
        <f>SUMIF(H30:H89, N30, K30:K89)</f>
        <v>0</v>
      </c>
      <c r="Q30" s="99" t="str">
        <f t="shared" si="4"/>
        <v>-</v>
      </c>
      <c r="R30" s="101">
        <f>O30*LEGEND!A29%</f>
        <v>0</v>
      </c>
      <c r="S30" s="101">
        <f t="shared" si="5"/>
        <v>0</v>
      </c>
      <c r="T30" s="101"/>
      <c r="U30" s="98" t="str">
        <f t="shared" si="6"/>
        <v>-</v>
      </c>
    </row>
    <row r="31">
      <c r="A31" s="74" t="str">
        <f t="shared" si="1"/>
        <v>Monday</v>
      </c>
      <c r="B31" s="49">
        <v>46356.0</v>
      </c>
      <c r="C31" s="148"/>
      <c r="D31" s="201"/>
      <c r="E31" s="202"/>
      <c r="F31" s="88">
        <f t="shared" si="2"/>
        <v>0</v>
      </c>
      <c r="H31" s="91">
        <v>46356.0</v>
      </c>
      <c r="I31" s="105"/>
      <c r="J31" s="93">
        <f>SUMIFS(D31:D89, B31:B89, H31, C31:C89, I31)</f>
        <v>0</v>
      </c>
      <c r="K31" s="94">
        <f>SUMIFS(F30:F89, B30:B89, H31, C30:C89, I31)</f>
        <v>0</v>
      </c>
      <c r="L31" s="95">
        <f t="shared" si="3"/>
        <v>0</v>
      </c>
      <c r="N31" s="96">
        <v>46356.0</v>
      </c>
      <c r="O31" s="97">
        <f>SUMIF(H31:H89, N31, J31:J89)</f>
        <v>0</v>
      </c>
      <c r="P31" s="98">
        <f>SUMIF(H31:H89, N31, K31:K89)</f>
        <v>0</v>
      </c>
      <c r="Q31" s="99" t="str">
        <f t="shared" si="4"/>
        <v>-</v>
      </c>
      <c r="R31" s="101">
        <f>O31*LEGEND!A30%</f>
        <v>0</v>
      </c>
      <c r="S31" s="101">
        <f t="shared" si="5"/>
        <v>0</v>
      </c>
      <c r="T31" s="101"/>
      <c r="U31" s="98" t="str">
        <f t="shared" si="6"/>
        <v>-</v>
      </c>
    </row>
    <row r="32">
      <c r="A32" s="74" t="str">
        <f t="shared" si="1"/>
        <v>Monday</v>
      </c>
      <c r="B32" s="49">
        <v>46356.0</v>
      </c>
      <c r="C32" s="148"/>
      <c r="D32" s="201"/>
      <c r="E32" s="202"/>
      <c r="F32" s="88">
        <f t="shared" si="2"/>
        <v>0</v>
      </c>
      <c r="H32" s="91"/>
      <c r="I32" s="105"/>
      <c r="J32" s="93">
        <f>SUMIFS(D32:D89, B32:B89, H32, C32:C89, I32)</f>
        <v>0</v>
      </c>
      <c r="K32" s="94">
        <f>SUMIFS(F31:F89, B31:B89, H32, C31:C89, I32)</f>
        <v>0</v>
      </c>
      <c r="L32" s="95">
        <f t="shared" si="3"/>
        <v>0</v>
      </c>
      <c r="N32" s="108"/>
      <c r="O32" s="97">
        <f>SUMIF(H32:H89, N32, J32:J89)</f>
        <v>0</v>
      </c>
      <c r="P32" s="98">
        <f>SUMIF(H32:H89, N32, K32:K89)</f>
        <v>0</v>
      </c>
      <c r="Q32" s="99" t="str">
        <f t="shared" si="4"/>
        <v/>
      </c>
      <c r="R32" s="101">
        <f>O32*LEGEND!A31%</f>
        <v>0</v>
      </c>
      <c r="S32" s="101">
        <f t="shared" si="5"/>
        <v>0</v>
      </c>
      <c r="T32" s="101"/>
      <c r="U32" s="98">
        <f t="shared" si="6"/>
        <v>0</v>
      </c>
    </row>
    <row r="33">
      <c r="A33" s="74" t="str">
        <f t="shared" si="1"/>
        <v>Monday</v>
      </c>
      <c r="B33" s="49">
        <v>46356.0</v>
      </c>
      <c r="C33" s="148"/>
      <c r="D33" s="201"/>
      <c r="E33" s="202"/>
      <c r="F33" s="88">
        <f t="shared" si="2"/>
        <v>0</v>
      </c>
      <c r="H33" s="91"/>
      <c r="I33" s="105"/>
      <c r="J33" s="93">
        <f>SUMIFS(D33:D89, B33:B89, H33, C33:C89, I33)</f>
        <v>0</v>
      </c>
      <c r="K33" s="94">
        <f>SUMIFS(F32:F89, B32:B89, H33, C32:C89, I33)</f>
        <v>0</v>
      </c>
      <c r="L33" s="95">
        <f t="shared" si="3"/>
        <v>0</v>
      </c>
      <c r="N33" s="108"/>
      <c r="O33" s="97">
        <f>SUMIF(H33:H89, N33, J33:J89)</f>
        <v>0</v>
      </c>
      <c r="P33" s="98">
        <f>SUMIF(H33:H89, N33, K33:K89)</f>
        <v>0</v>
      </c>
      <c r="Q33" s="99" t="str">
        <f t="shared" si="4"/>
        <v/>
      </c>
      <c r="R33" s="101">
        <f>O33*LEGEND!A32%</f>
        <v>0</v>
      </c>
      <c r="S33" s="101">
        <f t="shared" si="5"/>
        <v>0</v>
      </c>
      <c r="T33" s="101"/>
      <c r="U33" s="98">
        <f t="shared" si="6"/>
        <v>0</v>
      </c>
    </row>
    <row r="34">
      <c r="A34" s="74" t="str">
        <f t="shared" si="1"/>
        <v>Monday</v>
      </c>
      <c r="B34" s="49">
        <v>46356.0</v>
      </c>
      <c r="C34" s="148"/>
      <c r="D34" s="201"/>
      <c r="E34" s="202"/>
      <c r="F34" s="88">
        <f t="shared" si="2"/>
        <v>0</v>
      </c>
      <c r="H34" s="91"/>
      <c r="I34" s="105"/>
      <c r="J34" s="93">
        <f>SUMIFS(D34:D89, B34:B89, H34, C34:C89, I34)</f>
        <v>0</v>
      </c>
      <c r="K34" s="94">
        <f>SUMIFS(F33:F89, B33:B89, H34, C33:C89, I34)</f>
        <v>0</v>
      </c>
      <c r="L34" s="95">
        <f t="shared" si="3"/>
        <v>0</v>
      </c>
      <c r="N34" s="108"/>
      <c r="O34" s="97">
        <f>SUMIF(H34:H89, N34, J34:J89)</f>
        <v>0</v>
      </c>
      <c r="P34" s="98">
        <f>SUMIF(H34:H89, N34, K34:K89)</f>
        <v>0</v>
      </c>
      <c r="Q34" s="99" t="str">
        <f t="shared" si="4"/>
        <v/>
      </c>
      <c r="R34" s="101">
        <f>O34*LEGEND!A33%</f>
        <v>0</v>
      </c>
      <c r="S34" s="101">
        <f t="shared" si="5"/>
        <v>0</v>
      </c>
      <c r="T34" s="101"/>
      <c r="U34" s="98">
        <f t="shared" si="6"/>
        <v>0</v>
      </c>
    </row>
    <row r="35">
      <c r="A35" s="74" t="str">
        <f t="shared" si="1"/>
        <v>Monday</v>
      </c>
      <c r="B35" s="49">
        <v>46356.0</v>
      </c>
      <c r="C35" s="148"/>
      <c r="D35" s="201"/>
      <c r="E35" s="202"/>
      <c r="F35" s="88">
        <f t="shared" si="2"/>
        <v>0</v>
      </c>
      <c r="H35" s="91"/>
      <c r="I35" s="105"/>
      <c r="J35" s="93">
        <f>SUMIFS(D35:D89, B35:B89, H35, C35:C89, I35)</f>
        <v>0</v>
      </c>
      <c r="K35" s="94">
        <f>SUMIFS(F34:F89, B34:B89, H35, C34:C89, I35)</f>
        <v>0</v>
      </c>
      <c r="L35" s="95">
        <f t="shared" si="3"/>
        <v>0</v>
      </c>
      <c r="N35" s="108"/>
      <c r="O35" s="97">
        <f>SUMIF(H35:H89, N35, J35:J89)</f>
        <v>0</v>
      </c>
      <c r="P35" s="98">
        <f>SUMIF(H35:H89, N35, K35:K89)</f>
        <v>0</v>
      </c>
      <c r="Q35" s="99" t="str">
        <f t="shared" si="4"/>
        <v/>
      </c>
      <c r="R35" s="101">
        <f>O35*LEGEND!A34%</f>
        <v>0</v>
      </c>
      <c r="S35" s="101">
        <f t="shared" si="5"/>
        <v>0</v>
      </c>
      <c r="T35" s="101"/>
      <c r="U35" s="98">
        <f t="shared" si="6"/>
        <v>0</v>
      </c>
    </row>
    <row r="36">
      <c r="A36" s="74" t="str">
        <f t="shared" si="1"/>
        <v>Monday</v>
      </c>
      <c r="B36" s="49">
        <v>46356.0</v>
      </c>
      <c r="C36" s="148"/>
      <c r="D36" s="201"/>
      <c r="E36" s="202"/>
      <c r="F36" s="88">
        <f t="shared" si="2"/>
        <v>0</v>
      </c>
      <c r="H36" s="91"/>
      <c r="I36" s="105"/>
      <c r="J36" s="93">
        <f>SUMIFS(D36:D89, B36:B89, H36, C36:C89, I36)</f>
        <v>0</v>
      </c>
      <c r="K36" s="94">
        <f>SUMIFS(F35:F89, B35:B89, H36, C35:C89, I36)</f>
        <v>0</v>
      </c>
      <c r="L36" s="95">
        <f t="shared" si="3"/>
        <v>0</v>
      </c>
      <c r="N36" s="108"/>
      <c r="O36" s="97">
        <f>SUMIF(H36:H89, N36, J36:J89)</f>
        <v>0</v>
      </c>
      <c r="P36" s="98">
        <f>SUMIF(H36:H89, N36, K36:K89)</f>
        <v>0</v>
      </c>
      <c r="Q36" s="99" t="str">
        <f t="shared" si="4"/>
        <v/>
      </c>
      <c r="R36" s="101">
        <f>O36*LEGEND!A35%</f>
        <v>0</v>
      </c>
      <c r="S36" s="101">
        <f t="shared" si="5"/>
        <v>0</v>
      </c>
      <c r="T36" s="101"/>
      <c r="U36" s="98">
        <f t="shared" si="6"/>
        <v>0</v>
      </c>
    </row>
    <row r="37">
      <c r="A37" s="74" t="str">
        <f t="shared" si="1"/>
        <v>Monday</v>
      </c>
      <c r="B37" s="49">
        <v>46356.0</v>
      </c>
      <c r="C37" s="148"/>
      <c r="D37" s="201"/>
      <c r="E37" s="202"/>
      <c r="F37" s="88">
        <f t="shared" si="2"/>
        <v>0</v>
      </c>
      <c r="H37" s="91"/>
      <c r="I37" s="105"/>
      <c r="J37" s="93">
        <f>SUMIFS(D37:D89, B37:B89, H37, C37:C89, I37)</f>
        <v>0</v>
      </c>
      <c r="K37" s="94">
        <f>SUMIFS(F36:F89, B36:B89, H37, C36:C89, I37)</f>
        <v>0</v>
      </c>
      <c r="L37" s="95">
        <f t="shared" si="3"/>
        <v>0</v>
      </c>
      <c r="N37" s="108"/>
      <c r="O37" s="97">
        <f>SUMIF(H37:H89, N37, J37:J89)</f>
        <v>0</v>
      </c>
      <c r="P37" s="98">
        <f>SUMIF(H37:H89, N37, K37:K89)</f>
        <v>0</v>
      </c>
      <c r="Q37" s="99" t="str">
        <f t="shared" si="4"/>
        <v/>
      </c>
      <c r="R37" s="101">
        <f>O37*LEGEND!A36%</f>
        <v>0</v>
      </c>
      <c r="S37" s="101">
        <f t="shared" si="5"/>
        <v>0</v>
      </c>
      <c r="T37" s="101"/>
      <c r="U37" s="98">
        <f t="shared" si="6"/>
        <v>0</v>
      </c>
    </row>
    <row r="38">
      <c r="A38" s="74" t="str">
        <f t="shared" si="1"/>
        <v>Monday</v>
      </c>
      <c r="B38" s="49">
        <v>46356.0</v>
      </c>
      <c r="C38" s="148"/>
      <c r="D38" s="201"/>
      <c r="E38" s="202"/>
      <c r="F38" s="88">
        <f t="shared" si="2"/>
        <v>0</v>
      </c>
      <c r="H38" s="91"/>
      <c r="I38" s="105"/>
      <c r="J38" s="93">
        <f>SUMIFS(D38:D89, B38:B89, H38, C38:C89, I38)</f>
        <v>0</v>
      </c>
      <c r="K38" s="94">
        <f>SUMIFS(F37:F89, B37:B89, H38, C37:C89, I38)</f>
        <v>0</v>
      </c>
      <c r="L38" s="95">
        <f t="shared" si="3"/>
        <v>0</v>
      </c>
      <c r="N38" s="108"/>
      <c r="O38" s="97">
        <f>SUMIF(H38:H89, N38, J38:J89)</f>
        <v>0</v>
      </c>
      <c r="P38" s="98">
        <f>SUMIF(H38:H89, N38, K38:K89)</f>
        <v>0</v>
      </c>
      <c r="Q38" s="99" t="str">
        <f t="shared" si="4"/>
        <v/>
      </c>
      <c r="R38" s="101">
        <f>O38*LEGEND!A37%</f>
        <v>0</v>
      </c>
      <c r="S38" s="101">
        <f t="shared" si="5"/>
        <v>0</v>
      </c>
      <c r="T38" s="101"/>
      <c r="U38" s="98">
        <f t="shared" si="6"/>
        <v>0</v>
      </c>
    </row>
    <row r="39">
      <c r="A39" s="74" t="str">
        <f t="shared" si="1"/>
        <v>Monday</v>
      </c>
      <c r="B39" s="49">
        <v>46356.0</v>
      </c>
      <c r="C39" s="148"/>
      <c r="D39" s="201"/>
      <c r="E39" s="202"/>
      <c r="F39" s="88">
        <f t="shared" si="2"/>
        <v>0</v>
      </c>
      <c r="H39" s="91"/>
      <c r="I39" s="105"/>
      <c r="J39" s="93">
        <f>SUMIFS(D39:D89, B39:B89, H39, C39:C89, I39)</f>
        <v>0</v>
      </c>
      <c r="K39" s="94">
        <f>SUMIFS(F38:F89, B38:B89, H39, C38:C89, I39)</f>
        <v>0</v>
      </c>
      <c r="L39" s="95">
        <f t="shared" si="3"/>
        <v>0</v>
      </c>
      <c r="N39" s="108"/>
      <c r="O39" s="97">
        <f>SUMIF(H39:H89, N39, J39:J89)</f>
        <v>0</v>
      </c>
      <c r="P39" s="98">
        <f>SUMIF(H39:H89, N39, K39:K89)</f>
        <v>0</v>
      </c>
      <c r="Q39" s="99" t="str">
        <f t="shared" si="4"/>
        <v/>
      </c>
      <c r="R39" s="101">
        <f>O39*LEGEND!A38%</f>
        <v>0</v>
      </c>
      <c r="S39" s="101">
        <f t="shared" si="5"/>
        <v>0</v>
      </c>
      <c r="T39" s="101"/>
      <c r="U39" s="98">
        <f t="shared" si="6"/>
        <v>0</v>
      </c>
    </row>
    <row r="40">
      <c r="A40" s="74" t="str">
        <f t="shared" si="1"/>
        <v>Monday</v>
      </c>
      <c r="B40" s="49">
        <v>46356.0</v>
      </c>
      <c r="C40" s="148"/>
      <c r="D40" s="201"/>
      <c r="E40" s="202"/>
      <c r="F40" s="88">
        <f t="shared" si="2"/>
        <v>0</v>
      </c>
      <c r="H40" s="91"/>
      <c r="I40" s="105"/>
      <c r="J40" s="93">
        <f>SUMIFS(D40:D89, B40:B89, H40, C40:C89, I40)</f>
        <v>0</v>
      </c>
      <c r="K40" s="94">
        <f>SUMIFS(F39:F89, B39:B89, H40, C39:C89, I40)</f>
        <v>0</v>
      </c>
      <c r="L40" s="95">
        <f t="shared" si="3"/>
        <v>0</v>
      </c>
      <c r="N40" s="108"/>
      <c r="O40" s="97">
        <f>SUMIF(H40:H89, N40, J40:J89)</f>
        <v>0</v>
      </c>
      <c r="P40" s="98">
        <f>SUMIF(H40:H89, N40, K40:K89)</f>
        <v>0</v>
      </c>
      <c r="Q40" s="99" t="str">
        <f t="shared" si="4"/>
        <v/>
      </c>
      <c r="R40" s="101">
        <f>O40*LEGEND!A39%</f>
        <v>0</v>
      </c>
      <c r="S40" s="101">
        <f t="shared" si="5"/>
        <v>0</v>
      </c>
      <c r="T40" s="101"/>
      <c r="U40" s="98">
        <f t="shared" si="6"/>
        <v>0</v>
      </c>
    </row>
    <row r="41">
      <c r="A41" s="74" t="str">
        <f t="shared" si="1"/>
        <v>Monday</v>
      </c>
      <c r="B41" s="49">
        <v>46356.0</v>
      </c>
      <c r="C41" s="148"/>
      <c r="D41" s="201"/>
      <c r="E41" s="202"/>
      <c r="F41" s="88">
        <f t="shared" si="2"/>
        <v>0</v>
      </c>
      <c r="H41" s="91"/>
      <c r="I41" s="105"/>
      <c r="J41" s="93">
        <f>SUMIFS(D41:D89, B41:B89, H41, C41:C89, I41)</f>
        <v>0</v>
      </c>
      <c r="K41" s="94">
        <f>SUMIFS(F40:F89, B40:B89, H41, C40:C89, I41)</f>
        <v>0</v>
      </c>
      <c r="L41" s="95">
        <f t="shared" si="3"/>
        <v>0</v>
      </c>
      <c r="N41" s="108"/>
      <c r="O41" s="97">
        <f>SUMIF(H41:H89, N41, J41:J89)</f>
        <v>0</v>
      </c>
      <c r="P41" s="98">
        <f>SUMIF(H41:H89, N41, K41:K89)</f>
        <v>0</v>
      </c>
      <c r="Q41" s="99" t="str">
        <f t="shared" si="4"/>
        <v/>
      </c>
      <c r="R41" s="101">
        <f>O41*LEGEND!A40%</f>
        <v>0</v>
      </c>
      <c r="S41" s="101">
        <f t="shared" si="5"/>
        <v>0</v>
      </c>
      <c r="T41" s="101"/>
      <c r="U41" s="98">
        <f t="shared" si="6"/>
        <v>0</v>
      </c>
    </row>
    <row r="42">
      <c r="A42" s="74" t="str">
        <f t="shared" si="1"/>
        <v>Monday</v>
      </c>
      <c r="B42" s="49">
        <v>46356.0</v>
      </c>
      <c r="C42" s="211"/>
      <c r="D42" s="201"/>
      <c r="E42" s="202"/>
      <c r="F42" s="88">
        <f t="shared" si="2"/>
        <v>0</v>
      </c>
    </row>
    <row r="43">
      <c r="A43" s="74" t="str">
        <f t="shared" si="1"/>
        <v>Monday</v>
      </c>
      <c r="B43" s="49">
        <v>46356.0</v>
      </c>
      <c r="C43" s="211"/>
      <c r="D43" s="201"/>
      <c r="E43" s="202"/>
      <c r="F43" s="88">
        <f t="shared" si="2"/>
        <v>0</v>
      </c>
    </row>
    <row r="44">
      <c r="A44" s="74" t="str">
        <f t="shared" si="1"/>
        <v>Monday</v>
      </c>
      <c r="B44" s="49">
        <v>46356.0</v>
      </c>
      <c r="C44" s="211"/>
      <c r="D44" s="201"/>
      <c r="E44" s="202"/>
      <c r="F44" s="88">
        <f t="shared" si="2"/>
        <v>0</v>
      </c>
    </row>
    <row r="45">
      <c r="A45" s="74" t="str">
        <f t="shared" si="1"/>
        <v>Monday</v>
      </c>
      <c r="B45" s="49">
        <v>46356.0</v>
      </c>
      <c r="C45" s="211"/>
      <c r="D45" s="201"/>
      <c r="E45" s="202"/>
      <c r="F45" s="88">
        <f t="shared" si="2"/>
        <v>0</v>
      </c>
    </row>
    <row r="46">
      <c r="A46" s="74" t="str">
        <f t="shared" si="1"/>
        <v>Monday</v>
      </c>
      <c r="B46" s="49">
        <v>46356.0</v>
      </c>
      <c r="C46" s="211"/>
      <c r="D46" s="201"/>
      <c r="E46" s="202"/>
      <c r="F46" s="88">
        <f t="shared" si="2"/>
        <v>0</v>
      </c>
    </row>
    <row r="47">
      <c r="A47" s="74" t="str">
        <f t="shared" si="1"/>
        <v>Monday</v>
      </c>
      <c r="B47" s="49">
        <v>46356.0</v>
      </c>
      <c r="C47" s="211"/>
      <c r="D47" s="201"/>
      <c r="E47" s="202"/>
      <c r="F47" s="88">
        <f t="shared" si="2"/>
        <v>0</v>
      </c>
    </row>
    <row r="48">
      <c r="A48" s="74" t="str">
        <f t="shared" si="1"/>
        <v>Monday</v>
      </c>
      <c r="B48" s="49">
        <v>46356.0</v>
      </c>
      <c r="C48" s="211"/>
      <c r="D48" s="201"/>
      <c r="E48" s="202"/>
      <c r="F48" s="88">
        <f t="shared" si="2"/>
        <v>0</v>
      </c>
    </row>
    <row r="49">
      <c r="A49" s="74" t="str">
        <f t="shared" si="1"/>
        <v>Monday</v>
      </c>
      <c r="B49" s="49">
        <v>46356.0</v>
      </c>
      <c r="C49" s="211"/>
      <c r="D49" s="201"/>
      <c r="E49" s="202"/>
      <c r="F49" s="88">
        <f t="shared" si="2"/>
        <v>0</v>
      </c>
    </row>
    <row r="50">
      <c r="A50" s="74" t="str">
        <f t="shared" si="1"/>
        <v>Monday</v>
      </c>
      <c r="B50" s="49">
        <v>46356.0</v>
      </c>
      <c r="C50" s="211"/>
      <c r="D50" s="201"/>
      <c r="E50" s="202"/>
      <c r="F50" s="88">
        <f t="shared" si="2"/>
        <v>0</v>
      </c>
    </row>
    <row r="51">
      <c r="A51" s="74" t="str">
        <f t="shared" si="1"/>
        <v>Monday</v>
      </c>
      <c r="B51" s="49">
        <v>46356.0</v>
      </c>
      <c r="C51" s="211"/>
      <c r="D51" s="201"/>
      <c r="E51" s="202"/>
      <c r="F51" s="88">
        <f t="shared" si="2"/>
        <v>0</v>
      </c>
    </row>
    <row r="52">
      <c r="A52" s="74" t="str">
        <f t="shared" si="1"/>
        <v>Monday</v>
      </c>
      <c r="B52" s="49">
        <v>46356.0</v>
      </c>
      <c r="C52" s="211"/>
      <c r="D52" s="201"/>
      <c r="E52" s="202"/>
      <c r="F52" s="88">
        <f t="shared" si="2"/>
        <v>0</v>
      </c>
    </row>
    <row r="53">
      <c r="A53" s="74" t="str">
        <f t="shared" si="1"/>
        <v>Monday</v>
      </c>
      <c r="B53" s="49">
        <v>46356.0</v>
      </c>
      <c r="C53" s="211"/>
      <c r="D53" s="201"/>
      <c r="E53" s="202"/>
      <c r="F53" s="88">
        <f t="shared" si="2"/>
        <v>0</v>
      </c>
    </row>
    <row r="54">
      <c r="A54" s="74" t="str">
        <f t="shared" si="1"/>
        <v>Monday</v>
      </c>
      <c r="B54" s="49">
        <v>46356.0</v>
      </c>
      <c r="C54" s="211"/>
      <c r="D54" s="201"/>
      <c r="E54" s="202"/>
      <c r="F54" s="88">
        <f t="shared" si="2"/>
        <v>0</v>
      </c>
    </row>
    <row r="55">
      <c r="A55" s="74" t="str">
        <f t="shared" si="1"/>
        <v>Monday</v>
      </c>
      <c r="B55" s="49">
        <v>46356.0</v>
      </c>
      <c r="C55" s="211"/>
      <c r="D55" s="201"/>
      <c r="E55" s="202"/>
      <c r="F55" s="88">
        <f t="shared" si="2"/>
        <v>0</v>
      </c>
    </row>
    <row r="56">
      <c r="A56" s="74" t="str">
        <f t="shared" si="1"/>
        <v>Monday</v>
      </c>
      <c r="B56" s="49">
        <v>46356.0</v>
      </c>
      <c r="C56" s="211"/>
      <c r="D56" s="201"/>
      <c r="E56" s="202"/>
      <c r="F56" s="88">
        <f t="shared" si="2"/>
        <v>0</v>
      </c>
    </row>
    <row r="57">
      <c r="A57" s="74" t="str">
        <f t="shared" si="1"/>
        <v>Monday</v>
      </c>
      <c r="B57" s="49">
        <v>46356.0</v>
      </c>
      <c r="C57" s="211"/>
      <c r="D57" s="201"/>
      <c r="E57" s="202"/>
      <c r="F57" s="88">
        <f t="shared" si="2"/>
        <v>0</v>
      </c>
    </row>
    <row r="58">
      <c r="A58" s="74" t="str">
        <f t="shared" si="1"/>
        <v>Monday</v>
      </c>
      <c r="B58" s="49">
        <v>46356.0</v>
      </c>
      <c r="C58" s="211"/>
      <c r="D58" s="201"/>
      <c r="E58" s="202"/>
      <c r="F58" s="88">
        <f t="shared" si="2"/>
        <v>0</v>
      </c>
    </row>
    <row r="59">
      <c r="A59" s="74" t="str">
        <f t="shared" si="1"/>
        <v>Monday</v>
      </c>
      <c r="B59" s="49">
        <v>46356.0</v>
      </c>
      <c r="C59" s="211"/>
      <c r="D59" s="201"/>
      <c r="E59" s="202"/>
      <c r="F59" s="88">
        <f t="shared" si="2"/>
        <v>0</v>
      </c>
    </row>
    <row r="60">
      <c r="A60" s="74" t="str">
        <f t="shared" si="1"/>
        <v>Monday</v>
      </c>
      <c r="B60" s="49">
        <v>46356.0</v>
      </c>
      <c r="C60" s="211"/>
      <c r="D60" s="201"/>
      <c r="E60" s="202"/>
      <c r="F60" s="88">
        <f t="shared" si="2"/>
        <v>0</v>
      </c>
    </row>
    <row r="61">
      <c r="A61" s="74" t="str">
        <f t="shared" si="1"/>
        <v>Monday</v>
      </c>
      <c r="B61" s="49">
        <v>46356.0</v>
      </c>
      <c r="C61" s="211"/>
      <c r="D61" s="201"/>
      <c r="E61" s="202"/>
      <c r="F61" s="88">
        <f t="shared" si="2"/>
        <v>0</v>
      </c>
    </row>
    <row r="62">
      <c r="A62" s="74" t="str">
        <f t="shared" si="1"/>
        <v>Monday</v>
      </c>
      <c r="B62" s="49">
        <v>46356.0</v>
      </c>
      <c r="C62" s="211"/>
      <c r="D62" s="201"/>
      <c r="E62" s="202"/>
      <c r="F62" s="88">
        <f t="shared" si="2"/>
        <v>0</v>
      </c>
    </row>
    <row r="63">
      <c r="A63" s="74" t="str">
        <f t="shared" si="1"/>
        <v>Monday</v>
      </c>
      <c r="B63" s="49">
        <v>46356.0</v>
      </c>
      <c r="C63" s="211"/>
      <c r="D63" s="201"/>
      <c r="E63" s="202"/>
      <c r="F63" s="88">
        <f t="shared" si="2"/>
        <v>0</v>
      </c>
    </row>
    <row r="64">
      <c r="A64" s="74" t="str">
        <f t="shared" si="1"/>
        <v>Monday</v>
      </c>
      <c r="B64" s="49">
        <v>46356.0</v>
      </c>
      <c r="C64" s="211"/>
      <c r="D64" s="201"/>
      <c r="E64" s="202"/>
      <c r="F64" s="88">
        <f t="shared" si="2"/>
        <v>0</v>
      </c>
    </row>
    <row r="65">
      <c r="A65" s="74" t="str">
        <f t="shared" si="1"/>
        <v>Monday</v>
      </c>
      <c r="B65" s="49">
        <v>46356.0</v>
      </c>
      <c r="C65" s="211"/>
      <c r="D65" s="201"/>
      <c r="E65" s="202"/>
      <c r="F65" s="88">
        <f t="shared" si="2"/>
        <v>0</v>
      </c>
    </row>
    <row r="66">
      <c r="A66" s="74" t="str">
        <f t="shared" si="1"/>
        <v>Monday</v>
      </c>
      <c r="B66" s="49">
        <v>46356.0</v>
      </c>
      <c r="C66" s="211"/>
      <c r="D66" s="201"/>
      <c r="E66" s="202"/>
      <c r="F66" s="88">
        <f t="shared" si="2"/>
        <v>0</v>
      </c>
    </row>
    <row r="67">
      <c r="A67" s="74" t="str">
        <f t="shared" si="1"/>
        <v>Monday</v>
      </c>
      <c r="B67" s="49">
        <v>46356.0</v>
      </c>
      <c r="C67" s="211"/>
      <c r="D67" s="201"/>
      <c r="E67" s="202"/>
      <c r="F67" s="88">
        <f t="shared" si="2"/>
        <v>0</v>
      </c>
    </row>
    <row r="68">
      <c r="A68" s="74" t="str">
        <f t="shared" si="1"/>
        <v>Monday</v>
      </c>
      <c r="B68" s="49">
        <v>46356.0</v>
      </c>
      <c r="C68" s="211"/>
      <c r="D68" s="201"/>
      <c r="E68" s="202"/>
      <c r="F68" s="88">
        <f t="shared" si="2"/>
        <v>0</v>
      </c>
    </row>
    <row r="69">
      <c r="A69" s="74" t="str">
        <f t="shared" si="1"/>
        <v>Monday</v>
      </c>
      <c r="B69" s="49">
        <v>46356.0</v>
      </c>
      <c r="C69" s="211"/>
      <c r="D69" s="201"/>
      <c r="E69" s="202"/>
      <c r="F69" s="88">
        <f t="shared" si="2"/>
        <v>0</v>
      </c>
    </row>
    <row r="70">
      <c r="A70" s="74" t="str">
        <f t="shared" si="1"/>
        <v>Monday</v>
      </c>
      <c r="B70" s="49">
        <v>46356.0</v>
      </c>
      <c r="C70" s="211"/>
      <c r="D70" s="201"/>
      <c r="E70" s="202"/>
      <c r="F70" s="88">
        <f t="shared" si="2"/>
        <v>0</v>
      </c>
    </row>
    <row r="71">
      <c r="A71" s="74" t="str">
        <f t="shared" si="1"/>
        <v>Monday</v>
      </c>
      <c r="B71" s="49">
        <v>46356.0</v>
      </c>
      <c r="C71" s="211"/>
      <c r="D71" s="201"/>
      <c r="E71" s="202"/>
      <c r="F71" s="88">
        <f t="shared" si="2"/>
        <v>0</v>
      </c>
    </row>
    <row r="72">
      <c r="A72" s="74" t="str">
        <f t="shared" si="1"/>
        <v>Monday</v>
      </c>
      <c r="B72" s="49">
        <v>46356.0</v>
      </c>
      <c r="C72" s="211"/>
      <c r="D72" s="201"/>
      <c r="E72" s="202"/>
      <c r="F72" s="88">
        <f t="shared" si="2"/>
        <v>0</v>
      </c>
    </row>
    <row r="73">
      <c r="A73" s="74" t="str">
        <f t="shared" si="1"/>
        <v>Monday</v>
      </c>
      <c r="B73" s="49">
        <v>46356.0</v>
      </c>
      <c r="C73" s="211"/>
      <c r="D73" s="201"/>
      <c r="E73" s="202"/>
      <c r="F73" s="88">
        <f t="shared" si="2"/>
        <v>0</v>
      </c>
    </row>
    <row r="74">
      <c r="A74" s="74" t="str">
        <f t="shared" si="1"/>
        <v>Monday</v>
      </c>
      <c r="B74" s="49">
        <v>46356.0</v>
      </c>
      <c r="C74" s="211"/>
      <c r="D74" s="201"/>
      <c r="E74" s="202"/>
      <c r="F74" s="88">
        <f t="shared" si="2"/>
        <v>0</v>
      </c>
    </row>
    <row r="75">
      <c r="A75" s="74" t="str">
        <f t="shared" si="1"/>
        <v>Monday</v>
      </c>
      <c r="B75" s="49">
        <v>46356.0</v>
      </c>
      <c r="C75" s="211"/>
      <c r="D75" s="201"/>
      <c r="E75" s="202"/>
      <c r="F75" s="88">
        <f t="shared" si="2"/>
        <v>0</v>
      </c>
    </row>
    <row r="76">
      <c r="A76" s="74" t="str">
        <f t="shared" si="1"/>
        <v>Monday</v>
      </c>
      <c r="B76" s="49">
        <v>46356.0</v>
      </c>
      <c r="C76" s="211"/>
      <c r="D76" s="201"/>
      <c r="E76" s="202"/>
      <c r="F76" s="88">
        <f t="shared" si="2"/>
        <v>0</v>
      </c>
    </row>
    <row r="77">
      <c r="A77" s="74" t="str">
        <f t="shared" si="1"/>
        <v>Monday</v>
      </c>
      <c r="B77" s="49">
        <v>46356.0</v>
      </c>
      <c r="C77" s="211"/>
      <c r="D77" s="201"/>
      <c r="E77" s="202"/>
      <c r="F77" s="88">
        <f t="shared" si="2"/>
        <v>0</v>
      </c>
    </row>
    <row r="78">
      <c r="A78" s="74" t="str">
        <f t="shared" si="1"/>
        <v>Monday</v>
      </c>
      <c r="B78" s="49">
        <v>46356.0</v>
      </c>
      <c r="C78" s="211"/>
      <c r="D78" s="201"/>
      <c r="E78" s="202"/>
      <c r="F78" s="88">
        <f t="shared" si="2"/>
        <v>0</v>
      </c>
    </row>
    <row r="79">
      <c r="A79" s="74" t="str">
        <f t="shared" si="1"/>
        <v>Monday</v>
      </c>
      <c r="B79" s="49">
        <v>46356.0</v>
      </c>
      <c r="C79" s="211"/>
      <c r="D79" s="201"/>
      <c r="E79" s="202"/>
      <c r="F79" s="88">
        <f t="shared" si="2"/>
        <v>0</v>
      </c>
    </row>
    <row r="80">
      <c r="A80" s="74" t="str">
        <f t="shared" si="1"/>
        <v>Monday</v>
      </c>
      <c r="B80" s="49">
        <v>46356.0</v>
      </c>
      <c r="C80" s="211"/>
      <c r="D80" s="201"/>
      <c r="E80" s="202"/>
      <c r="F80" s="88">
        <f t="shared" si="2"/>
        <v>0</v>
      </c>
    </row>
    <row r="81">
      <c r="A81" s="74" t="str">
        <f t="shared" si="1"/>
        <v>Monday</v>
      </c>
      <c r="B81" s="49">
        <v>46356.0</v>
      </c>
      <c r="C81" s="211"/>
      <c r="D81" s="201"/>
      <c r="E81" s="202"/>
      <c r="F81" s="88">
        <f t="shared" si="2"/>
        <v>0</v>
      </c>
    </row>
    <row r="82">
      <c r="A82" s="74" t="str">
        <f t="shared" si="1"/>
        <v>Monday</v>
      </c>
      <c r="B82" s="49">
        <v>46356.0</v>
      </c>
      <c r="C82" s="211"/>
      <c r="D82" s="201"/>
      <c r="E82" s="202"/>
      <c r="F82" s="88">
        <f t="shared" si="2"/>
        <v>0</v>
      </c>
    </row>
    <row r="83">
      <c r="A83" s="74" t="str">
        <f t="shared" si="1"/>
        <v>Monday</v>
      </c>
      <c r="B83" s="49">
        <v>46356.0</v>
      </c>
      <c r="C83" s="211"/>
      <c r="D83" s="201"/>
      <c r="E83" s="202"/>
      <c r="F83" s="88">
        <f t="shared" si="2"/>
        <v>0</v>
      </c>
    </row>
    <row r="84">
      <c r="A84" s="74" t="str">
        <f t="shared" si="1"/>
        <v>Monday</v>
      </c>
      <c r="B84" s="49">
        <v>46356.0</v>
      </c>
      <c r="C84" s="211"/>
      <c r="D84" s="201"/>
      <c r="E84" s="202"/>
      <c r="F84" s="88">
        <f t="shared" si="2"/>
        <v>0</v>
      </c>
    </row>
    <row r="85">
      <c r="A85" s="74" t="str">
        <f t="shared" si="1"/>
        <v>Monday</v>
      </c>
      <c r="B85" s="49">
        <v>46356.0</v>
      </c>
      <c r="C85" s="211"/>
      <c r="D85" s="201"/>
      <c r="E85" s="202"/>
      <c r="F85" s="88">
        <f t="shared" si="2"/>
        <v>0</v>
      </c>
    </row>
    <row r="86">
      <c r="A86" s="74" t="str">
        <f t="shared" si="1"/>
        <v>Monday</v>
      </c>
      <c r="B86" s="49">
        <v>46356.0</v>
      </c>
      <c r="C86" s="211"/>
      <c r="D86" s="201"/>
      <c r="E86" s="202"/>
      <c r="F86" s="88">
        <f t="shared" si="2"/>
        <v>0</v>
      </c>
    </row>
    <row r="87">
      <c r="A87" s="74" t="str">
        <f t="shared" si="1"/>
        <v>Monday</v>
      </c>
      <c r="B87" s="49">
        <v>46356.0</v>
      </c>
      <c r="C87" s="211"/>
      <c r="D87" s="201"/>
      <c r="E87" s="202"/>
      <c r="F87" s="88">
        <f t="shared" si="2"/>
        <v>0</v>
      </c>
    </row>
    <row r="88">
      <c r="A88" s="74" t="str">
        <f t="shared" si="1"/>
        <v>Monday</v>
      </c>
      <c r="B88" s="49">
        <v>46356.0</v>
      </c>
      <c r="C88" s="211"/>
      <c r="D88" s="201"/>
      <c r="E88" s="202"/>
      <c r="F88" s="88">
        <f t="shared" si="2"/>
        <v>0</v>
      </c>
    </row>
    <row r="89">
      <c r="A89" s="74" t="str">
        <f t="shared" si="1"/>
        <v>Monday</v>
      </c>
      <c r="B89" s="49">
        <v>46356.0</v>
      </c>
      <c r="C89" s="211"/>
      <c r="D89" s="201"/>
      <c r="E89" s="202"/>
      <c r="F89" s="88">
        <f t="shared" si="2"/>
        <v>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3" width="15.75"/>
    <col customWidth="1" min="4" max="4" width="17.13"/>
    <col customWidth="1" min="5" max="5" width="19.88"/>
    <col customWidth="1" min="6" max="6" width="22.88"/>
    <col customWidth="1" min="7" max="7" width="13.38"/>
    <col customWidth="1" min="8" max="8" width="23.25"/>
    <col customWidth="1" min="9" max="9" width="12.13"/>
    <col customWidth="1" min="10" max="12" width="20.13"/>
    <col customWidth="1" min="13" max="13" width="18.88"/>
    <col customWidth="1" min="14" max="14" width="24.75"/>
    <col customWidth="1" min="15" max="15" width="14.38"/>
    <col customWidth="1" min="16" max="16" width="19.38"/>
    <col customWidth="1" min="17" max="17" width="2.5"/>
  </cols>
  <sheetData>
    <row r="1">
      <c r="A1" s="124" t="s">
        <v>84</v>
      </c>
      <c r="B1" s="125"/>
      <c r="C1" s="126"/>
      <c r="D1" s="4" t="s">
        <v>6</v>
      </c>
      <c r="E1" s="10"/>
      <c r="F1" s="10"/>
      <c r="G1" s="10"/>
      <c r="H1" s="10"/>
      <c r="I1" s="10"/>
      <c r="J1" s="10"/>
      <c r="K1" s="10"/>
      <c r="L1" s="10"/>
      <c r="M1" s="13" t="s">
        <v>57</v>
      </c>
      <c r="O1" s="13"/>
      <c r="P1" s="13"/>
      <c r="Q1" s="42"/>
    </row>
    <row r="2">
      <c r="A2" s="82" t="s">
        <v>2</v>
      </c>
      <c r="B2" s="82" t="s">
        <v>4</v>
      </c>
      <c r="C2" s="82" t="s">
        <v>42</v>
      </c>
      <c r="D2" s="8" t="s">
        <v>7</v>
      </c>
      <c r="E2" s="11" t="s">
        <v>31</v>
      </c>
      <c r="F2" s="11" t="s">
        <v>10</v>
      </c>
      <c r="G2" s="11" t="s">
        <v>35</v>
      </c>
      <c r="H2" s="11" t="s">
        <v>13</v>
      </c>
      <c r="I2" s="5" t="s">
        <v>59</v>
      </c>
      <c r="J2" s="5" t="s">
        <v>60</v>
      </c>
      <c r="K2" s="127"/>
      <c r="L2" s="127" t="s">
        <v>18</v>
      </c>
      <c r="M2" s="238" t="s">
        <v>27</v>
      </c>
      <c r="N2" s="239" t="s">
        <v>61</v>
      </c>
      <c r="O2" s="130"/>
      <c r="P2" s="130"/>
      <c r="Q2" s="42"/>
    </row>
    <row r="3">
      <c r="A3" s="74" t="str">
        <f t="shared" ref="A3:A32" si="1">IF(ISBLANK(B3),"",TEXT(B3,"dddd"))</f>
        <v>Tuesday</v>
      </c>
      <c r="B3" s="49">
        <v>46266.0</v>
      </c>
      <c r="C3" s="142">
        <v>1.0</v>
      </c>
      <c r="D3" s="240"/>
      <c r="E3" s="151" t="str">
        <f>IFERROR(__xludf.DUMMYFUNCTION("IFERROR(
  FILTER(
    INDIRECT(""'BUY_""&amp;D3&amp;""'!$L$2:$L$99""),
    INDIRECT(""'BUY_""&amp;D3&amp;""'!$H$2:$H$99"")=B3,
    INDIRECT(""'BUY_""&amp;D3&amp;""'!$I$2:$I$99"")=C3
  ),
  ""-""
)"),"-")</f>
        <v>-</v>
      </c>
      <c r="F3" s="241" t="str">
        <f t="shared" ref="F3:F33" si="2">IFERROR(VALUE(E3)*VALUE(D3), "-")</f>
        <v>-</v>
      </c>
      <c r="G3" s="151"/>
      <c r="H3" s="167">
        <f t="shared" ref="H3:H33" si="3">IFERROR(VALUE(G3)*VALUE(D3), "-")</f>
        <v>0</v>
      </c>
      <c r="I3" s="100">
        <v>0.0</v>
      </c>
      <c r="J3" s="136" t="str">
        <f t="shared" ref="J3:J33" si="4">IF(OR(I3="-", F3="-", I3="", F3=""), "-", VALUE(I3)%*VALUE(F3))</f>
        <v>-</v>
      </c>
      <c r="K3" s="136" t="str">
        <f t="shared" ref="K3:K33" si="5">IF(OR(H3="-", F3="-", H3="", F3=""), "-", VALUE(H3)-VALUE(F3))</f>
        <v>-</v>
      </c>
      <c r="L3" s="137" t="str">
        <f t="shared" ref="L3:L33" si="6">IF(OR(H3="-", F3="-", J3="-", H3="", F3="", J3=""), "-", VALUE(H3)-VALUE(F3)-VALUE(J3))</f>
        <v>-</v>
      </c>
      <c r="M3" s="242">
        <f t="array" ref="M3:M33">UNIQUE(B3:B100)</f>
        <v>46266</v>
      </c>
      <c r="N3" s="243">
        <f t="shared" ref="N3:N33" si="7">SUMIF(B2:B99, M3, L2:L99)</f>
        <v>0</v>
      </c>
      <c r="O3" s="140"/>
      <c r="P3" s="141"/>
      <c r="Q3" s="42"/>
    </row>
    <row r="4">
      <c r="A4" s="74" t="str">
        <f t="shared" si="1"/>
        <v>Wednesday</v>
      </c>
      <c r="B4" s="49">
        <v>46267.0</v>
      </c>
      <c r="C4" s="142">
        <v>2.0</v>
      </c>
      <c r="D4" s="240"/>
      <c r="E4" s="151" t="str">
        <f>IFERROR(__xludf.DUMMYFUNCTION("IFERROR(
  FILTER(
    INDIRECT(""'BUY_""&amp;D4&amp;""'!$L$2:$L$99""),
    INDIRECT(""'BUY_""&amp;D4&amp;""'!$H$2:$H$99"")=B4,
    INDIRECT(""'BUY_""&amp;D4&amp;""'!$I$2:$I$99"")=C4
  ),
  ""-""
)"),"-")</f>
        <v>-</v>
      </c>
      <c r="F4" s="241" t="str">
        <f t="shared" si="2"/>
        <v>-</v>
      </c>
      <c r="G4" s="151"/>
      <c r="H4" s="167">
        <f t="shared" si="3"/>
        <v>0</v>
      </c>
      <c r="I4" s="100">
        <v>0.0</v>
      </c>
      <c r="J4" s="136" t="str">
        <f t="shared" si="4"/>
        <v>-</v>
      </c>
      <c r="K4" s="136" t="str">
        <f t="shared" si="5"/>
        <v>-</v>
      </c>
      <c r="L4" s="137" t="str">
        <f t="shared" si="6"/>
        <v>-</v>
      </c>
      <c r="M4" s="242">
        <v>46267.0</v>
      </c>
      <c r="N4" s="244">
        <f t="shared" si="7"/>
        <v>0</v>
      </c>
      <c r="O4" s="140"/>
      <c r="P4" s="141"/>
      <c r="Q4" s="13"/>
    </row>
    <row r="5">
      <c r="A5" s="74" t="str">
        <f t="shared" si="1"/>
        <v>Thursday</v>
      </c>
      <c r="B5" s="49">
        <v>46268.0</v>
      </c>
      <c r="C5" s="142">
        <v>3.0</v>
      </c>
      <c r="D5" s="240"/>
      <c r="E5" s="151" t="str">
        <f>IFERROR(__xludf.DUMMYFUNCTION("IFERROR(
  FILTER(
    INDIRECT(""'BUY_""&amp;D5&amp;""'!$L$2:$L$99""),
    INDIRECT(""'BUY_""&amp;D5&amp;""'!$H$2:$H$99"")=B5,
    INDIRECT(""'BUY_""&amp;D5&amp;""'!$I$2:$I$99"")=C5
  ),
  ""-""
)"),"-")</f>
        <v>-</v>
      </c>
      <c r="F5" s="241" t="str">
        <f t="shared" si="2"/>
        <v>-</v>
      </c>
      <c r="G5" s="151"/>
      <c r="H5" s="167">
        <f t="shared" si="3"/>
        <v>0</v>
      </c>
      <c r="I5" s="100">
        <v>0.0</v>
      </c>
      <c r="J5" s="136" t="str">
        <f t="shared" si="4"/>
        <v>-</v>
      </c>
      <c r="K5" s="136" t="str">
        <f t="shared" si="5"/>
        <v>-</v>
      </c>
      <c r="L5" s="137" t="str">
        <f t="shared" si="6"/>
        <v>-</v>
      </c>
      <c r="M5" s="242">
        <v>46268.0</v>
      </c>
      <c r="N5" s="243">
        <f t="shared" si="7"/>
        <v>0</v>
      </c>
      <c r="O5" s="140"/>
      <c r="P5" s="141"/>
      <c r="Q5" s="13"/>
    </row>
    <row r="6">
      <c r="A6" s="74" t="str">
        <f t="shared" si="1"/>
        <v>Friday</v>
      </c>
      <c r="B6" s="49">
        <v>46269.0</v>
      </c>
      <c r="C6" s="142">
        <v>1.0</v>
      </c>
      <c r="D6" s="240"/>
      <c r="E6" s="151" t="str">
        <f>IFERROR(__xludf.DUMMYFUNCTION("IFERROR(
  FILTER(
    INDIRECT(""'BUY_""&amp;D6&amp;""'!$L$2:$L$99""),
    INDIRECT(""'BUY_""&amp;D6&amp;""'!$H$2:$H$99"")=B6,
    INDIRECT(""'BUY_""&amp;D6&amp;""'!$I$2:$I$99"")=C6
  ),
  ""-""
)"),"-")</f>
        <v>-</v>
      </c>
      <c r="F6" s="241" t="str">
        <f t="shared" si="2"/>
        <v>-</v>
      </c>
      <c r="G6" s="151"/>
      <c r="H6" s="167">
        <f t="shared" si="3"/>
        <v>0</v>
      </c>
      <c r="I6" s="100">
        <v>0.0</v>
      </c>
      <c r="J6" s="136" t="str">
        <f t="shared" si="4"/>
        <v>-</v>
      </c>
      <c r="K6" s="136" t="str">
        <f t="shared" si="5"/>
        <v>-</v>
      </c>
      <c r="L6" s="137" t="str">
        <f t="shared" si="6"/>
        <v>-</v>
      </c>
      <c r="M6" s="242">
        <v>46269.0</v>
      </c>
      <c r="N6" s="245">
        <f t="shared" si="7"/>
        <v>0</v>
      </c>
      <c r="O6" s="140"/>
      <c r="P6" s="141"/>
    </row>
    <row r="7">
      <c r="A7" s="74" t="str">
        <f t="shared" si="1"/>
        <v>Saturday</v>
      </c>
      <c r="B7" s="49">
        <v>46270.0</v>
      </c>
      <c r="C7" s="142">
        <v>2.0</v>
      </c>
      <c r="D7" s="240"/>
      <c r="E7" s="151" t="str">
        <f>IFERROR(__xludf.DUMMYFUNCTION("IFERROR(
  FILTER(
    INDIRECT(""'BUY_""&amp;D7&amp;""'!$L$2:$L$99""),
    INDIRECT(""'BUY_""&amp;D7&amp;""'!$H$2:$H$99"")=B7,
    INDIRECT(""'BUY_""&amp;D7&amp;""'!$I$2:$I$99"")=C7
  ),
  ""-""
)"),"-")</f>
        <v>-</v>
      </c>
      <c r="F7" s="241" t="str">
        <f t="shared" si="2"/>
        <v>-</v>
      </c>
      <c r="G7" s="151"/>
      <c r="H7" s="167">
        <f t="shared" si="3"/>
        <v>0</v>
      </c>
      <c r="I7" s="100">
        <v>0.0</v>
      </c>
      <c r="J7" s="136" t="str">
        <f t="shared" si="4"/>
        <v>-</v>
      </c>
      <c r="K7" s="136" t="str">
        <f t="shared" si="5"/>
        <v>-</v>
      </c>
      <c r="L7" s="137" t="str">
        <f t="shared" si="6"/>
        <v>-</v>
      </c>
      <c r="M7" s="246">
        <v>46270.0</v>
      </c>
      <c r="N7" s="245">
        <f t="shared" si="7"/>
        <v>0</v>
      </c>
      <c r="O7" s="140"/>
      <c r="P7" s="141"/>
    </row>
    <row r="8">
      <c r="A8" s="74" t="str">
        <f t="shared" si="1"/>
        <v>Sunday</v>
      </c>
      <c r="B8" s="49">
        <v>46271.0</v>
      </c>
      <c r="C8" s="148">
        <v>1.0</v>
      </c>
      <c r="D8" s="247"/>
      <c r="E8" s="151" t="str">
        <f>IFERROR(__xludf.DUMMYFUNCTION("IFERROR(
  FILTER(
    INDIRECT(""'BUY_""&amp;D8&amp;""'!$L$2:$L$99""),
    INDIRECT(""'BUY_""&amp;D8&amp;""'!$H$2:$H$99"")=B8,
    INDIRECT(""'BUY_""&amp;D8&amp;""'!$I$2:$I$99"")=C8
  ),
  ""-""
)"),"-")</f>
        <v>-</v>
      </c>
      <c r="F8" s="241" t="str">
        <f t="shared" si="2"/>
        <v>-</v>
      </c>
      <c r="G8" s="248"/>
      <c r="H8" s="167">
        <f t="shared" si="3"/>
        <v>0</v>
      </c>
      <c r="I8" s="100">
        <v>0.0</v>
      </c>
      <c r="J8" s="136" t="str">
        <f t="shared" si="4"/>
        <v>-</v>
      </c>
      <c r="K8" s="136" t="str">
        <f t="shared" si="5"/>
        <v>-</v>
      </c>
      <c r="L8" s="137" t="str">
        <f t="shared" si="6"/>
        <v>-</v>
      </c>
      <c r="M8" s="249">
        <v>46271.0</v>
      </c>
      <c r="N8" s="245">
        <f t="shared" si="7"/>
        <v>0</v>
      </c>
    </row>
    <row r="9">
      <c r="A9" s="74" t="str">
        <f t="shared" si="1"/>
        <v>Monday</v>
      </c>
      <c r="B9" s="49">
        <v>46272.0</v>
      </c>
      <c r="C9" s="148">
        <v>2.0</v>
      </c>
      <c r="D9" s="247"/>
      <c r="E9" s="151" t="str">
        <f>IFERROR(__xludf.DUMMYFUNCTION("IFERROR(
  FILTER(
    INDIRECT(""'BUY_""&amp;D9&amp;""'!$L$2:$L$99""),
    INDIRECT(""'BUY_""&amp;D9&amp;""'!$H$2:$H$99"")=B9,
    INDIRECT(""'BUY_""&amp;D9&amp;""'!$I$2:$I$99"")=C9
  ),
  ""-""
)"),"-")</f>
        <v>-</v>
      </c>
      <c r="F9" s="241" t="str">
        <f t="shared" si="2"/>
        <v>-</v>
      </c>
      <c r="G9" s="248"/>
      <c r="H9" s="167">
        <f t="shared" si="3"/>
        <v>0</v>
      </c>
      <c r="I9" s="100">
        <v>0.0</v>
      </c>
      <c r="J9" s="136" t="str">
        <f t="shared" si="4"/>
        <v>-</v>
      </c>
      <c r="K9" s="136" t="str">
        <f t="shared" si="5"/>
        <v>-</v>
      </c>
      <c r="L9" s="137" t="str">
        <f t="shared" si="6"/>
        <v>-</v>
      </c>
      <c r="M9" s="249">
        <v>46272.0</v>
      </c>
      <c r="N9" s="245">
        <f t="shared" si="7"/>
        <v>0</v>
      </c>
    </row>
    <row r="10">
      <c r="A10" s="74" t="str">
        <f t="shared" si="1"/>
        <v>Tuesday</v>
      </c>
      <c r="B10" s="49">
        <v>46273.0</v>
      </c>
      <c r="C10" s="148">
        <v>3.0</v>
      </c>
      <c r="D10" s="247"/>
      <c r="E10" s="151" t="str">
        <f>IFERROR(__xludf.DUMMYFUNCTION("IFERROR(
  FILTER(
    INDIRECT(""'BUY_""&amp;D10&amp;""'!$L$2:$L$99""),
    INDIRECT(""'BUY_""&amp;D10&amp;""'!$H$2:$H$99"")=B10,
    INDIRECT(""'BUY_""&amp;D10&amp;""'!$I$2:$I$99"")=C10
  ),
  ""-""
)"),"-")</f>
        <v>-</v>
      </c>
      <c r="F10" s="241" t="str">
        <f t="shared" si="2"/>
        <v>-</v>
      </c>
      <c r="G10" s="248"/>
      <c r="H10" s="167">
        <f t="shared" si="3"/>
        <v>0</v>
      </c>
      <c r="I10" s="100">
        <v>0.0</v>
      </c>
      <c r="J10" s="136" t="str">
        <f t="shared" si="4"/>
        <v>-</v>
      </c>
      <c r="K10" s="136" t="str">
        <f t="shared" si="5"/>
        <v>-</v>
      </c>
      <c r="L10" s="137" t="str">
        <f t="shared" si="6"/>
        <v>-</v>
      </c>
      <c r="M10" s="249">
        <v>46273.0</v>
      </c>
      <c r="N10" s="245">
        <f t="shared" si="7"/>
        <v>0</v>
      </c>
    </row>
    <row r="11">
      <c r="A11" s="74" t="str">
        <f t="shared" si="1"/>
        <v>Wednesday</v>
      </c>
      <c r="B11" s="49">
        <v>46274.0</v>
      </c>
      <c r="C11" s="148">
        <v>4.0</v>
      </c>
      <c r="D11" s="247"/>
      <c r="E11" s="151" t="str">
        <f>IFERROR(__xludf.DUMMYFUNCTION("IFERROR(
  FILTER(
    INDIRECT(""'BUY_""&amp;D11&amp;""'!$L$2:$L$99""),
    INDIRECT(""'BUY_""&amp;D11&amp;""'!$H$2:$H$99"")=B11,
    INDIRECT(""'BUY_""&amp;D11&amp;""'!$I$2:$I$99"")=C11
  ),
  ""-""
)"),"-")</f>
        <v>-</v>
      </c>
      <c r="F11" s="241" t="str">
        <f t="shared" si="2"/>
        <v>-</v>
      </c>
      <c r="G11" s="248"/>
      <c r="H11" s="167">
        <f t="shared" si="3"/>
        <v>0</v>
      </c>
      <c r="I11" s="100">
        <v>0.0</v>
      </c>
      <c r="J11" s="136" t="str">
        <f t="shared" si="4"/>
        <v>-</v>
      </c>
      <c r="K11" s="136" t="str">
        <f t="shared" si="5"/>
        <v>-</v>
      </c>
      <c r="L11" s="137" t="str">
        <f t="shared" si="6"/>
        <v>-</v>
      </c>
      <c r="M11" s="249">
        <v>46274.0</v>
      </c>
      <c r="N11" s="245">
        <f t="shared" si="7"/>
        <v>0</v>
      </c>
    </row>
    <row r="12">
      <c r="A12" s="74" t="str">
        <f t="shared" si="1"/>
        <v>Thursday</v>
      </c>
      <c r="B12" s="49">
        <v>46275.0</v>
      </c>
      <c r="C12" s="148">
        <v>5.0</v>
      </c>
      <c r="D12" s="247"/>
      <c r="E12" s="151" t="str">
        <f>IFERROR(__xludf.DUMMYFUNCTION("IFERROR(
  FILTER(
    INDIRECT(""'BUY_""&amp;D12&amp;""'!$L$2:$L$99""),
    INDIRECT(""'BUY_""&amp;D12&amp;""'!$H$2:$H$99"")=B12,
    INDIRECT(""'BUY_""&amp;D12&amp;""'!$I$2:$I$99"")=C12
  ),
  ""-""
)"),"-")</f>
        <v>-</v>
      </c>
      <c r="F12" s="241" t="str">
        <f t="shared" si="2"/>
        <v>-</v>
      </c>
      <c r="G12" s="248"/>
      <c r="H12" s="167">
        <f t="shared" si="3"/>
        <v>0</v>
      </c>
      <c r="I12" s="100">
        <v>0.0</v>
      </c>
      <c r="J12" s="136" t="str">
        <f t="shared" si="4"/>
        <v>-</v>
      </c>
      <c r="K12" s="136" t="str">
        <f t="shared" si="5"/>
        <v>-</v>
      </c>
      <c r="L12" s="137" t="str">
        <f t="shared" si="6"/>
        <v>-</v>
      </c>
      <c r="M12" s="249">
        <v>46275.0</v>
      </c>
      <c r="N12" s="245">
        <f t="shared" si="7"/>
        <v>0</v>
      </c>
    </row>
    <row r="13">
      <c r="A13" s="74" t="str">
        <f t="shared" si="1"/>
        <v>Friday</v>
      </c>
      <c r="B13" s="49">
        <v>46276.0</v>
      </c>
      <c r="C13" s="148">
        <v>5.0</v>
      </c>
      <c r="D13" s="247"/>
      <c r="E13" s="151" t="str">
        <f>IFERROR(__xludf.DUMMYFUNCTION("IFERROR(
  FILTER(
    INDIRECT(""'BUY_""&amp;D13&amp;""'!$L$2:$L$99""),
    INDIRECT(""'BUY_""&amp;D13&amp;""'!$H$2:$H$99"")=B13,
    INDIRECT(""'BUY_""&amp;D13&amp;""'!$I$2:$I$99"")=C13
  ),
  ""-""
)"),"-")</f>
        <v>-</v>
      </c>
      <c r="F13" s="241" t="str">
        <f t="shared" si="2"/>
        <v>-</v>
      </c>
      <c r="G13" s="248"/>
      <c r="H13" s="167">
        <f t="shared" si="3"/>
        <v>0</v>
      </c>
      <c r="I13" s="100">
        <v>0.0</v>
      </c>
      <c r="J13" s="136" t="str">
        <f t="shared" si="4"/>
        <v>-</v>
      </c>
      <c r="K13" s="136" t="str">
        <f t="shared" si="5"/>
        <v>-</v>
      </c>
      <c r="L13" s="137" t="str">
        <f t="shared" si="6"/>
        <v>-</v>
      </c>
      <c r="M13" s="249">
        <v>46276.0</v>
      </c>
      <c r="N13" s="245">
        <f t="shared" si="7"/>
        <v>0</v>
      </c>
    </row>
    <row r="14">
      <c r="A14" s="74" t="str">
        <f t="shared" si="1"/>
        <v>Saturday</v>
      </c>
      <c r="B14" s="49">
        <v>46277.0</v>
      </c>
      <c r="C14" s="148">
        <v>5.0</v>
      </c>
      <c r="D14" s="247"/>
      <c r="E14" s="151" t="str">
        <f>IFERROR(__xludf.DUMMYFUNCTION("IFERROR(
  FILTER(
    INDIRECT(""'BUY_""&amp;D14&amp;""'!$L$2:$L$99""),
    INDIRECT(""'BUY_""&amp;D14&amp;""'!$H$2:$H$99"")=B14,
    INDIRECT(""'BUY_""&amp;D14&amp;""'!$I$2:$I$99"")=C14
  ),
  ""-""
)"),"-")</f>
        <v>-</v>
      </c>
      <c r="F14" s="241" t="str">
        <f t="shared" si="2"/>
        <v>-</v>
      </c>
      <c r="G14" s="248"/>
      <c r="H14" s="167">
        <f t="shared" si="3"/>
        <v>0</v>
      </c>
      <c r="I14" s="100">
        <v>0.0</v>
      </c>
      <c r="J14" s="136" t="str">
        <f t="shared" si="4"/>
        <v>-</v>
      </c>
      <c r="K14" s="136" t="str">
        <f t="shared" si="5"/>
        <v>-</v>
      </c>
      <c r="L14" s="137" t="str">
        <f t="shared" si="6"/>
        <v>-</v>
      </c>
      <c r="M14" s="249">
        <v>46277.0</v>
      </c>
      <c r="N14" s="245">
        <f t="shared" si="7"/>
        <v>0</v>
      </c>
    </row>
    <row r="15">
      <c r="A15" s="74" t="str">
        <f t="shared" si="1"/>
        <v>Sunday</v>
      </c>
      <c r="B15" s="49">
        <v>46278.0</v>
      </c>
      <c r="C15" s="148">
        <v>5.0</v>
      </c>
      <c r="D15" s="247"/>
      <c r="E15" s="151" t="str">
        <f>IFERROR(__xludf.DUMMYFUNCTION("IFERROR(
  FILTER(
    INDIRECT(""'BUY_""&amp;D15&amp;""'!$L$2:$L$99""),
    INDIRECT(""'BUY_""&amp;D15&amp;""'!$H$2:$H$99"")=B15,
    INDIRECT(""'BUY_""&amp;D15&amp;""'!$I$2:$I$99"")=C15
  ),
  ""-""
)"),"-")</f>
        <v>-</v>
      </c>
      <c r="F15" s="241" t="str">
        <f t="shared" si="2"/>
        <v>-</v>
      </c>
      <c r="G15" s="248"/>
      <c r="H15" s="167">
        <f t="shared" si="3"/>
        <v>0</v>
      </c>
      <c r="I15" s="100">
        <v>0.0</v>
      </c>
      <c r="J15" s="136" t="str">
        <f t="shared" si="4"/>
        <v>-</v>
      </c>
      <c r="K15" s="136" t="str">
        <f t="shared" si="5"/>
        <v>-</v>
      </c>
      <c r="L15" s="137" t="str">
        <f t="shared" si="6"/>
        <v>-</v>
      </c>
      <c r="M15" s="249">
        <v>46278.0</v>
      </c>
      <c r="N15" s="245">
        <f t="shared" si="7"/>
        <v>0</v>
      </c>
    </row>
    <row r="16">
      <c r="A16" s="74" t="str">
        <f t="shared" si="1"/>
        <v>Monday</v>
      </c>
      <c r="B16" s="49">
        <v>46279.0</v>
      </c>
      <c r="C16" s="148">
        <v>5.0</v>
      </c>
      <c r="D16" s="247"/>
      <c r="E16" s="151" t="str">
        <f>IFERROR(__xludf.DUMMYFUNCTION("IFERROR(
  FILTER(
    INDIRECT(""'BUY_""&amp;D16&amp;""'!$L$2:$L$99""),
    INDIRECT(""'BUY_""&amp;D16&amp;""'!$H$2:$H$99"")=B16,
    INDIRECT(""'BUY_""&amp;D16&amp;""'!$I$2:$I$99"")=C16
  ),
  ""-""
)"),"-")</f>
        <v>-</v>
      </c>
      <c r="F16" s="241" t="str">
        <f t="shared" si="2"/>
        <v>-</v>
      </c>
      <c r="G16" s="248"/>
      <c r="H16" s="167">
        <f t="shared" si="3"/>
        <v>0</v>
      </c>
      <c r="I16" s="100">
        <v>0.0</v>
      </c>
      <c r="J16" s="136" t="str">
        <f t="shared" si="4"/>
        <v>-</v>
      </c>
      <c r="K16" s="136" t="str">
        <f t="shared" si="5"/>
        <v>-</v>
      </c>
      <c r="L16" s="137" t="str">
        <f t="shared" si="6"/>
        <v>-</v>
      </c>
      <c r="M16" s="249">
        <v>46279.0</v>
      </c>
      <c r="N16" s="245">
        <f t="shared" si="7"/>
        <v>0</v>
      </c>
    </row>
    <row r="17">
      <c r="A17" s="74" t="str">
        <f t="shared" si="1"/>
        <v>Tuesday</v>
      </c>
      <c r="B17" s="49">
        <v>46280.0</v>
      </c>
      <c r="C17" s="148">
        <v>5.0</v>
      </c>
      <c r="D17" s="247"/>
      <c r="E17" s="151" t="str">
        <f>IFERROR(__xludf.DUMMYFUNCTION("IFERROR(
  FILTER(
    INDIRECT(""'BUY_""&amp;D17&amp;""'!$L$2:$L$99""),
    INDIRECT(""'BUY_""&amp;D17&amp;""'!$H$2:$H$99"")=B17,
    INDIRECT(""'BUY_""&amp;D17&amp;""'!$I$2:$I$99"")=C17
  ),
  ""-""
)"),"-")</f>
        <v>-</v>
      </c>
      <c r="F17" s="241" t="str">
        <f t="shared" si="2"/>
        <v>-</v>
      </c>
      <c r="G17" s="248"/>
      <c r="H17" s="167">
        <f t="shared" si="3"/>
        <v>0</v>
      </c>
      <c r="I17" s="100">
        <v>0.0</v>
      </c>
      <c r="J17" s="136" t="str">
        <f t="shared" si="4"/>
        <v>-</v>
      </c>
      <c r="K17" s="136" t="str">
        <f t="shared" si="5"/>
        <v>-</v>
      </c>
      <c r="L17" s="137" t="str">
        <f t="shared" si="6"/>
        <v>-</v>
      </c>
      <c r="M17" s="249">
        <v>46280.0</v>
      </c>
      <c r="N17" s="245">
        <f t="shared" si="7"/>
        <v>0</v>
      </c>
    </row>
    <row r="18">
      <c r="A18" s="74" t="str">
        <f t="shared" si="1"/>
        <v>Wednesday</v>
      </c>
      <c r="B18" s="49">
        <v>46281.0</v>
      </c>
      <c r="C18" s="148">
        <v>5.0</v>
      </c>
      <c r="D18" s="247"/>
      <c r="E18" s="151" t="str">
        <f>IFERROR(__xludf.DUMMYFUNCTION("IFERROR(
  FILTER(
    INDIRECT(""'BUY_""&amp;D18&amp;""'!$L$2:$L$99""),
    INDIRECT(""'BUY_""&amp;D18&amp;""'!$H$2:$H$99"")=B18,
    INDIRECT(""'BUY_""&amp;D18&amp;""'!$I$2:$I$99"")=C18
  ),
  ""-""
)"),"-")</f>
        <v>-</v>
      </c>
      <c r="F18" s="241" t="str">
        <f t="shared" si="2"/>
        <v>-</v>
      </c>
      <c r="G18" s="248"/>
      <c r="H18" s="167">
        <f t="shared" si="3"/>
        <v>0</v>
      </c>
      <c r="I18" s="100">
        <v>0.0</v>
      </c>
      <c r="J18" s="136" t="str">
        <f t="shared" si="4"/>
        <v>-</v>
      </c>
      <c r="K18" s="136" t="str">
        <f t="shared" si="5"/>
        <v>-</v>
      </c>
      <c r="L18" s="137" t="str">
        <f t="shared" si="6"/>
        <v>-</v>
      </c>
      <c r="M18" s="249">
        <v>46281.0</v>
      </c>
      <c r="N18" s="245">
        <f t="shared" si="7"/>
        <v>0</v>
      </c>
    </row>
    <row r="19">
      <c r="A19" s="74" t="str">
        <f t="shared" si="1"/>
        <v>Thursday</v>
      </c>
      <c r="B19" s="49">
        <v>46282.0</v>
      </c>
      <c r="C19" s="148">
        <v>5.0</v>
      </c>
      <c r="D19" s="247"/>
      <c r="E19" s="151" t="str">
        <f>IFERROR(__xludf.DUMMYFUNCTION("IFERROR(
  FILTER(
    INDIRECT(""'BUY_""&amp;D19&amp;""'!$L$2:$L$99""),
    INDIRECT(""'BUY_""&amp;D19&amp;""'!$H$2:$H$99"")=B19,
    INDIRECT(""'BUY_""&amp;D19&amp;""'!$I$2:$I$99"")=C19
  ),
  ""-""
)"),"-")</f>
        <v>-</v>
      </c>
      <c r="F19" s="241" t="str">
        <f t="shared" si="2"/>
        <v>-</v>
      </c>
      <c r="G19" s="248"/>
      <c r="H19" s="167">
        <f t="shared" si="3"/>
        <v>0</v>
      </c>
      <c r="I19" s="100">
        <v>0.0</v>
      </c>
      <c r="J19" s="136" t="str">
        <f t="shared" si="4"/>
        <v>-</v>
      </c>
      <c r="K19" s="136" t="str">
        <f t="shared" si="5"/>
        <v>-</v>
      </c>
      <c r="L19" s="137" t="str">
        <f t="shared" si="6"/>
        <v>-</v>
      </c>
      <c r="M19" s="249">
        <v>46282.0</v>
      </c>
      <c r="N19" s="245">
        <f t="shared" si="7"/>
        <v>0</v>
      </c>
    </row>
    <row r="20">
      <c r="A20" s="74" t="str">
        <f t="shared" si="1"/>
        <v>Friday</v>
      </c>
      <c r="B20" s="49">
        <v>46283.0</v>
      </c>
      <c r="C20" s="148">
        <v>5.0</v>
      </c>
      <c r="D20" s="247"/>
      <c r="E20" s="151" t="str">
        <f>IFERROR(__xludf.DUMMYFUNCTION("IFERROR(
  FILTER(
    INDIRECT(""'BUY_""&amp;D20&amp;""'!$L$2:$L$99""),
    INDIRECT(""'BUY_""&amp;D20&amp;""'!$H$2:$H$99"")=B20,
    INDIRECT(""'BUY_""&amp;D20&amp;""'!$I$2:$I$99"")=C20
  ),
  ""-""
)"),"-")</f>
        <v>-</v>
      </c>
      <c r="F20" s="241" t="str">
        <f t="shared" si="2"/>
        <v>-</v>
      </c>
      <c r="G20" s="248"/>
      <c r="H20" s="167">
        <f t="shared" si="3"/>
        <v>0</v>
      </c>
      <c r="I20" s="100">
        <v>0.0</v>
      </c>
      <c r="J20" s="136" t="str">
        <f t="shared" si="4"/>
        <v>-</v>
      </c>
      <c r="K20" s="136" t="str">
        <f t="shared" si="5"/>
        <v>-</v>
      </c>
      <c r="L20" s="137" t="str">
        <f t="shared" si="6"/>
        <v>-</v>
      </c>
      <c r="M20" s="249">
        <v>46283.0</v>
      </c>
      <c r="N20" s="245">
        <f t="shared" si="7"/>
        <v>0</v>
      </c>
    </row>
    <row r="21">
      <c r="A21" s="74" t="str">
        <f t="shared" si="1"/>
        <v>Saturday</v>
      </c>
      <c r="B21" s="49">
        <v>46284.0</v>
      </c>
      <c r="C21" s="148">
        <v>5.0</v>
      </c>
      <c r="D21" s="247"/>
      <c r="E21" s="151" t="str">
        <f>IFERROR(__xludf.DUMMYFUNCTION("IFERROR(
  FILTER(
    INDIRECT(""'BUY_""&amp;D21&amp;""'!$L$2:$L$99""),
    INDIRECT(""'BUY_""&amp;D21&amp;""'!$H$2:$H$99"")=B21,
    INDIRECT(""'BUY_""&amp;D21&amp;""'!$I$2:$I$99"")=C21
  ),
  ""-""
)"),"-")</f>
        <v>-</v>
      </c>
      <c r="F21" s="241" t="str">
        <f t="shared" si="2"/>
        <v>-</v>
      </c>
      <c r="G21" s="248"/>
      <c r="H21" s="167">
        <f t="shared" si="3"/>
        <v>0</v>
      </c>
      <c r="I21" s="100">
        <v>0.0</v>
      </c>
      <c r="J21" s="136" t="str">
        <f t="shared" si="4"/>
        <v>-</v>
      </c>
      <c r="K21" s="136" t="str">
        <f t="shared" si="5"/>
        <v>-</v>
      </c>
      <c r="L21" s="137" t="str">
        <f t="shared" si="6"/>
        <v>-</v>
      </c>
      <c r="M21" s="249">
        <v>46284.0</v>
      </c>
      <c r="N21" s="245">
        <f t="shared" si="7"/>
        <v>0</v>
      </c>
    </row>
    <row r="22">
      <c r="A22" s="74" t="str">
        <f t="shared" si="1"/>
        <v>Sunday</v>
      </c>
      <c r="B22" s="49">
        <v>46285.0</v>
      </c>
      <c r="C22" s="148">
        <v>5.0</v>
      </c>
      <c r="D22" s="247"/>
      <c r="E22" s="151" t="str">
        <f>IFERROR(__xludf.DUMMYFUNCTION("IFERROR(
  FILTER(
    INDIRECT(""'BUY_""&amp;D22&amp;""'!$L$2:$L$99""),
    INDIRECT(""'BUY_""&amp;D22&amp;""'!$H$2:$H$99"")=B22,
    INDIRECT(""'BUY_""&amp;D22&amp;""'!$I$2:$I$99"")=C22
  ),
  ""-""
)"),"-")</f>
        <v>-</v>
      </c>
      <c r="F22" s="241" t="str">
        <f t="shared" si="2"/>
        <v>-</v>
      </c>
      <c r="G22" s="248"/>
      <c r="H22" s="167">
        <f t="shared" si="3"/>
        <v>0</v>
      </c>
      <c r="I22" s="100">
        <v>0.0</v>
      </c>
      <c r="J22" s="136" t="str">
        <f t="shared" si="4"/>
        <v>-</v>
      </c>
      <c r="K22" s="136" t="str">
        <f t="shared" si="5"/>
        <v>-</v>
      </c>
      <c r="L22" s="137" t="str">
        <f t="shared" si="6"/>
        <v>-</v>
      </c>
      <c r="M22" s="249">
        <v>46285.0</v>
      </c>
      <c r="N22" s="245">
        <f t="shared" si="7"/>
        <v>0</v>
      </c>
    </row>
    <row r="23">
      <c r="A23" s="74" t="str">
        <f t="shared" si="1"/>
        <v>Monday</v>
      </c>
      <c r="B23" s="49">
        <v>46286.0</v>
      </c>
      <c r="C23" s="148">
        <v>5.0</v>
      </c>
      <c r="D23" s="247"/>
      <c r="E23" s="151" t="str">
        <f>IFERROR(__xludf.DUMMYFUNCTION("IFERROR(
  FILTER(
    INDIRECT(""'BUY_""&amp;D23&amp;""'!$L$2:$L$99""),
    INDIRECT(""'BUY_""&amp;D23&amp;""'!$H$2:$H$99"")=B23,
    INDIRECT(""'BUY_""&amp;D23&amp;""'!$I$2:$I$99"")=C23
  ),
  ""-""
)"),"-")</f>
        <v>-</v>
      </c>
      <c r="F23" s="241" t="str">
        <f t="shared" si="2"/>
        <v>-</v>
      </c>
      <c r="G23" s="248"/>
      <c r="H23" s="167">
        <f t="shared" si="3"/>
        <v>0</v>
      </c>
      <c r="I23" s="100">
        <v>0.0</v>
      </c>
      <c r="J23" s="136" t="str">
        <f t="shared" si="4"/>
        <v>-</v>
      </c>
      <c r="K23" s="136" t="str">
        <f t="shared" si="5"/>
        <v>-</v>
      </c>
      <c r="L23" s="137" t="str">
        <f t="shared" si="6"/>
        <v>-</v>
      </c>
      <c r="M23" s="249">
        <v>46286.0</v>
      </c>
      <c r="N23" s="245">
        <f t="shared" si="7"/>
        <v>0</v>
      </c>
    </row>
    <row r="24">
      <c r="A24" s="74" t="str">
        <f t="shared" si="1"/>
        <v>Tuesday</v>
      </c>
      <c r="B24" s="49">
        <v>46287.0</v>
      </c>
      <c r="C24" s="148">
        <v>5.0</v>
      </c>
      <c r="D24" s="247"/>
      <c r="E24" s="151" t="str">
        <f>IFERROR(__xludf.DUMMYFUNCTION("IFERROR(
  FILTER(
    INDIRECT(""'BUY_""&amp;D24&amp;""'!$L$2:$L$99""),
    INDIRECT(""'BUY_""&amp;D24&amp;""'!$H$2:$H$99"")=B24,
    INDIRECT(""'BUY_""&amp;D24&amp;""'!$I$2:$I$99"")=C24
  ),
  ""-""
)"),"-")</f>
        <v>-</v>
      </c>
      <c r="F24" s="241" t="str">
        <f t="shared" si="2"/>
        <v>-</v>
      </c>
      <c r="G24" s="248"/>
      <c r="H24" s="167">
        <f t="shared" si="3"/>
        <v>0</v>
      </c>
      <c r="I24" s="100">
        <v>0.0</v>
      </c>
      <c r="J24" s="136" t="str">
        <f t="shared" si="4"/>
        <v>-</v>
      </c>
      <c r="K24" s="136" t="str">
        <f t="shared" si="5"/>
        <v>-</v>
      </c>
      <c r="L24" s="137" t="str">
        <f t="shared" si="6"/>
        <v>-</v>
      </c>
      <c r="M24" s="250">
        <v>46287.0</v>
      </c>
      <c r="N24" s="245">
        <f t="shared" si="7"/>
        <v>0</v>
      </c>
    </row>
    <row r="25">
      <c r="A25" s="74" t="str">
        <f t="shared" si="1"/>
        <v>Wednesday</v>
      </c>
      <c r="B25" s="49">
        <v>46288.0</v>
      </c>
      <c r="C25" s="148">
        <v>5.0</v>
      </c>
      <c r="D25" s="247"/>
      <c r="E25" s="151" t="str">
        <f>IFERROR(__xludf.DUMMYFUNCTION("IFERROR(
  FILTER(
    INDIRECT(""'BUY_""&amp;D25&amp;""'!$L$2:$L$99""),
    INDIRECT(""'BUY_""&amp;D25&amp;""'!$H$2:$H$99"")=B25,
    INDIRECT(""'BUY_""&amp;D25&amp;""'!$I$2:$I$99"")=C25
  ),
  ""-""
)"),"-")</f>
        <v>-</v>
      </c>
      <c r="F25" s="241" t="str">
        <f t="shared" si="2"/>
        <v>-</v>
      </c>
      <c r="G25" s="248"/>
      <c r="H25" s="167">
        <f t="shared" si="3"/>
        <v>0</v>
      </c>
      <c r="I25" s="100">
        <v>0.0</v>
      </c>
      <c r="J25" s="136" t="str">
        <f t="shared" si="4"/>
        <v>-</v>
      </c>
      <c r="K25" s="136" t="str">
        <f t="shared" si="5"/>
        <v>-</v>
      </c>
      <c r="L25" s="137" t="str">
        <f t="shared" si="6"/>
        <v>-</v>
      </c>
      <c r="M25" s="250">
        <v>46288.0</v>
      </c>
      <c r="N25" s="245">
        <f t="shared" si="7"/>
        <v>0</v>
      </c>
    </row>
    <row r="26">
      <c r="A26" s="74" t="str">
        <f t="shared" si="1"/>
        <v>Thursday</v>
      </c>
      <c r="B26" s="49">
        <v>46289.0</v>
      </c>
      <c r="C26" s="148">
        <v>5.0</v>
      </c>
      <c r="D26" s="247"/>
      <c r="E26" s="151" t="str">
        <f>IFERROR(__xludf.DUMMYFUNCTION("IFERROR(
  FILTER(
    INDIRECT(""'BUY_""&amp;D26&amp;""'!$L$2:$L$99""),
    INDIRECT(""'BUY_""&amp;D26&amp;""'!$H$2:$H$99"")=B26,
    INDIRECT(""'BUY_""&amp;D26&amp;""'!$I$2:$I$99"")=C26
  ),
  ""-""
)"),"-")</f>
        <v>-</v>
      </c>
      <c r="F26" s="241" t="str">
        <f t="shared" si="2"/>
        <v>-</v>
      </c>
      <c r="G26" s="248"/>
      <c r="H26" s="167">
        <f t="shared" si="3"/>
        <v>0</v>
      </c>
      <c r="I26" s="100">
        <v>0.0</v>
      </c>
      <c r="J26" s="136" t="str">
        <f t="shared" si="4"/>
        <v>-</v>
      </c>
      <c r="K26" s="136" t="str">
        <f t="shared" si="5"/>
        <v>-</v>
      </c>
      <c r="L26" s="137" t="str">
        <f t="shared" si="6"/>
        <v>-</v>
      </c>
      <c r="M26" s="250">
        <v>46289.0</v>
      </c>
      <c r="N26" s="245">
        <f t="shared" si="7"/>
        <v>0</v>
      </c>
    </row>
    <row r="27">
      <c r="A27" s="74" t="str">
        <f t="shared" si="1"/>
        <v>Friday</v>
      </c>
      <c r="B27" s="49">
        <v>46290.0</v>
      </c>
      <c r="C27" s="148">
        <v>5.0</v>
      </c>
      <c r="D27" s="247"/>
      <c r="E27" s="151" t="str">
        <f>IFERROR(__xludf.DUMMYFUNCTION("IFERROR(
  FILTER(
    INDIRECT(""'BUY_""&amp;D27&amp;""'!$L$2:$L$99""),
    INDIRECT(""'BUY_""&amp;D27&amp;""'!$H$2:$H$99"")=B27,
    INDIRECT(""'BUY_""&amp;D27&amp;""'!$I$2:$I$99"")=C27
  ),
  ""-""
)"),"-")</f>
        <v>-</v>
      </c>
      <c r="F27" s="241" t="str">
        <f t="shared" si="2"/>
        <v>-</v>
      </c>
      <c r="G27" s="248"/>
      <c r="H27" s="167">
        <f t="shared" si="3"/>
        <v>0</v>
      </c>
      <c r="I27" s="100">
        <v>0.0</v>
      </c>
      <c r="J27" s="136" t="str">
        <f t="shared" si="4"/>
        <v>-</v>
      </c>
      <c r="K27" s="136" t="str">
        <f t="shared" si="5"/>
        <v>-</v>
      </c>
      <c r="L27" s="137" t="str">
        <f t="shared" si="6"/>
        <v>-</v>
      </c>
      <c r="M27" s="250">
        <v>46290.0</v>
      </c>
      <c r="N27" s="245">
        <f t="shared" si="7"/>
        <v>0</v>
      </c>
    </row>
    <row r="28">
      <c r="A28" s="74" t="str">
        <f t="shared" si="1"/>
        <v>Saturday</v>
      </c>
      <c r="B28" s="49">
        <v>46291.0</v>
      </c>
      <c r="C28" s="148">
        <v>5.0</v>
      </c>
      <c r="D28" s="247"/>
      <c r="E28" s="151" t="str">
        <f>IFERROR(__xludf.DUMMYFUNCTION("IFERROR(
  FILTER(
    INDIRECT(""'BUY_""&amp;D28&amp;""'!$L$2:$L$99""),
    INDIRECT(""'BUY_""&amp;D28&amp;""'!$H$2:$H$99"")=B28,
    INDIRECT(""'BUY_""&amp;D28&amp;""'!$I$2:$I$99"")=C28
  ),
  ""-""
)"),"-")</f>
        <v>-</v>
      </c>
      <c r="F28" s="241" t="str">
        <f t="shared" si="2"/>
        <v>-</v>
      </c>
      <c r="G28" s="248"/>
      <c r="H28" s="167">
        <f t="shared" si="3"/>
        <v>0</v>
      </c>
      <c r="I28" s="100">
        <v>0.0</v>
      </c>
      <c r="J28" s="136" t="str">
        <f t="shared" si="4"/>
        <v>-</v>
      </c>
      <c r="K28" s="136" t="str">
        <f t="shared" si="5"/>
        <v>-</v>
      </c>
      <c r="L28" s="137" t="str">
        <f t="shared" si="6"/>
        <v>-</v>
      </c>
      <c r="M28" s="250">
        <v>46291.0</v>
      </c>
      <c r="N28" s="245">
        <f t="shared" si="7"/>
        <v>0</v>
      </c>
    </row>
    <row r="29">
      <c r="A29" s="74" t="str">
        <f t="shared" si="1"/>
        <v>Sunday</v>
      </c>
      <c r="B29" s="49">
        <v>46292.0</v>
      </c>
      <c r="C29" s="148">
        <v>5.0</v>
      </c>
      <c r="D29" s="247"/>
      <c r="E29" s="151" t="str">
        <f>IFERROR(__xludf.DUMMYFUNCTION("IFERROR(
  FILTER(
    INDIRECT(""'BUY_""&amp;D29&amp;""'!$L$2:$L$99""),
    INDIRECT(""'BUY_""&amp;D29&amp;""'!$H$2:$H$99"")=B29,
    INDIRECT(""'BUY_""&amp;D29&amp;""'!$I$2:$I$99"")=C29
  ),
  ""-""
)"),"-")</f>
        <v>-</v>
      </c>
      <c r="F29" s="241" t="str">
        <f t="shared" si="2"/>
        <v>-</v>
      </c>
      <c r="G29" s="248"/>
      <c r="H29" s="167">
        <f t="shared" si="3"/>
        <v>0</v>
      </c>
      <c r="I29" s="100">
        <v>0.0</v>
      </c>
      <c r="J29" s="136" t="str">
        <f t="shared" si="4"/>
        <v>-</v>
      </c>
      <c r="K29" s="136" t="str">
        <f t="shared" si="5"/>
        <v>-</v>
      </c>
      <c r="L29" s="137" t="str">
        <f t="shared" si="6"/>
        <v>-</v>
      </c>
      <c r="M29" s="250">
        <v>46292.0</v>
      </c>
      <c r="N29" s="245">
        <f t="shared" si="7"/>
        <v>0</v>
      </c>
    </row>
    <row r="30">
      <c r="A30" s="74" t="str">
        <f t="shared" si="1"/>
        <v>Monday</v>
      </c>
      <c r="B30" s="49">
        <v>46293.0</v>
      </c>
      <c r="C30" s="148">
        <v>5.0</v>
      </c>
      <c r="D30" s="247"/>
      <c r="E30" s="151" t="str">
        <f>IFERROR(__xludf.DUMMYFUNCTION("IFERROR(
  FILTER(
    INDIRECT(""'BUY_""&amp;D30&amp;""'!$L$2:$L$99""),
    INDIRECT(""'BUY_""&amp;D30&amp;""'!$H$2:$H$99"")=B30,
    INDIRECT(""'BUY_""&amp;D30&amp;""'!$I$2:$I$99"")=C30
  ),
  ""-""
)"),"-")</f>
        <v>-</v>
      </c>
      <c r="F30" s="241" t="str">
        <f t="shared" si="2"/>
        <v>-</v>
      </c>
      <c r="G30" s="248"/>
      <c r="H30" s="167">
        <f t="shared" si="3"/>
        <v>0</v>
      </c>
      <c r="I30" s="100">
        <v>0.0</v>
      </c>
      <c r="J30" s="136" t="str">
        <f t="shared" si="4"/>
        <v>-</v>
      </c>
      <c r="K30" s="136" t="str">
        <f t="shared" si="5"/>
        <v>-</v>
      </c>
      <c r="L30" s="137" t="str">
        <f t="shared" si="6"/>
        <v>-</v>
      </c>
      <c r="M30" s="250">
        <v>46293.0</v>
      </c>
      <c r="N30" s="245">
        <f t="shared" si="7"/>
        <v>0</v>
      </c>
    </row>
    <row r="31">
      <c r="A31" s="74" t="str">
        <f t="shared" si="1"/>
        <v>Tuesday</v>
      </c>
      <c r="B31" s="49">
        <v>46294.0</v>
      </c>
      <c r="C31" s="148">
        <v>5.0</v>
      </c>
      <c r="D31" s="247"/>
      <c r="E31" s="151" t="str">
        <f>IFERROR(__xludf.DUMMYFUNCTION("IFERROR(
  FILTER(
    INDIRECT(""'BUY_""&amp;D31&amp;""'!$L$2:$L$99""),
    INDIRECT(""'BUY_""&amp;D31&amp;""'!$H$2:$H$99"")=B31,
    INDIRECT(""'BUY_""&amp;D31&amp;""'!$I$2:$I$99"")=C31
  ),
  ""-""
)"),"-")</f>
        <v>-</v>
      </c>
      <c r="F31" s="241" t="str">
        <f t="shared" si="2"/>
        <v>-</v>
      </c>
      <c r="G31" s="248"/>
      <c r="H31" s="167">
        <f t="shared" si="3"/>
        <v>0</v>
      </c>
      <c r="I31" s="100">
        <v>0.0</v>
      </c>
      <c r="J31" s="136" t="str">
        <f t="shared" si="4"/>
        <v>-</v>
      </c>
      <c r="K31" s="136" t="str">
        <f t="shared" si="5"/>
        <v>-</v>
      </c>
      <c r="L31" s="137" t="str">
        <f t="shared" si="6"/>
        <v>-</v>
      </c>
      <c r="M31" s="250">
        <v>46294.0</v>
      </c>
      <c r="N31" s="245">
        <f t="shared" si="7"/>
        <v>0</v>
      </c>
    </row>
    <row r="32">
      <c r="A32" s="74" t="str">
        <f t="shared" si="1"/>
        <v>Wednesday</v>
      </c>
      <c r="B32" s="49">
        <v>46295.0</v>
      </c>
      <c r="C32" s="148">
        <v>5.0</v>
      </c>
      <c r="D32" s="247"/>
      <c r="E32" s="151" t="str">
        <f>IFERROR(__xludf.DUMMYFUNCTION("IFERROR(
  FILTER(
    INDIRECT(""'BUY_""&amp;D32&amp;""'!$L$2:$L$99""),
    INDIRECT(""'BUY_""&amp;D32&amp;""'!$H$2:$H$99"")=B32,
    INDIRECT(""'BUY_""&amp;D32&amp;""'!$I$2:$I$99"")=C32
  ),
  ""-""
)"),"-")</f>
        <v>-</v>
      </c>
      <c r="F32" s="241" t="str">
        <f t="shared" si="2"/>
        <v>-</v>
      </c>
      <c r="G32" s="248"/>
      <c r="H32" s="167">
        <f t="shared" si="3"/>
        <v>0</v>
      </c>
      <c r="I32" s="100">
        <v>0.0</v>
      </c>
      <c r="J32" s="136" t="str">
        <f t="shared" si="4"/>
        <v>-</v>
      </c>
      <c r="K32" s="136" t="str">
        <f t="shared" si="5"/>
        <v>-</v>
      </c>
      <c r="L32" s="137" t="str">
        <f t="shared" si="6"/>
        <v>-</v>
      </c>
      <c r="M32" s="250">
        <v>46295.0</v>
      </c>
      <c r="N32" s="245">
        <f t="shared" si="7"/>
        <v>0</v>
      </c>
    </row>
    <row r="33">
      <c r="A33" s="74"/>
      <c r="B33" s="49"/>
      <c r="C33" s="148">
        <v>5.0</v>
      </c>
      <c r="D33" s="247"/>
      <c r="E33" s="151" t="str">
        <f>IFERROR(__xludf.DUMMYFUNCTION("IFERROR(
  FILTER(
    INDIRECT(""'BUY_""&amp;D33&amp;""'!$L$2:$L$99""),
    INDIRECT(""'BUY_""&amp;D33&amp;""'!$H$2:$H$99"")=B33,
    INDIRECT(""'BUY_""&amp;D33&amp;""'!$I$2:$I$99"")=C33
  ),
  ""-""
)"),"-")</f>
        <v>-</v>
      </c>
      <c r="F33" s="241" t="str">
        <f t="shared" si="2"/>
        <v>-</v>
      </c>
      <c r="G33" s="248"/>
      <c r="H33" s="167">
        <f t="shared" si="3"/>
        <v>0</v>
      </c>
      <c r="I33" s="100">
        <v>0.0</v>
      </c>
      <c r="J33" s="136" t="str">
        <f t="shared" si="4"/>
        <v>-</v>
      </c>
      <c r="K33" s="136" t="str">
        <f t="shared" si="5"/>
        <v>-</v>
      </c>
      <c r="L33" s="137" t="str">
        <f t="shared" si="6"/>
        <v>-</v>
      </c>
      <c r="M33" s="250"/>
      <c r="N33" s="245">
        <f t="shared" si="7"/>
        <v>0</v>
      </c>
    </row>
    <row r="34">
      <c r="A34" s="56"/>
      <c r="B34" s="56"/>
      <c r="C34" s="251"/>
      <c r="D34" s="56"/>
      <c r="E34" s="56"/>
      <c r="F34" s="56"/>
      <c r="G34" s="56"/>
      <c r="H34" s="56"/>
      <c r="I34" s="56"/>
      <c r="J34" s="56"/>
      <c r="K34" s="56"/>
      <c r="L34" s="56"/>
    </row>
    <row r="35">
      <c r="C35" s="104"/>
    </row>
    <row r="36">
      <c r="C36" s="104"/>
    </row>
    <row r="37">
      <c r="C37" s="104"/>
    </row>
    <row r="38">
      <c r="C38" s="104"/>
    </row>
    <row r="39">
      <c r="C39" s="104"/>
    </row>
    <row r="40">
      <c r="C40" s="104"/>
    </row>
    <row r="41">
      <c r="C41" s="104"/>
    </row>
    <row r="42">
      <c r="C42" s="104"/>
    </row>
    <row r="43">
      <c r="C43" s="104"/>
    </row>
    <row r="44">
      <c r="C44" s="104"/>
    </row>
    <row r="45">
      <c r="C45" s="104"/>
    </row>
    <row r="46">
      <c r="C46" s="104"/>
    </row>
    <row r="47">
      <c r="C47" s="104"/>
    </row>
    <row r="48">
      <c r="C48" s="104"/>
    </row>
    <row r="49">
      <c r="C49" s="104"/>
    </row>
    <row r="50">
      <c r="C50" s="104"/>
    </row>
    <row r="51">
      <c r="C51" s="104"/>
    </row>
    <row r="52">
      <c r="C52" s="104"/>
    </row>
    <row r="53">
      <c r="C53" s="104"/>
    </row>
    <row r="54">
      <c r="C54" s="104"/>
    </row>
    <row r="55">
      <c r="C55" s="104"/>
    </row>
    <row r="56">
      <c r="C56" s="104"/>
    </row>
    <row r="57">
      <c r="C57" s="104"/>
    </row>
    <row r="58">
      <c r="C58" s="104"/>
    </row>
    <row r="59">
      <c r="C59" s="104"/>
    </row>
    <row r="60">
      <c r="C60" s="104"/>
    </row>
    <row r="61">
      <c r="C61" s="104"/>
    </row>
    <row r="62">
      <c r="C62" s="104"/>
    </row>
    <row r="63">
      <c r="C63" s="104"/>
    </row>
    <row r="64">
      <c r="C64" s="104"/>
    </row>
    <row r="65">
      <c r="C65" s="104"/>
    </row>
    <row r="66">
      <c r="C66" s="104"/>
    </row>
    <row r="67">
      <c r="C67" s="104"/>
    </row>
    <row r="68">
      <c r="C68" s="104"/>
    </row>
    <row r="69">
      <c r="C69" s="104"/>
    </row>
    <row r="70">
      <c r="C70" s="104"/>
    </row>
    <row r="71">
      <c r="C71" s="104"/>
    </row>
    <row r="72">
      <c r="C72" s="104"/>
    </row>
    <row r="73">
      <c r="C73" s="104"/>
    </row>
    <row r="74">
      <c r="C74" s="104"/>
    </row>
    <row r="75">
      <c r="C75" s="104"/>
    </row>
    <row r="76">
      <c r="C76" s="104"/>
    </row>
    <row r="77">
      <c r="C77" s="104"/>
    </row>
    <row r="78">
      <c r="C78" s="104"/>
    </row>
    <row r="79">
      <c r="C79" s="104"/>
    </row>
    <row r="80">
      <c r="C80" s="104"/>
    </row>
    <row r="81">
      <c r="C81" s="104"/>
    </row>
    <row r="82">
      <c r="C82" s="104"/>
    </row>
    <row r="83">
      <c r="C83" s="104"/>
    </row>
    <row r="84">
      <c r="C84" s="104"/>
    </row>
    <row r="85">
      <c r="C85" s="104"/>
    </row>
    <row r="86">
      <c r="C86" s="104"/>
    </row>
    <row r="87">
      <c r="C87" s="104"/>
    </row>
    <row r="88">
      <c r="C88" s="104"/>
    </row>
    <row r="89">
      <c r="C89" s="104"/>
    </row>
    <row r="90">
      <c r="C90" s="104"/>
    </row>
    <row r="91">
      <c r="C91" s="104"/>
    </row>
    <row r="92">
      <c r="C92" s="104"/>
    </row>
    <row r="93">
      <c r="C93" s="104"/>
    </row>
    <row r="94">
      <c r="C94" s="104"/>
    </row>
    <row r="95">
      <c r="C95" s="104"/>
    </row>
    <row r="96">
      <c r="C96" s="104"/>
    </row>
    <row r="97">
      <c r="C97" s="104"/>
    </row>
    <row r="98">
      <c r="C98" s="104"/>
    </row>
    <row r="99">
      <c r="C99" s="104"/>
    </row>
    <row r="100">
      <c r="C100" s="104"/>
    </row>
    <row r="101">
      <c r="C101" s="104"/>
    </row>
    <row r="102">
      <c r="C102" s="104"/>
    </row>
    <row r="103">
      <c r="C103" s="104"/>
    </row>
    <row r="104">
      <c r="C104" s="104"/>
    </row>
    <row r="105">
      <c r="C105" s="104"/>
    </row>
    <row r="106">
      <c r="C106" s="104"/>
    </row>
    <row r="107">
      <c r="C107" s="104"/>
    </row>
    <row r="108">
      <c r="C108" s="104"/>
    </row>
    <row r="109">
      <c r="C109" s="104"/>
    </row>
    <row r="110">
      <c r="C110" s="104"/>
    </row>
    <row r="111">
      <c r="C111" s="104"/>
    </row>
    <row r="112">
      <c r="C112" s="104"/>
    </row>
    <row r="113">
      <c r="C113" s="104"/>
    </row>
    <row r="114">
      <c r="C114" s="104"/>
    </row>
    <row r="115">
      <c r="C115" s="104"/>
    </row>
    <row r="116">
      <c r="C116" s="104"/>
    </row>
    <row r="117">
      <c r="C117" s="104"/>
    </row>
    <row r="118">
      <c r="C118" s="104"/>
    </row>
    <row r="119">
      <c r="C119" s="104"/>
    </row>
    <row r="120">
      <c r="C120" s="104"/>
    </row>
    <row r="121">
      <c r="C121" s="104"/>
    </row>
    <row r="122">
      <c r="C122" s="104"/>
    </row>
    <row r="123">
      <c r="C123" s="104"/>
    </row>
    <row r="124">
      <c r="C124" s="104"/>
    </row>
    <row r="125">
      <c r="C125" s="104"/>
    </row>
    <row r="126">
      <c r="C126" s="104"/>
    </row>
    <row r="127">
      <c r="C127" s="104"/>
    </row>
    <row r="128">
      <c r="C128" s="104"/>
    </row>
    <row r="129">
      <c r="C129" s="104"/>
    </row>
    <row r="130">
      <c r="C130" s="104"/>
    </row>
    <row r="131">
      <c r="C131" s="104"/>
    </row>
    <row r="132">
      <c r="C132" s="104"/>
    </row>
    <row r="133">
      <c r="C133" s="104"/>
    </row>
    <row r="134">
      <c r="C134" s="104"/>
    </row>
    <row r="135">
      <c r="C135" s="104"/>
    </row>
    <row r="136">
      <c r="C136" s="104"/>
    </row>
    <row r="137">
      <c r="C137" s="104"/>
    </row>
    <row r="138">
      <c r="C138" s="104"/>
    </row>
    <row r="139">
      <c r="C139" s="104"/>
    </row>
    <row r="140">
      <c r="C140" s="104"/>
    </row>
    <row r="141">
      <c r="C141" s="104"/>
    </row>
    <row r="142">
      <c r="C142" s="104"/>
    </row>
    <row r="143">
      <c r="C143" s="104"/>
    </row>
    <row r="144">
      <c r="C144" s="104"/>
    </row>
    <row r="145">
      <c r="C145" s="104"/>
    </row>
    <row r="146">
      <c r="C146" s="104"/>
    </row>
    <row r="147">
      <c r="C147" s="104"/>
    </row>
    <row r="148">
      <c r="C148" s="104"/>
    </row>
    <row r="149">
      <c r="C149" s="104"/>
    </row>
    <row r="150">
      <c r="C150" s="104"/>
    </row>
    <row r="151">
      <c r="C151" s="104"/>
    </row>
    <row r="152">
      <c r="C152" s="104"/>
    </row>
    <row r="153">
      <c r="C153" s="104"/>
    </row>
    <row r="154">
      <c r="C154" s="104"/>
    </row>
    <row r="155">
      <c r="C155" s="104"/>
    </row>
    <row r="156">
      <c r="C156" s="104"/>
    </row>
    <row r="157">
      <c r="C157" s="104"/>
    </row>
    <row r="158">
      <c r="C158" s="104"/>
    </row>
    <row r="159">
      <c r="C159" s="104"/>
    </row>
    <row r="160">
      <c r="C160" s="104"/>
    </row>
    <row r="161">
      <c r="C161" s="104"/>
    </row>
    <row r="162">
      <c r="C162" s="104"/>
    </row>
    <row r="163">
      <c r="C163" s="104"/>
    </row>
    <row r="164">
      <c r="C164" s="104"/>
    </row>
    <row r="165">
      <c r="C165" s="104"/>
    </row>
    <row r="166">
      <c r="C166" s="104"/>
    </row>
    <row r="167">
      <c r="C167" s="104"/>
    </row>
    <row r="168">
      <c r="C168" s="104"/>
    </row>
    <row r="169">
      <c r="C169" s="104"/>
    </row>
    <row r="170">
      <c r="C170" s="104"/>
    </row>
    <row r="171">
      <c r="C171" s="104"/>
    </row>
    <row r="172">
      <c r="C172" s="104"/>
    </row>
    <row r="173">
      <c r="C173" s="104"/>
    </row>
    <row r="174">
      <c r="C174" s="104"/>
    </row>
    <row r="175">
      <c r="C175" s="104"/>
    </row>
    <row r="176">
      <c r="C176" s="104"/>
    </row>
    <row r="177">
      <c r="C177" s="104"/>
    </row>
    <row r="178">
      <c r="C178" s="104"/>
    </row>
    <row r="179">
      <c r="C179" s="104"/>
    </row>
    <row r="180">
      <c r="C180" s="104"/>
    </row>
    <row r="181">
      <c r="C181" s="104"/>
    </row>
    <row r="182">
      <c r="C182" s="104"/>
    </row>
    <row r="183">
      <c r="C183" s="104"/>
    </row>
    <row r="184">
      <c r="C184" s="104"/>
    </row>
    <row r="185">
      <c r="C185" s="104"/>
    </row>
    <row r="186">
      <c r="C186" s="104"/>
    </row>
    <row r="187">
      <c r="C187" s="104"/>
    </row>
    <row r="188">
      <c r="C188" s="104"/>
    </row>
    <row r="189">
      <c r="C189" s="104"/>
    </row>
    <row r="190">
      <c r="C190" s="104"/>
    </row>
    <row r="191">
      <c r="C191" s="104"/>
    </row>
    <row r="192">
      <c r="C192" s="104"/>
    </row>
    <row r="193">
      <c r="C193" s="104"/>
    </row>
    <row r="194">
      <c r="C194" s="104"/>
    </row>
    <row r="195">
      <c r="C195" s="104"/>
    </row>
    <row r="196">
      <c r="C196" s="104"/>
    </row>
    <row r="197">
      <c r="C197" s="104"/>
    </row>
    <row r="198">
      <c r="C198" s="104"/>
    </row>
    <row r="199">
      <c r="C199" s="104"/>
    </row>
    <row r="200">
      <c r="C200" s="104"/>
    </row>
    <row r="201">
      <c r="C201" s="104"/>
    </row>
    <row r="202">
      <c r="C202" s="104"/>
    </row>
    <row r="203">
      <c r="C203" s="104"/>
    </row>
    <row r="204">
      <c r="C204" s="104"/>
    </row>
    <row r="205">
      <c r="C205" s="104"/>
    </row>
    <row r="206">
      <c r="C206" s="104"/>
    </row>
    <row r="207">
      <c r="C207" s="104"/>
    </row>
    <row r="208">
      <c r="C208" s="104"/>
    </row>
    <row r="209">
      <c r="C209" s="104"/>
    </row>
    <row r="210">
      <c r="C210" s="104"/>
    </row>
    <row r="211">
      <c r="C211" s="104"/>
    </row>
    <row r="212">
      <c r="C212" s="104"/>
    </row>
    <row r="213">
      <c r="C213" s="104"/>
    </row>
    <row r="214">
      <c r="C214" s="104"/>
    </row>
    <row r="215">
      <c r="C215" s="104"/>
    </row>
    <row r="216">
      <c r="C216" s="104"/>
    </row>
    <row r="217">
      <c r="C217" s="104"/>
    </row>
    <row r="218">
      <c r="C218" s="104"/>
    </row>
    <row r="219">
      <c r="C219" s="104"/>
    </row>
    <row r="220">
      <c r="C220" s="104"/>
    </row>
    <row r="221">
      <c r="C221" s="104"/>
    </row>
    <row r="222">
      <c r="C222" s="104"/>
    </row>
    <row r="223">
      <c r="C223" s="104"/>
    </row>
    <row r="224">
      <c r="C224" s="104"/>
    </row>
    <row r="225">
      <c r="C225" s="104"/>
    </row>
    <row r="226">
      <c r="C226" s="104"/>
    </row>
    <row r="227">
      <c r="C227" s="104"/>
    </row>
    <row r="228">
      <c r="C228" s="104"/>
    </row>
    <row r="229">
      <c r="C229" s="104"/>
    </row>
    <row r="230">
      <c r="C230" s="104"/>
    </row>
    <row r="231">
      <c r="C231" s="104"/>
    </row>
    <row r="232">
      <c r="C232" s="104"/>
    </row>
    <row r="233">
      <c r="C233" s="104"/>
    </row>
    <row r="234">
      <c r="C234" s="104"/>
    </row>
    <row r="235">
      <c r="C235" s="104"/>
    </row>
    <row r="236">
      <c r="C236" s="104"/>
    </row>
    <row r="237">
      <c r="C237" s="104"/>
    </row>
    <row r="238">
      <c r="C238" s="104"/>
    </row>
    <row r="239">
      <c r="C239" s="104"/>
    </row>
    <row r="240">
      <c r="C240" s="104"/>
    </row>
    <row r="241">
      <c r="C241" s="104"/>
    </row>
    <row r="242">
      <c r="C242" s="104"/>
    </row>
    <row r="243">
      <c r="C243" s="104"/>
    </row>
    <row r="244">
      <c r="C244" s="104"/>
    </row>
    <row r="245">
      <c r="C245" s="104"/>
    </row>
    <row r="246">
      <c r="C246" s="104"/>
    </row>
    <row r="247">
      <c r="C247" s="104"/>
    </row>
    <row r="248">
      <c r="C248" s="104"/>
    </row>
    <row r="249">
      <c r="C249" s="104"/>
    </row>
    <row r="250">
      <c r="C250" s="104"/>
    </row>
    <row r="251">
      <c r="C251" s="104"/>
    </row>
    <row r="252">
      <c r="C252" s="104"/>
    </row>
    <row r="253">
      <c r="C253" s="104"/>
    </row>
    <row r="254">
      <c r="C254" s="104"/>
    </row>
    <row r="255">
      <c r="C255" s="104"/>
    </row>
    <row r="256">
      <c r="C256" s="104"/>
    </row>
    <row r="257">
      <c r="C257" s="104"/>
    </row>
    <row r="258">
      <c r="C258" s="104"/>
    </row>
    <row r="259">
      <c r="C259" s="104"/>
    </row>
    <row r="260">
      <c r="C260" s="104"/>
    </row>
    <row r="261">
      <c r="C261" s="104"/>
    </row>
    <row r="262">
      <c r="C262" s="104"/>
    </row>
    <row r="263">
      <c r="C263" s="104"/>
    </row>
    <row r="264">
      <c r="C264" s="104"/>
    </row>
    <row r="265">
      <c r="C265" s="104"/>
    </row>
    <row r="266">
      <c r="C266" s="104"/>
    </row>
    <row r="267">
      <c r="C267" s="104"/>
    </row>
    <row r="268">
      <c r="C268" s="104"/>
    </row>
    <row r="269">
      <c r="C269" s="104"/>
    </row>
    <row r="270">
      <c r="C270" s="104"/>
    </row>
    <row r="271">
      <c r="C271" s="104"/>
    </row>
    <row r="272">
      <c r="C272" s="104"/>
    </row>
    <row r="273">
      <c r="C273" s="104"/>
    </row>
    <row r="274">
      <c r="C274" s="104"/>
    </row>
    <row r="275">
      <c r="C275" s="104"/>
    </row>
    <row r="276">
      <c r="C276" s="104"/>
    </row>
    <row r="277">
      <c r="C277" s="104"/>
    </row>
    <row r="278">
      <c r="C278" s="104"/>
    </row>
    <row r="279">
      <c r="C279" s="104"/>
    </row>
    <row r="280">
      <c r="C280" s="104"/>
    </row>
    <row r="281">
      <c r="C281" s="104"/>
    </row>
    <row r="282">
      <c r="C282" s="104"/>
    </row>
    <row r="283">
      <c r="C283" s="104"/>
    </row>
    <row r="284">
      <c r="C284" s="104"/>
    </row>
    <row r="285">
      <c r="C285" s="104"/>
    </row>
    <row r="286">
      <c r="C286" s="104"/>
    </row>
    <row r="287">
      <c r="C287" s="104"/>
    </row>
    <row r="288">
      <c r="C288" s="104"/>
    </row>
    <row r="289">
      <c r="C289" s="104"/>
    </row>
    <row r="290">
      <c r="C290" s="104"/>
    </row>
    <row r="291">
      <c r="C291" s="104"/>
    </row>
    <row r="292">
      <c r="C292" s="104"/>
    </row>
    <row r="293">
      <c r="C293" s="104"/>
    </row>
    <row r="294">
      <c r="C294" s="104"/>
    </row>
    <row r="295">
      <c r="C295" s="104"/>
    </row>
    <row r="296">
      <c r="C296" s="104"/>
    </row>
    <row r="297">
      <c r="C297" s="104"/>
    </row>
    <row r="298">
      <c r="C298" s="104"/>
    </row>
    <row r="299">
      <c r="C299" s="104"/>
    </row>
    <row r="300">
      <c r="C300" s="104"/>
    </row>
    <row r="301">
      <c r="C301" s="104"/>
    </row>
    <row r="302">
      <c r="C302" s="104"/>
    </row>
    <row r="303">
      <c r="C303" s="104"/>
    </row>
    <row r="304">
      <c r="C304" s="104"/>
    </row>
    <row r="305">
      <c r="C305" s="104"/>
    </row>
    <row r="306">
      <c r="C306" s="104"/>
    </row>
    <row r="307">
      <c r="C307" s="104"/>
    </row>
    <row r="308">
      <c r="C308" s="104"/>
    </row>
    <row r="309">
      <c r="C309" s="104"/>
    </row>
    <row r="310">
      <c r="C310" s="104"/>
    </row>
    <row r="311">
      <c r="C311" s="104"/>
    </row>
    <row r="312">
      <c r="C312" s="104"/>
    </row>
    <row r="313">
      <c r="C313" s="104"/>
    </row>
    <row r="314">
      <c r="C314" s="104"/>
    </row>
    <row r="315">
      <c r="C315" s="104"/>
    </row>
    <row r="316">
      <c r="C316" s="104"/>
    </row>
    <row r="317">
      <c r="C317" s="104"/>
    </row>
    <row r="318">
      <c r="C318" s="104"/>
    </row>
    <row r="319">
      <c r="C319" s="104"/>
    </row>
    <row r="320">
      <c r="C320" s="104"/>
    </row>
    <row r="321">
      <c r="C321" s="104"/>
    </row>
    <row r="322">
      <c r="C322" s="104"/>
    </row>
    <row r="323">
      <c r="C323" s="104"/>
    </row>
    <row r="324">
      <c r="C324" s="104"/>
    </row>
    <row r="325">
      <c r="C325" s="104"/>
    </row>
    <row r="326">
      <c r="C326" s="104"/>
    </row>
    <row r="327">
      <c r="C327" s="104"/>
    </row>
    <row r="328">
      <c r="C328" s="104"/>
    </row>
    <row r="329">
      <c r="C329" s="104"/>
    </row>
    <row r="330">
      <c r="C330" s="104"/>
    </row>
    <row r="331">
      <c r="C331" s="104"/>
    </row>
    <row r="332">
      <c r="C332" s="104"/>
    </row>
    <row r="333">
      <c r="C333" s="104"/>
    </row>
    <row r="334">
      <c r="C334" s="104"/>
    </row>
    <row r="335">
      <c r="C335" s="104"/>
    </row>
    <row r="336">
      <c r="C336" s="104"/>
    </row>
    <row r="337">
      <c r="C337" s="104"/>
    </row>
    <row r="338">
      <c r="C338" s="104"/>
    </row>
    <row r="339">
      <c r="C339" s="104"/>
    </row>
    <row r="340">
      <c r="C340" s="104"/>
    </row>
    <row r="341">
      <c r="C341" s="104"/>
    </row>
    <row r="342">
      <c r="C342" s="104"/>
    </row>
    <row r="343">
      <c r="C343" s="104"/>
    </row>
    <row r="344">
      <c r="C344" s="104"/>
    </row>
    <row r="345">
      <c r="C345" s="104"/>
    </row>
    <row r="346">
      <c r="C346" s="104"/>
    </row>
    <row r="347">
      <c r="C347" s="104"/>
    </row>
    <row r="348">
      <c r="C348" s="104"/>
    </row>
    <row r="349">
      <c r="C349" s="104"/>
    </row>
    <row r="350">
      <c r="C350" s="104"/>
    </row>
    <row r="351">
      <c r="C351" s="104"/>
    </row>
    <row r="352">
      <c r="C352" s="104"/>
    </row>
    <row r="353">
      <c r="C353" s="104"/>
    </row>
    <row r="354">
      <c r="C354" s="104"/>
    </row>
    <row r="355">
      <c r="C355" s="104"/>
    </row>
    <row r="356">
      <c r="C356" s="104"/>
    </row>
    <row r="357">
      <c r="C357" s="104"/>
    </row>
    <row r="358">
      <c r="C358" s="104"/>
    </row>
    <row r="359">
      <c r="C359" s="104"/>
    </row>
    <row r="360">
      <c r="C360" s="104"/>
    </row>
    <row r="361">
      <c r="C361" s="104"/>
    </row>
    <row r="362">
      <c r="C362" s="104"/>
    </row>
    <row r="363">
      <c r="C363" s="104"/>
    </row>
    <row r="364">
      <c r="C364" s="104"/>
    </row>
    <row r="365">
      <c r="C365" s="104"/>
    </row>
    <row r="366">
      <c r="C366" s="104"/>
    </row>
    <row r="367">
      <c r="C367" s="104"/>
    </row>
    <row r="368">
      <c r="C368" s="104"/>
    </row>
    <row r="369">
      <c r="C369" s="104"/>
    </row>
    <row r="370">
      <c r="C370" s="104"/>
    </row>
    <row r="371">
      <c r="C371" s="104"/>
    </row>
    <row r="372">
      <c r="C372" s="104"/>
    </row>
    <row r="373">
      <c r="C373" s="104"/>
    </row>
    <row r="374">
      <c r="C374" s="104"/>
    </row>
    <row r="375">
      <c r="C375" s="104"/>
    </row>
    <row r="376">
      <c r="C376" s="104"/>
    </row>
    <row r="377">
      <c r="C377" s="104"/>
    </row>
    <row r="378">
      <c r="C378" s="104"/>
    </row>
    <row r="379">
      <c r="C379" s="104"/>
    </row>
    <row r="380">
      <c r="C380" s="104"/>
    </row>
    <row r="381">
      <c r="C381" s="104"/>
    </row>
    <row r="382">
      <c r="C382" s="104"/>
    </row>
    <row r="383">
      <c r="C383" s="104"/>
    </row>
    <row r="384">
      <c r="C384" s="104"/>
    </row>
    <row r="385">
      <c r="C385" s="104"/>
    </row>
    <row r="386">
      <c r="C386" s="104"/>
    </row>
    <row r="387">
      <c r="C387" s="104"/>
    </row>
    <row r="388">
      <c r="C388" s="104"/>
    </row>
    <row r="389">
      <c r="C389" s="104"/>
    </row>
    <row r="390">
      <c r="C390" s="104"/>
    </row>
    <row r="391">
      <c r="C391" s="104"/>
    </row>
    <row r="392">
      <c r="C392" s="104"/>
    </row>
    <row r="393">
      <c r="C393" s="104"/>
    </row>
    <row r="394">
      <c r="C394" s="104"/>
    </row>
    <row r="395">
      <c r="C395" s="104"/>
    </row>
    <row r="396">
      <c r="C396" s="104"/>
    </row>
    <row r="397">
      <c r="C397" s="104"/>
    </row>
    <row r="398">
      <c r="C398" s="104"/>
    </row>
    <row r="399">
      <c r="C399" s="104"/>
    </row>
    <row r="400">
      <c r="C400" s="104"/>
    </row>
    <row r="401">
      <c r="C401" s="104"/>
    </row>
    <row r="402">
      <c r="C402" s="104"/>
    </row>
    <row r="403">
      <c r="C403" s="104"/>
    </row>
    <row r="404">
      <c r="C404" s="104"/>
    </row>
    <row r="405">
      <c r="C405" s="104"/>
    </row>
    <row r="406">
      <c r="C406" s="104"/>
    </row>
    <row r="407">
      <c r="C407" s="104"/>
    </row>
    <row r="408">
      <c r="C408" s="104"/>
    </row>
    <row r="409">
      <c r="C409" s="104"/>
    </row>
    <row r="410">
      <c r="C410" s="104"/>
    </row>
    <row r="411">
      <c r="C411" s="104"/>
    </row>
    <row r="412">
      <c r="C412" s="104"/>
    </row>
    <row r="413">
      <c r="C413" s="104"/>
    </row>
    <row r="414">
      <c r="C414" s="104"/>
    </row>
    <row r="415">
      <c r="C415" s="104"/>
    </row>
    <row r="416">
      <c r="C416" s="104"/>
    </row>
    <row r="417">
      <c r="C417" s="104"/>
    </row>
    <row r="418">
      <c r="C418" s="104"/>
    </row>
    <row r="419">
      <c r="C419" s="104"/>
    </row>
    <row r="420">
      <c r="C420" s="104"/>
    </row>
    <row r="421">
      <c r="C421" s="104"/>
    </row>
    <row r="422">
      <c r="C422" s="104"/>
    </row>
    <row r="423">
      <c r="C423" s="104"/>
    </row>
    <row r="424">
      <c r="C424" s="104"/>
    </row>
    <row r="425">
      <c r="C425" s="104"/>
    </row>
    <row r="426">
      <c r="C426" s="104"/>
    </row>
    <row r="427">
      <c r="C427" s="104"/>
    </row>
    <row r="428">
      <c r="C428" s="104"/>
    </row>
    <row r="429">
      <c r="C429" s="104"/>
    </row>
    <row r="430">
      <c r="C430" s="104"/>
    </row>
    <row r="431">
      <c r="C431" s="104"/>
    </row>
    <row r="432">
      <c r="C432" s="104"/>
    </row>
    <row r="433">
      <c r="C433" s="104"/>
    </row>
    <row r="434">
      <c r="C434" s="104"/>
    </row>
    <row r="435">
      <c r="C435" s="104"/>
    </row>
    <row r="436">
      <c r="C436" s="104"/>
    </row>
    <row r="437">
      <c r="C437" s="104"/>
    </row>
    <row r="438">
      <c r="C438" s="104"/>
    </row>
    <row r="439">
      <c r="C439" s="104"/>
    </row>
    <row r="440">
      <c r="C440" s="104"/>
    </row>
    <row r="441">
      <c r="C441" s="104"/>
    </row>
    <row r="442">
      <c r="C442" s="104"/>
    </row>
    <row r="443">
      <c r="C443" s="104"/>
    </row>
    <row r="444">
      <c r="C444" s="104"/>
    </row>
    <row r="445">
      <c r="C445" s="104"/>
    </row>
    <row r="446">
      <c r="C446" s="104"/>
    </row>
    <row r="447">
      <c r="C447" s="104"/>
    </row>
    <row r="448">
      <c r="C448" s="104"/>
    </row>
    <row r="449">
      <c r="C449" s="104"/>
    </row>
    <row r="450">
      <c r="C450" s="104"/>
    </row>
    <row r="451">
      <c r="C451" s="104"/>
    </row>
    <row r="452">
      <c r="C452" s="104"/>
    </row>
    <row r="453">
      <c r="C453" s="104"/>
    </row>
    <row r="454">
      <c r="C454" s="104"/>
    </row>
    <row r="455">
      <c r="C455" s="104"/>
    </row>
    <row r="456">
      <c r="C456" s="104"/>
    </row>
    <row r="457">
      <c r="C457" s="104"/>
    </row>
    <row r="458">
      <c r="C458" s="104"/>
    </row>
    <row r="459">
      <c r="C459" s="104"/>
    </row>
    <row r="460">
      <c r="C460" s="104"/>
    </row>
    <row r="461">
      <c r="C461" s="104"/>
    </row>
    <row r="462">
      <c r="C462" s="104"/>
    </row>
    <row r="463">
      <c r="C463" s="104"/>
    </row>
    <row r="464">
      <c r="C464" s="104"/>
    </row>
    <row r="465">
      <c r="C465" s="104"/>
    </row>
    <row r="466">
      <c r="C466" s="104"/>
    </row>
    <row r="467">
      <c r="C467" s="104"/>
    </row>
    <row r="468">
      <c r="C468" s="104"/>
    </row>
    <row r="469">
      <c r="C469" s="104"/>
    </row>
    <row r="470">
      <c r="C470" s="104"/>
    </row>
    <row r="471">
      <c r="C471" s="104"/>
    </row>
    <row r="472">
      <c r="C472" s="104"/>
    </row>
    <row r="473">
      <c r="C473" s="104"/>
    </row>
    <row r="474">
      <c r="C474" s="104"/>
    </row>
    <row r="475">
      <c r="C475" s="104"/>
    </row>
    <row r="476">
      <c r="C476" s="104"/>
    </row>
    <row r="477">
      <c r="C477" s="104"/>
    </row>
    <row r="478">
      <c r="C478" s="104"/>
    </row>
    <row r="479">
      <c r="C479" s="104"/>
    </row>
    <row r="480">
      <c r="C480" s="104"/>
    </row>
    <row r="481">
      <c r="C481" s="104"/>
    </row>
    <row r="482">
      <c r="C482" s="104"/>
    </row>
    <row r="483">
      <c r="C483" s="104"/>
    </row>
    <row r="484">
      <c r="C484" s="104"/>
    </row>
    <row r="485">
      <c r="C485" s="104"/>
    </row>
    <row r="486">
      <c r="C486" s="104"/>
    </row>
    <row r="487">
      <c r="C487" s="104"/>
    </row>
    <row r="488">
      <c r="C488" s="104"/>
    </row>
    <row r="489">
      <c r="C489" s="104"/>
    </row>
    <row r="490">
      <c r="C490" s="104"/>
    </row>
    <row r="491">
      <c r="C491" s="104"/>
    </row>
    <row r="492">
      <c r="C492" s="104"/>
    </row>
    <row r="493">
      <c r="C493" s="104"/>
    </row>
    <row r="494">
      <c r="C494" s="104"/>
    </row>
    <row r="495">
      <c r="C495" s="104"/>
    </row>
    <row r="496">
      <c r="C496" s="104"/>
    </row>
    <row r="497">
      <c r="C497" s="104"/>
    </row>
    <row r="498">
      <c r="C498" s="104"/>
    </row>
    <row r="499">
      <c r="C499" s="104"/>
    </row>
    <row r="500">
      <c r="C500" s="104"/>
    </row>
    <row r="501">
      <c r="C501" s="104"/>
    </row>
    <row r="502">
      <c r="C502" s="104"/>
    </row>
    <row r="503">
      <c r="C503" s="104"/>
    </row>
    <row r="504">
      <c r="C504" s="104"/>
    </row>
    <row r="505">
      <c r="C505" s="104"/>
    </row>
    <row r="506">
      <c r="C506" s="104"/>
    </row>
    <row r="507">
      <c r="C507" s="104"/>
    </row>
    <row r="508">
      <c r="C508" s="104"/>
    </row>
    <row r="509">
      <c r="C509" s="104"/>
    </row>
    <row r="510">
      <c r="C510" s="104"/>
    </row>
    <row r="511">
      <c r="C511" s="104"/>
    </row>
    <row r="512">
      <c r="C512" s="104"/>
    </row>
    <row r="513">
      <c r="C513" s="104"/>
    </row>
    <row r="514">
      <c r="C514" s="104"/>
    </row>
    <row r="515">
      <c r="C515" s="104"/>
    </row>
    <row r="516">
      <c r="C516" s="104"/>
    </row>
    <row r="517">
      <c r="C517" s="104"/>
    </row>
    <row r="518">
      <c r="C518" s="104"/>
    </row>
    <row r="519">
      <c r="C519" s="104"/>
    </row>
    <row r="520">
      <c r="C520" s="104"/>
    </row>
    <row r="521">
      <c r="C521" s="104"/>
    </row>
    <row r="522">
      <c r="C522" s="104"/>
    </row>
    <row r="523">
      <c r="C523" s="104"/>
    </row>
    <row r="524">
      <c r="C524" s="104"/>
    </row>
    <row r="525">
      <c r="C525" s="104"/>
    </row>
    <row r="526">
      <c r="C526" s="104"/>
    </row>
    <row r="527">
      <c r="C527" s="104"/>
    </row>
    <row r="528">
      <c r="C528" s="104"/>
    </row>
    <row r="529">
      <c r="C529" s="104"/>
    </row>
    <row r="530">
      <c r="C530" s="104"/>
    </row>
    <row r="531">
      <c r="C531" s="104"/>
    </row>
    <row r="532">
      <c r="C532" s="104"/>
    </row>
    <row r="533">
      <c r="C533" s="104"/>
    </row>
    <row r="534">
      <c r="C534" s="104"/>
    </row>
    <row r="535">
      <c r="C535" s="104"/>
    </row>
    <row r="536">
      <c r="C536" s="104"/>
    </row>
    <row r="537">
      <c r="C537" s="104"/>
    </row>
    <row r="538">
      <c r="C538" s="104"/>
    </row>
    <row r="539">
      <c r="C539" s="104"/>
    </row>
    <row r="540">
      <c r="C540" s="104"/>
    </row>
    <row r="541">
      <c r="C541" s="104"/>
    </row>
    <row r="542">
      <c r="C542" s="104"/>
    </row>
    <row r="543">
      <c r="C543" s="104"/>
    </row>
    <row r="544">
      <c r="C544" s="104"/>
    </row>
    <row r="545">
      <c r="C545" s="104"/>
    </row>
    <row r="546">
      <c r="C546" s="104"/>
    </row>
    <row r="547">
      <c r="C547" s="104"/>
    </row>
    <row r="548">
      <c r="C548" s="104"/>
    </row>
    <row r="549">
      <c r="C549" s="104"/>
    </row>
    <row r="550">
      <c r="C550" s="104"/>
    </row>
    <row r="551">
      <c r="C551" s="104"/>
    </row>
    <row r="552">
      <c r="C552" s="104"/>
    </row>
    <row r="553">
      <c r="C553" s="104"/>
    </row>
    <row r="554">
      <c r="C554" s="104"/>
    </row>
    <row r="555">
      <c r="C555" s="104"/>
    </row>
    <row r="556">
      <c r="C556" s="104"/>
    </row>
    <row r="557">
      <c r="C557" s="104"/>
    </row>
    <row r="558">
      <c r="C558" s="104"/>
    </row>
    <row r="559">
      <c r="C559" s="104"/>
    </row>
    <row r="560">
      <c r="C560" s="104"/>
    </row>
    <row r="561">
      <c r="C561" s="104"/>
    </row>
    <row r="562">
      <c r="C562" s="104"/>
    </row>
    <row r="563">
      <c r="C563" s="104"/>
    </row>
    <row r="564">
      <c r="C564" s="104"/>
    </row>
    <row r="565">
      <c r="C565" s="104"/>
    </row>
    <row r="566">
      <c r="C566" s="104"/>
    </row>
    <row r="567">
      <c r="C567" s="104"/>
    </row>
    <row r="568">
      <c r="C568" s="104"/>
    </row>
    <row r="569">
      <c r="C569" s="104"/>
    </row>
    <row r="570">
      <c r="C570" s="104"/>
    </row>
    <row r="571">
      <c r="C571" s="104"/>
    </row>
    <row r="572">
      <c r="C572" s="104"/>
    </row>
    <row r="573">
      <c r="C573" s="104"/>
    </row>
    <row r="574">
      <c r="C574" s="104"/>
    </row>
    <row r="575">
      <c r="C575" s="104"/>
    </row>
    <row r="576">
      <c r="C576" s="104"/>
    </row>
    <row r="577">
      <c r="C577" s="104"/>
    </row>
    <row r="578">
      <c r="C578" s="104"/>
    </row>
    <row r="579">
      <c r="C579" s="104"/>
    </row>
    <row r="580">
      <c r="C580" s="104"/>
    </row>
    <row r="581">
      <c r="C581" s="104"/>
    </row>
    <row r="582">
      <c r="C582" s="104"/>
    </row>
    <row r="583">
      <c r="C583" s="104"/>
    </row>
    <row r="584">
      <c r="C584" s="104"/>
    </row>
    <row r="585">
      <c r="C585" s="104"/>
    </row>
    <row r="586">
      <c r="C586" s="104"/>
    </row>
    <row r="587">
      <c r="C587" s="104"/>
    </row>
    <row r="588">
      <c r="C588" s="104"/>
    </row>
    <row r="589">
      <c r="C589" s="104"/>
    </row>
    <row r="590">
      <c r="C590" s="104"/>
    </row>
    <row r="591">
      <c r="C591" s="104"/>
    </row>
    <row r="592">
      <c r="C592" s="104"/>
    </row>
    <row r="593">
      <c r="C593" s="104"/>
    </row>
    <row r="594">
      <c r="C594" s="104"/>
    </row>
    <row r="595">
      <c r="C595" s="104"/>
    </row>
    <row r="596">
      <c r="C596" s="104"/>
    </row>
    <row r="597">
      <c r="C597" s="104"/>
    </row>
    <row r="598">
      <c r="C598" s="104"/>
    </row>
    <row r="599">
      <c r="C599" s="104"/>
    </row>
    <row r="600">
      <c r="C600" s="104"/>
    </row>
    <row r="601">
      <c r="C601" s="104"/>
    </row>
    <row r="602">
      <c r="C602" s="104"/>
    </row>
    <row r="603">
      <c r="C603" s="104"/>
    </row>
    <row r="604">
      <c r="C604" s="104"/>
    </row>
    <row r="605">
      <c r="C605" s="104"/>
    </row>
    <row r="606">
      <c r="C606" s="104"/>
    </row>
    <row r="607">
      <c r="C607" s="104"/>
    </row>
    <row r="608">
      <c r="C608" s="104"/>
    </row>
    <row r="609">
      <c r="C609" s="104"/>
    </row>
    <row r="610">
      <c r="C610" s="104"/>
    </row>
    <row r="611">
      <c r="C611" s="104"/>
    </row>
    <row r="612">
      <c r="C612" s="104"/>
    </row>
    <row r="613">
      <c r="C613" s="104"/>
    </row>
    <row r="614">
      <c r="C614" s="104"/>
    </row>
    <row r="615">
      <c r="C615" s="104"/>
    </row>
    <row r="616">
      <c r="C616" s="104"/>
    </row>
    <row r="617">
      <c r="C617" s="104"/>
    </row>
    <row r="618">
      <c r="C618" s="104"/>
    </row>
    <row r="619">
      <c r="C619" s="104"/>
    </row>
    <row r="620">
      <c r="C620" s="104"/>
    </row>
    <row r="621">
      <c r="C621" s="104"/>
    </row>
    <row r="622">
      <c r="C622" s="104"/>
    </row>
    <row r="623">
      <c r="C623" s="104"/>
    </row>
    <row r="624">
      <c r="C624" s="104"/>
    </row>
    <row r="625">
      <c r="C625" s="104"/>
    </row>
    <row r="626">
      <c r="C626" s="104"/>
    </row>
    <row r="627">
      <c r="C627" s="104"/>
    </row>
    <row r="628">
      <c r="C628" s="104"/>
    </row>
    <row r="629">
      <c r="C629" s="104"/>
    </row>
    <row r="630">
      <c r="C630" s="104"/>
    </row>
    <row r="631">
      <c r="C631" s="104"/>
    </row>
    <row r="632">
      <c r="C632" s="104"/>
    </row>
    <row r="633">
      <c r="C633" s="104"/>
    </row>
    <row r="634">
      <c r="C634" s="104"/>
    </row>
    <row r="635">
      <c r="C635" s="104"/>
    </row>
    <row r="636">
      <c r="C636" s="104"/>
    </row>
    <row r="637">
      <c r="C637" s="104"/>
    </row>
    <row r="638">
      <c r="C638" s="104"/>
    </row>
    <row r="639">
      <c r="C639" s="104"/>
    </row>
    <row r="640">
      <c r="C640" s="104"/>
    </row>
    <row r="641">
      <c r="C641" s="104"/>
    </row>
    <row r="642">
      <c r="C642" s="104"/>
    </row>
    <row r="643">
      <c r="C643" s="104"/>
    </row>
    <row r="644">
      <c r="C644" s="104"/>
    </row>
    <row r="645">
      <c r="C645" s="104"/>
    </row>
    <row r="646">
      <c r="C646" s="104"/>
    </row>
    <row r="647">
      <c r="C647" s="104"/>
    </row>
    <row r="648">
      <c r="C648" s="104"/>
    </row>
    <row r="649">
      <c r="C649" s="104"/>
    </row>
    <row r="650">
      <c r="C650" s="104"/>
    </row>
    <row r="651">
      <c r="C651" s="104"/>
    </row>
    <row r="652">
      <c r="C652" s="104"/>
    </row>
    <row r="653">
      <c r="C653" s="104"/>
    </row>
    <row r="654">
      <c r="C654" s="104"/>
    </row>
    <row r="655">
      <c r="C655" s="104"/>
    </row>
    <row r="656">
      <c r="C656" s="104"/>
    </row>
    <row r="657">
      <c r="C657" s="104"/>
    </row>
    <row r="658">
      <c r="C658" s="104"/>
    </row>
    <row r="659">
      <c r="C659" s="104"/>
    </row>
    <row r="660">
      <c r="C660" s="104"/>
    </row>
    <row r="661">
      <c r="C661" s="104"/>
    </row>
    <row r="662">
      <c r="C662" s="104"/>
    </row>
    <row r="663">
      <c r="C663" s="104"/>
    </row>
    <row r="664">
      <c r="C664" s="104"/>
    </row>
    <row r="665">
      <c r="C665" s="104"/>
    </row>
    <row r="666">
      <c r="C666" s="104"/>
    </row>
    <row r="667">
      <c r="C667" s="104"/>
    </row>
    <row r="668">
      <c r="C668" s="104"/>
    </row>
    <row r="669">
      <c r="C669" s="104"/>
    </row>
    <row r="670">
      <c r="C670" s="104"/>
    </row>
    <row r="671">
      <c r="C671" s="104"/>
    </row>
    <row r="672">
      <c r="C672" s="104"/>
    </row>
    <row r="673">
      <c r="C673" s="104"/>
    </row>
    <row r="674">
      <c r="C674" s="104"/>
    </row>
    <row r="675">
      <c r="C675" s="104"/>
    </row>
    <row r="676">
      <c r="C676" s="104"/>
    </row>
    <row r="677">
      <c r="C677" s="104"/>
    </row>
    <row r="678">
      <c r="C678" s="104"/>
    </row>
    <row r="679">
      <c r="C679" s="104"/>
    </row>
    <row r="680">
      <c r="C680" s="104"/>
    </row>
    <row r="681">
      <c r="C681" s="104"/>
    </row>
    <row r="682">
      <c r="C682" s="104"/>
    </row>
    <row r="683">
      <c r="C683" s="104"/>
    </row>
    <row r="684">
      <c r="C684" s="104"/>
    </row>
    <row r="685">
      <c r="C685" s="104"/>
    </row>
    <row r="686">
      <c r="C686" s="104"/>
    </row>
    <row r="687">
      <c r="C687" s="104"/>
    </row>
    <row r="688">
      <c r="C688" s="104"/>
    </row>
    <row r="689">
      <c r="C689" s="104"/>
    </row>
    <row r="690">
      <c r="C690" s="104"/>
    </row>
    <row r="691">
      <c r="C691" s="104"/>
    </row>
    <row r="692">
      <c r="C692" s="104"/>
    </row>
    <row r="693">
      <c r="C693" s="104"/>
    </row>
    <row r="694">
      <c r="C694" s="104"/>
    </row>
    <row r="695">
      <c r="C695" s="104"/>
    </row>
    <row r="696">
      <c r="C696" s="104"/>
    </row>
    <row r="697">
      <c r="C697" s="104"/>
    </row>
    <row r="698">
      <c r="C698" s="104"/>
    </row>
    <row r="699">
      <c r="C699" s="104"/>
    </row>
    <row r="700">
      <c r="C700" s="104"/>
    </row>
    <row r="701">
      <c r="C701" s="104"/>
    </row>
    <row r="702">
      <c r="C702" s="104"/>
    </row>
    <row r="703">
      <c r="C703" s="104"/>
    </row>
    <row r="704">
      <c r="C704" s="104"/>
    </row>
    <row r="705">
      <c r="C705" s="104"/>
    </row>
    <row r="706">
      <c r="C706" s="104"/>
    </row>
    <row r="707">
      <c r="C707" s="104"/>
    </row>
    <row r="708">
      <c r="C708" s="104"/>
    </row>
    <row r="709">
      <c r="C709" s="104"/>
    </row>
    <row r="710">
      <c r="C710" s="104"/>
    </row>
    <row r="711">
      <c r="C711" s="104"/>
    </row>
    <row r="712">
      <c r="C712" s="104"/>
    </row>
    <row r="713">
      <c r="C713" s="104"/>
    </row>
    <row r="714">
      <c r="C714" s="104"/>
    </row>
    <row r="715">
      <c r="C715" s="104"/>
    </row>
    <row r="716">
      <c r="C716" s="104"/>
    </row>
    <row r="717">
      <c r="C717" s="104"/>
    </row>
    <row r="718">
      <c r="C718" s="104"/>
    </row>
    <row r="719">
      <c r="C719" s="104"/>
    </row>
    <row r="720">
      <c r="C720" s="104"/>
    </row>
    <row r="721">
      <c r="C721" s="104"/>
    </row>
    <row r="722">
      <c r="C722" s="104"/>
    </row>
    <row r="723">
      <c r="C723" s="104"/>
    </row>
    <row r="724">
      <c r="C724" s="104"/>
    </row>
    <row r="725">
      <c r="C725" s="104"/>
    </row>
    <row r="726">
      <c r="C726" s="104"/>
    </row>
    <row r="727">
      <c r="C727" s="104"/>
    </row>
    <row r="728">
      <c r="C728" s="104"/>
    </row>
    <row r="729">
      <c r="C729" s="104"/>
    </row>
    <row r="730">
      <c r="C730" s="104"/>
    </row>
    <row r="731">
      <c r="C731" s="104"/>
    </row>
    <row r="732">
      <c r="C732" s="104"/>
    </row>
    <row r="733">
      <c r="C733" s="104"/>
    </row>
    <row r="734">
      <c r="C734" s="104"/>
    </row>
    <row r="735">
      <c r="C735" s="104"/>
    </row>
    <row r="736">
      <c r="C736" s="104"/>
    </row>
    <row r="737">
      <c r="C737" s="104"/>
    </row>
    <row r="738">
      <c r="C738" s="104"/>
    </row>
    <row r="739">
      <c r="C739" s="104"/>
    </row>
    <row r="740">
      <c r="C740" s="104"/>
    </row>
    <row r="741">
      <c r="C741" s="104"/>
    </row>
    <row r="742">
      <c r="C742" s="104"/>
    </row>
    <row r="743">
      <c r="C743" s="104"/>
    </row>
    <row r="744">
      <c r="C744" s="104"/>
    </row>
    <row r="745">
      <c r="C745" s="104"/>
    </row>
    <row r="746">
      <c r="C746" s="104"/>
    </row>
    <row r="747">
      <c r="C747" s="104"/>
    </row>
    <row r="748">
      <c r="C748" s="104"/>
    </row>
    <row r="749">
      <c r="C749" s="104"/>
    </row>
    <row r="750">
      <c r="C750" s="104"/>
    </row>
    <row r="751">
      <c r="C751" s="104"/>
    </row>
    <row r="752">
      <c r="C752" s="104"/>
    </row>
    <row r="753">
      <c r="C753" s="104"/>
    </row>
    <row r="754">
      <c r="C754" s="104"/>
    </row>
    <row r="755">
      <c r="C755" s="104"/>
    </row>
    <row r="756">
      <c r="C756" s="104"/>
    </row>
    <row r="757">
      <c r="C757" s="104"/>
    </row>
    <row r="758">
      <c r="C758" s="104"/>
    </row>
    <row r="759">
      <c r="C759" s="104"/>
    </row>
    <row r="760">
      <c r="C760" s="104"/>
    </row>
    <row r="761">
      <c r="C761" s="104"/>
    </row>
    <row r="762">
      <c r="C762" s="104"/>
    </row>
    <row r="763">
      <c r="C763" s="104"/>
    </row>
    <row r="764">
      <c r="C764" s="104"/>
    </row>
    <row r="765">
      <c r="C765" s="104"/>
    </row>
    <row r="766">
      <c r="C766" s="104"/>
    </row>
    <row r="767">
      <c r="C767" s="104"/>
    </row>
    <row r="768">
      <c r="C768" s="104"/>
    </row>
    <row r="769">
      <c r="C769" s="104"/>
    </row>
    <row r="770">
      <c r="C770" s="104"/>
    </row>
    <row r="771">
      <c r="C771" s="104"/>
    </row>
    <row r="772">
      <c r="C772" s="104"/>
    </row>
    <row r="773">
      <c r="C773" s="104"/>
    </row>
    <row r="774">
      <c r="C774" s="104"/>
    </row>
    <row r="775">
      <c r="C775" s="104"/>
    </row>
    <row r="776">
      <c r="C776" s="104"/>
    </row>
    <row r="777">
      <c r="C777" s="104"/>
    </row>
    <row r="778">
      <c r="C778" s="104"/>
    </row>
    <row r="779">
      <c r="C779" s="104"/>
    </row>
    <row r="780">
      <c r="C780" s="104"/>
    </row>
    <row r="781">
      <c r="C781" s="104"/>
    </row>
    <row r="782">
      <c r="C782" s="104"/>
    </row>
    <row r="783">
      <c r="C783" s="104"/>
    </row>
    <row r="784">
      <c r="C784" s="104"/>
    </row>
    <row r="785">
      <c r="C785" s="104"/>
    </row>
    <row r="786">
      <c r="C786" s="104"/>
    </row>
    <row r="787">
      <c r="C787" s="104"/>
    </row>
    <row r="788">
      <c r="C788" s="104"/>
    </row>
    <row r="789">
      <c r="C789" s="104"/>
    </row>
    <row r="790">
      <c r="C790" s="104"/>
    </row>
    <row r="791">
      <c r="C791" s="104"/>
    </row>
    <row r="792">
      <c r="C792" s="104"/>
    </row>
    <row r="793">
      <c r="C793" s="104"/>
    </row>
    <row r="794">
      <c r="C794" s="104"/>
    </row>
    <row r="795">
      <c r="C795" s="104"/>
    </row>
    <row r="796">
      <c r="C796" s="104"/>
    </row>
    <row r="797">
      <c r="C797" s="104"/>
    </row>
    <row r="798">
      <c r="C798" s="104"/>
    </row>
    <row r="799">
      <c r="C799" s="104"/>
    </row>
    <row r="800">
      <c r="C800" s="104"/>
    </row>
    <row r="801">
      <c r="C801" s="104"/>
    </row>
    <row r="802">
      <c r="C802" s="104"/>
    </row>
    <row r="803">
      <c r="C803" s="104"/>
    </row>
    <row r="804">
      <c r="C804" s="104"/>
    </row>
    <row r="805">
      <c r="C805" s="104"/>
    </row>
    <row r="806">
      <c r="C806" s="104"/>
    </row>
    <row r="807">
      <c r="C807" s="104"/>
    </row>
    <row r="808">
      <c r="C808" s="104"/>
    </row>
    <row r="809">
      <c r="C809" s="104"/>
    </row>
    <row r="810">
      <c r="C810" s="104"/>
    </row>
    <row r="811">
      <c r="C811" s="104"/>
    </row>
    <row r="812">
      <c r="C812" s="104"/>
    </row>
    <row r="813">
      <c r="C813" s="104"/>
    </row>
    <row r="814">
      <c r="C814" s="104"/>
    </row>
    <row r="815">
      <c r="C815" s="104"/>
    </row>
    <row r="816">
      <c r="C816" s="104"/>
    </row>
    <row r="817">
      <c r="C817" s="104"/>
    </row>
    <row r="818">
      <c r="C818" s="104"/>
    </row>
    <row r="819">
      <c r="C819" s="104"/>
    </row>
    <row r="820">
      <c r="C820" s="104"/>
    </row>
    <row r="821">
      <c r="C821" s="104"/>
    </row>
    <row r="822">
      <c r="C822" s="104"/>
    </row>
    <row r="823">
      <c r="C823" s="104"/>
    </row>
    <row r="824">
      <c r="C824" s="104"/>
    </row>
    <row r="825">
      <c r="C825" s="104"/>
    </row>
    <row r="826">
      <c r="C826" s="104"/>
    </row>
    <row r="827">
      <c r="C827" s="104"/>
    </row>
    <row r="828">
      <c r="C828" s="104"/>
    </row>
    <row r="829">
      <c r="C829" s="104"/>
    </row>
    <row r="830">
      <c r="C830" s="104"/>
    </row>
    <row r="831">
      <c r="C831" s="104"/>
    </row>
    <row r="832">
      <c r="C832" s="104"/>
    </row>
    <row r="833">
      <c r="C833" s="104"/>
    </row>
    <row r="834">
      <c r="C834" s="104"/>
    </row>
    <row r="835">
      <c r="C835" s="104"/>
    </row>
    <row r="836">
      <c r="C836" s="104"/>
    </row>
    <row r="837">
      <c r="C837" s="104"/>
    </row>
    <row r="838">
      <c r="C838" s="104"/>
    </row>
    <row r="839">
      <c r="C839" s="104"/>
    </row>
    <row r="840">
      <c r="C840" s="104"/>
    </row>
    <row r="841">
      <c r="C841" s="104"/>
    </row>
    <row r="842">
      <c r="C842" s="104"/>
    </row>
    <row r="843">
      <c r="C843" s="104"/>
    </row>
    <row r="844">
      <c r="C844" s="104"/>
    </row>
    <row r="845">
      <c r="C845" s="104"/>
    </row>
    <row r="846">
      <c r="C846" s="104"/>
    </row>
    <row r="847">
      <c r="C847" s="104"/>
    </row>
    <row r="848">
      <c r="C848" s="104"/>
    </row>
    <row r="849">
      <c r="C849" s="104"/>
    </row>
    <row r="850">
      <c r="C850" s="104"/>
    </row>
    <row r="851">
      <c r="C851" s="104"/>
    </row>
    <row r="852">
      <c r="C852" s="104"/>
    </row>
    <row r="853">
      <c r="C853" s="104"/>
    </row>
    <row r="854">
      <c r="C854" s="104"/>
    </row>
    <row r="855">
      <c r="C855" s="104"/>
    </row>
    <row r="856">
      <c r="C856" s="104"/>
    </row>
    <row r="857">
      <c r="C857" s="104"/>
    </row>
    <row r="858">
      <c r="C858" s="104"/>
    </row>
    <row r="859">
      <c r="C859" s="104"/>
    </row>
    <row r="860">
      <c r="C860" s="104"/>
    </row>
    <row r="861">
      <c r="C861" s="104"/>
    </row>
    <row r="862">
      <c r="C862" s="104"/>
    </row>
    <row r="863">
      <c r="C863" s="104"/>
    </row>
    <row r="864">
      <c r="C864" s="104"/>
    </row>
    <row r="865">
      <c r="C865" s="104"/>
    </row>
    <row r="866">
      <c r="C866" s="104"/>
    </row>
    <row r="867">
      <c r="C867" s="104"/>
    </row>
    <row r="868">
      <c r="C868" s="104"/>
    </row>
    <row r="869">
      <c r="C869" s="104"/>
    </row>
    <row r="870">
      <c r="C870" s="104"/>
    </row>
    <row r="871">
      <c r="C871" s="104"/>
    </row>
    <row r="872">
      <c r="C872" s="104"/>
    </row>
    <row r="873">
      <c r="C873" s="104"/>
    </row>
    <row r="874">
      <c r="C874" s="104"/>
    </row>
    <row r="875">
      <c r="C875" s="104"/>
    </row>
    <row r="876">
      <c r="C876" s="104"/>
    </row>
    <row r="877">
      <c r="C877" s="104"/>
    </row>
    <row r="878">
      <c r="C878" s="104"/>
    </row>
    <row r="879">
      <c r="C879" s="104"/>
    </row>
    <row r="880">
      <c r="C880" s="104"/>
    </row>
    <row r="881">
      <c r="C881" s="104"/>
    </row>
    <row r="882">
      <c r="C882" s="104"/>
    </row>
    <row r="883">
      <c r="C883" s="104"/>
    </row>
    <row r="884">
      <c r="C884" s="104"/>
    </row>
    <row r="885">
      <c r="C885" s="104"/>
    </row>
    <row r="886">
      <c r="C886" s="104"/>
    </row>
    <row r="887">
      <c r="C887" s="104"/>
    </row>
    <row r="888">
      <c r="C888" s="104"/>
    </row>
    <row r="889">
      <c r="C889" s="104"/>
    </row>
    <row r="890">
      <c r="C890" s="104"/>
    </row>
    <row r="891">
      <c r="C891" s="104"/>
    </row>
    <row r="892">
      <c r="C892" s="104"/>
    </row>
    <row r="893">
      <c r="C893" s="104"/>
    </row>
    <row r="894">
      <c r="C894" s="104"/>
    </row>
    <row r="895">
      <c r="C895" s="104"/>
    </row>
    <row r="896">
      <c r="C896" s="104"/>
    </row>
    <row r="897">
      <c r="C897" s="104"/>
    </row>
    <row r="898">
      <c r="C898" s="104"/>
    </row>
    <row r="899">
      <c r="C899" s="104"/>
    </row>
    <row r="900">
      <c r="C900" s="104"/>
    </row>
    <row r="901">
      <c r="C901" s="104"/>
    </row>
    <row r="902">
      <c r="C902" s="104"/>
    </row>
    <row r="903">
      <c r="C903" s="104"/>
    </row>
    <row r="904">
      <c r="C904" s="104"/>
    </row>
    <row r="905">
      <c r="C905" s="104"/>
    </row>
    <row r="906">
      <c r="C906" s="104"/>
    </row>
    <row r="907">
      <c r="C907" s="104"/>
    </row>
    <row r="908">
      <c r="C908" s="104"/>
    </row>
    <row r="909">
      <c r="C909" s="104"/>
    </row>
    <row r="910">
      <c r="C910" s="104"/>
    </row>
    <row r="911">
      <c r="C911" s="104"/>
    </row>
    <row r="912">
      <c r="C912" s="104"/>
    </row>
    <row r="913">
      <c r="C913" s="104"/>
    </row>
    <row r="914">
      <c r="C914" s="104"/>
    </row>
    <row r="915">
      <c r="C915" s="104"/>
    </row>
    <row r="916">
      <c r="C916" s="104"/>
    </row>
    <row r="917">
      <c r="C917" s="104"/>
    </row>
    <row r="918">
      <c r="C918" s="104"/>
    </row>
    <row r="919">
      <c r="C919" s="104"/>
    </row>
    <row r="920">
      <c r="C920" s="104"/>
    </row>
    <row r="921">
      <c r="C921" s="104"/>
    </row>
    <row r="922">
      <c r="C922" s="104"/>
    </row>
    <row r="923">
      <c r="C923" s="104"/>
    </row>
    <row r="924">
      <c r="C924" s="104"/>
    </row>
    <row r="925">
      <c r="C925" s="104"/>
    </row>
    <row r="926">
      <c r="C926" s="104"/>
    </row>
    <row r="927">
      <c r="C927" s="104"/>
    </row>
    <row r="928">
      <c r="C928" s="104"/>
    </row>
    <row r="929">
      <c r="C929" s="104"/>
    </row>
    <row r="930">
      <c r="C930" s="104"/>
    </row>
    <row r="931">
      <c r="C931" s="104"/>
    </row>
    <row r="932">
      <c r="C932" s="104"/>
    </row>
    <row r="933">
      <c r="C933" s="104"/>
    </row>
    <row r="934">
      <c r="C934" s="104"/>
    </row>
    <row r="935">
      <c r="C935" s="104"/>
    </row>
    <row r="936">
      <c r="C936" s="104"/>
    </row>
    <row r="937">
      <c r="C937" s="104"/>
    </row>
    <row r="938">
      <c r="C938" s="104"/>
    </row>
    <row r="939">
      <c r="C939" s="104"/>
    </row>
    <row r="940">
      <c r="C940" s="104"/>
    </row>
    <row r="941">
      <c r="C941" s="104"/>
    </row>
    <row r="942">
      <c r="C942" s="104"/>
    </row>
    <row r="943">
      <c r="C943" s="104"/>
    </row>
    <row r="944">
      <c r="C944" s="104"/>
    </row>
    <row r="945">
      <c r="C945" s="104"/>
    </row>
    <row r="946">
      <c r="C946" s="104"/>
    </row>
    <row r="947">
      <c r="C947" s="104"/>
    </row>
    <row r="948">
      <c r="C948" s="104"/>
    </row>
    <row r="949">
      <c r="C949" s="104"/>
    </row>
    <row r="950">
      <c r="C950" s="104"/>
    </row>
    <row r="951">
      <c r="C951" s="104"/>
    </row>
    <row r="952">
      <c r="C952" s="104"/>
    </row>
    <row r="953">
      <c r="C953" s="104"/>
    </row>
    <row r="954">
      <c r="C954" s="104"/>
    </row>
    <row r="955">
      <c r="C955" s="104"/>
    </row>
    <row r="956">
      <c r="C956" s="104"/>
    </row>
    <row r="957">
      <c r="C957" s="104"/>
    </row>
    <row r="958">
      <c r="C958" s="104"/>
    </row>
    <row r="959">
      <c r="C959" s="104"/>
    </row>
    <row r="960">
      <c r="C960" s="104"/>
    </row>
    <row r="961">
      <c r="C961" s="104"/>
    </row>
    <row r="962">
      <c r="C962" s="104"/>
    </row>
    <row r="963">
      <c r="C963" s="104"/>
    </row>
    <row r="964">
      <c r="C964" s="104"/>
    </row>
    <row r="965">
      <c r="C965" s="104"/>
    </row>
    <row r="966">
      <c r="C966" s="104"/>
    </row>
    <row r="967">
      <c r="C967" s="104"/>
    </row>
    <row r="968">
      <c r="C968" s="104"/>
    </row>
    <row r="969">
      <c r="C969" s="104"/>
    </row>
    <row r="970">
      <c r="C970" s="104"/>
    </row>
    <row r="971">
      <c r="C971" s="104"/>
    </row>
    <row r="972">
      <c r="C972" s="104"/>
    </row>
    <row r="973">
      <c r="C973" s="104"/>
    </row>
    <row r="974">
      <c r="C974" s="104"/>
    </row>
    <row r="975">
      <c r="C975" s="104"/>
    </row>
    <row r="976">
      <c r="C976" s="104"/>
    </row>
    <row r="977">
      <c r="C977" s="104"/>
    </row>
    <row r="978">
      <c r="C978" s="104"/>
    </row>
    <row r="979">
      <c r="C979" s="104"/>
    </row>
    <row r="980">
      <c r="C980" s="104"/>
    </row>
    <row r="981">
      <c r="C981" s="104"/>
    </row>
    <row r="982">
      <c r="C982" s="104"/>
    </row>
    <row r="983">
      <c r="C983" s="104"/>
    </row>
    <row r="984">
      <c r="C984" s="104"/>
    </row>
    <row r="985">
      <c r="C985" s="104"/>
    </row>
    <row r="986">
      <c r="C986" s="104"/>
    </row>
    <row r="987">
      <c r="C987" s="104"/>
    </row>
    <row r="988">
      <c r="C988" s="104"/>
    </row>
    <row r="989">
      <c r="C989" s="104"/>
    </row>
    <row r="990">
      <c r="C990" s="104"/>
    </row>
    <row r="991">
      <c r="C991" s="104"/>
    </row>
    <row r="992">
      <c r="C992" s="104"/>
    </row>
    <row r="993">
      <c r="C993" s="104"/>
    </row>
    <row r="994">
      <c r="C994" s="104"/>
    </row>
    <row r="995">
      <c r="C995" s="104"/>
    </row>
    <row r="996">
      <c r="C996" s="104"/>
    </row>
    <row r="997">
      <c r="C997" s="104"/>
    </row>
    <row r="998">
      <c r="C998" s="104"/>
    </row>
    <row r="999">
      <c r="C999" s="104"/>
    </row>
  </sheetData>
  <autoFilter ref="$B$1:$Q$11"/>
  <mergeCells count="2">
    <mergeCell ref="D1:L1"/>
    <mergeCell ref="M1:N1"/>
  </mergeCells>
  <conditionalFormatting sqref="N3:N33">
    <cfRule type="cellIs" dxfId="5" priority="1" operator="greaterThan">
      <formula>0</formula>
    </cfRule>
  </conditionalFormatting>
  <conditionalFormatting sqref="N3:N33">
    <cfRule type="cellIs" dxfId="6" priority="2" operator="lessThan">
      <formula>0</formula>
    </cfRule>
  </conditionalFormatting>
  <conditionalFormatting sqref="N3:N33">
    <cfRule type="notContainsBlanks" dxfId="11" priority="3">
      <formula>LEN(TRIM(N3))&gt;0</formula>
    </cfRule>
  </conditionalFormatting>
  <dataValidations>
    <dataValidation type="list" allowBlank="1" showErrorMessage="1" sqref="I3:I33">
      <formula1>LEGEND!$A$3:$A$5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0" t="s">
        <v>2</v>
      </c>
      <c r="B1" s="80" t="s">
        <v>4</v>
      </c>
      <c r="C1" s="80" t="s">
        <v>42</v>
      </c>
      <c r="D1" s="81" t="s">
        <v>43</v>
      </c>
      <c r="E1" s="81" t="s">
        <v>44</v>
      </c>
      <c r="F1" s="81" t="s">
        <v>45</v>
      </c>
      <c r="G1" s="2" t="s">
        <v>46</v>
      </c>
      <c r="H1" s="82" t="s">
        <v>4</v>
      </c>
      <c r="I1" s="82" t="s">
        <v>42</v>
      </c>
      <c r="J1" s="84" t="s">
        <v>43</v>
      </c>
      <c r="K1" s="84" t="s">
        <v>45</v>
      </c>
      <c r="L1" s="84" t="s">
        <v>33</v>
      </c>
      <c r="M1" s="85" t="s">
        <v>47</v>
      </c>
      <c r="N1" s="82" t="s">
        <v>4</v>
      </c>
      <c r="O1" s="84" t="s">
        <v>43</v>
      </c>
      <c r="P1" s="84" t="s">
        <v>45</v>
      </c>
      <c r="Q1" s="84" t="s">
        <v>48</v>
      </c>
      <c r="R1" s="84" t="s">
        <v>83</v>
      </c>
      <c r="S1" s="84" t="s">
        <v>51</v>
      </c>
      <c r="T1" s="84" t="s">
        <v>52</v>
      </c>
      <c r="U1" s="84" t="s">
        <v>53</v>
      </c>
    </row>
    <row r="2">
      <c r="A2" s="74" t="str">
        <f t="shared" ref="A2:A89" si="1">IF(ISBLANK(B2),"",TEXT(B2,"dddd"))</f>
        <v>Tuesday</v>
      </c>
      <c r="B2" s="49">
        <v>46357.0</v>
      </c>
      <c r="C2" s="142"/>
      <c r="D2" s="143"/>
      <c r="E2" s="88"/>
      <c r="F2" s="88">
        <f t="shared" ref="F2:F89" si="2">D2*E2</f>
        <v>0</v>
      </c>
      <c r="H2" s="234">
        <f t="array" ref="H2:H33">INDEX(UNIQUE(B2:C1000), , 1)
</f>
        <v>46357</v>
      </c>
      <c r="I2" s="235" t="str">
        <f t="array" ref="I2:I33">INDEX(UNIQUE(B2:C1000), , 2)
</f>
        <v/>
      </c>
      <c r="J2" s="93">
        <f>SUMIFS(D2:D89, B2:B89, H2, C2:C89, I2)</f>
        <v>0</v>
      </c>
      <c r="K2" s="94">
        <f>SUMIFS(F1:F89, B1:B89, H2, C1:C89, I2)</f>
        <v>0</v>
      </c>
      <c r="L2" s="95">
        <f t="shared" ref="L2:L41" si="3">IFERROR(K2/J2, 0)</f>
        <v>0</v>
      </c>
      <c r="N2" s="96">
        <f t="array" ref="N2:N33">UNIQUE(H2:H89)</f>
        <v>46357</v>
      </c>
      <c r="O2" s="97">
        <f>SUMIF(H2:H89, N2, J2:J89)</f>
        <v>0</v>
      </c>
      <c r="P2" s="98">
        <f>SUMIF(H2:H89, N2, K2:K89)</f>
        <v>0</v>
      </c>
      <c r="Q2" s="99" t="str">
        <f t="shared" ref="Q2:Q41" si="4">IF(N2="", "", IFERROR(P2/O2, "-"))
</f>
        <v>-</v>
      </c>
      <c r="R2" s="101">
        <f>O2*LEGEND!A3%</f>
        <v>0</v>
      </c>
      <c r="S2" s="101">
        <f t="shared" ref="S2:S41" si="5">O2-R2</f>
        <v>0</v>
      </c>
      <c r="T2" s="101"/>
      <c r="U2" s="98" t="str">
        <f t="shared" ref="U2:U41" si="6">IFERROR(ROUND(VALUE(T2)*VALUE(Q2), 2), "-")</f>
        <v>-</v>
      </c>
    </row>
    <row r="3">
      <c r="A3" s="74" t="str">
        <f t="shared" si="1"/>
        <v>Wednesday</v>
      </c>
      <c r="B3" s="49">
        <v>46358.0</v>
      </c>
      <c r="C3" s="142"/>
      <c r="D3" s="236"/>
      <c r="E3" s="88"/>
      <c r="F3" s="88">
        <f t="shared" si="2"/>
        <v>0</v>
      </c>
      <c r="G3" s="104"/>
      <c r="H3" s="91">
        <v>46358.0</v>
      </c>
      <c r="I3" s="105"/>
      <c r="J3" s="93">
        <f>SUMIFS(D3:D89, B3:B89, H3, C3:C89, I3)</f>
        <v>0</v>
      </c>
      <c r="K3" s="94">
        <f>SUMIFS(F2:F89, B2:B89, H3, C2:C89, I3)</f>
        <v>0</v>
      </c>
      <c r="L3" s="95">
        <f t="shared" si="3"/>
        <v>0</v>
      </c>
      <c r="N3" s="96">
        <v>46358.0</v>
      </c>
      <c r="O3" s="97">
        <f>SUMIF(H3:H89, N3, J3:J89)</f>
        <v>0</v>
      </c>
      <c r="P3" s="98">
        <f>SUMIF(H3:H89, N3, K3:K89)</f>
        <v>0</v>
      </c>
      <c r="Q3" s="99" t="str">
        <f t="shared" si="4"/>
        <v>-</v>
      </c>
      <c r="R3" s="101">
        <f>O3*LEGEND!A3%</f>
        <v>0</v>
      </c>
      <c r="S3" s="101">
        <f t="shared" si="5"/>
        <v>0</v>
      </c>
      <c r="T3" s="101"/>
      <c r="U3" s="98" t="str">
        <f t="shared" si="6"/>
        <v>-</v>
      </c>
    </row>
    <row r="4">
      <c r="A4" s="74" t="str">
        <f t="shared" si="1"/>
        <v>Thursday</v>
      </c>
      <c r="B4" s="49">
        <v>46359.0</v>
      </c>
      <c r="C4" s="148"/>
      <c r="D4" s="236"/>
      <c r="E4" s="88"/>
      <c r="F4" s="88">
        <f t="shared" si="2"/>
        <v>0</v>
      </c>
      <c r="H4" s="91">
        <v>46359.0</v>
      </c>
      <c r="I4" s="105"/>
      <c r="J4" s="93">
        <f>SUMIFS(D4:D89, B4:B89, H4, C4:C89, I4)</f>
        <v>0</v>
      </c>
      <c r="K4" s="94">
        <f>SUMIFS(F3:F89, B3:B89, H4, C3:C89, I4)</f>
        <v>0</v>
      </c>
      <c r="L4" s="95">
        <f t="shared" si="3"/>
        <v>0</v>
      </c>
      <c r="N4" s="96">
        <v>46359.0</v>
      </c>
      <c r="O4" s="97">
        <f>SUMIF(H4:H89, N4, J4:J89)</f>
        <v>0</v>
      </c>
      <c r="P4" s="98">
        <f>SUMIF(H4:H89, N4, K4:K89)</f>
        <v>0</v>
      </c>
      <c r="Q4" s="99" t="str">
        <f t="shared" si="4"/>
        <v>-</v>
      </c>
      <c r="R4" s="101">
        <f>O4*LEGEND!A4%</f>
        <v>0</v>
      </c>
      <c r="S4" s="101">
        <f t="shared" si="5"/>
        <v>0</v>
      </c>
      <c r="T4" s="101"/>
      <c r="U4" s="98" t="str">
        <f t="shared" si="6"/>
        <v>-</v>
      </c>
    </row>
    <row r="5">
      <c r="A5" s="74" t="str">
        <f t="shared" si="1"/>
        <v>Friday</v>
      </c>
      <c r="B5" s="49">
        <v>46360.0</v>
      </c>
      <c r="C5" s="148"/>
      <c r="D5" s="236"/>
      <c r="E5" s="88"/>
      <c r="F5" s="88">
        <f t="shared" si="2"/>
        <v>0</v>
      </c>
      <c r="H5" s="91">
        <v>46360.0</v>
      </c>
      <c r="I5" s="105"/>
      <c r="J5" s="93">
        <f>SUMIFS(D5:D89, B5:B89, H5, C5:C89, I5)</f>
        <v>0</v>
      </c>
      <c r="K5" s="94">
        <f>SUMIFS(F4:F89, B4:B89, H5, C4:C89, I5)</f>
        <v>0</v>
      </c>
      <c r="L5" s="95">
        <f t="shared" si="3"/>
        <v>0</v>
      </c>
      <c r="N5" s="96">
        <v>46360.0</v>
      </c>
      <c r="O5" s="97">
        <f>SUMIF(H5:H89, N5, J5:J89)</f>
        <v>0</v>
      </c>
      <c r="P5" s="98">
        <f>SUMIF(H5:H89, N5, K5:K89)</f>
        <v>0</v>
      </c>
      <c r="Q5" s="99" t="str">
        <f t="shared" si="4"/>
        <v>-</v>
      </c>
      <c r="R5" s="101">
        <f>O5*LEGEND!A5%</f>
        <v>0</v>
      </c>
      <c r="S5" s="101">
        <f t="shared" si="5"/>
        <v>0</v>
      </c>
      <c r="T5" s="101"/>
      <c r="U5" s="98" t="str">
        <f t="shared" si="6"/>
        <v>-</v>
      </c>
    </row>
    <row r="6">
      <c r="A6" s="74" t="str">
        <f t="shared" si="1"/>
        <v>Saturday</v>
      </c>
      <c r="B6" s="49">
        <v>46361.0</v>
      </c>
      <c r="C6" s="148"/>
      <c r="D6" s="236"/>
      <c r="E6" s="88"/>
      <c r="F6" s="88">
        <f t="shared" si="2"/>
        <v>0</v>
      </c>
      <c r="H6" s="91">
        <v>46361.0</v>
      </c>
      <c r="I6" s="105"/>
      <c r="J6" s="93">
        <f>SUMIFS(D6:D89, B6:B89, H6, C6:C89, I6)</f>
        <v>0</v>
      </c>
      <c r="K6" s="94">
        <f>SUMIFS(F5:F89, B5:B89, H6, C5:C89, I6)</f>
        <v>0</v>
      </c>
      <c r="L6" s="95">
        <f t="shared" si="3"/>
        <v>0</v>
      </c>
      <c r="N6" s="96">
        <v>46361.0</v>
      </c>
      <c r="O6" s="97">
        <f>SUMIF(H6:H89, N6, J6:J89)</f>
        <v>0</v>
      </c>
      <c r="P6" s="98">
        <f>SUMIF(H6:H89, N6, K6:K89)</f>
        <v>0</v>
      </c>
      <c r="Q6" s="99" t="str">
        <f t="shared" si="4"/>
        <v>-</v>
      </c>
      <c r="R6" s="237" t="str">
        <f>O6*#REF!%</f>
        <v>#REF!</v>
      </c>
      <c r="S6" s="237" t="str">
        <f t="shared" si="5"/>
        <v>#REF!</v>
      </c>
      <c r="T6" s="101"/>
      <c r="U6" s="98" t="str">
        <f t="shared" si="6"/>
        <v>-</v>
      </c>
    </row>
    <row r="7">
      <c r="A7" s="74" t="str">
        <f t="shared" si="1"/>
        <v>Sunday</v>
      </c>
      <c r="B7" s="49">
        <v>46362.0</v>
      </c>
      <c r="C7" s="148"/>
      <c r="D7" s="236"/>
      <c r="E7" s="88"/>
      <c r="F7" s="88">
        <f t="shared" si="2"/>
        <v>0</v>
      </c>
      <c r="H7" s="91">
        <v>46362.0</v>
      </c>
      <c r="I7" s="105"/>
      <c r="J7" s="93">
        <f>SUMIFS(D7:D89, B7:B89, H7, C7:C89, I7)</f>
        <v>0</v>
      </c>
      <c r="K7" s="94">
        <f>SUMIFS(F6:F89, B6:B89, H7, C6:C89, I7)</f>
        <v>0</v>
      </c>
      <c r="L7" s="95">
        <f t="shared" si="3"/>
        <v>0</v>
      </c>
      <c r="N7" s="96">
        <v>46362.0</v>
      </c>
      <c r="O7" s="97">
        <f>SUMIF(H7:H89, N7, J7:J89)</f>
        <v>0</v>
      </c>
      <c r="P7" s="98">
        <f>SUMIF(H7:H89, N7, K7:K89)</f>
        <v>0</v>
      </c>
      <c r="Q7" s="99" t="str">
        <f t="shared" si="4"/>
        <v>-</v>
      </c>
      <c r="R7" s="101">
        <f>O7*LEGEND!A6%</f>
        <v>0</v>
      </c>
      <c r="S7" s="101">
        <f t="shared" si="5"/>
        <v>0</v>
      </c>
      <c r="T7" s="101"/>
      <c r="U7" s="98" t="str">
        <f t="shared" si="6"/>
        <v>-</v>
      </c>
    </row>
    <row r="8">
      <c r="A8" s="74" t="str">
        <f t="shared" si="1"/>
        <v>Monday</v>
      </c>
      <c r="B8" s="49">
        <v>46363.0</v>
      </c>
      <c r="C8" s="148"/>
      <c r="D8" s="236"/>
      <c r="E8" s="88"/>
      <c r="F8" s="88">
        <f t="shared" si="2"/>
        <v>0</v>
      </c>
      <c r="H8" s="91">
        <v>46363.0</v>
      </c>
      <c r="I8" s="105"/>
      <c r="J8" s="93">
        <f>SUMIFS(D8:D89, B8:B89, H8, C8:C89, I8)</f>
        <v>0</v>
      </c>
      <c r="K8" s="94">
        <f>SUMIFS(F7:F89, B7:B89, H8, C7:C89, I8)</f>
        <v>0</v>
      </c>
      <c r="L8" s="95">
        <f t="shared" si="3"/>
        <v>0</v>
      </c>
      <c r="N8" s="96">
        <v>46363.0</v>
      </c>
      <c r="O8" s="97">
        <f>SUMIF(H8:H89, N8, J8:J89)</f>
        <v>0</v>
      </c>
      <c r="P8" s="98">
        <f>SUMIF(H8:H89, N8, K8:K89)</f>
        <v>0</v>
      </c>
      <c r="Q8" s="99" t="str">
        <f t="shared" si="4"/>
        <v>-</v>
      </c>
      <c r="R8" s="101">
        <f>O8*LEGEND!A7%</f>
        <v>0</v>
      </c>
      <c r="S8" s="101">
        <f t="shared" si="5"/>
        <v>0</v>
      </c>
      <c r="T8" s="101"/>
      <c r="U8" s="98" t="str">
        <f t="shared" si="6"/>
        <v>-</v>
      </c>
    </row>
    <row r="9">
      <c r="A9" s="74" t="str">
        <f t="shared" si="1"/>
        <v>Tuesday</v>
      </c>
      <c r="B9" s="49">
        <v>46364.0</v>
      </c>
      <c r="C9" s="148"/>
      <c r="D9" s="236"/>
      <c r="E9" s="88"/>
      <c r="F9" s="88">
        <f t="shared" si="2"/>
        <v>0</v>
      </c>
      <c r="H9" s="91">
        <v>46364.0</v>
      </c>
      <c r="I9" s="105"/>
      <c r="J9" s="93">
        <f>SUMIFS(D9:D89, B9:B89, H9, C9:C89, I9)</f>
        <v>0</v>
      </c>
      <c r="K9" s="94">
        <f>SUMIFS(F8:F89, B8:B89, H9, C8:C89, I9)</f>
        <v>0</v>
      </c>
      <c r="L9" s="95">
        <f t="shared" si="3"/>
        <v>0</v>
      </c>
      <c r="N9" s="96">
        <v>46364.0</v>
      </c>
      <c r="O9" s="97">
        <f>SUMIF(H9:H89, N9, J9:J89)</f>
        <v>0</v>
      </c>
      <c r="P9" s="98">
        <f>SUMIF(H9:H89, N9, K9:K89)</f>
        <v>0</v>
      </c>
      <c r="Q9" s="99" t="str">
        <f t="shared" si="4"/>
        <v>-</v>
      </c>
      <c r="R9" s="101">
        <f>O9*LEGEND!A8%</f>
        <v>0</v>
      </c>
      <c r="S9" s="101">
        <f t="shared" si="5"/>
        <v>0</v>
      </c>
      <c r="T9" s="101"/>
      <c r="U9" s="98" t="str">
        <f t="shared" si="6"/>
        <v>-</v>
      </c>
    </row>
    <row r="10">
      <c r="A10" s="74" t="str">
        <f t="shared" si="1"/>
        <v>Wednesday</v>
      </c>
      <c r="B10" s="49">
        <v>46365.0</v>
      </c>
      <c r="C10" s="148"/>
      <c r="D10" s="236"/>
      <c r="E10" s="88"/>
      <c r="F10" s="88">
        <f t="shared" si="2"/>
        <v>0</v>
      </c>
      <c r="H10" s="91">
        <v>46365.0</v>
      </c>
      <c r="I10" s="105"/>
      <c r="J10" s="93">
        <f>SUMIFS(D10:D89, B10:B89, H10, C10:C89, I10)</f>
        <v>0</v>
      </c>
      <c r="K10" s="94">
        <f>SUMIFS(F9:F89, B9:B89, H10, C9:C89, I10)</f>
        <v>0</v>
      </c>
      <c r="L10" s="95">
        <f t="shared" si="3"/>
        <v>0</v>
      </c>
      <c r="N10" s="96">
        <v>46365.0</v>
      </c>
      <c r="O10" s="97">
        <f>SUMIF(H10:H89, N10, J10:J89)</f>
        <v>0</v>
      </c>
      <c r="P10" s="98">
        <f>SUMIF(H10:H89, N10, K10:K89)</f>
        <v>0</v>
      </c>
      <c r="Q10" s="99" t="str">
        <f t="shared" si="4"/>
        <v>-</v>
      </c>
      <c r="R10" s="101">
        <f>O10*LEGEND!A9%</f>
        <v>0</v>
      </c>
      <c r="S10" s="101">
        <f t="shared" si="5"/>
        <v>0</v>
      </c>
      <c r="T10" s="101"/>
      <c r="U10" s="98" t="str">
        <f t="shared" si="6"/>
        <v>-</v>
      </c>
    </row>
    <row r="11">
      <c r="A11" s="74" t="str">
        <f t="shared" si="1"/>
        <v>Thursday</v>
      </c>
      <c r="B11" s="49">
        <v>46366.0</v>
      </c>
      <c r="C11" s="148"/>
      <c r="D11" s="236"/>
      <c r="E11" s="88"/>
      <c r="F11" s="88">
        <f t="shared" si="2"/>
        <v>0</v>
      </c>
      <c r="H11" s="91">
        <v>46366.0</v>
      </c>
      <c r="I11" s="105"/>
      <c r="J11" s="93">
        <f>SUMIFS(D11:D89, B11:B89, H11, C11:C89, I11)</f>
        <v>0</v>
      </c>
      <c r="K11" s="94">
        <f>SUMIFS(F10:F89, B10:B89, H11, C10:C89, I11)</f>
        <v>0</v>
      </c>
      <c r="L11" s="95">
        <f t="shared" si="3"/>
        <v>0</v>
      </c>
      <c r="N11" s="96">
        <v>46366.0</v>
      </c>
      <c r="O11" s="97">
        <f>SUMIF(H11:H89, N11, J11:J89)</f>
        <v>0</v>
      </c>
      <c r="P11" s="98">
        <f>SUMIF(H11:H89, N11, K11:K89)</f>
        <v>0</v>
      </c>
      <c r="Q11" s="99" t="str">
        <f t="shared" si="4"/>
        <v>-</v>
      </c>
      <c r="R11" s="101">
        <f>O11*LEGEND!A10%</f>
        <v>0</v>
      </c>
      <c r="S11" s="101">
        <f t="shared" si="5"/>
        <v>0</v>
      </c>
      <c r="T11" s="101"/>
      <c r="U11" s="98" t="str">
        <f t="shared" si="6"/>
        <v>-</v>
      </c>
    </row>
    <row r="12">
      <c r="A12" s="74" t="str">
        <f t="shared" si="1"/>
        <v>Friday</v>
      </c>
      <c r="B12" s="49">
        <v>46367.0</v>
      </c>
      <c r="C12" s="148"/>
      <c r="D12" s="236"/>
      <c r="E12" s="88"/>
      <c r="F12" s="88">
        <f t="shared" si="2"/>
        <v>0</v>
      </c>
      <c r="H12" s="91">
        <v>46367.0</v>
      </c>
      <c r="I12" s="105"/>
      <c r="J12" s="93">
        <f>SUMIFS(D12:D89, B12:B89, H12, C12:C89, I12)</f>
        <v>0</v>
      </c>
      <c r="K12" s="94">
        <f>SUMIFS(F11:F89, B11:B89, H12, C11:C89, I12)</f>
        <v>0</v>
      </c>
      <c r="L12" s="95">
        <f t="shared" si="3"/>
        <v>0</v>
      </c>
      <c r="N12" s="96">
        <v>46367.0</v>
      </c>
      <c r="O12" s="97">
        <f>SUMIF(H12:H89, N12, J12:J89)</f>
        <v>0</v>
      </c>
      <c r="P12" s="98">
        <f>SUMIF(H12:H89, N12, K12:K89)</f>
        <v>0</v>
      </c>
      <c r="Q12" s="99" t="str">
        <f t="shared" si="4"/>
        <v>-</v>
      </c>
      <c r="R12" s="101">
        <f>O12*LEGEND!A11%</f>
        <v>0</v>
      </c>
      <c r="S12" s="101">
        <f t="shared" si="5"/>
        <v>0</v>
      </c>
      <c r="T12" s="101"/>
      <c r="U12" s="98" t="str">
        <f t="shared" si="6"/>
        <v>-</v>
      </c>
    </row>
    <row r="13">
      <c r="A13" s="74" t="str">
        <f t="shared" si="1"/>
        <v>Saturday</v>
      </c>
      <c r="B13" s="49">
        <v>46368.0</v>
      </c>
      <c r="C13" s="148"/>
      <c r="D13" s="236"/>
      <c r="E13" s="88"/>
      <c r="F13" s="88">
        <f t="shared" si="2"/>
        <v>0</v>
      </c>
      <c r="H13" s="91">
        <v>46368.0</v>
      </c>
      <c r="I13" s="105"/>
      <c r="J13" s="93">
        <f>SUMIFS(D13:D89, B13:B89, H13, C13:C89, I13)</f>
        <v>0</v>
      </c>
      <c r="K13" s="94">
        <f>SUMIFS(F12:F89, B12:B89, H13, C12:C89, I13)</f>
        <v>0</v>
      </c>
      <c r="L13" s="95">
        <f t="shared" si="3"/>
        <v>0</v>
      </c>
      <c r="N13" s="96">
        <v>46368.0</v>
      </c>
      <c r="O13" s="97">
        <f>SUMIF(H13:H89, N13, J13:J89)</f>
        <v>0</v>
      </c>
      <c r="P13" s="98">
        <f>SUMIF(H13:H89, N13, K13:K89)</f>
        <v>0</v>
      </c>
      <c r="Q13" s="99" t="str">
        <f t="shared" si="4"/>
        <v>-</v>
      </c>
      <c r="R13" s="101">
        <f>O13*LEGEND!A12%</f>
        <v>0</v>
      </c>
      <c r="S13" s="101">
        <f t="shared" si="5"/>
        <v>0</v>
      </c>
      <c r="T13" s="101"/>
      <c r="U13" s="98" t="str">
        <f t="shared" si="6"/>
        <v>-</v>
      </c>
    </row>
    <row r="14">
      <c r="A14" s="74" t="str">
        <f t="shared" si="1"/>
        <v>Sunday</v>
      </c>
      <c r="B14" s="49">
        <v>46369.0</v>
      </c>
      <c r="C14" s="148"/>
      <c r="D14" s="236"/>
      <c r="E14" s="88"/>
      <c r="F14" s="88">
        <f t="shared" si="2"/>
        <v>0</v>
      </c>
      <c r="H14" s="91">
        <v>46369.0</v>
      </c>
      <c r="I14" s="105"/>
      <c r="J14" s="93">
        <f>SUMIFS(D14:D89, B14:B89, H14, C14:C89, I14)</f>
        <v>0</v>
      </c>
      <c r="K14" s="94">
        <f>SUMIFS(F13:F89, B13:B89, H14, C13:C89, I14)</f>
        <v>0</v>
      </c>
      <c r="L14" s="95">
        <f t="shared" si="3"/>
        <v>0</v>
      </c>
      <c r="N14" s="96">
        <v>46369.0</v>
      </c>
      <c r="O14" s="97">
        <f>SUMIF(H14:H89, N14, J14:J89)</f>
        <v>0</v>
      </c>
      <c r="P14" s="98">
        <f>SUMIF(H14:H89, N14, K14:K89)</f>
        <v>0</v>
      </c>
      <c r="Q14" s="99" t="str">
        <f t="shared" si="4"/>
        <v>-</v>
      </c>
      <c r="R14" s="101">
        <f>O14*LEGEND!A13%</f>
        <v>0</v>
      </c>
      <c r="S14" s="101">
        <f t="shared" si="5"/>
        <v>0</v>
      </c>
      <c r="T14" s="101"/>
      <c r="U14" s="98" t="str">
        <f t="shared" si="6"/>
        <v>-</v>
      </c>
    </row>
    <row r="15">
      <c r="A15" s="74" t="str">
        <f t="shared" si="1"/>
        <v>Monday</v>
      </c>
      <c r="B15" s="49">
        <v>46370.0</v>
      </c>
      <c r="C15" s="148"/>
      <c r="D15" s="236"/>
      <c r="E15" s="88"/>
      <c r="F15" s="88">
        <f t="shared" si="2"/>
        <v>0</v>
      </c>
      <c r="H15" s="91">
        <v>46370.0</v>
      </c>
      <c r="I15" s="105"/>
      <c r="J15" s="93">
        <f>SUMIFS(D15:D89, B15:B89, H15, C15:C89, I15)</f>
        <v>0</v>
      </c>
      <c r="K15" s="94">
        <f>SUMIFS(F14:F89, B14:B89, H15, C14:C89, I15)</f>
        <v>0</v>
      </c>
      <c r="L15" s="95">
        <f t="shared" si="3"/>
        <v>0</v>
      </c>
      <c r="N15" s="96">
        <v>46370.0</v>
      </c>
      <c r="O15" s="97">
        <f>SUMIF(H15:H89, N15, J15:J89)</f>
        <v>0</v>
      </c>
      <c r="P15" s="98">
        <f>SUMIF(H15:H89, N15, K15:K89)</f>
        <v>0</v>
      </c>
      <c r="Q15" s="99" t="str">
        <f t="shared" si="4"/>
        <v>-</v>
      </c>
      <c r="R15" s="101">
        <f>O15*LEGEND!A14%</f>
        <v>0</v>
      </c>
      <c r="S15" s="101">
        <f t="shared" si="5"/>
        <v>0</v>
      </c>
      <c r="T15" s="101"/>
      <c r="U15" s="98" t="str">
        <f t="shared" si="6"/>
        <v>-</v>
      </c>
    </row>
    <row r="16">
      <c r="A16" s="74" t="str">
        <f t="shared" si="1"/>
        <v>Tuesday</v>
      </c>
      <c r="B16" s="49">
        <v>46371.0</v>
      </c>
      <c r="C16" s="148"/>
      <c r="D16" s="236"/>
      <c r="E16" s="88"/>
      <c r="F16" s="88">
        <f t="shared" si="2"/>
        <v>0</v>
      </c>
      <c r="H16" s="91">
        <v>46371.0</v>
      </c>
      <c r="I16" s="105"/>
      <c r="J16" s="93">
        <f>SUMIFS(D16:D89, B16:B89, H16, C16:C89, I16)</f>
        <v>0</v>
      </c>
      <c r="K16" s="94">
        <f>SUMIFS(F15:F89, B15:B89, H16, C15:C89, I16)</f>
        <v>0</v>
      </c>
      <c r="L16" s="95">
        <f t="shared" si="3"/>
        <v>0</v>
      </c>
      <c r="N16" s="96">
        <v>46371.0</v>
      </c>
      <c r="O16" s="97">
        <f>SUMIF(H16:H89, N16, J16:J89)</f>
        <v>0</v>
      </c>
      <c r="P16" s="98">
        <f>SUMIF(H16:H89, N16, K16:K89)</f>
        <v>0</v>
      </c>
      <c r="Q16" s="99" t="str">
        <f t="shared" si="4"/>
        <v>-</v>
      </c>
      <c r="R16" s="101">
        <f>O16*LEGEND!A15%</f>
        <v>0</v>
      </c>
      <c r="S16" s="101">
        <f t="shared" si="5"/>
        <v>0</v>
      </c>
      <c r="T16" s="101"/>
      <c r="U16" s="98" t="str">
        <f t="shared" si="6"/>
        <v>-</v>
      </c>
    </row>
    <row r="17">
      <c r="A17" s="74" t="str">
        <f t="shared" si="1"/>
        <v>Wednesday</v>
      </c>
      <c r="B17" s="49">
        <v>46372.0</v>
      </c>
      <c r="C17" s="148"/>
      <c r="D17" s="236"/>
      <c r="E17" s="88"/>
      <c r="F17" s="88">
        <f t="shared" si="2"/>
        <v>0</v>
      </c>
      <c r="H17" s="91">
        <v>46372.0</v>
      </c>
      <c r="I17" s="105"/>
      <c r="J17" s="93">
        <f>SUMIFS(D17:D89, B17:B89, H17, C17:C89, I17)</f>
        <v>0</v>
      </c>
      <c r="K17" s="94">
        <f>SUMIFS(F16:F89, B16:B89, H17, C16:C89, I17)</f>
        <v>0</v>
      </c>
      <c r="L17" s="95">
        <f t="shared" si="3"/>
        <v>0</v>
      </c>
      <c r="N17" s="96">
        <v>46372.0</v>
      </c>
      <c r="O17" s="97">
        <f>SUMIF(H17:H89, N17, J17:J89)</f>
        <v>0</v>
      </c>
      <c r="P17" s="98">
        <f>SUMIF(H17:H89, N17, K17:K89)</f>
        <v>0</v>
      </c>
      <c r="Q17" s="99" t="str">
        <f t="shared" si="4"/>
        <v>-</v>
      </c>
      <c r="R17" s="101">
        <f>O17*LEGEND!A16%</f>
        <v>0</v>
      </c>
      <c r="S17" s="101">
        <f t="shared" si="5"/>
        <v>0</v>
      </c>
      <c r="T17" s="101"/>
      <c r="U17" s="98" t="str">
        <f t="shared" si="6"/>
        <v>-</v>
      </c>
    </row>
    <row r="18">
      <c r="A18" s="74" t="str">
        <f t="shared" si="1"/>
        <v>Thursday</v>
      </c>
      <c r="B18" s="49">
        <v>46373.0</v>
      </c>
      <c r="C18" s="148"/>
      <c r="D18" s="236"/>
      <c r="E18" s="88"/>
      <c r="F18" s="88">
        <f t="shared" si="2"/>
        <v>0</v>
      </c>
      <c r="H18" s="91">
        <v>46373.0</v>
      </c>
      <c r="I18" s="105"/>
      <c r="J18" s="93">
        <f>SUMIFS(D18:D89, B18:B89, H18, C18:C89, I18)</f>
        <v>0</v>
      </c>
      <c r="K18" s="94">
        <f>SUMIFS(F17:F89, B17:B89, H18, C17:C89, I18)</f>
        <v>0</v>
      </c>
      <c r="L18" s="95">
        <f t="shared" si="3"/>
        <v>0</v>
      </c>
      <c r="N18" s="96">
        <v>46373.0</v>
      </c>
      <c r="O18" s="97">
        <f>SUMIF(H18:H89, N18, J18:J89)</f>
        <v>0</v>
      </c>
      <c r="P18" s="98">
        <f>SUMIF(H18:H89, N18, K18:K89)</f>
        <v>0</v>
      </c>
      <c r="Q18" s="99" t="str">
        <f t="shared" si="4"/>
        <v>-</v>
      </c>
      <c r="R18" s="101">
        <f>O18*LEGEND!A17%</f>
        <v>0</v>
      </c>
      <c r="S18" s="101">
        <f t="shared" si="5"/>
        <v>0</v>
      </c>
      <c r="T18" s="101"/>
      <c r="U18" s="98" t="str">
        <f t="shared" si="6"/>
        <v>-</v>
      </c>
    </row>
    <row r="19">
      <c r="A19" s="74" t="str">
        <f t="shared" si="1"/>
        <v>Friday</v>
      </c>
      <c r="B19" s="49">
        <v>46374.0</v>
      </c>
      <c r="C19" s="148"/>
      <c r="D19" s="236"/>
      <c r="E19" s="88"/>
      <c r="F19" s="88">
        <f t="shared" si="2"/>
        <v>0</v>
      </c>
      <c r="H19" s="91">
        <v>46374.0</v>
      </c>
      <c r="I19" s="105"/>
      <c r="J19" s="93">
        <f>SUMIFS(D19:D89, B19:B89, H19, C19:C89, I19)</f>
        <v>0</v>
      </c>
      <c r="K19" s="94">
        <f>SUMIFS(F18:F89, B18:B89, H19, C18:C89, I19)</f>
        <v>0</v>
      </c>
      <c r="L19" s="95">
        <f t="shared" si="3"/>
        <v>0</v>
      </c>
      <c r="N19" s="96">
        <v>46374.0</v>
      </c>
      <c r="O19" s="97">
        <f>SUMIF(H19:H89, N19, J19:J89)</f>
        <v>0</v>
      </c>
      <c r="P19" s="98">
        <f>SUMIF(H19:H89, N19, K19:K89)</f>
        <v>0</v>
      </c>
      <c r="Q19" s="99" t="str">
        <f t="shared" si="4"/>
        <v>-</v>
      </c>
      <c r="R19" s="101">
        <f>O19*LEGEND!A18%</f>
        <v>0</v>
      </c>
      <c r="S19" s="101">
        <f t="shared" si="5"/>
        <v>0</v>
      </c>
      <c r="T19" s="101"/>
      <c r="U19" s="98" t="str">
        <f t="shared" si="6"/>
        <v>-</v>
      </c>
    </row>
    <row r="20">
      <c r="A20" s="74" t="str">
        <f t="shared" si="1"/>
        <v>Saturday</v>
      </c>
      <c r="B20" s="49">
        <v>46375.0</v>
      </c>
      <c r="C20" s="148"/>
      <c r="D20" s="236"/>
      <c r="E20" s="88"/>
      <c r="F20" s="88">
        <f t="shared" si="2"/>
        <v>0</v>
      </c>
      <c r="H20" s="91">
        <v>46375.0</v>
      </c>
      <c r="I20" s="105"/>
      <c r="J20" s="93">
        <f>SUMIFS(D20:D89, B20:B89, H20, C20:C89, I20)</f>
        <v>0</v>
      </c>
      <c r="K20" s="94">
        <f>SUMIFS(F19:F89, B19:B89, H20, C19:C89, I20)</f>
        <v>0</v>
      </c>
      <c r="L20" s="95">
        <f t="shared" si="3"/>
        <v>0</v>
      </c>
      <c r="N20" s="96">
        <v>46375.0</v>
      </c>
      <c r="O20" s="97">
        <f>SUMIF(H20:H89, N20, J20:J89)</f>
        <v>0</v>
      </c>
      <c r="P20" s="98">
        <f>SUMIF(H20:H89, N20, K20:K89)</f>
        <v>0</v>
      </c>
      <c r="Q20" s="99" t="str">
        <f t="shared" si="4"/>
        <v>-</v>
      </c>
      <c r="R20" s="101">
        <f>O20*LEGEND!A19%</f>
        <v>0</v>
      </c>
      <c r="S20" s="101">
        <f t="shared" si="5"/>
        <v>0</v>
      </c>
      <c r="T20" s="101"/>
      <c r="U20" s="98" t="str">
        <f t="shared" si="6"/>
        <v>-</v>
      </c>
    </row>
    <row r="21">
      <c r="A21" s="74" t="str">
        <f t="shared" si="1"/>
        <v>Sunday</v>
      </c>
      <c r="B21" s="49">
        <v>46376.0</v>
      </c>
      <c r="C21" s="148"/>
      <c r="D21" s="236"/>
      <c r="E21" s="88"/>
      <c r="F21" s="88">
        <f t="shared" si="2"/>
        <v>0</v>
      </c>
      <c r="H21" s="91">
        <v>46376.0</v>
      </c>
      <c r="I21" s="105"/>
      <c r="J21" s="93">
        <f>SUMIFS(D21:D89, B21:B89, H21, C21:C89, I21)</f>
        <v>0</v>
      </c>
      <c r="K21" s="94">
        <f>SUMIFS(F20:F89, B20:B89, H21, C20:C89, I21)</f>
        <v>0</v>
      </c>
      <c r="L21" s="95">
        <f t="shared" si="3"/>
        <v>0</v>
      </c>
      <c r="N21" s="96">
        <v>46376.0</v>
      </c>
      <c r="O21" s="97">
        <f>SUMIF(H21:H89, N21, J21:J89)</f>
        <v>0</v>
      </c>
      <c r="P21" s="98">
        <f>SUMIF(H21:H89, N21, K21:K89)</f>
        <v>0</v>
      </c>
      <c r="Q21" s="99" t="str">
        <f t="shared" si="4"/>
        <v>-</v>
      </c>
      <c r="R21" s="101">
        <f>O21*LEGEND!A20%</f>
        <v>0</v>
      </c>
      <c r="S21" s="101">
        <f t="shared" si="5"/>
        <v>0</v>
      </c>
      <c r="T21" s="101"/>
      <c r="U21" s="98" t="str">
        <f t="shared" si="6"/>
        <v>-</v>
      </c>
    </row>
    <row r="22">
      <c r="A22" s="74" t="str">
        <f t="shared" si="1"/>
        <v>Monday</v>
      </c>
      <c r="B22" s="49">
        <v>46377.0</v>
      </c>
      <c r="C22" s="148"/>
      <c r="D22" s="236"/>
      <c r="E22" s="88"/>
      <c r="F22" s="88">
        <f t="shared" si="2"/>
        <v>0</v>
      </c>
      <c r="H22" s="91">
        <v>46377.0</v>
      </c>
      <c r="I22" s="105"/>
      <c r="J22" s="93">
        <f>SUMIFS(D22:D89, B22:B89, H22, C22:C89, I22)</f>
        <v>0</v>
      </c>
      <c r="K22" s="94">
        <f>SUMIFS(F21:F89, B21:B89, H22, C21:C89, I22)</f>
        <v>0</v>
      </c>
      <c r="L22" s="95">
        <f t="shared" si="3"/>
        <v>0</v>
      </c>
      <c r="N22" s="96">
        <v>46377.0</v>
      </c>
      <c r="O22" s="97">
        <f>SUMIF(H22:H89, N22, J22:J89)</f>
        <v>0</v>
      </c>
      <c r="P22" s="98">
        <f>SUMIF(H22:H89, N22, K22:K89)</f>
        <v>0</v>
      </c>
      <c r="Q22" s="99" t="str">
        <f t="shared" si="4"/>
        <v>-</v>
      </c>
      <c r="R22" s="101">
        <f>O22*LEGEND!A21%</f>
        <v>0</v>
      </c>
      <c r="S22" s="101">
        <f t="shared" si="5"/>
        <v>0</v>
      </c>
      <c r="T22" s="101"/>
      <c r="U22" s="98" t="str">
        <f t="shared" si="6"/>
        <v>-</v>
      </c>
    </row>
    <row r="23">
      <c r="A23" s="74" t="str">
        <f t="shared" si="1"/>
        <v>Tuesday</v>
      </c>
      <c r="B23" s="49">
        <v>46378.0</v>
      </c>
      <c r="C23" s="148"/>
      <c r="D23" s="236"/>
      <c r="E23" s="88"/>
      <c r="F23" s="88">
        <f t="shared" si="2"/>
        <v>0</v>
      </c>
      <c r="H23" s="91">
        <v>46378.0</v>
      </c>
      <c r="I23" s="105"/>
      <c r="J23" s="93">
        <f>SUMIFS(D23:D89, B23:B89, H23, C23:C89, I23)</f>
        <v>0</v>
      </c>
      <c r="K23" s="94">
        <f>SUMIFS(F22:F89, B22:B89, H23, C22:C89, I23)</f>
        <v>0</v>
      </c>
      <c r="L23" s="95">
        <f t="shared" si="3"/>
        <v>0</v>
      </c>
      <c r="N23" s="96">
        <v>46378.0</v>
      </c>
      <c r="O23" s="97">
        <f>SUMIF(H23:H89, N23, J23:J89)</f>
        <v>0</v>
      </c>
      <c r="P23" s="98">
        <f>SUMIF(H23:H89, N23, K23:K89)</f>
        <v>0</v>
      </c>
      <c r="Q23" s="99" t="str">
        <f t="shared" si="4"/>
        <v>-</v>
      </c>
      <c r="R23" s="101">
        <f>O23*LEGEND!A22%</f>
        <v>0</v>
      </c>
      <c r="S23" s="101">
        <f t="shared" si="5"/>
        <v>0</v>
      </c>
      <c r="T23" s="101"/>
      <c r="U23" s="98" t="str">
        <f t="shared" si="6"/>
        <v>-</v>
      </c>
    </row>
    <row r="24">
      <c r="A24" s="74" t="str">
        <f t="shared" si="1"/>
        <v>Wednesday</v>
      </c>
      <c r="B24" s="49">
        <v>46379.0</v>
      </c>
      <c r="C24" s="148"/>
      <c r="D24" s="236"/>
      <c r="E24" s="88"/>
      <c r="F24" s="88">
        <f t="shared" si="2"/>
        <v>0</v>
      </c>
      <c r="H24" s="91">
        <v>46379.0</v>
      </c>
      <c r="I24" s="105"/>
      <c r="J24" s="93">
        <f>SUMIFS(D24:D89, B24:B89, H24, C24:C89, I24)</f>
        <v>0</v>
      </c>
      <c r="K24" s="94">
        <f>SUMIFS(F23:F89, B23:B89, H24, C23:C89, I24)</f>
        <v>0</v>
      </c>
      <c r="L24" s="95">
        <f t="shared" si="3"/>
        <v>0</v>
      </c>
      <c r="N24" s="96">
        <v>46379.0</v>
      </c>
      <c r="O24" s="97">
        <f>SUMIF(H24:H89, N24, J24:J89)</f>
        <v>0</v>
      </c>
      <c r="P24" s="98">
        <f>SUMIF(H24:H89, N24, K24:K89)</f>
        <v>0</v>
      </c>
      <c r="Q24" s="99" t="str">
        <f t="shared" si="4"/>
        <v>-</v>
      </c>
      <c r="R24" s="101">
        <f>O24*LEGEND!A23%</f>
        <v>0</v>
      </c>
      <c r="S24" s="101">
        <f t="shared" si="5"/>
        <v>0</v>
      </c>
      <c r="T24" s="101"/>
      <c r="U24" s="98" t="str">
        <f t="shared" si="6"/>
        <v>-</v>
      </c>
    </row>
    <row r="25">
      <c r="A25" s="74" t="str">
        <f t="shared" si="1"/>
        <v>Thursday</v>
      </c>
      <c r="B25" s="49">
        <v>46380.0</v>
      </c>
      <c r="C25" s="148"/>
      <c r="D25" s="236"/>
      <c r="E25" s="88"/>
      <c r="F25" s="88">
        <f t="shared" si="2"/>
        <v>0</v>
      </c>
      <c r="H25" s="91">
        <v>46380.0</v>
      </c>
      <c r="I25" s="105"/>
      <c r="J25" s="93">
        <f>SUMIFS(D25:D89, B25:B89, H25, C25:C89, I25)</f>
        <v>0</v>
      </c>
      <c r="K25" s="94">
        <f>SUMIFS(F24:F89, B24:B89, H25, C24:C89, I25)</f>
        <v>0</v>
      </c>
      <c r="L25" s="95">
        <f t="shared" si="3"/>
        <v>0</v>
      </c>
      <c r="N25" s="96">
        <v>46380.0</v>
      </c>
      <c r="O25" s="97">
        <f>SUMIF(H25:H89, N25, J25:J89)</f>
        <v>0</v>
      </c>
      <c r="P25" s="98">
        <f>SUMIF(H25:H89, N25, K25:K89)</f>
        <v>0</v>
      </c>
      <c r="Q25" s="99" t="str">
        <f t="shared" si="4"/>
        <v>-</v>
      </c>
      <c r="R25" s="101">
        <f>O25*LEGEND!A24%</f>
        <v>0</v>
      </c>
      <c r="S25" s="101">
        <f t="shared" si="5"/>
        <v>0</v>
      </c>
      <c r="T25" s="101"/>
      <c r="U25" s="98" t="str">
        <f t="shared" si="6"/>
        <v>-</v>
      </c>
    </row>
    <row r="26">
      <c r="A26" s="74" t="str">
        <f t="shared" si="1"/>
        <v>Friday</v>
      </c>
      <c r="B26" s="49">
        <v>46381.0</v>
      </c>
      <c r="C26" s="148"/>
      <c r="D26" s="236"/>
      <c r="E26" s="88"/>
      <c r="F26" s="88">
        <f t="shared" si="2"/>
        <v>0</v>
      </c>
      <c r="H26" s="91">
        <v>46381.0</v>
      </c>
      <c r="I26" s="105"/>
      <c r="J26" s="93">
        <f>SUMIFS(D26:D89, B26:B89, H26, C26:C89, I26)</f>
        <v>0</v>
      </c>
      <c r="K26" s="94">
        <f>SUMIFS(F25:F89, B25:B89, H26, C25:C89, I26)</f>
        <v>0</v>
      </c>
      <c r="L26" s="95">
        <f t="shared" si="3"/>
        <v>0</v>
      </c>
      <c r="N26" s="96">
        <v>46381.0</v>
      </c>
      <c r="O26" s="97">
        <f>SUMIF(H26:H89, N26, J26:J89)</f>
        <v>0</v>
      </c>
      <c r="P26" s="98">
        <f>SUMIF(H26:H89, N26, K26:K89)</f>
        <v>0</v>
      </c>
      <c r="Q26" s="99" t="str">
        <f t="shared" si="4"/>
        <v>-</v>
      </c>
      <c r="R26" s="101">
        <f>O26*LEGEND!A25%</f>
        <v>0</v>
      </c>
      <c r="S26" s="101">
        <f t="shared" si="5"/>
        <v>0</v>
      </c>
      <c r="T26" s="101"/>
      <c r="U26" s="98" t="str">
        <f t="shared" si="6"/>
        <v>-</v>
      </c>
    </row>
    <row r="27">
      <c r="A27" s="74" t="str">
        <f t="shared" si="1"/>
        <v>Saturday</v>
      </c>
      <c r="B27" s="49">
        <v>46382.0</v>
      </c>
      <c r="C27" s="148"/>
      <c r="D27" s="236"/>
      <c r="E27" s="88"/>
      <c r="F27" s="88">
        <f t="shared" si="2"/>
        <v>0</v>
      </c>
      <c r="H27" s="91">
        <v>46382.0</v>
      </c>
      <c r="I27" s="105"/>
      <c r="J27" s="93">
        <f>SUMIFS(D27:D89, B27:B89, H27, C27:C89, I27)</f>
        <v>0</v>
      </c>
      <c r="K27" s="94">
        <f>SUMIFS(F26:F89, B26:B89, H27, C26:C89, I27)</f>
        <v>0</v>
      </c>
      <c r="L27" s="95">
        <f t="shared" si="3"/>
        <v>0</v>
      </c>
      <c r="N27" s="96">
        <v>46382.0</v>
      </c>
      <c r="O27" s="97">
        <f>SUMIF(H27:H89, N27, J27:J89)</f>
        <v>0</v>
      </c>
      <c r="P27" s="98">
        <f>SUMIF(H27:H89, N27, K27:K89)</f>
        <v>0</v>
      </c>
      <c r="Q27" s="99" t="str">
        <f t="shared" si="4"/>
        <v>-</v>
      </c>
      <c r="R27" s="101">
        <f>O27*LEGEND!A26%</f>
        <v>0</v>
      </c>
      <c r="S27" s="101">
        <f t="shared" si="5"/>
        <v>0</v>
      </c>
      <c r="T27" s="101"/>
      <c r="U27" s="98" t="str">
        <f t="shared" si="6"/>
        <v>-</v>
      </c>
    </row>
    <row r="28">
      <c r="A28" s="74" t="str">
        <f t="shared" si="1"/>
        <v>Sunday</v>
      </c>
      <c r="B28" s="49">
        <v>46383.0</v>
      </c>
      <c r="C28" s="148"/>
      <c r="D28" s="236"/>
      <c r="E28" s="88"/>
      <c r="F28" s="88">
        <f t="shared" si="2"/>
        <v>0</v>
      </c>
      <c r="H28" s="91">
        <v>46383.0</v>
      </c>
      <c r="I28" s="105"/>
      <c r="J28" s="93">
        <f>SUMIFS(D28:D89, B28:B89, H28, C28:C89, I28)</f>
        <v>0</v>
      </c>
      <c r="K28" s="94">
        <f>SUMIFS(F27:F89, B27:B89, H28, C27:C89, I28)</f>
        <v>0</v>
      </c>
      <c r="L28" s="95">
        <f t="shared" si="3"/>
        <v>0</v>
      </c>
      <c r="N28" s="96">
        <v>46383.0</v>
      </c>
      <c r="O28" s="97">
        <f>SUMIF(H28:H89, N28, J28:J89)</f>
        <v>0</v>
      </c>
      <c r="P28" s="98">
        <f>SUMIF(H28:H89, N28, K28:K89)</f>
        <v>0</v>
      </c>
      <c r="Q28" s="99" t="str">
        <f t="shared" si="4"/>
        <v>-</v>
      </c>
      <c r="R28" s="101">
        <f>O28*LEGEND!A27%</f>
        <v>0</v>
      </c>
      <c r="S28" s="101">
        <f t="shared" si="5"/>
        <v>0</v>
      </c>
      <c r="T28" s="101"/>
      <c r="U28" s="98" t="str">
        <f t="shared" si="6"/>
        <v>-</v>
      </c>
    </row>
    <row r="29">
      <c r="A29" s="74" t="str">
        <f t="shared" si="1"/>
        <v>Monday</v>
      </c>
      <c r="B29" s="49">
        <v>46384.0</v>
      </c>
      <c r="C29" s="148"/>
      <c r="D29" s="201"/>
      <c r="E29" s="202"/>
      <c r="F29" s="88">
        <f t="shared" si="2"/>
        <v>0</v>
      </c>
      <c r="H29" s="91">
        <v>46384.0</v>
      </c>
      <c r="I29" s="105"/>
      <c r="J29" s="93">
        <f>SUMIFS(D29:D89, B29:B89, H29, C29:C89, I29)</f>
        <v>0</v>
      </c>
      <c r="K29" s="94">
        <f>SUMIFS(F28:F89, B28:B89, H29, C28:C89, I29)</f>
        <v>0</v>
      </c>
      <c r="L29" s="95">
        <f t="shared" si="3"/>
        <v>0</v>
      </c>
      <c r="N29" s="96">
        <v>46384.0</v>
      </c>
      <c r="O29" s="97">
        <f>SUMIF(H29:H89, N29, J29:J89)</f>
        <v>0</v>
      </c>
      <c r="P29" s="98">
        <f>SUMIF(H29:H89, N29, K29:K89)</f>
        <v>0</v>
      </c>
      <c r="Q29" s="99" t="str">
        <f t="shared" si="4"/>
        <v>-</v>
      </c>
      <c r="R29" s="101">
        <f>O29*LEGEND!A28%</f>
        <v>0</v>
      </c>
      <c r="S29" s="101">
        <f t="shared" si="5"/>
        <v>0</v>
      </c>
      <c r="T29" s="101"/>
      <c r="U29" s="98" t="str">
        <f t="shared" si="6"/>
        <v>-</v>
      </c>
    </row>
    <row r="30">
      <c r="A30" s="74" t="str">
        <f t="shared" si="1"/>
        <v>Tuesday</v>
      </c>
      <c r="B30" s="49">
        <v>46385.0</v>
      </c>
      <c r="C30" s="148"/>
      <c r="D30" s="201"/>
      <c r="E30" s="202"/>
      <c r="F30" s="88">
        <f t="shared" si="2"/>
        <v>0</v>
      </c>
      <c r="H30" s="91">
        <v>46385.0</v>
      </c>
      <c r="I30" s="105"/>
      <c r="J30" s="93">
        <f>SUMIFS(D30:D89, B30:B89, H30, C30:C89, I30)</f>
        <v>0</v>
      </c>
      <c r="K30" s="94">
        <f>SUMIFS(F29:F89, B29:B89, H30, C29:C89, I30)</f>
        <v>0</v>
      </c>
      <c r="L30" s="95">
        <f t="shared" si="3"/>
        <v>0</v>
      </c>
      <c r="N30" s="96">
        <v>46385.0</v>
      </c>
      <c r="O30" s="97">
        <f>SUMIF(H30:H89, N30, J30:J89)</f>
        <v>0</v>
      </c>
      <c r="P30" s="98">
        <f>SUMIF(H30:H89, N30, K30:K89)</f>
        <v>0</v>
      </c>
      <c r="Q30" s="99" t="str">
        <f t="shared" si="4"/>
        <v>-</v>
      </c>
      <c r="R30" s="101">
        <f>O30*LEGEND!A29%</f>
        <v>0</v>
      </c>
      <c r="S30" s="101">
        <f t="shared" si="5"/>
        <v>0</v>
      </c>
      <c r="T30" s="101"/>
      <c r="U30" s="98" t="str">
        <f t="shared" si="6"/>
        <v>-</v>
      </c>
    </row>
    <row r="31">
      <c r="A31" s="74" t="str">
        <f t="shared" si="1"/>
        <v>Wednesday</v>
      </c>
      <c r="B31" s="49">
        <v>46386.0</v>
      </c>
      <c r="C31" s="148"/>
      <c r="D31" s="201"/>
      <c r="E31" s="202"/>
      <c r="F31" s="88">
        <f t="shared" si="2"/>
        <v>0</v>
      </c>
      <c r="H31" s="91">
        <v>46386.0</v>
      </c>
      <c r="I31" s="105"/>
      <c r="J31" s="93">
        <f>SUMIFS(D31:D89, B31:B89, H31, C31:C89, I31)</f>
        <v>0</v>
      </c>
      <c r="K31" s="94">
        <f>SUMIFS(F30:F89, B30:B89, H31, C30:C89, I31)</f>
        <v>0</v>
      </c>
      <c r="L31" s="95">
        <f t="shared" si="3"/>
        <v>0</v>
      </c>
      <c r="N31" s="96">
        <v>46386.0</v>
      </c>
      <c r="O31" s="97">
        <f>SUMIF(H31:H89, N31, J31:J89)</f>
        <v>0</v>
      </c>
      <c r="P31" s="98">
        <f>SUMIF(H31:H89, N31, K31:K89)</f>
        <v>0</v>
      </c>
      <c r="Q31" s="99" t="str">
        <f t="shared" si="4"/>
        <v>-</v>
      </c>
      <c r="R31" s="101">
        <f>O31*LEGEND!A30%</f>
        <v>0</v>
      </c>
      <c r="S31" s="101">
        <f t="shared" si="5"/>
        <v>0</v>
      </c>
      <c r="T31" s="101"/>
      <c r="U31" s="98" t="str">
        <f t="shared" si="6"/>
        <v>-</v>
      </c>
    </row>
    <row r="32">
      <c r="A32" s="74" t="str">
        <f t="shared" si="1"/>
        <v>Thursday</v>
      </c>
      <c r="B32" s="49">
        <v>46387.0</v>
      </c>
      <c r="C32" s="148"/>
      <c r="D32" s="201"/>
      <c r="E32" s="202"/>
      <c r="F32" s="88">
        <f t="shared" si="2"/>
        <v>0</v>
      </c>
      <c r="H32" s="91">
        <v>46387.0</v>
      </c>
      <c r="I32" s="105"/>
      <c r="J32" s="93">
        <f>SUMIFS(D32:D89, B32:B89, H32, C32:C89, I32)</f>
        <v>0</v>
      </c>
      <c r="K32" s="94">
        <f>SUMIFS(F31:F89, B31:B89, H32, C31:C89, I32)</f>
        <v>0</v>
      </c>
      <c r="L32" s="95">
        <f t="shared" si="3"/>
        <v>0</v>
      </c>
      <c r="N32" s="96">
        <v>46387.0</v>
      </c>
      <c r="O32" s="97">
        <f>SUMIF(H32:H89, N32, J32:J89)</f>
        <v>0</v>
      </c>
      <c r="P32" s="98">
        <f>SUMIF(H32:H89, N32, K32:K89)</f>
        <v>0</v>
      </c>
      <c r="Q32" s="99" t="str">
        <f t="shared" si="4"/>
        <v>-</v>
      </c>
      <c r="R32" s="101">
        <f>O32*LEGEND!A31%</f>
        <v>0</v>
      </c>
      <c r="S32" s="101">
        <f t="shared" si="5"/>
        <v>0</v>
      </c>
      <c r="T32" s="101"/>
      <c r="U32" s="98" t="str">
        <f t="shared" si="6"/>
        <v>-</v>
      </c>
    </row>
    <row r="33">
      <c r="A33" s="74" t="str">
        <f t="shared" si="1"/>
        <v>Thursday</v>
      </c>
      <c r="B33" s="49">
        <v>46387.0</v>
      </c>
      <c r="C33" s="148"/>
      <c r="D33" s="201"/>
      <c r="E33" s="202"/>
      <c r="F33" s="88">
        <f t="shared" si="2"/>
        <v>0</v>
      </c>
      <c r="H33" s="91"/>
      <c r="I33" s="105"/>
      <c r="J33" s="93">
        <f>SUMIFS(D33:D89, B33:B89, H33, C33:C89, I33)</f>
        <v>0</v>
      </c>
      <c r="K33" s="94">
        <f>SUMIFS(F32:F89, B32:B89, H33, C32:C89, I33)</f>
        <v>0</v>
      </c>
      <c r="L33" s="95">
        <f t="shared" si="3"/>
        <v>0</v>
      </c>
      <c r="N33" s="108"/>
      <c r="O33" s="97">
        <f>SUMIF(H33:H89, N33, J33:J89)</f>
        <v>0</v>
      </c>
      <c r="P33" s="98">
        <f>SUMIF(H33:H89, N33, K33:K89)</f>
        <v>0</v>
      </c>
      <c r="Q33" s="99" t="str">
        <f t="shared" si="4"/>
        <v/>
      </c>
      <c r="R33" s="101">
        <f>O33*LEGEND!A32%</f>
        <v>0</v>
      </c>
      <c r="S33" s="101">
        <f t="shared" si="5"/>
        <v>0</v>
      </c>
      <c r="T33" s="101"/>
      <c r="U33" s="98">
        <f t="shared" si="6"/>
        <v>0</v>
      </c>
    </row>
    <row r="34">
      <c r="A34" s="74" t="str">
        <f t="shared" si="1"/>
        <v>Thursday</v>
      </c>
      <c r="B34" s="49">
        <v>46387.0</v>
      </c>
      <c r="C34" s="148"/>
      <c r="D34" s="201"/>
      <c r="E34" s="202"/>
      <c r="F34" s="88">
        <f t="shared" si="2"/>
        <v>0</v>
      </c>
      <c r="H34" s="91"/>
      <c r="I34" s="105"/>
      <c r="J34" s="93">
        <f>SUMIFS(D34:D89, B34:B89, H34, C34:C89, I34)</f>
        <v>0</v>
      </c>
      <c r="K34" s="94">
        <f>SUMIFS(F33:F89, B33:B89, H34, C33:C89, I34)</f>
        <v>0</v>
      </c>
      <c r="L34" s="95">
        <f t="shared" si="3"/>
        <v>0</v>
      </c>
      <c r="N34" s="108"/>
      <c r="O34" s="97">
        <f>SUMIF(H34:H89, N34, J34:J89)</f>
        <v>0</v>
      </c>
      <c r="P34" s="98">
        <f>SUMIF(H34:H89, N34, K34:K89)</f>
        <v>0</v>
      </c>
      <c r="Q34" s="99" t="str">
        <f t="shared" si="4"/>
        <v/>
      </c>
      <c r="R34" s="101">
        <f>O34*LEGEND!A33%</f>
        <v>0</v>
      </c>
      <c r="S34" s="101">
        <f t="shared" si="5"/>
        <v>0</v>
      </c>
      <c r="T34" s="101"/>
      <c r="U34" s="98">
        <f t="shared" si="6"/>
        <v>0</v>
      </c>
    </row>
    <row r="35">
      <c r="A35" s="74" t="str">
        <f t="shared" si="1"/>
        <v>Thursday</v>
      </c>
      <c r="B35" s="49">
        <v>46387.0</v>
      </c>
      <c r="C35" s="148"/>
      <c r="D35" s="201"/>
      <c r="E35" s="202"/>
      <c r="F35" s="88">
        <f t="shared" si="2"/>
        <v>0</v>
      </c>
      <c r="H35" s="91"/>
      <c r="I35" s="105"/>
      <c r="J35" s="93">
        <f>SUMIFS(D35:D89, B35:B89, H35, C35:C89, I35)</f>
        <v>0</v>
      </c>
      <c r="K35" s="94">
        <f>SUMIFS(F34:F89, B34:B89, H35, C34:C89, I35)</f>
        <v>0</v>
      </c>
      <c r="L35" s="95">
        <f t="shared" si="3"/>
        <v>0</v>
      </c>
      <c r="N35" s="108"/>
      <c r="O35" s="97">
        <f>SUMIF(H35:H89, N35, J35:J89)</f>
        <v>0</v>
      </c>
      <c r="P35" s="98">
        <f>SUMIF(H35:H89, N35, K35:K89)</f>
        <v>0</v>
      </c>
      <c r="Q35" s="99" t="str">
        <f t="shared" si="4"/>
        <v/>
      </c>
      <c r="R35" s="101">
        <f>O35*LEGEND!A34%</f>
        <v>0</v>
      </c>
      <c r="S35" s="101">
        <f t="shared" si="5"/>
        <v>0</v>
      </c>
      <c r="T35" s="101"/>
      <c r="U35" s="98">
        <f t="shared" si="6"/>
        <v>0</v>
      </c>
    </row>
    <row r="36">
      <c r="A36" s="74" t="str">
        <f t="shared" si="1"/>
        <v>Thursday</v>
      </c>
      <c r="B36" s="49">
        <v>46387.0</v>
      </c>
      <c r="C36" s="148"/>
      <c r="D36" s="201"/>
      <c r="E36" s="202"/>
      <c r="F36" s="88">
        <f t="shared" si="2"/>
        <v>0</v>
      </c>
      <c r="H36" s="91"/>
      <c r="I36" s="105"/>
      <c r="J36" s="93">
        <f>SUMIFS(D36:D89, B36:B89, H36, C36:C89, I36)</f>
        <v>0</v>
      </c>
      <c r="K36" s="94">
        <f>SUMIFS(F35:F89, B35:B89, H36, C35:C89, I36)</f>
        <v>0</v>
      </c>
      <c r="L36" s="95">
        <f t="shared" si="3"/>
        <v>0</v>
      </c>
      <c r="N36" s="108"/>
      <c r="O36" s="97">
        <f>SUMIF(H36:H89, N36, J36:J89)</f>
        <v>0</v>
      </c>
      <c r="P36" s="98">
        <f>SUMIF(H36:H89, N36, K36:K89)</f>
        <v>0</v>
      </c>
      <c r="Q36" s="99" t="str">
        <f t="shared" si="4"/>
        <v/>
      </c>
      <c r="R36" s="101">
        <f>O36*LEGEND!A35%</f>
        <v>0</v>
      </c>
      <c r="S36" s="101">
        <f t="shared" si="5"/>
        <v>0</v>
      </c>
      <c r="T36" s="101"/>
      <c r="U36" s="98">
        <f t="shared" si="6"/>
        <v>0</v>
      </c>
    </row>
    <row r="37">
      <c r="A37" s="74" t="str">
        <f t="shared" si="1"/>
        <v>Thursday</v>
      </c>
      <c r="B37" s="49">
        <v>46387.0</v>
      </c>
      <c r="C37" s="148"/>
      <c r="D37" s="201"/>
      <c r="E37" s="202"/>
      <c r="F37" s="88">
        <f t="shared" si="2"/>
        <v>0</v>
      </c>
      <c r="H37" s="91"/>
      <c r="I37" s="105"/>
      <c r="J37" s="93">
        <f>SUMIFS(D37:D89, B37:B89, H37, C37:C89, I37)</f>
        <v>0</v>
      </c>
      <c r="K37" s="94">
        <f>SUMIFS(F36:F89, B36:B89, H37, C36:C89, I37)</f>
        <v>0</v>
      </c>
      <c r="L37" s="95">
        <f t="shared" si="3"/>
        <v>0</v>
      </c>
      <c r="N37" s="108"/>
      <c r="O37" s="97">
        <f>SUMIF(H37:H89, N37, J37:J89)</f>
        <v>0</v>
      </c>
      <c r="P37" s="98">
        <f>SUMIF(H37:H89, N37, K37:K89)</f>
        <v>0</v>
      </c>
      <c r="Q37" s="99" t="str">
        <f t="shared" si="4"/>
        <v/>
      </c>
      <c r="R37" s="101">
        <f>O37*LEGEND!A36%</f>
        <v>0</v>
      </c>
      <c r="S37" s="101">
        <f t="shared" si="5"/>
        <v>0</v>
      </c>
      <c r="T37" s="101"/>
      <c r="U37" s="98">
        <f t="shared" si="6"/>
        <v>0</v>
      </c>
    </row>
    <row r="38">
      <c r="A38" s="74" t="str">
        <f t="shared" si="1"/>
        <v>Thursday</v>
      </c>
      <c r="B38" s="49">
        <v>46387.0</v>
      </c>
      <c r="C38" s="148"/>
      <c r="D38" s="201"/>
      <c r="E38" s="202"/>
      <c r="F38" s="88">
        <f t="shared" si="2"/>
        <v>0</v>
      </c>
      <c r="H38" s="91"/>
      <c r="I38" s="105"/>
      <c r="J38" s="93">
        <f>SUMIFS(D38:D89, B38:B89, H38, C38:C89, I38)</f>
        <v>0</v>
      </c>
      <c r="K38" s="94">
        <f>SUMIFS(F37:F89, B37:B89, H38, C37:C89, I38)</f>
        <v>0</v>
      </c>
      <c r="L38" s="95">
        <f t="shared" si="3"/>
        <v>0</v>
      </c>
      <c r="N38" s="108"/>
      <c r="O38" s="97">
        <f>SUMIF(H38:H89, N38, J38:J89)</f>
        <v>0</v>
      </c>
      <c r="P38" s="98">
        <f>SUMIF(H38:H89, N38, K38:K89)</f>
        <v>0</v>
      </c>
      <c r="Q38" s="99" t="str">
        <f t="shared" si="4"/>
        <v/>
      </c>
      <c r="R38" s="101">
        <f>O38*LEGEND!A37%</f>
        <v>0</v>
      </c>
      <c r="S38" s="101">
        <f t="shared" si="5"/>
        <v>0</v>
      </c>
      <c r="T38" s="101"/>
      <c r="U38" s="98">
        <f t="shared" si="6"/>
        <v>0</v>
      </c>
    </row>
    <row r="39">
      <c r="A39" s="74" t="str">
        <f t="shared" si="1"/>
        <v>Thursday</v>
      </c>
      <c r="B39" s="49">
        <v>46387.0</v>
      </c>
      <c r="C39" s="148"/>
      <c r="D39" s="201"/>
      <c r="E39" s="202"/>
      <c r="F39" s="88">
        <f t="shared" si="2"/>
        <v>0</v>
      </c>
      <c r="H39" s="91"/>
      <c r="I39" s="105"/>
      <c r="J39" s="93">
        <f>SUMIFS(D39:D89, B39:B89, H39, C39:C89, I39)</f>
        <v>0</v>
      </c>
      <c r="K39" s="94">
        <f>SUMIFS(F38:F89, B38:B89, H39, C38:C89, I39)</f>
        <v>0</v>
      </c>
      <c r="L39" s="95">
        <f t="shared" si="3"/>
        <v>0</v>
      </c>
      <c r="N39" s="108"/>
      <c r="O39" s="97">
        <f>SUMIF(H39:H89, N39, J39:J89)</f>
        <v>0</v>
      </c>
      <c r="P39" s="98">
        <f>SUMIF(H39:H89, N39, K39:K89)</f>
        <v>0</v>
      </c>
      <c r="Q39" s="99" t="str">
        <f t="shared" si="4"/>
        <v/>
      </c>
      <c r="R39" s="101">
        <f>O39*LEGEND!A38%</f>
        <v>0</v>
      </c>
      <c r="S39" s="101">
        <f t="shared" si="5"/>
        <v>0</v>
      </c>
      <c r="T39" s="101"/>
      <c r="U39" s="98">
        <f t="shared" si="6"/>
        <v>0</v>
      </c>
    </row>
    <row r="40">
      <c r="A40" s="74" t="str">
        <f t="shared" si="1"/>
        <v>Thursday</v>
      </c>
      <c r="B40" s="49">
        <v>46387.0</v>
      </c>
      <c r="C40" s="148"/>
      <c r="D40" s="201"/>
      <c r="E40" s="202"/>
      <c r="F40" s="88">
        <f t="shared" si="2"/>
        <v>0</v>
      </c>
      <c r="H40" s="91"/>
      <c r="I40" s="105"/>
      <c r="J40" s="93">
        <f>SUMIFS(D40:D89, B40:B89, H40, C40:C89, I40)</f>
        <v>0</v>
      </c>
      <c r="K40" s="94">
        <f>SUMIFS(F39:F89, B39:B89, H40, C39:C89, I40)</f>
        <v>0</v>
      </c>
      <c r="L40" s="95">
        <f t="shared" si="3"/>
        <v>0</v>
      </c>
      <c r="N40" s="108"/>
      <c r="O40" s="97">
        <f>SUMIF(H40:H89, N40, J40:J89)</f>
        <v>0</v>
      </c>
      <c r="P40" s="98">
        <f>SUMIF(H40:H89, N40, K40:K89)</f>
        <v>0</v>
      </c>
      <c r="Q40" s="99" t="str">
        <f t="shared" si="4"/>
        <v/>
      </c>
      <c r="R40" s="101">
        <f>O40*LEGEND!A39%</f>
        <v>0</v>
      </c>
      <c r="S40" s="101">
        <f t="shared" si="5"/>
        <v>0</v>
      </c>
      <c r="T40" s="101"/>
      <c r="U40" s="98">
        <f t="shared" si="6"/>
        <v>0</v>
      </c>
    </row>
    <row r="41">
      <c r="A41" s="74" t="str">
        <f t="shared" si="1"/>
        <v>Thursday</v>
      </c>
      <c r="B41" s="49">
        <v>46387.0</v>
      </c>
      <c r="C41" s="148"/>
      <c r="D41" s="201"/>
      <c r="E41" s="202"/>
      <c r="F41" s="88">
        <f t="shared" si="2"/>
        <v>0</v>
      </c>
      <c r="H41" s="91"/>
      <c r="I41" s="105"/>
      <c r="J41" s="93">
        <f>SUMIFS(D41:D89, B41:B89, H41, C41:C89, I41)</f>
        <v>0</v>
      </c>
      <c r="K41" s="94">
        <f>SUMIFS(F40:F89, B40:B89, H41, C40:C89, I41)</f>
        <v>0</v>
      </c>
      <c r="L41" s="95">
        <f t="shared" si="3"/>
        <v>0</v>
      </c>
      <c r="N41" s="108"/>
      <c r="O41" s="97">
        <f>SUMIF(H41:H89, N41, J41:J89)</f>
        <v>0</v>
      </c>
      <c r="P41" s="98">
        <f>SUMIF(H41:H89, N41, K41:K89)</f>
        <v>0</v>
      </c>
      <c r="Q41" s="99" t="str">
        <f t="shared" si="4"/>
        <v/>
      </c>
      <c r="R41" s="101">
        <f>O41*LEGEND!A40%</f>
        <v>0</v>
      </c>
      <c r="S41" s="101">
        <f t="shared" si="5"/>
        <v>0</v>
      </c>
      <c r="T41" s="101"/>
      <c r="U41" s="98">
        <f t="shared" si="6"/>
        <v>0</v>
      </c>
    </row>
    <row r="42">
      <c r="A42" s="74" t="str">
        <f t="shared" si="1"/>
        <v>Thursday</v>
      </c>
      <c r="B42" s="49">
        <v>46387.0</v>
      </c>
      <c r="C42" s="211"/>
      <c r="D42" s="201"/>
      <c r="E42" s="202"/>
      <c r="F42" s="88">
        <f t="shared" si="2"/>
        <v>0</v>
      </c>
    </row>
    <row r="43">
      <c r="A43" s="74" t="str">
        <f t="shared" si="1"/>
        <v>Thursday</v>
      </c>
      <c r="B43" s="49">
        <v>46387.0</v>
      </c>
      <c r="C43" s="211"/>
      <c r="D43" s="201"/>
      <c r="E43" s="202"/>
      <c r="F43" s="88">
        <f t="shared" si="2"/>
        <v>0</v>
      </c>
    </row>
    <row r="44">
      <c r="A44" s="74" t="str">
        <f t="shared" si="1"/>
        <v>Thursday</v>
      </c>
      <c r="B44" s="49">
        <v>46387.0</v>
      </c>
      <c r="C44" s="211"/>
      <c r="D44" s="201"/>
      <c r="E44" s="202"/>
      <c r="F44" s="88">
        <f t="shared" si="2"/>
        <v>0</v>
      </c>
    </row>
    <row r="45">
      <c r="A45" s="74" t="str">
        <f t="shared" si="1"/>
        <v>Thursday</v>
      </c>
      <c r="B45" s="49">
        <v>46387.0</v>
      </c>
      <c r="C45" s="211"/>
      <c r="D45" s="201"/>
      <c r="E45" s="202"/>
      <c r="F45" s="88">
        <f t="shared" si="2"/>
        <v>0</v>
      </c>
    </row>
    <row r="46">
      <c r="A46" s="74" t="str">
        <f t="shared" si="1"/>
        <v>Thursday</v>
      </c>
      <c r="B46" s="49">
        <v>46387.0</v>
      </c>
      <c r="C46" s="211"/>
      <c r="D46" s="201"/>
      <c r="E46" s="202"/>
      <c r="F46" s="88">
        <f t="shared" si="2"/>
        <v>0</v>
      </c>
    </row>
    <row r="47">
      <c r="A47" s="74" t="str">
        <f t="shared" si="1"/>
        <v>Thursday</v>
      </c>
      <c r="B47" s="49">
        <v>46387.0</v>
      </c>
      <c r="C47" s="211"/>
      <c r="D47" s="201"/>
      <c r="E47" s="202"/>
      <c r="F47" s="88">
        <f t="shared" si="2"/>
        <v>0</v>
      </c>
    </row>
    <row r="48">
      <c r="A48" s="74" t="str">
        <f t="shared" si="1"/>
        <v>Thursday</v>
      </c>
      <c r="B48" s="49">
        <v>46387.0</v>
      </c>
      <c r="C48" s="211"/>
      <c r="D48" s="201"/>
      <c r="E48" s="202"/>
      <c r="F48" s="88">
        <f t="shared" si="2"/>
        <v>0</v>
      </c>
    </row>
    <row r="49">
      <c r="A49" s="74" t="str">
        <f t="shared" si="1"/>
        <v>Thursday</v>
      </c>
      <c r="B49" s="49">
        <v>46387.0</v>
      </c>
      <c r="C49" s="211"/>
      <c r="D49" s="201"/>
      <c r="E49" s="202"/>
      <c r="F49" s="88">
        <f t="shared" si="2"/>
        <v>0</v>
      </c>
    </row>
    <row r="50">
      <c r="A50" s="74" t="str">
        <f t="shared" si="1"/>
        <v>Thursday</v>
      </c>
      <c r="B50" s="49">
        <v>46387.0</v>
      </c>
      <c r="C50" s="211"/>
      <c r="D50" s="201"/>
      <c r="E50" s="202"/>
      <c r="F50" s="88">
        <f t="shared" si="2"/>
        <v>0</v>
      </c>
    </row>
    <row r="51">
      <c r="A51" s="74" t="str">
        <f t="shared" si="1"/>
        <v>Thursday</v>
      </c>
      <c r="B51" s="49">
        <v>46387.0</v>
      </c>
      <c r="C51" s="211"/>
      <c r="D51" s="201"/>
      <c r="E51" s="202"/>
      <c r="F51" s="88">
        <f t="shared" si="2"/>
        <v>0</v>
      </c>
    </row>
    <row r="52">
      <c r="A52" s="74" t="str">
        <f t="shared" si="1"/>
        <v>Thursday</v>
      </c>
      <c r="B52" s="49">
        <v>46387.0</v>
      </c>
      <c r="C52" s="211"/>
      <c r="D52" s="201"/>
      <c r="E52" s="202"/>
      <c r="F52" s="88">
        <f t="shared" si="2"/>
        <v>0</v>
      </c>
    </row>
    <row r="53">
      <c r="A53" s="74" t="str">
        <f t="shared" si="1"/>
        <v>Thursday</v>
      </c>
      <c r="B53" s="49">
        <v>46387.0</v>
      </c>
      <c r="C53" s="211"/>
      <c r="D53" s="201"/>
      <c r="E53" s="202"/>
      <c r="F53" s="88">
        <f t="shared" si="2"/>
        <v>0</v>
      </c>
    </row>
    <row r="54">
      <c r="A54" s="74" t="str">
        <f t="shared" si="1"/>
        <v>Thursday</v>
      </c>
      <c r="B54" s="49">
        <v>46387.0</v>
      </c>
      <c r="C54" s="211"/>
      <c r="D54" s="201"/>
      <c r="E54" s="202"/>
      <c r="F54" s="88">
        <f t="shared" si="2"/>
        <v>0</v>
      </c>
    </row>
    <row r="55">
      <c r="A55" s="74" t="str">
        <f t="shared" si="1"/>
        <v>Thursday</v>
      </c>
      <c r="B55" s="49">
        <v>46387.0</v>
      </c>
      <c r="C55" s="211"/>
      <c r="D55" s="201"/>
      <c r="E55" s="202"/>
      <c r="F55" s="88">
        <f t="shared" si="2"/>
        <v>0</v>
      </c>
    </row>
    <row r="56">
      <c r="A56" s="74" t="str">
        <f t="shared" si="1"/>
        <v>Thursday</v>
      </c>
      <c r="B56" s="49">
        <v>46387.0</v>
      </c>
      <c r="C56" s="211"/>
      <c r="D56" s="201"/>
      <c r="E56" s="202"/>
      <c r="F56" s="88">
        <f t="shared" si="2"/>
        <v>0</v>
      </c>
    </row>
    <row r="57">
      <c r="A57" s="74" t="str">
        <f t="shared" si="1"/>
        <v>Thursday</v>
      </c>
      <c r="B57" s="49">
        <v>46387.0</v>
      </c>
      <c r="C57" s="211"/>
      <c r="D57" s="201"/>
      <c r="E57" s="202"/>
      <c r="F57" s="88">
        <f t="shared" si="2"/>
        <v>0</v>
      </c>
    </row>
    <row r="58">
      <c r="A58" s="74" t="str">
        <f t="shared" si="1"/>
        <v>Thursday</v>
      </c>
      <c r="B58" s="49">
        <v>46387.0</v>
      </c>
      <c r="C58" s="211"/>
      <c r="D58" s="201"/>
      <c r="E58" s="202"/>
      <c r="F58" s="88">
        <f t="shared" si="2"/>
        <v>0</v>
      </c>
    </row>
    <row r="59">
      <c r="A59" s="74" t="str">
        <f t="shared" si="1"/>
        <v>Thursday</v>
      </c>
      <c r="B59" s="49">
        <v>46387.0</v>
      </c>
      <c r="C59" s="211"/>
      <c r="D59" s="201"/>
      <c r="E59" s="202"/>
      <c r="F59" s="88">
        <f t="shared" si="2"/>
        <v>0</v>
      </c>
    </row>
    <row r="60">
      <c r="A60" s="74" t="str">
        <f t="shared" si="1"/>
        <v>Thursday</v>
      </c>
      <c r="B60" s="49">
        <v>46387.0</v>
      </c>
      <c r="C60" s="211"/>
      <c r="D60" s="201"/>
      <c r="E60" s="202"/>
      <c r="F60" s="88">
        <f t="shared" si="2"/>
        <v>0</v>
      </c>
    </row>
    <row r="61">
      <c r="A61" s="74" t="str">
        <f t="shared" si="1"/>
        <v>Thursday</v>
      </c>
      <c r="B61" s="49">
        <v>46387.0</v>
      </c>
      <c r="C61" s="211"/>
      <c r="D61" s="201"/>
      <c r="E61" s="202"/>
      <c r="F61" s="88">
        <f t="shared" si="2"/>
        <v>0</v>
      </c>
    </row>
    <row r="62">
      <c r="A62" s="74" t="str">
        <f t="shared" si="1"/>
        <v>Thursday</v>
      </c>
      <c r="B62" s="49">
        <v>46387.0</v>
      </c>
      <c r="C62" s="211"/>
      <c r="D62" s="201"/>
      <c r="E62" s="202"/>
      <c r="F62" s="88">
        <f t="shared" si="2"/>
        <v>0</v>
      </c>
    </row>
    <row r="63">
      <c r="A63" s="74" t="str">
        <f t="shared" si="1"/>
        <v>Thursday</v>
      </c>
      <c r="B63" s="49">
        <v>46387.0</v>
      </c>
      <c r="C63" s="211"/>
      <c r="D63" s="201"/>
      <c r="E63" s="202"/>
      <c r="F63" s="88">
        <f t="shared" si="2"/>
        <v>0</v>
      </c>
    </row>
    <row r="64">
      <c r="A64" s="74" t="str">
        <f t="shared" si="1"/>
        <v>Thursday</v>
      </c>
      <c r="B64" s="49">
        <v>46387.0</v>
      </c>
      <c r="C64" s="211"/>
      <c r="D64" s="201"/>
      <c r="E64" s="202"/>
      <c r="F64" s="88">
        <f t="shared" si="2"/>
        <v>0</v>
      </c>
    </row>
    <row r="65">
      <c r="A65" s="74" t="str">
        <f t="shared" si="1"/>
        <v>Thursday</v>
      </c>
      <c r="B65" s="49">
        <v>46387.0</v>
      </c>
      <c r="C65" s="211"/>
      <c r="D65" s="201"/>
      <c r="E65" s="202"/>
      <c r="F65" s="88">
        <f t="shared" si="2"/>
        <v>0</v>
      </c>
    </row>
    <row r="66">
      <c r="A66" s="74" t="str">
        <f t="shared" si="1"/>
        <v>Thursday</v>
      </c>
      <c r="B66" s="49">
        <v>46387.0</v>
      </c>
      <c r="C66" s="211"/>
      <c r="D66" s="201"/>
      <c r="E66" s="202"/>
      <c r="F66" s="88">
        <f t="shared" si="2"/>
        <v>0</v>
      </c>
    </row>
    <row r="67">
      <c r="A67" s="74" t="str">
        <f t="shared" si="1"/>
        <v>Thursday</v>
      </c>
      <c r="B67" s="49">
        <v>46387.0</v>
      </c>
      <c r="C67" s="211"/>
      <c r="D67" s="201"/>
      <c r="E67" s="202"/>
      <c r="F67" s="88">
        <f t="shared" si="2"/>
        <v>0</v>
      </c>
    </row>
    <row r="68">
      <c r="A68" s="74" t="str">
        <f t="shared" si="1"/>
        <v>Thursday</v>
      </c>
      <c r="B68" s="49">
        <v>46387.0</v>
      </c>
      <c r="C68" s="211"/>
      <c r="D68" s="201"/>
      <c r="E68" s="202"/>
      <c r="F68" s="88">
        <f t="shared" si="2"/>
        <v>0</v>
      </c>
    </row>
    <row r="69">
      <c r="A69" s="74" t="str">
        <f t="shared" si="1"/>
        <v>Thursday</v>
      </c>
      <c r="B69" s="49">
        <v>46387.0</v>
      </c>
      <c r="C69" s="211"/>
      <c r="D69" s="201"/>
      <c r="E69" s="202"/>
      <c r="F69" s="88">
        <f t="shared" si="2"/>
        <v>0</v>
      </c>
    </row>
    <row r="70">
      <c r="A70" s="74" t="str">
        <f t="shared" si="1"/>
        <v>Thursday</v>
      </c>
      <c r="B70" s="49">
        <v>46387.0</v>
      </c>
      <c r="C70" s="211"/>
      <c r="D70" s="201"/>
      <c r="E70" s="202"/>
      <c r="F70" s="88">
        <f t="shared" si="2"/>
        <v>0</v>
      </c>
    </row>
    <row r="71">
      <c r="A71" s="74" t="str">
        <f t="shared" si="1"/>
        <v>Thursday</v>
      </c>
      <c r="B71" s="49">
        <v>46387.0</v>
      </c>
      <c r="C71" s="211"/>
      <c r="D71" s="201"/>
      <c r="E71" s="202"/>
      <c r="F71" s="88">
        <f t="shared" si="2"/>
        <v>0</v>
      </c>
    </row>
    <row r="72">
      <c r="A72" s="74" t="str">
        <f t="shared" si="1"/>
        <v>Thursday</v>
      </c>
      <c r="B72" s="49">
        <v>46387.0</v>
      </c>
      <c r="C72" s="211"/>
      <c r="D72" s="201"/>
      <c r="E72" s="202"/>
      <c r="F72" s="88">
        <f t="shared" si="2"/>
        <v>0</v>
      </c>
    </row>
    <row r="73">
      <c r="A73" s="74" t="str">
        <f t="shared" si="1"/>
        <v>Thursday</v>
      </c>
      <c r="B73" s="49">
        <v>46387.0</v>
      </c>
      <c r="C73" s="211"/>
      <c r="D73" s="201"/>
      <c r="E73" s="202"/>
      <c r="F73" s="88">
        <f t="shared" si="2"/>
        <v>0</v>
      </c>
    </row>
    <row r="74">
      <c r="A74" s="74" t="str">
        <f t="shared" si="1"/>
        <v>Thursday</v>
      </c>
      <c r="B74" s="49">
        <v>46387.0</v>
      </c>
      <c r="C74" s="211"/>
      <c r="D74" s="201"/>
      <c r="E74" s="202"/>
      <c r="F74" s="88">
        <f t="shared" si="2"/>
        <v>0</v>
      </c>
    </row>
    <row r="75">
      <c r="A75" s="74" t="str">
        <f t="shared" si="1"/>
        <v>Thursday</v>
      </c>
      <c r="B75" s="49">
        <v>46387.0</v>
      </c>
      <c r="C75" s="211"/>
      <c r="D75" s="201"/>
      <c r="E75" s="202"/>
      <c r="F75" s="88">
        <f t="shared" si="2"/>
        <v>0</v>
      </c>
    </row>
    <row r="76">
      <c r="A76" s="74" t="str">
        <f t="shared" si="1"/>
        <v>Thursday</v>
      </c>
      <c r="B76" s="49">
        <v>46387.0</v>
      </c>
      <c r="C76" s="211"/>
      <c r="D76" s="201"/>
      <c r="E76" s="202"/>
      <c r="F76" s="88">
        <f t="shared" si="2"/>
        <v>0</v>
      </c>
    </row>
    <row r="77">
      <c r="A77" s="74" t="str">
        <f t="shared" si="1"/>
        <v>Thursday</v>
      </c>
      <c r="B77" s="49">
        <v>46387.0</v>
      </c>
      <c r="C77" s="211"/>
      <c r="D77" s="201"/>
      <c r="E77" s="202"/>
      <c r="F77" s="88">
        <f t="shared" si="2"/>
        <v>0</v>
      </c>
    </row>
    <row r="78">
      <c r="A78" s="74" t="str">
        <f t="shared" si="1"/>
        <v>Thursday</v>
      </c>
      <c r="B78" s="49">
        <v>46387.0</v>
      </c>
      <c r="C78" s="211"/>
      <c r="D78" s="201"/>
      <c r="E78" s="202"/>
      <c r="F78" s="88">
        <f t="shared" si="2"/>
        <v>0</v>
      </c>
    </row>
    <row r="79">
      <c r="A79" s="74" t="str">
        <f t="shared" si="1"/>
        <v>Thursday</v>
      </c>
      <c r="B79" s="49">
        <v>46387.0</v>
      </c>
      <c r="C79" s="211"/>
      <c r="D79" s="201"/>
      <c r="E79" s="202"/>
      <c r="F79" s="88">
        <f t="shared" si="2"/>
        <v>0</v>
      </c>
    </row>
    <row r="80">
      <c r="A80" s="74" t="str">
        <f t="shared" si="1"/>
        <v>Thursday</v>
      </c>
      <c r="B80" s="49">
        <v>46387.0</v>
      </c>
      <c r="C80" s="211"/>
      <c r="D80" s="201"/>
      <c r="E80" s="202"/>
      <c r="F80" s="88">
        <f t="shared" si="2"/>
        <v>0</v>
      </c>
    </row>
    <row r="81">
      <c r="A81" s="74" t="str">
        <f t="shared" si="1"/>
        <v>Thursday</v>
      </c>
      <c r="B81" s="49">
        <v>46387.0</v>
      </c>
      <c r="C81" s="211"/>
      <c r="D81" s="201"/>
      <c r="E81" s="202"/>
      <c r="F81" s="88">
        <f t="shared" si="2"/>
        <v>0</v>
      </c>
    </row>
    <row r="82">
      <c r="A82" s="74" t="str">
        <f t="shared" si="1"/>
        <v>Thursday</v>
      </c>
      <c r="B82" s="49">
        <v>46387.0</v>
      </c>
      <c r="C82" s="211"/>
      <c r="D82" s="201"/>
      <c r="E82" s="202"/>
      <c r="F82" s="88">
        <f t="shared" si="2"/>
        <v>0</v>
      </c>
    </row>
    <row r="83">
      <c r="A83" s="74" t="str">
        <f t="shared" si="1"/>
        <v>Thursday</v>
      </c>
      <c r="B83" s="49">
        <v>46387.0</v>
      </c>
      <c r="C83" s="211"/>
      <c r="D83" s="201"/>
      <c r="E83" s="202"/>
      <c r="F83" s="88">
        <f t="shared" si="2"/>
        <v>0</v>
      </c>
    </row>
    <row r="84">
      <c r="A84" s="74" t="str">
        <f t="shared" si="1"/>
        <v>Thursday</v>
      </c>
      <c r="B84" s="49">
        <v>46387.0</v>
      </c>
      <c r="C84" s="211"/>
      <c r="D84" s="201"/>
      <c r="E84" s="202"/>
      <c r="F84" s="88">
        <f t="shared" si="2"/>
        <v>0</v>
      </c>
    </row>
    <row r="85">
      <c r="A85" s="74" t="str">
        <f t="shared" si="1"/>
        <v>Thursday</v>
      </c>
      <c r="B85" s="49">
        <v>46387.0</v>
      </c>
      <c r="C85" s="211"/>
      <c r="D85" s="201"/>
      <c r="E85" s="202"/>
      <c r="F85" s="88">
        <f t="shared" si="2"/>
        <v>0</v>
      </c>
    </row>
    <row r="86">
      <c r="A86" s="74" t="str">
        <f t="shared" si="1"/>
        <v>Thursday</v>
      </c>
      <c r="B86" s="49">
        <v>46387.0</v>
      </c>
      <c r="C86" s="211"/>
      <c r="D86" s="201"/>
      <c r="E86" s="202"/>
      <c r="F86" s="88">
        <f t="shared" si="2"/>
        <v>0</v>
      </c>
    </row>
    <row r="87">
      <c r="A87" s="74" t="str">
        <f t="shared" si="1"/>
        <v>Thursday</v>
      </c>
      <c r="B87" s="49">
        <v>46387.0</v>
      </c>
      <c r="C87" s="211"/>
      <c r="D87" s="201"/>
      <c r="E87" s="202"/>
      <c r="F87" s="88">
        <f t="shared" si="2"/>
        <v>0</v>
      </c>
    </row>
    <row r="88">
      <c r="A88" s="74" t="str">
        <f t="shared" si="1"/>
        <v>Thursday</v>
      </c>
      <c r="B88" s="49">
        <v>46387.0</v>
      </c>
      <c r="C88" s="211"/>
      <c r="D88" s="201"/>
      <c r="E88" s="202"/>
      <c r="F88" s="88">
        <f t="shared" si="2"/>
        <v>0</v>
      </c>
    </row>
    <row r="89">
      <c r="A89" s="74" t="str">
        <f t="shared" si="1"/>
        <v>Thursday</v>
      </c>
      <c r="B89" s="49">
        <v>46387.0</v>
      </c>
      <c r="C89" s="211"/>
      <c r="D89" s="201"/>
      <c r="E89" s="202"/>
      <c r="F89" s="88">
        <f t="shared" si="2"/>
        <v>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3" width="15.75"/>
    <col customWidth="1" min="4" max="4" width="17.13"/>
    <col customWidth="1" min="5" max="5" width="19.88"/>
    <col customWidth="1" min="6" max="6" width="22.88"/>
    <col customWidth="1" min="7" max="7" width="13.38"/>
    <col customWidth="1" min="8" max="8" width="23.25"/>
    <col customWidth="1" min="9" max="9" width="12.13"/>
    <col customWidth="1" min="10" max="12" width="20.13"/>
    <col customWidth="1" min="13" max="13" width="18.88"/>
    <col customWidth="1" min="14" max="14" width="27.38"/>
    <col customWidth="1" min="15" max="15" width="14.38"/>
    <col customWidth="1" min="16" max="16" width="19.38"/>
    <col customWidth="1" min="17" max="17" width="2.5"/>
  </cols>
  <sheetData>
    <row r="1">
      <c r="A1" s="252" t="s">
        <v>85</v>
      </c>
      <c r="B1" s="125"/>
      <c r="C1" s="126"/>
      <c r="D1" s="4" t="s">
        <v>6</v>
      </c>
      <c r="E1" s="10"/>
      <c r="F1" s="10"/>
      <c r="G1" s="10"/>
      <c r="H1" s="10"/>
      <c r="I1" s="10"/>
      <c r="J1" s="10"/>
      <c r="K1" s="10"/>
      <c r="L1" s="10"/>
      <c r="M1" s="13" t="s">
        <v>57</v>
      </c>
      <c r="O1" s="13"/>
      <c r="P1" s="13"/>
      <c r="Q1" s="42"/>
    </row>
    <row r="2">
      <c r="A2" s="82" t="s">
        <v>2</v>
      </c>
      <c r="B2" s="82" t="s">
        <v>4</v>
      </c>
      <c r="C2" s="82" t="s">
        <v>42</v>
      </c>
      <c r="D2" s="8" t="s">
        <v>7</v>
      </c>
      <c r="E2" s="11" t="s">
        <v>31</v>
      </c>
      <c r="F2" s="11" t="s">
        <v>10</v>
      </c>
      <c r="G2" s="11" t="s">
        <v>35</v>
      </c>
      <c r="H2" s="11" t="s">
        <v>13</v>
      </c>
      <c r="I2" s="5" t="s">
        <v>59</v>
      </c>
      <c r="J2" s="5" t="s">
        <v>60</v>
      </c>
      <c r="K2" s="127"/>
      <c r="L2" s="127" t="s">
        <v>18</v>
      </c>
      <c r="M2" s="238" t="s">
        <v>27</v>
      </c>
      <c r="N2" s="239" t="s">
        <v>61</v>
      </c>
      <c r="O2" s="130"/>
      <c r="P2" s="130"/>
      <c r="Q2" s="42"/>
    </row>
    <row r="3">
      <c r="A3" s="74" t="str">
        <f t="shared" ref="A3:A32" si="1">IF(ISBLANK(B3),"",TEXT(B3,"dddd"))</f>
        <v>Tuesday</v>
      </c>
      <c r="B3" s="49">
        <v>46266.0</v>
      </c>
      <c r="C3" s="142">
        <v>1.0</v>
      </c>
      <c r="D3" s="240"/>
      <c r="E3" s="151" t="str">
        <f>IFERROR(__xludf.DUMMYFUNCTION("IFERROR(
  FILTER(
    INDIRECT(""'BUY_""&amp;D3&amp;""'!$L$2:$L$99""),
    INDIRECT(""'BUY_""&amp;D3&amp;""'!$H$2:$H$99"")=B3,
    INDIRECT(""'BUY_""&amp;D3&amp;""'!$I$2:$I$99"")=C3
  ),
  ""-""
)"),"-")</f>
        <v>-</v>
      </c>
      <c r="F3" s="241" t="str">
        <f t="shared" ref="F3:F33" si="2">IFERROR(VALUE(E3)*VALUE(D3), "-")</f>
        <v>-</v>
      </c>
      <c r="G3" s="151"/>
      <c r="H3" s="167">
        <f t="shared" ref="H3:H33" si="3">IFERROR(VALUE(G3)*VALUE(D3), "-")</f>
        <v>0</v>
      </c>
      <c r="I3" s="100">
        <v>0.0</v>
      </c>
      <c r="J3" s="136" t="str">
        <f t="shared" ref="J3:J33" si="4">IF(OR(I3="-", F3="-", I3="", F3=""), "-", VALUE(I3)%*VALUE(F3))</f>
        <v>-</v>
      </c>
      <c r="K3" s="136" t="str">
        <f t="shared" ref="K3:K33" si="5">IF(OR(H3="-", F3="-", H3="", F3=""), "-", VALUE(H3)-VALUE(F3))</f>
        <v>-</v>
      </c>
      <c r="L3" s="137" t="str">
        <f t="shared" ref="L3:L33" si="6">IF(OR(H3="-", F3="-", J3="-", H3="", F3="", J3=""), "-", VALUE(H3)-VALUE(F3)-VALUE(J3))</f>
        <v>-</v>
      </c>
      <c r="M3" s="242">
        <f t="array" ref="M3:M33">UNIQUE(B3:B100)</f>
        <v>46266</v>
      </c>
      <c r="N3" s="243">
        <f t="shared" ref="N3:N33" si="7">SUMIF(B2:B99, M3, L2:L99)</f>
        <v>0</v>
      </c>
      <c r="O3" s="140"/>
      <c r="P3" s="141"/>
      <c r="Q3" s="42"/>
    </row>
    <row r="4">
      <c r="A4" s="74" t="str">
        <f t="shared" si="1"/>
        <v>Wednesday</v>
      </c>
      <c r="B4" s="49">
        <v>46267.0</v>
      </c>
      <c r="C4" s="142">
        <v>2.0</v>
      </c>
      <c r="D4" s="240"/>
      <c r="E4" s="151" t="str">
        <f>IFERROR(__xludf.DUMMYFUNCTION("IFERROR(
  FILTER(
    INDIRECT(""'BUY_""&amp;D4&amp;""'!$L$2:$L$99""),
    INDIRECT(""'BUY_""&amp;D4&amp;""'!$H$2:$H$99"")=B4,
    INDIRECT(""'BUY_""&amp;D4&amp;""'!$I$2:$I$99"")=C4
  ),
  ""-""
)"),"-")</f>
        <v>-</v>
      </c>
      <c r="F4" s="241" t="str">
        <f t="shared" si="2"/>
        <v>-</v>
      </c>
      <c r="G4" s="151"/>
      <c r="H4" s="167">
        <f t="shared" si="3"/>
        <v>0</v>
      </c>
      <c r="I4" s="100">
        <v>0.0</v>
      </c>
      <c r="J4" s="136" t="str">
        <f t="shared" si="4"/>
        <v>-</v>
      </c>
      <c r="K4" s="136" t="str">
        <f t="shared" si="5"/>
        <v>-</v>
      </c>
      <c r="L4" s="137" t="str">
        <f t="shared" si="6"/>
        <v>-</v>
      </c>
      <c r="M4" s="242">
        <v>46267.0</v>
      </c>
      <c r="N4" s="244">
        <f t="shared" si="7"/>
        <v>0</v>
      </c>
      <c r="O4" s="140"/>
      <c r="P4" s="141"/>
      <c r="Q4" s="13"/>
    </row>
    <row r="5">
      <c r="A5" s="74" t="str">
        <f t="shared" si="1"/>
        <v>Thursday</v>
      </c>
      <c r="B5" s="49">
        <v>46268.0</v>
      </c>
      <c r="C5" s="253">
        <v>3.0</v>
      </c>
      <c r="D5" s="240"/>
      <c r="E5" s="151" t="str">
        <f>IFERROR(__xludf.DUMMYFUNCTION("IFERROR(
  FILTER(
    INDIRECT(""'BUY_""&amp;D5&amp;""'!$L$2:$L$99""),
    INDIRECT(""'BUY_""&amp;D5&amp;""'!$H$2:$H$99"")=B5,
    INDIRECT(""'BUY_""&amp;D5&amp;""'!$I$2:$I$99"")=C5
  ),
  ""-""
)"),"-")</f>
        <v>-</v>
      </c>
      <c r="F5" s="241" t="str">
        <f t="shared" si="2"/>
        <v>-</v>
      </c>
      <c r="G5" s="151"/>
      <c r="H5" s="167">
        <f t="shared" si="3"/>
        <v>0</v>
      </c>
      <c r="I5" s="100">
        <v>0.0</v>
      </c>
      <c r="J5" s="136" t="str">
        <f t="shared" si="4"/>
        <v>-</v>
      </c>
      <c r="K5" s="136" t="str">
        <f t="shared" si="5"/>
        <v>-</v>
      </c>
      <c r="L5" s="137" t="str">
        <f t="shared" si="6"/>
        <v>-</v>
      </c>
      <c r="M5" s="242">
        <v>46268.0</v>
      </c>
      <c r="N5" s="243">
        <f t="shared" si="7"/>
        <v>0</v>
      </c>
      <c r="O5" s="140"/>
      <c r="P5" s="141"/>
      <c r="Q5" s="13"/>
    </row>
    <row r="6">
      <c r="A6" s="74" t="str">
        <f t="shared" si="1"/>
        <v>Friday</v>
      </c>
      <c r="B6" s="49">
        <v>46269.0</v>
      </c>
      <c r="C6" s="142">
        <v>1.0</v>
      </c>
      <c r="D6" s="240"/>
      <c r="E6" s="151" t="str">
        <f>IFERROR(__xludf.DUMMYFUNCTION("IFERROR(
  FILTER(
    INDIRECT(""'BUY_""&amp;D6&amp;""'!$L$2:$L$99""),
    INDIRECT(""'BUY_""&amp;D6&amp;""'!$H$2:$H$99"")=B6,
    INDIRECT(""'BUY_""&amp;D6&amp;""'!$I$2:$I$99"")=C6
  ),
  ""-""
)"),"-")</f>
        <v>-</v>
      </c>
      <c r="F6" s="241" t="str">
        <f t="shared" si="2"/>
        <v>-</v>
      </c>
      <c r="G6" s="151"/>
      <c r="H6" s="167">
        <f t="shared" si="3"/>
        <v>0</v>
      </c>
      <c r="I6" s="100">
        <v>0.0</v>
      </c>
      <c r="J6" s="136" t="str">
        <f t="shared" si="4"/>
        <v>-</v>
      </c>
      <c r="K6" s="136" t="str">
        <f t="shared" si="5"/>
        <v>-</v>
      </c>
      <c r="L6" s="137" t="str">
        <f t="shared" si="6"/>
        <v>-</v>
      </c>
      <c r="M6" s="242">
        <v>46269.0</v>
      </c>
      <c r="N6" s="245">
        <f t="shared" si="7"/>
        <v>0</v>
      </c>
      <c r="O6" s="140"/>
      <c r="P6" s="141"/>
    </row>
    <row r="7">
      <c r="A7" s="74" t="str">
        <f t="shared" si="1"/>
        <v>Saturday</v>
      </c>
      <c r="B7" s="49">
        <v>46270.0</v>
      </c>
      <c r="C7" s="142">
        <v>2.0</v>
      </c>
      <c r="D7" s="240"/>
      <c r="E7" s="151" t="str">
        <f>IFERROR(__xludf.DUMMYFUNCTION("IFERROR(
  FILTER(
    INDIRECT(""'BUY_""&amp;D7&amp;""'!$L$2:$L$99""),
    INDIRECT(""'BUY_""&amp;D7&amp;""'!$H$2:$H$99"")=B7,
    INDIRECT(""'BUY_""&amp;D7&amp;""'!$I$2:$I$99"")=C7
  ),
  ""-""
)"),"-")</f>
        <v>-</v>
      </c>
      <c r="F7" s="241" t="str">
        <f t="shared" si="2"/>
        <v>-</v>
      </c>
      <c r="G7" s="151"/>
      <c r="H7" s="167">
        <f t="shared" si="3"/>
        <v>0</v>
      </c>
      <c r="I7" s="100">
        <v>0.0</v>
      </c>
      <c r="J7" s="136" t="str">
        <f t="shared" si="4"/>
        <v>-</v>
      </c>
      <c r="K7" s="136" t="str">
        <f t="shared" si="5"/>
        <v>-</v>
      </c>
      <c r="L7" s="137" t="str">
        <f t="shared" si="6"/>
        <v>-</v>
      </c>
      <c r="M7" s="246">
        <v>46270.0</v>
      </c>
      <c r="N7" s="245">
        <f t="shared" si="7"/>
        <v>0</v>
      </c>
      <c r="O7" s="140"/>
      <c r="P7" s="141"/>
    </row>
    <row r="8">
      <c r="A8" s="74" t="str">
        <f t="shared" si="1"/>
        <v>Sunday</v>
      </c>
      <c r="B8" s="49">
        <v>46271.0</v>
      </c>
      <c r="C8" s="148">
        <v>1.0</v>
      </c>
      <c r="D8" s="247"/>
      <c r="E8" s="151" t="str">
        <f>IFERROR(__xludf.DUMMYFUNCTION("IFERROR(
  FILTER(
    INDIRECT(""'BUY_""&amp;D8&amp;""'!$L$2:$L$99""),
    INDIRECT(""'BUY_""&amp;D8&amp;""'!$H$2:$H$99"")=B8,
    INDIRECT(""'BUY_""&amp;D8&amp;""'!$I$2:$I$99"")=C8
  ),
  ""-""
)"),"-")</f>
        <v>-</v>
      </c>
      <c r="F8" s="241" t="str">
        <f t="shared" si="2"/>
        <v>-</v>
      </c>
      <c r="G8" s="248"/>
      <c r="H8" s="167">
        <f t="shared" si="3"/>
        <v>0</v>
      </c>
      <c r="I8" s="100">
        <v>0.0</v>
      </c>
      <c r="J8" s="136" t="str">
        <f t="shared" si="4"/>
        <v>-</v>
      </c>
      <c r="K8" s="136" t="str">
        <f t="shared" si="5"/>
        <v>-</v>
      </c>
      <c r="L8" s="137" t="str">
        <f t="shared" si="6"/>
        <v>-</v>
      </c>
      <c r="M8" s="249">
        <v>46271.0</v>
      </c>
      <c r="N8" s="245">
        <f t="shared" si="7"/>
        <v>0</v>
      </c>
    </row>
    <row r="9">
      <c r="A9" s="74" t="str">
        <f t="shared" si="1"/>
        <v>Monday</v>
      </c>
      <c r="B9" s="49">
        <v>46272.0</v>
      </c>
      <c r="C9" s="148">
        <v>2.0</v>
      </c>
      <c r="D9" s="247"/>
      <c r="E9" s="151" t="str">
        <f>IFERROR(__xludf.DUMMYFUNCTION("IFERROR(
  FILTER(
    INDIRECT(""'BUY_""&amp;D9&amp;""'!$L$2:$L$99""),
    INDIRECT(""'BUY_""&amp;D9&amp;""'!$H$2:$H$99"")=B9,
    INDIRECT(""'BUY_""&amp;D9&amp;""'!$I$2:$I$99"")=C9
  ),
  ""-""
)"),"-")</f>
        <v>-</v>
      </c>
      <c r="F9" s="241" t="str">
        <f t="shared" si="2"/>
        <v>-</v>
      </c>
      <c r="G9" s="248"/>
      <c r="H9" s="167">
        <f t="shared" si="3"/>
        <v>0</v>
      </c>
      <c r="I9" s="100">
        <v>0.0</v>
      </c>
      <c r="J9" s="136" t="str">
        <f t="shared" si="4"/>
        <v>-</v>
      </c>
      <c r="K9" s="136" t="str">
        <f t="shared" si="5"/>
        <v>-</v>
      </c>
      <c r="L9" s="137" t="str">
        <f t="shared" si="6"/>
        <v>-</v>
      </c>
      <c r="M9" s="249">
        <v>46272.0</v>
      </c>
      <c r="N9" s="245">
        <f t="shared" si="7"/>
        <v>0</v>
      </c>
    </row>
    <row r="10">
      <c r="A10" s="74" t="str">
        <f t="shared" si="1"/>
        <v>Tuesday</v>
      </c>
      <c r="B10" s="49">
        <v>46273.0</v>
      </c>
      <c r="C10" s="148">
        <v>3.0</v>
      </c>
      <c r="D10" s="247"/>
      <c r="E10" s="151" t="str">
        <f>IFERROR(__xludf.DUMMYFUNCTION("IFERROR(
  FILTER(
    INDIRECT(""'BUY_""&amp;D10&amp;""'!$L$2:$L$99""),
    INDIRECT(""'BUY_""&amp;D10&amp;""'!$H$2:$H$99"")=B10,
    INDIRECT(""'BUY_""&amp;D10&amp;""'!$I$2:$I$99"")=C10
  ),
  ""-""
)"),"-")</f>
        <v>-</v>
      </c>
      <c r="F10" s="241" t="str">
        <f t="shared" si="2"/>
        <v>-</v>
      </c>
      <c r="G10" s="248"/>
      <c r="H10" s="167">
        <f t="shared" si="3"/>
        <v>0</v>
      </c>
      <c r="I10" s="100">
        <v>0.0</v>
      </c>
      <c r="J10" s="136" t="str">
        <f t="shared" si="4"/>
        <v>-</v>
      </c>
      <c r="K10" s="136" t="str">
        <f t="shared" si="5"/>
        <v>-</v>
      </c>
      <c r="L10" s="137" t="str">
        <f t="shared" si="6"/>
        <v>-</v>
      </c>
      <c r="M10" s="249">
        <v>46273.0</v>
      </c>
      <c r="N10" s="245">
        <f t="shared" si="7"/>
        <v>0</v>
      </c>
    </row>
    <row r="11">
      <c r="A11" s="74" t="str">
        <f t="shared" si="1"/>
        <v>Wednesday</v>
      </c>
      <c r="B11" s="49">
        <v>46274.0</v>
      </c>
      <c r="C11" s="148">
        <v>4.0</v>
      </c>
      <c r="D11" s="247"/>
      <c r="E11" s="151" t="str">
        <f>IFERROR(__xludf.DUMMYFUNCTION("IFERROR(
  FILTER(
    INDIRECT(""'BUY_""&amp;D11&amp;""'!$L$2:$L$99""),
    INDIRECT(""'BUY_""&amp;D11&amp;""'!$H$2:$H$99"")=B11,
    INDIRECT(""'BUY_""&amp;D11&amp;""'!$I$2:$I$99"")=C11
  ),
  ""-""
)"),"-")</f>
        <v>-</v>
      </c>
      <c r="F11" s="241" t="str">
        <f t="shared" si="2"/>
        <v>-</v>
      </c>
      <c r="G11" s="248"/>
      <c r="H11" s="167">
        <f t="shared" si="3"/>
        <v>0</v>
      </c>
      <c r="I11" s="100">
        <v>0.0</v>
      </c>
      <c r="J11" s="136" t="str">
        <f t="shared" si="4"/>
        <v>-</v>
      </c>
      <c r="K11" s="136" t="str">
        <f t="shared" si="5"/>
        <v>-</v>
      </c>
      <c r="L11" s="137" t="str">
        <f t="shared" si="6"/>
        <v>-</v>
      </c>
      <c r="M11" s="249">
        <v>46274.0</v>
      </c>
      <c r="N11" s="245">
        <f t="shared" si="7"/>
        <v>0</v>
      </c>
    </row>
    <row r="12">
      <c r="A12" s="74" t="str">
        <f t="shared" si="1"/>
        <v>Thursday</v>
      </c>
      <c r="B12" s="49">
        <v>46275.0</v>
      </c>
      <c r="C12" s="148">
        <v>5.0</v>
      </c>
      <c r="D12" s="247"/>
      <c r="E12" s="151" t="str">
        <f>IFERROR(__xludf.DUMMYFUNCTION("IFERROR(
  FILTER(
    INDIRECT(""'BUY_""&amp;D12&amp;""'!$L$2:$L$99""),
    INDIRECT(""'BUY_""&amp;D12&amp;""'!$H$2:$H$99"")=B12,
    INDIRECT(""'BUY_""&amp;D12&amp;""'!$I$2:$I$99"")=C12
  ),
  ""-""
)"),"-")</f>
        <v>-</v>
      </c>
      <c r="F12" s="241" t="str">
        <f t="shared" si="2"/>
        <v>-</v>
      </c>
      <c r="G12" s="248"/>
      <c r="H12" s="167">
        <f t="shared" si="3"/>
        <v>0</v>
      </c>
      <c r="I12" s="100">
        <v>0.0</v>
      </c>
      <c r="J12" s="136" t="str">
        <f t="shared" si="4"/>
        <v>-</v>
      </c>
      <c r="K12" s="136" t="str">
        <f t="shared" si="5"/>
        <v>-</v>
      </c>
      <c r="L12" s="137" t="str">
        <f t="shared" si="6"/>
        <v>-</v>
      </c>
      <c r="M12" s="249">
        <v>46275.0</v>
      </c>
      <c r="N12" s="245">
        <f t="shared" si="7"/>
        <v>0</v>
      </c>
    </row>
    <row r="13">
      <c r="A13" s="74" t="str">
        <f t="shared" si="1"/>
        <v>Friday</v>
      </c>
      <c r="B13" s="49">
        <v>46276.0</v>
      </c>
      <c r="C13" s="148">
        <v>5.0</v>
      </c>
      <c r="D13" s="247"/>
      <c r="E13" s="151" t="str">
        <f>IFERROR(__xludf.DUMMYFUNCTION("IFERROR(
  FILTER(
    INDIRECT(""'BUY_""&amp;D13&amp;""'!$L$2:$L$99""),
    INDIRECT(""'BUY_""&amp;D13&amp;""'!$H$2:$H$99"")=B13,
    INDIRECT(""'BUY_""&amp;D13&amp;""'!$I$2:$I$99"")=C13
  ),
  ""-""
)"),"-")</f>
        <v>-</v>
      </c>
      <c r="F13" s="241" t="str">
        <f t="shared" si="2"/>
        <v>-</v>
      </c>
      <c r="G13" s="248"/>
      <c r="H13" s="167">
        <f t="shared" si="3"/>
        <v>0</v>
      </c>
      <c r="I13" s="100">
        <v>0.0</v>
      </c>
      <c r="J13" s="136" t="str">
        <f t="shared" si="4"/>
        <v>-</v>
      </c>
      <c r="K13" s="136" t="str">
        <f t="shared" si="5"/>
        <v>-</v>
      </c>
      <c r="L13" s="137" t="str">
        <f t="shared" si="6"/>
        <v>-</v>
      </c>
      <c r="M13" s="249">
        <v>46276.0</v>
      </c>
      <c r="N13" s="245">
        <f t="shared" si="7"/>
        <v>0</v>
      </c>
    </row>
    <row r="14">
      <c r="A14" s="74" t="str">
        <f t="shared" si="1"/>
        <v>Saturday</v>
      </c>
      <c r="B14" s="49">
        <v>46277.0</v>
      </c>
      <c r="C14" s="148">
        <v>5.0</v>
      </c>
      <c r="D14" s="247"/>
      <c r="E14" s="151" t="str">
        <f>IFERROR(__xludf.DUMMYFUNCTION("IFERROR(
  FILTER(
    INDIRECT(""'BUY_""&amp;D14&amp;""'!$L$2:$L$99""),
    INDIRECT(""'BUY_""&amp;D14&amp;""'!$H$2:$H$99"")=B14,
    INDIRECT(""'BUY_""&amp;D14&amp;""'!$I$2:$I$99"")=C14
  ),
  ""-""
)"),"-")</f>
        <v>-</v>
      </c>
      <c r="F14" s="241" t="str">
        <f t="shared" si="2"/>
        <v>-</v>
      </c>
      <c r="G14" s="248"/>
      <c r="H14" s="167">
        <f t="shared" si="3"/>
        <v>0</v>
      </c>
      <c r="I14" s="100">
        <v>0.0</v>
      </c>
      <c r="J14" s="136" t="str">
        <f t="shared" si="4"/>
        <v>-</v>
      </c>
      <c r="K14" s="136" t="str">
        <f t="shared" si="5"/>
        <v>-</v>
      </c>
      <c r="L14" s="137" t="str">
        <f t="shared" si="6"/>
        <v>-</v>
      </c>
      <c r="M14" s="249">
        <v>46277.0</v>
      </c>
      <c r="N14" s="245">
        <f t="shared" si="7"/>
        <v>0</v>
      </c>
    </row>
    <row r="15">
      <c r="A15" s="74" t="str">
        <f t="shared" si="1"/>
        <v>Sunday</v>
      </c>
      <c r="B15" s="49">
        <v>46278.0</v>
      </c>
      <c r="C15" s="148">
        <v>5.0</v>
      </c>
      <c r="D15" s="247"/>
      <c r="E15" s="151" t="str">
        <f>IFERROR(__xludf.DUMMYFUNCTION("IFERROR(
  FILTER(
    INDIRECT(""'BUY_""&amp;D15&amp;""'!$L$2:$L$99""),
    INDIRECT(""'BUY_""&amp;D15&amp;""'!$H$2:$H$99"")=B15,
    INDIRECT(""'BUY_""&amp;D15&amp;""'!$I$2:$I$99"")=C15
  ),
  ""-""
)"),"-")</f>
        <v>-</v>
      </c>
      <c r="F15" s="241" t="str">
        <f t="shared" si="2"/>
        <v>-</v>
      </c>
      <c r="G15" s="248"/>
      <c r="H15" s="167">
        <f t="shared" si="3"/>
        <v>0</v>
      </c>
      <c r="I15" s="100">
        <v>0.0</v>
      </c>
      <c r="J15" s="136" t="str">
        <f t="shared" si="4"/>
        <v>-</v>
      </c>
      <c r="K15" s="136" t="str">
        <f t="shared" si="5"/>
        <v>-</v>
      </c>
      <c r="L15" s="137" t="str">
        <f t="shared" si="6"/>
        <v>-</v>
      </c>
      <c r="M15" s="249">
        <v>46278.0</v>
      </c>
      <c r="N15" s="245">
        <f t="shared" si="7"/>
        <v>0</v>
      </c>
    </row>
    <row r="16">
      <c r="A16" s="74" t="str">
        <f t="shared" si="1"/>
        <v>Monday</v>
      </c>
      <c r="B16" s="49">
        <v>46279.0</v>
      </c>
      <c r="C16" s="148">
        <v>5.0</v>
      </c>
      <c r="D16" s="247"/>
      <c r="E16" s="151" t="str">
        <f>IFERROR(__xludf.DUMMYFUNCTION("IFERROR(
  FILTER(
    INDIRECT(""'BUY_""&amp;D16&amp;""'!$L$2:$L$99""),
    INDIRECT(""'BUY_""&amp;D16&amp;""'!$H$2:$H$99"")=B16,
    INDIRECT(""'BUY_""&amp;D16&amp;""'!$I$2:$I$99"")=C16
  ),
  ""-""
)"),"-")</f>
        <v>-</v>
      </c>
      <c r="F16" s="241" t="str">
        <f t="shared" si="2"/>
        <v>-</v>
      </c>
      <c r="G16" s="248"/>
      <c r="H16" s="167">
        <f t="shared" si="3"/>
        <v>0</v>
      </c>
      <c r="I16" s="100">
        <v>0.0</v>
      </c>
      <c r="J16" s="136" t="str">
        <f t="shared" si="4"/>
        <v>-</v>
      </c>
      <c r="K16" s="136" t="str">
        <f t="shared" si="5"/>
        <v>-</v>
      </c>
      <c r="L16" s="137" t="str">
        <f t="shared" si="6"/>
        <v>-</v>
      </c>
      <c r="M16" s="249">
        <v>46279.0</v>
      </c>
      <c r="N16" s="245">
        <f t="shared" si="7"/>
        <v>0</v>
      </c>
    </row>
    <row r="17">
      <c r="A17" s="74" t="str">
        <f t="shared" si="1"/>
        <v>Tuesday</v>
      </c>
      <c r="B17" s="49">
        <v>46280.0</v>
      </c>
      <c r="C17" s="148">
        <v>5.0</v>
      </c>
      <c r="D17" s="247"/>
      <c r="E17" s="151" t="str">
        <f>IFERROR(__xludf.DUMMYFUNCTION("IFERROR(
  FILTER(
    INDIRECT(""'BUY_""&amp;D17&amp;""'!$L$2:$L$99""),
    INDIRECT(""'BUY_""&amp;D17&amp;""'!$H$2:$H$99"")=B17,
    INDIRECT(""'BUY_""&amp;D17&amp;""'!$I$2:$I$99"")=C17
  ),
  ""-""
)"),"-")</f>
        <v>-</v>
      </c>
      <c r="F17" s="241" t="str">
        <f t="shared" si="2"/>
        <v>-</v>
      </c>
      <c r="G17" s="248"/>
      <c r="H17" s="167">
        <f t="shared" si="3"/>
        <v>0</v>
      </c>
      <c r="I17" s="100">
        <v>0.0</v>
      </c>
      <c r="J17" s="136" t="str">
        <f t="shared" si="4"/>
        <v>-</v>
      </c>
      <c r="K17" s="136" t="str">
        <f t="shared" si="5"/>
        <v>-</v>
      </c>
      <c r="L17" s="137" t="str">
        <f t="shared" si="6"/>
        <v>-</v>
      </c>
      <c r="M17" s="249">
        <v>46280.0</v>
      </c>
      <c r="N17" s="245">
        <f t="shared" si="7"/>
        <v>0</v>
      </c>
    </row>
    <row r="18">
      <c r="A18" s="74" t="str">
        <f t="shared" si="1"/>
        <v>Wednesday</v>
      </c>
      <c r="B18" s="49">
        <v>46281.0</v>
      </c>
      <c r="C18" s="148">
        <v>5.0</v>
      </c>
      <c r="D18" s="247"/>
      <c r="E18" s="151" t="str">
        <f>IFERROR(__xludf.DUMMYFUNCTION("IFERROR(
  FILTER(
    INDIRECT(""'BUY_""&amp;D18&amp;""'!$L$2:$L$99""),
    INDIRECT(""'BUY_""&amp;D18&amp;""'!$H$2:$H$99"")=B18,
    INDIRECT(""'BUY_""&amp;D18&amp;""'!$I$2:$I$99"")=C18
  ),
  ""-""
)"),"-")</f>
        <v>-</v>
      </c>
      <c r="F18" s="241" t="str">
        <f t="shared" si="2"/>
        <v>-</v>
      </c>
      <c r="G18" s="248"/>
      <c r="H18" s="167">
        <f t="shared" si="3"/>
        <v>0</v>
      </c>
      <c r="I18" s="100">
        <v>0.0</v>
      </c>
      <c r="J18" s="136" t="str">
        <f t="shared" si="4"/>
        <v>-</v>
      </c>
      <c r="K18" s="136" t="str">
        <f t="shared" si="5"/>
        <v>-</v>
      </c>
      <c r="L18" s="137" t="str">
        <f t="shared" si="6"/>
        <v>-</v>
      </c>
      <c r="M18" s="249">
        <v>46281.0</v>
      </c>
      <c r="N18" s="245">
        <f t="shared" si="7"/>
        <v>0</v>
      </c>
    </row>
    <row r="19">
      <c r="A19" s="74" t="str">
        <f t="shared" si="1"/>
        <v>Thursday</v>
      </c>
      <c r="B19" s="49">
        <v>46282.0</v>
      </c>
      <c r="C19" s="148">
        <v>5.0</v>
      </c>
      <c r="D19" s="247"/>
      <c r="E19" s="151" t="str">
        <f>IFERROR(__xludf.DUMMYFUNCTION("IFERROR(
  FILTER(
    INDIRECT(""'BUY_""&amp;D19&amp;""'!$L$2:$L$99""),
    INDIRECT(""'BUY_""&amp;D19&amp;""'!$H$2:$H$99"")=B19,
    INDIRECT(""'BUY_""&amp;D19&amp;""'!$I$2:$I$99"")=C19
  ),
  ""-""
)"),"-")</f>
        <v>-</v>
      </c>
      <c r="F19" s="241" t="str">
        <f t="shared" si="2"/>
        <v>-</v>
      </c>
      <c r="G19" s="248"/>
      <c r="H19" s="167">
        <f t="shared" si="3"/>
        <v>0</v>
      </c>
      <c r="I19" s="100">
        <v>0.0</v>
      </c>
      <c r="J19" s="136" t="str">
        <f t="shared" si="4"/>
        <v>-</v>
      </c>
      <c r="K19" s="136" t="str">
        <f t="shared" si="5"/>
        <v>-</v>
      </c>
      <c r="L19" s="137" t="str">
        <f t="shared" si="6"/>
        <v>-</v>
      </c>
      <c r="M19" s="249">
        <v>46282.0</v>
      </c>
      <c r="N19" s="245">
        <f t="shared" si="7"/>
        <v>0</v>
      </c>
    </row>
    <row r="20">
      <c r="A20" s="74" t="str">
        <f t="shared" si="1"/>
        <v>Friday</v>
      </c>
      <c r="B20" s="49">
        <v>46283.0</v>
      </c>
      <c r="C20" s="148">
        <v>5.0</v>
      </c>
      <c r="D20" s="247"/>
      <c r="E20" s="151" t="str">
        <f>IFERROR(__xludf.DUMMYFUNCTION("IFERROR(
  FILTER(
    INDIRECT(""'BUY_""&amp;D20&amp;""'!$L$2:$L$99""),
    INDIRECT(""'BUY_""&amp;D20&amp;""'!$H$2:$H$99"")=B20,
    INDIRECT(""'BUY_""&amp;D20&amp;""'!$I$2:$I$99"")=C20
  ),
  ""-""
)"),"-")</f>
        <v>-</v>
      </c>
      <c r="F20" s="241" t="str">
        <f t="shared" si="2"/>
        <v>-</v>
      </c>
      <c r="G20" s="248"/>
      <c r="H20" s="167">
        <f t="shared" si="3"/>
        <v>0</v>
      </c>
      <c r="I20" s="100">
        <v>0.0</v>
      </c>
      <c r="J20" s="136" t="str">
        <f t="shared" si="4"/>
        <v>-</v>
      </c>
      <c r="K20" s="136" t="str">
        <f t="shared" si="5"/>
        <v>-</v>
      </c>
      <c r="L20" s="137" t="str">
        <f t="shared" si="6"/>
        <v>-</v>
      </c>
      <c r="M20" s="249">
        <v>46283.0</v>
      </c>
      <c r="N20" s="245">
        <f t="shared" si="7"/>
        <v>0</v>
      </c>
    </row>
    <row r="21">
      <c r="A21" s="74" t="str">
        <f t="shared" si="1"/>
        <v>Saturday</v>
      </c>
      <c r="B21" s="49">
        <v>46284.0</v>
      </c>
      <c r="C21" s="148">
        <v>5.0</v>
      </c>
      <c r="D21" s="247"/>
      <c r="E21" s="151" t="str">
        <f>IFERROR(__xludf.DUMMYFUNCTION("IFERROR(
  FILTER(
    INDIRECT(""'BUY_""&amp;D21&amp;""'!$L$2:$L$99""),
    INDIRECT(""'BUY_""&amp;D21&amp;""'!$H$2:$H$99"")=B21,
    INDIRECT(""'BUY_""&amp;D21&amp;""'!$I$2:$I$99"")=C21
  ),
  ""-""
)"),"-")</f>
        <v>-</v>
      </c>
      <c r="F21" s="241" t="str">
        <f t="shared" si="2"/>
        <v>-</v>
      </c>
      <c r="G21" s="248"/>
      <c r="H21" s="167">
        <f t="shared" si="3"/>
        <v>0</v>
      </c>
      <c r="I21" s="100">
        <v>0.0</v>
      </c>
      <c r="J21" s="136" t="str">
        <f t="shared" si="4"/>
        <v>-</v>
      </c>
      <c r="K21" s="136" t="str">
        <f t="shared" si="5"/>
        <v>-</v>
      </c>
      <c r="L21" s="137" t="str">
        <f t="shared" si="6"/>
        <v>-</v>
      </c>
      <c r="M21" s="249">
        <v>46284.0</v>
      </c>
      <c r="N21" s="245">
        <f t="shared" si="7"/>
        <v>0</v>
      </c>
    </row>
    <row r="22">
      <c r="A22" s="74" t="str">
        <f t="shared" si="1"/>
        <v>Sunday</v>
      </c>
      <c r="B22" s="49">
        <v>46285.0</v>
      </c>
      <c r="C22" s="148">
        <v>5.0</v>
      </c>
      <c r="D22" s="247"/>
      <c r="E22" s="151" t="str">
        <f>IFERROR(__xludf.DUMMYFUNCTION("IFERROR(
  FILTER(
    INDIRECT(""'BUY_""&amp;D22&amp;""'!$L$2:$L$99""),
    INDIRECT(""'BUY_""&amp;D22&amp;""'!$H$2:$H$99"")=B22,
    INDIRECT(""'BUY_""&amp;D22&amp;""'!$I$2:$I$99"")=C22
  ),
  ""-""
)"),"-")</f>
        <v>-</v>
      </c>
      <c r="F22" s="241" t="str">
        <f t="shared" si="2"/>
        <v>-</v>
      </c>
      <c r="G22" s="248"/>
      <c r="H22" s="167">
        <f t="shared" si="3"/>
        <v>0</v>
      </c>
      <c r="I22" s="100">
        <v>0.0</v>
      </c>
      <c r="J22" s="136" t="str">
        <f t="shared" si="4"/>
        <v>-</v>
      </c>
      <c r="K22" s="136" t="str">
        <f t="shared" si="5"/>
        <v>-</v>
      </c>
      <c r="L22" s="137" t="str">
        <f t="shared" si="6"/>
        <v>-</v>
      </c>
      <c r="M22" s="249">
        <v>46285.0</v>
      </c>
      <c r="N22" s="245">
        <f t="shared" si="7"/>
        <v>0</v>
      </c>
    </row>
    <row r="23">
      <c r="A23" s="74" t="str">
        <f t="shared" si="1"/>
        <v>Monday</v>
      </c>
      <c r="B23" s="49">
        <v>46286.0</v>
      </c>
      <c r="C23" s="148">
        <v>5.0</v>
      </c>
      <c r="D23" s="247"/>
      <c r="E23" s="151" t="str">
        <f>IFERROR(__xludf.DUMMYFUNCTION("IFERROR(
  FILTER(
    INDIRECT(""'BUY_""&amp;D23&amp;""'!$L$2:$L$99""),
    INDIRECT(""'BUY_""&amp;D23&amp;""'!$H$2:$H$99"")=B23,
    INDIRECT(""'BUY_""&amp;D23&amp;""'!$I$2:$I$99"")=C23
  ),
  ""-""
)"),"-")</f>
        <v>-</v>
      </c>
      <c r="F23" s="241" t="str">
        <f t="shared" si="2"/>
        <v>-</v>
      </c>
      <c r="G23" s="248"/>
      <c r="H23" s="167">
        <f t="shared" si="3"/>
        <v>0</v>
      </c>
      <c r="I23" s="100">
        <v>0.0</v>
      </c>
      <c r="J23" s="136" t="str">
        <f t="shared" si="4"/>
        <v>-</v>
      </c>
      <c r="K23" s="136" t="str">
        <f t="shared" si="5"/>
        <v>-</v>
      </c>
      <c r="L23" s="137" t="str">
        <f t="shared" si="6"/>
        <v>-</v>
      </c>
      <c r="M23" s="249">
        <v>46286.0</v>
      </c>
      <c r="N23" s="245">
        <f t="shared" si="7"/>
        <v>0</v>
      </c>
    </row>
    <row r="24">
      <c r="A24" s="74" t="str">
        <f t="shared" si="1"/>
        <v>Tuesday</v>
      </c>
      <c r="B24" s="49">
        <v>46287.0</v>
      </c>
      <c r="C24" s="148">
        <v>5.0</v>
      </c>
      <c r="D24" s="247"/>
      <c r="E24" s="151" t="str">
        <f>IFERROR(__xludf.DUMMYFUNCTION("IFERROR(
  FILTER(
    INDIRECT(""'BUY_""&amp;D24&amp;""'!$L$2:$L$99""),
    INDIRECT(""'BUY_""&amp;D24&amp;""'!$H$2:$H$99"")=B24,
    INDIRECT(""'BUY_""&amp;D24&amp;""'!$I$2:$I$99"")=C24
  ),
  ""-""
)"),"-")</f>
        <v>-</v>
      </c>
      <c r="F24" s="241" t="str">
        <f t="shared" si="2"/>
        <v>-</v>
      </c>
      <c r="G24" s="248"/>
      <c r="H24" s="167">
        <f t="shared" si="3"/>
        <v>0</v>
      </c>
      <c r="I24" s="100">
        <v>0.0</v>
      </c>
      <c r="J24" s="136" t="str">
        <f t="shared" si="4"/>
        <v>-</v>
      </c>
      <c r="K24" s="136" t="str">
        <f t="shared" si="5"/>
        <v>-</v>
      </c>
      <c r="L24" s="137" t="str">
        <f t="shared" si="6"/>
        <v>-</v>
      </c>
      <c r="M24" s="250">
        <v>46287.0</v>
      </c>
      <c r="N24" s="245">
        <f t="shared" si="7"/>
        <v>0</v>
      </c>
    </row>
    <row r="25">
      <c r="A25" s="74" t="str">
        <f t="shared" si="1"/>
        <v>Wednesday</v>
      </c>
      <c r="B25" s="49">
        <v>46288.0</v>
      </c>
      <c r="C25" s="148">
        <v>5.0</v>
      </c>
      <c r="D25" s="247"/>
      <c r="E25" s="151" t="str">
        <f>IFERROR(__xludf.DUMMYFUNCTION("IFERROR(
  FILTER(
    INDIRECT(""'BUY_""&amp;D25&amp;""'!$L$2:$L$99""),
    INDIRECT(""'BUY_""&amp;D25&amp;""'!$H$2:$H$99"")=B25,
    INDIRECT(""'BUY_""&amp;D25&amp;""'!$I$2:$I$99"")=C25
  ),
  ""-""
)"),"-")</f>
        <v>-</v>
      </c>
      <c r="F25" s="241" t="str">
        <f t="shared" si="2"/>
        <v>-</v>
      </c>
      <c r="G25" s="248"/>
      <c r="H25" s="167">
        <f t="shared" si="3"/>
        <v>0</v>
      </c>
      <c r="I25" s="100">
        <v>0.0</v>
      </c>
      <c r="J25" s="136" t="str">
        <f t="shared" si="4"/>
        <v>-</v>
      </c>
      <c r="K25" s="136" t="str">
        <f t="shared" si="5"/>
        <v>-</v>
      </c>
      <c r="L25" s="137" t="str">
        <f t="shared" si="6"/>
        <v>-</v>
      </c>
      <c r="M25" s="250">
        <v>46288.0</v>
      </c>
      <c r="N25" s="245">
        <f t="shared" si="7"/>
        <v>0</v>
      </c>
    </row>
    <row r="26">
      <c r="A26" s="74" t="str">
        <f t="shared" si="1"/>
        <v>Thursday</v>
      </c>
      <c r="B26" s="49">
        <v>46289.0</v>
      </c>
      <c r="C26" s="148">
        <v>5.0</v>
      </c>
      <c r="D26" s="247"/>
      <c r="E26" s="151" t="str">
        <f>IFERROR(__xludf.DUMMYFUNCTION("IFERROR(
  FILTER(
    INDIRECT(""'BUY_""&amp;D26&amp;""'!$L$2:$L$99""),
    INDIRECT(""'BUY_""&amp;D26&amp;""'!$H$2:$H$99"")=B26,
    INDIRECT(""'BUY_""&amp;D26&amp;""'!$I$2:$I$99"")=C26
  ),
  ""-""
)"),"-")</f>
        <v>-</v>
      </c>
      <c r="F26" s="241" t="str">
        <f t="shared" si="2"/>
        <v>-</v>
      </c>
      <c r="G26" s="248"/>
      <c r="H26" s="167">
        <f t="shared" si="3"/>
        <v>0</v>
      </c>
      <c r="I26" s="100">
        <v>0.0</v>
      </c>
      <c r="J26" s="136" t="str">
        <f t="shared" si="4"/>
        <v>-</v>
      </c>
      <c r="K26" s="136" t="str">
        <f t="shared" si="5"/>
        <v>-</v>
      </c>
      <c r="L26" s="137" t="str">
        <f t="shared" si="6"/>
        <v>-</v>
      </c>
      <c r="M26" s="250">
        <v>46289.0</v>
      </c>
      <c r="N26" s="245">
        <f t="shared" si="7"/>
        <v>0</v>
      </c>
    </row>
    <row r="27">
      <c r="A27" s="74" t="str">
        <f t="shared" si="1"/>
        <v>Friday</v>
      </c>
      <c r="B27" s="49">
        <v>46290.0</v>
      </c>
      <c r="C27" s="148">
        <v>5.0</v>
      </c>
      <c r="D27" s="247"/>
      <c r="E27" s="151" t="str">
        <f>IFERROR(__xludf.DUMMYFUNCTION("IFERROR(
  FILTER(
    INDIRECT(""'BUY_""&amp;D27&amp;""'!$L$2:$L$99""),
    INDIRECT(""'BUY_""&amp;D27&amp;""'!$H$2:$H$99"")=B27,
    INDIRECT(""'BUY_""&amp;D27&amp;""'!$I$2:$I$99"")=C27
  ),
  ""-""
)"),"-")</f>
        <v>-</v>
      </c>
      <c r="F27" s="241" t="str">
        <f t="shared" si="2"/>
        <v>-</v>
      </c>
      <c r="G27" s="248"/>
      <c r="H27" s="167">
        <f t="shared" si="3"/>
        <v>0</v>
      </c>
      <c r="I27" s="100">
        <v>0.0</v>
      </c>
      <c r="J27" s="136" t="str">
        <f t="shared" si="4"/>
        <v>-</v>
      </c>
      <c r="K27" s="136" t="str">
        <f t="shared" si="5"/>
        <v>-</v>
      </c>
      <c r="L27" s="137" t="str">
        <f t="shared" si="6"/>
        <v>-</v>
      </c>
      <c r="M27" s="250">
        <v>46290.0</v>
      </c>
      <c r="N27" s="245">
        <f t="shared" si="7"/>
        <v>0</v>
      </c>
    </row>
    <row r="28">
      <c r="A28" s="74" t="str">
        <f t="shared" si="1"/>
        <v>Saturday</v>
      </c>
      <c r="B28" s="49">
        <v>46291.0</v>
      </c>
      <c r="C28" s="148">
        <v>5.0</v>
      </c>
      <c r="D28" s="247"/>
      <c r="E28" s="151" t="str">
        <f>IFERROR(__xludf.DUMMYFUNCTION("IFERROR(
  FILTER(
    INDIRECT(""'BUY_""&amp;D28&amp;""'!$L$2:$L$99""),
    INDIRECT(""'BUY_""&amp;D28&amp;""'!$H$2:$H$99"")=B28,
    INDIRECT(""'BUY_""&amp;D28&amp;""'!$I$2:$I$99"")=C28
  ),
  ""-""
)"),"-")</f>
        <v>-</v>
      </c>
      <c r="F28" s="241" t="str">
        <f t="shared" si="2"/>
        <v>-</v>
      </c>
      <c r="G28" s="248"/>
      <c r="H28" s="167">
        <f t="shared" si="3"/>
        <v>0</v>
      </c>
      <c r="I28" s="100">
        <v>0.0</v>
      </c>
      <c r="J28" s="136" t="str">
        <f t="shared" si="4"/>
        <v>-</v>
      </c>
      <c r="K28" s="136" t="str">
        <f t="shared" si="5"/>
        <v>-</v>
      </c>
      <c r="L28" s="137" t="str">
        <f t="shared" si="6"/>
        <v>-</v>
      </c>
      <c r="M28" s="250">
        <v>46291.0</v>
      </c>
      <c r="N28" s="245">
        <f t="shared" si="7"/>
        <v>0</v>
      </c>
    </row>
    <row r="29">
      <c r="A29" s="74" t="str">
        <f t="shared" si="1"/>
        <v>Sunday</v>
      </c>
      <c r="B29" s="49">
        <v>46292.0</v>
      </c>
      <c r="C29" s="148">
        <v>5.0</v>
      </c>
      <c r="D29" s="247"/>
      <c r="E29" s="151" t="str">
        <f>IFERROR(__xludf.DUMMYFUNCTION("IFERROR(
  FILTER(
    INDIRECT(""'BUY_""&amp;D29&amp;""'!$L$2:$L$99""),
    INDIRECT(""'BUY_""&amp;D29&amp;""'!$H$2:$H$99"")=B29,
    INDIRECT(""'BUY_""&amp;D29&amp;""'!$I$2:$I$99"")=C29
  ),
  ""-""
)"),"-")</f>
        <v>-</v>
      </c>
      <c r="F29" s="241" t="str">
        <f t="shared" si="2"/>
        <v>-</v>
      </c>
      <c r="G29" s="248"/>
      <c r="H29" s="167">
        <f t="shared" si="3"/>
        <v>0</v>
      </c>
      <c r="I29" s="100">
        <v>0.0</v>
      </c>
      <c r="J29" s="136" t="str">
        <f t="shared" si="4"/>
        <v>-</v>
      </c>
      <c r="K29" s="136" t="str">
        <f t="shared" si="5"/>
        <v>-</v>
      </c>
      <c r="L29" s="137" t="str">
        <f t="shared" si="6"/>
        <v>-</v>
      </c>
      <c r="M29" s="250">
        <v>46292.0</v>
      </c>
      <c r="N29" s="245">
        <f t="shared" si="7"/>
        <v>0</v>
      </c>
    </row>
    <row r="30">
      <c r="A30" s="74" t="str">
        <f t="shared" si="1"/>
        <v>Monday</v>
      </c>
      <c r="B30" s="49">
        <v>46293.0</v>
      </c>
      <c r="C30" s="148">
        <v>5.0</v>
      </c>
      <c r="D30" s="247"/>
      <c r="E30" s="151" t="str">
        <f>IFERROR(__xludf.DUMMYFUNCTION("IFERROR(
  FILTER(
    INDIRECT(""'BUY_""&amp;D30&amp;""'!$L$2:$L$99""),
    INDIRECT(""'BUY_""&amp;D30&amp;""'!$H$2:$H$99"")=B30,
    INDIRECT(""'BUY_""&amp;D30&amp;""'!$I$2:$I$99"")=C30
  ),
  ""-""
)"),"-")</f>
        <v>-</v>
      </c>
      <c r="F30" s="241" t="str">
        <f t="shared" si="2"/>
        <v>-</v>
      </c>
      <c r="G30" s="248"/>
      <c r="H30" s="167">
        <f t="shared" si="3"/>
        <v>0</v>
      </c>
      <c r="I30" s="100">
        <v>0.0</v>
      </c>
      <c r="J30" s="136" t="str">
        <f t="shared" si="4"/>
        <v>-</v>
      </c>
      <c r="K30" s="136" t="str">
        <f t="shared" si="5"/>
        <v>-</v>
      </c>
      <c r="L30" s="137" t="str">
        <f t="shared" si="6"/>
        <v>-</v>
      </c>
      <c r="M30" s="250">
        <v>46293.0</v>
      </c>
      <c r="N30" s="245">
        <f t="shared" si="7"/>
        <v>0</v>
      </c>
    </row>
    <row r="31">
      <c r="A31" s="74" t="str">
        <f t="shared" si="1"/>
        <v>Tuesday</v>
      </c>
      <c r="B31" s="49">
        <v>46294.0</v>
      </c>
      <c r="C31" s="148">
        <v>5.0</v>
      </c>
      <c r="D31" s="247"/>
      <c r="E31" s="151" t="str">
        <f>IFERROR(__xludf.DUMMYFUNCTION("IFERROR(
  FILTER(
    INDIRECT(""'BUY_""&amp;D31&amp;""'!$L$2:$L$99""),
    INDIRECT(""'BUY_""&amp;D31&amp;""'!$H$2:$H$99"")=B31,
    INDIRECT(""'BUY_""&amp;D31&amp;""'!$I$2:$I$99"")=C31
  ),
  ""-""
)"),"-")</f>
        <v>-</v>
      </c>
      <c r="F31" s="241" t="str">
        <f t="shared" si="2"/>
        <v>-</v>
      </c>
      <c r="G31" s="248"/>
      <c r="H31" s="167">
        <f t="shared" si="3"/>
        <v>0</v>
      </c>
      <c r="I31" s="100">
        <v>0.0</v>
      </c>
      <c r="J31" s="136" t="str">
        <f t="shared" si="4"/>
        <v>-</v>
      </c>
      <c r="K31" s="136" t="str">
        <f t="shared" si="5"/>
        <v>-</v>
      </c>
      <c r="L31" s="137" t="str">
        <f t="shared" si="6"/>
        <v>-</v>
      </c>
      <c r="M31" s="250">
        <v>46294.0</v>
      </c>
      <c r="N31" s="245">
        <f t="shared" si="7"/>
        <v>0</v>
      </c>
    </row>
    <row r="32">
      <c r="A32" s="74" t="str">
        <f t="shared" si="1"/>
        <v>Wednesday</v>
      </c>
      <c r="B32" s="49">
        <v>46295.0</v>
      </c>
      <c r="C32" s="148">
        <v>5.0</v>
      </c>
      <c r="D32" s="247"/>
      <c r="E32" s="151" t="str">
        <f>IFERROR(__xludf.DUMMYFUNCTION("IFERROR(
  FILTER(
    INDIRECT(""'BUY_""&amp;D32&amp;""'!$L$2:$L$99""),
    INDIRECT(""'BUY_""&amp;D32&amp;""'!$H$2:$H$99"")=B32,
    INDIRECT(""'BUY_""&amp;D32&amp;""'!$I$2:$I$99"")=C32
  ),
  ""-""
)"),"-")</f>
        <v>-</v>
      </c>
      <c r="F32" s="241" t="str">
        <f t="shared" si="2"/>
        <v>-</v>
      </c>
      <c r="G32" s="248"/>
      <c r="H32" s="167">
        <f t="shared" si="3"/>
        <v>0</v>
      </c>
      <c r="I32" s="100">
        <v>0.0</v>
      </c>
      <c r="J32" s="136" t="str">
        <f t="shared" si="4"/>
        <v>-</v>
      </c>
      <c r="K32" s="136" t="str">
        <f t="shared" si="5"/>
        <v>-</v>
      </c>
      <c r="L32" s="137" t="str">
        <f t="shared" si="6"/>
        <v>-</v>
      </c>
      <c r="M32" s="250">
        <v>46295.0</v>
      </c>
      <c r="N32" s="245">
        <f t="shared" si="7"/>
        <v>0</v>
      </c>
    </row>
    <row r="33">
      <c r="A33" s="74"/>
      <c r="B33" s="49"/>
      <c r="C33" s="148">
        <v>5.0</v>
      </c>
      <c r="D33" s="247"/>
      <c r="E33" s="151" t="str">
        <f>IFERROR(__xludf.DUMMYFUNCTION("IFERROR(
  FILTER(
    INDIRECT(""'BUY_""&amp;D33&amp;""'!$L$2:$L$99""),
    INDIRECT(""'BUY_""&amp;D33&amp;""'!$H$2:$H$99"")=B33,
    INDIRECT(""'BUY_""&amp;D33&amp;""'!$I$2:$I$99"")=C33
  ),
  ""-""
)"),"-")</f>
        <v>-</v>
      </c>
      <c r="F33" s="241" t="str">
        <f t="shared" si="2"/>
        <v>-</v>
      </c>
      <c r="G33" s="248"/>
      <c r="H33" s="167">
        <f t="shared" si="3"/>
        <v>0</v>
      </c>
      <c r="I33" s="100">
        <v>0.0</v>
      </c>
      <c r="J33" s="136" t="str">
        <f t="shared" si="4"/>
        <v>-</v>
      </c>
      <c r="K33" s="136" t="str">
        <f t="shared" si="5"/>
        <v>-</v>
      </c>
      <c r="L33" s="137" t="str">
        <f t="shared" si="6"/>
        <v>-</v>
      </c>
      <c r="M33" s="250"/>
      <c r="N33" s="245">
        <f t="shared" si="7"/>
        <v>0</v>
      </c>
    </row>
    <row r="34">
      <c r="A34" s="56"/>
      <c r="B34" s="56"/>
      <c r="C34" s="251"/>
      <c r="D34" s="56"/>
      <c r="E34" s="56"/>
      <c r="F34" s="56"/>
      <c r="G34" s="56"/>
      <c r="H34" s="56"/>
      <c r="I34" s="56"/>
      <c r="J34" s="56"/>
      <c r="K34" s="56"/>
      <c r="L34" s="56"/>
    </row>
    <row r="35">
      <c r="C35" s="104"/>
    </row>
    <row r="36">
      <c r="C36" s="104"/>
    </row>
    <row r="37">
      <c r="C37" s="104"/>
    </row>
    <row r="38">
      <c r="C38" s="104"/>
    </row>
    <row r="39">
      <c r="C39" s="104"/>
    </row>
    <row r="40">
      <c r="C40" s="104"/>
    </row>
    <row r="41">
      <c r="C41" s="104"/>
    </row>
    <row r="42">
      <c r="C42" s="104"/>
    </row>
    <row r="43">
      <c r="C43" s="104"/>
    </row>
    <row r="44">
      <c r="C44" s="104"/>
    </row>
    <row r="45">
      <c r="C45" s="104"/>
    </row>
    <row r="46">
      <c r="C46" s="104"/>
    </row>
    <row r="47">
      <c r="C47" s="104"/>
    </row>
    <row r="48">
      <c r="C48" s="104"/>
    </row>
    <row r="49">
      <c r="C49" s="104"/>
    </row>
    <row r="50">
      <c r="C50" s="104"/>
    </row>
    <row r="51">
      <c r="C51" s="104"/>
    </row>
    <row r="52">
      <c r="C52" s="104"/>
    </row>
    <row r="53">
      <c r="C53" s="104"/>
    </row>
    <row r="54">
      <c r="C54" s="104"/>
    </row>
    <row r="55">
      <c r="C55" s="104"/>
    </row>
    <row r="56">
      <c r="C56" s="104"/>
    </row>
    <row r="57">
      <c r="C57" s="104"/>
    </row>
    <row r="58">
      <c r="C58" s="104"/>
    </row>
    <row r="59">
      <c r="C59" s="104"/>
    </row>
    <row r="60">
      <c r="C60" s="104"/>
    </row>
    <row r="61">
      <c r="C61" s="104"/>
    </row>
    <row r="62">
      <c r="C62" s="104"/>
    </row>
    <row r="63">
      <c r="C63" s="104"/>
    </row>
    <row r="64">
      <c r="C64" s="104"/>
    </row>
    <row r="65">
      <c r="C65" s="104"/>
    </row>
    <row r="66">
      <c r="C66" s="104"/>
    </row>
    <row r="67">
      <c r="C67" s="104"/>
    </row>
    <row r="68">
      <c r="C68" s="104"/>
    </row>
    <row r="69">
      <c r="C69" s="104"/>
    </row>
    <row r="70">
      <c r="C70" s="104"/>
    </row>
    <row r="71">
      <c r="C71" s="104"/>
    </row>
    <row r="72">
      <c r="C72" s="104"/>
    </row>
    <row r="73">
      <c r="C73" s="104"/>
    </row>
    <row r="74">
      <c r="C74" s="104"/>
    </row>
    <row r="75">
      <c r="C75" s="104"/>
    </row>
    <row r="76">
      <c r="C76" s="104"/>
    </row>
    <row r="77">
      <c r="C77" s="104"/>
    </row>
    <row r="78">
      <c r="C78" s="104"/>
    </row>
    <row r="79">
      <c r="C79" s="104"/>
    </row>
    <row r="80">
      <c r="C80" s="104"/>
    </row>
    <row r="81">
      <c r="C81" s="104"/>
    </row>
    <row r="82">
      <c r="C82" s="104"/>
    </row>
    <row r="83">
      <c r="C83" s="104"/>
    </row>
    <row r="84">
      <c r="C84" s="104"/>
    </row>
    <row r="85">
      <c r="C85" s="104"/>
    </row>
    <row r="86">
      <c r="C86" s="104"/>
    </row>
    <row r="87">
      <c r="C87" s="104"/>
    </row>
    <row r="88">
      <c r="C88" s="104"/>
    </row>
    <row r="89">
      <c r="C89" s="104"/>
    </row>
    <row r="90">
      <c r="C90" s="104"/>
    </row>
    <row r="91">
      <c r="C91" s="104"/>
    </row>
    <row r="92">
      <c r="C92" s="104"/>
    </row>
    <row r="93">
      <c r="C93" s="104"/>
    </row>
    <row r="94">
      <c r="C94" s="104"/>
    </row>
    <row r="95">
      <c r="C95" s="104"/>
    </row>
    <row r="96">
      <c r="C96" s="104"/>
    </row>
    <row r="97">
      <c r="C97" s="104"/>
    </row>
    <row r="98">
      <c r="C98" s="104"/>
    </row>
    <row r="99">
      <c r="C99" s="104"/>
    </row>
    <row r="100">
      <c r="C100" s="104"/>
    </row>
    <row r="101">
      <c r="C101" s="104"/>
    </row>
    <row r="102">
      <c r="C102" s="104"/>
    </row>
    <row r="103">
      <c r="C103" s="104"/>
    </row>
    <row r="104">
      <c r="C104" s="104"/>
    </row>
    <row r="105">
      <c r="C105" s="104"/>
    </row>
    <row r="106">
      <c r="C106" s="104"/>
    </row>
    <row r="107">
      <c r="C107" s="104"/>
    </row>
    <row r="108">
      <c r="C108" s="104"/>
    </row>
    <row r="109">
      <c r="C109" s="104"/>
    </row>
    <row r="110">
      <c r="C110" s="104"/>
    </row>
    <row r="111">
      <c r="C111" s="104"/>
    </row>
    <row r="112">
      <c r="C112" s="104"/>
    </row>
    <row r="113">
      <c r="C113" s="104"/>
    </row>
    <row r="114">
      <c r="C114" s="104"/>
    </row>
    <row r="115">
      <c r="C115" s="104"/>
    </row>
    <row r="116">
      <c r="C116" s="104"/>
    </row>
    <row r="117">
      <c r="C117" s="104"/>
    </row>
    <row r="118">
      <c r="C118" s="104"/>
    </row>
    <row r="119">
      <c r="C119" s="104"/>
    </row>
    <row r="120">
      <c r="C120" s="104"/>
    </row>
    <row r="121">
      <c r="C121" s="104"/>
    </row>
    <row r="122">
      <c r="C122" s="104"/>
    </row>
    <row r="123">
      <c r="C123" s="104"/>
    </row>
    <row r="124">
      <c r="C124" s="104"/>
    </row>
    <row r="125">
      <c r="C125" s="104"/>
    </row>
    <row r="126">
      <c r="C126" s="104"/>
    </row>
    <row r="127">
      <c r="C127" s="104"/>
    </row>
    <row r="128">
      <c r="C128" s="104"/>
    </row>
    <row r="129">
      <c r="C129" s="104"/>
    </row>
    <row r="130">
      <c r="C130" s="104"/>
    </row>
    <row r="131">
      <c r="C131" s="104"/>
    </row>
    <row r="132">
      <c r="C132" s="104"/>
    </row>
    <row r="133">
      <c r="C133" s="104"/>
    </row>
    <row r="134">
      <c r="C134" s="104"/>
    </row>
    <row r="135">
      <c r="C135" s="104"/>
    </row>
    <row r="136">
      <c r="C136" s="104"/>
    </row>
    <row r="137">
      <c r="C137" s="104"/>
    </row>
    <row r="138">
      <c r="C138" s="104"/>
    </row>
    <row r="139">
      <c r="C139" s="104"/>
    </row>
    <row r="140">
      <c r="C140" s="104"/>
    </row>
    <row r="141">
      <c r="C141" s="104"/>
    </row>
    <row r="142">
      <c r="C142" s="104"/>
    </row>
    <row r="143">
      <c r="C143" s="104"/>
    </row>
    <row r="144">
      <c r="C144" s="104"/>
    </row>
    <row r="145">
      <c r="C145" s="104"/>
    </row>
    <row r="146">
      <c r="C146" s="104"/>
    </row>
    <row r="147">
      <c r="C147" s="104"/>
    </row>
    <row r="148">
      <c r="C148" s="104"/>
    </row>
    <row r="149">
      <c r="C149" s="104"/>
    </row>
    <row r="150">
      <c r="C150" s="104"/>
    </row>
    <row r="151">
      <c r="C151" s="104"/>
    </row>
    <row r="152">
      <c r="C152" s="104"/>
    </row>
    <row r="153">
      <c r="C153" s="104"/>
    </row>
    <row r="154">
      <c r="C154" s="104"/>
    </row>
    <row r="155">
      <c r="C155" s="104"/>
    </row>
    <row r="156">
      <c r="C156" s="104"/>
    </row>
    <row r="157">
      <c r="C157" s="104"/>
    </row>
    <row r="158">
      <c r="C158" s="104"/>
    </row>
    <row r="159">
      <c r="C159" s="104"/>
    </row>
    <row r="160">
      <c r="C160" s="104"/>
    </row>
    <row r="161">
      <c r="C161" s="104"/>
    </row>
    <row r="162">
      <c r="C162" s="104"/>
    </row>
    <row r="163">
      <c r="C163" s="104"/>
    </row>
    <row r="164">
      <c r="C164" s="104"/>
    </row>
    <row r="165">
      <c r="C165" s="104"/>
    </row>
    <row r="166">
      <c r="C166" s="104"/>
    </row>
    <row r="167">
      <c r="C167" s="104"/>
    </row>
    <row r="168">
      <c r="C168" s="104"/>
    </row>
    <row r="169">
      <c r="C169" s="104"/>
    </row>
    <row r="170">
      <c r="C170" s="104"/>
    </row>
    <row r="171">
      <c r="C171" s="104"/>
    </row>
    <row r="172">
      <c r="C172" s="104"/>
    </row>
    <row r="173">
      <c r="C173" s="104"/>
    </row>
    <row r="174">
      <c r="C174" s="104"/>
    </row>
    <row r="175">
      <c r="C175" s="104"/>
    </row>
    <row r="176">
      <c r="C176" s="104"/>
    </row>
    <row r="177">
      <c r="C177" s="104"/>
    </row>
    <row r="178">
      <c r="C178" s="104"/>
    </row>
    <row r="179">
      <c r="C179" s="104"/>
    </row>
    <row r="180">
      <c r="C180" s="104"/>
    </row>
    <row r="181">
      <c r="C181" s="104"/>
    </row>
    <row r="182">
      <c r="C182" s="104"/>
    </row>
    <row r="183">
      <c r="C183" s="104"/>
    </row>
    <row r="184">
      <c r="C184" s="104"/>
    </row>
    <row r="185">
      <c r="C185" s="104"/>
    </row>
    <row r="186">
      <c r="C186" s="104"/>
    </row>
    <row r="187">
      <c r="C187" s="104"/>
    </row>
    <row r="188">
      <c r="C188" s="104"/>
    </row>
    <row r="189">
      <c r="C189" s="104"/>
    </row>
    <row r="190">
      <c r="C190" s="104"/>
    </row>
    <row r="191">
      <c r="C191" s="104"/>
    </row>
    <row r="192">
      <c r="C192" s="104"/>
    </row>
    <row r="193">
      <c r="C193" s="104"/>
    </row>
    <row r="194">
      <c r="C194" s="104"/>
    </row>
    <row r="195">
      <c r="C195" s="104"/>
    </row>
    <row r="196">
      <c r="C196" s="104"/>
    </row>
    <row r="197">
      <c r="C197" s="104"/>
    </row>
    <row r="198">
      <c r="C198" s="104"/>
    </row>
    <row r="199">
      <c r="C199" s="104"/>
    </row>
    <row r="200">
      <c r="C200" s="104"/>
    </row>
    <row r="201">
      <c r="C201" s="104"/>
    </row>
    <row r="202">
      <c r="C202" s="104"/>
    </row>
    <row r="203">
      <c r="C203" s="104"/>
    </row>
    <row r="204">
      <c r="C204" s="104"/>
    </row>
    <row r="205">
      <c r="C205" s="104"/>
    </row>
    <row r="206">
      <c r="C206" s="104"/>
    </row>
    <row r="207">
      <c r="C207" s="104"/>
    </row>
    <row r="208">
      <c r="C208" s="104"/>
    </row>
    <row r="209">
      <c r="C209" s="104"/>
    </row>
    <row r="210">
      <c r="C210" s="104"/>
    </row>
    <row r="211">
      <c r="C211" s="104"/>
    </row>
    <row r="212">
      <c r="C212" s="104"/>
    </row>
    <row r="213">
      <c r="C213" s="104"/>
    </row>
    <row r="214">
      <c r="C214" s="104"/>
    </row>
    <row r="215">
      <c r="C215" s="104"/>
    </row>
    <row r="216">
      <c r="C216" s="104"/>
    </row>
    <row r="217">
      <c r="C217" s="104"/>
    </row>
    <row r="218">
      <c r="C218" s="104"/>
    </row>
    <row r="219">
      <c r="C219" s="104"/>
    </row>
    <row r="220">
      <c r="C220" s="104"/>
    </row>
    <row r="221">
      <c r="C221" s="104"/>
    </row>
    <row r="222">
      <c r="C222" s="104"/>
    </row>
    <row r="223">
      <c r="C223" s="104"/>
    </row>
    <row r="224">
      <c r="C224" s="104"/>
    </row>
    <row r="225">
      <c r="C225" s="104"/>
    </row>
    <row r="226">
      <c r="C226" s="104"/>
    </row>
    <row r="227">
      <c r="C227" s="104"/>
    </row>
    <row r="228">
      <c r="C228" s="104"/>
    </row>
    <row r="229">
      <c r="C229" s="104"/>
    </row>
    <row r="230">
      <c r="C230" s="104"/>
    </row>
    <row r="231">
      <c r="C231" s="104"/>
    </row>
    <row r="232">
      <c r="C232" s="104"/>
    </row>
    <row r="233">
      <c r="C233" s="104"/>
    </row>
    <row r="234">
      <c r="C234" s="104"/>
    </row>
    <row r="235">
      <c r="C235" s="104"/>
    </row>
    <row r="236">
      <c r="C236" s="104"/>
    </row>
    <row r="237">
      <c r="C237" s="104"/>
    </row>
    <row r="238">
      <c r="C238" s="104"/>
    </row>
    <row r="239">
      <c r="C239" s="104"/>
    </row>
    <row r="240">
      <c r="C240" s="104"/>
    </row>
    <row r="241">
      <c r="C241" s="104"/>
    </row>
    <row r="242">
      <c r="C242" s="104"/>
    </row>
    <row r="243">
      <c r="C243" s="104"/>
    </row>
    <row r="244">
      <c r="C244" s="104"/>
    </row>
    <row r="245">
      <c r="C245" s="104"/>
    </row>
    <row r="246">
      <c r="C246" s="104"/>
    </row>
    <row r="247">
      <c r="C247" s="104"/>
    </row>
    <row r="248">
      <c r="C248" s="104"/>
    </row>
    <row r="249">
      <c r="C249" s="104"/>
    </row>
    <row r="250">
      <c r="C250" s="104"/>
    </row>
    <row r="251">
      <c r="C251" s="104"/>
    </row>
    <row r="252">
      <c r="C252" s="104"/>
    </row>
    <row r="253">
      <c r="C253" s="104"/>
    </row>
    <row r="254">
      <c r="C254" s="104"/>
    </row>
    <row r="255">
      <c r="C255" s="104"/>
    </row>
    <row r="256">
      <c r="C256" s="104"/>
    </row>
    <row r="257">
      <c r="C257" s="104"/>
    </row>
    <row r="258">
      <c r="C258" s="104"/>
    </row>
    <row r="259">
      <c r="C259" s="104"/>
    </row>
    <row r="260">
      <c r="C260" s="104"/>
    </row>
    <row r="261">
      <c r="C261" s="104"/>
    </row>
    <row r="262">
      <c r="C262" s="104"/>
    </row>
    <row r="263">
      <c r="C263" s="104"/>
    </row>
    <row r="264">
      <c r="C264" s="104"/>
    </row>
    <row r="265">
      <c r="C265" s="104"/>
    </row>
    <row r="266">
      <c r="C266" s="104"/>
    </row>
    <row r="267">
      <c r="C267" s="104"/>
    </row>
    <row r="268">
      <c r="C268" s="104"/>
    </row>
    <row r="269">
      <c r="C269" s="104"/>
    </row>
    <row r="270">
      <c r="C270" s="104"/>
    </row>
    <row r="271">
      <c r="C271" s="104"/>
    </row>
    <row r="272">
      <c r="C272" s="104"/>
    </row>
    <row r="273">
      <c r="C273" s="104"/>
    </row>
    <row r="274">
      <c r="C274" s="104"/>
    </row>
    <row r="275">
      <c r="C275" s="104"/>
    </row>
    <row r="276">
      <c r="C276" s="104"/>
    </row>
    <row r="277">
      <c r="C277" s="104"/>
    </row>
    <row r="278">
      <c r="C278" s="104"/>
    </row>
    <row r="279">
      <c r="C279" s="104"/>
    </row>
    <row r="280">
      <c r="C280" s="104"/>
    </row>
    <row r="281">
      <c r="C281" s="104"/>
    </row>
    <row r="282">
      <c r="C282" s="104"/>
    </row>
    <row r="283">
      <c r="C283" s="104"/>
    </row>
    <row r="284">
      <c r="C284" s="104"/>
    </row>
    <row r="285">
      <c r="C285" s="104"/>
    </row>
    <row r="286">
      <c r="C286" s="104"/>
    </row>
    <row r="287">
      <c r="C287" s="104"/>
    </row>
    <row r="288">
      <c r="C288" s="104"/>
    </row>
    <row r="289">
      <c r="C289" s="104"/>
    </row>
    <row r="290">
      <c r="C290" s="104"/>
    </row>
    <row r="291">
      <c r="C291" s="104"/>
    </row>
    <row r="292">
      <c r="C292" s="104"/>
    </row>
    <row r="293">
      <c r="C293" s="104"/>
    </row>
    <row r="294">
      <c r="C294" s="104"/>
    </row>
    <row r="295">
      <c r="C295" s="104"/>
    </row>
    <row r="296">
      <c r="C296" s="104"/>
    </row>
    <row r="297">
      <c r="C297" s="104"/>
    </row>
    <row r="298">
      <c r="C298" s="104"/>
    </row>
    <row r="299">
      <c r="C299" s="104"/>
    </row>
    <row r="300">
      <c r="C300" s="104"/>
    </row>
    <row r="301">
      <c r="C301" s="104"/>
    </row>
    <row r="302">
      <c r="C302" s="104"/>
    </row>
    <row r="303">
      <c r="C303" s="104"/>
    </row>
    <row r="304">
      <c r="C304" s="104"/>
    </row>
    <row r="305">
      <c r="C305" s="104"/>
    </row>
    <row r="306">
      <c r="C306" s="104"/>
    </row>
    <row r="307">
      <c r="C307" s="104"/>
    </row>
    <row r="308">
      <c r="C308" s="104"/>
    </row>
    <row r="309">
      <c r="C309" s="104"/>
    </row>
    <row r="310">
      <c r="C310" s="104"/>
    </row>
    <row r="311">
      <c r="C311" s="104"/>
    </row>
    <row r="312">
      <c r="C312" s="104"/>
    </row>
    <row r="313">
      <c r="C313" s="104"/>
    </row>
    <row r="314">
      <c r="C314" s="104"/>
    </row>
    <row r="315">
      <c r="C315" s="104"/>
    </row>
    <row r="316">
      <c r="C316" s="104"/>
    </row>
    <row r="317">
      <c r="C317" s="104"/>
    </row>
    <row r="318">
      <c r="C318" s="104"/>
    </row>
    <row r="319">
      <c r="C319" s="104"/>
    </row>
    <row r="320">
      <c r="C320" s="104"/>
    </row>
    <row r="321">
      <c r="C321" s="104"/>
    </row>
    <row r="322">
      <c r="C322" s="104"/>
    </row>
    <row r="323">
      <c r="C323" s="104"/>
    </row>
    <row r="324">
      <c r="C324" s="104"/>
    </row>
    <row r="325">
      <c r="C325" s="104"/>
    </row>
    <row r="326">
      <c r="C326" s="104"/>
    </row>
    <row r="327">
      <c r="C327" s="104"/>
    </row>
    <row r="328">
      <c r="C328" s="104"/>
    </row>
    <row r="329">
      <c r="C329" s="104"/>
    </row>
    <row r="330">
      <c r="C330" s="104"/>
    </row>
    <row r="331">
      <c r="C331" s="104"/>
    </row>
    <row r="332">
      <c r="C332" s="104"/>
    </row>
    <row r="333">
      <c r="C333" s="104"/>
    </row>
    <row r="334">
      <c r="C334" s="104"/>
    </row>
    <row r="335">
      <c r="C335" s="104"/>
    </row>
    <row r="336">
      <c r="C336" s="104"/>
    </row>
    <row r="337">
      <c r="C337" s="104"/>
    </row>
    <row r="338">
      <c r="C338" s="104"/>
    </row>
    <row r="339">
      <c r="C339" s="104"/>
    </row>
    <row r="340">
      <c r="C340" s="104"/>
    </row>
    <row r="341">
      <c r="C341" s="104"/>
    </row>
    <row r="342">
      <c r="C342" s="104"/>
    </row>
    <row r="343">
      <c r="C343" s="104"/>
    </row>
    <row r="344">
      <c r="C344" s="104"/>
    </row>
    <row r="345">
      <c r="C345" s="104"/>
    </row>
    <row r="346">
      <c r="C346" s="104"/>
    </row>
    <row r="347">
      <c r="C347" s="104"/>
    </row>
    <row r="348">
      <c r="C348" s="104"/>
    </row>
    <row r="349">
      <c r="C349" s="104"/>
    </row>
    <row r="350">
      <c r="C350" s="104"/>
    </row>
    <row r="351">
      <c r="C351" s="104"/>
    </row>
    <row r="352">
      <c r="C352" s="104"/>
    </row>
    <row r="353">
      <c r="C353" s="104"/>
    </row>
    <row r="354">
      <c r="C354" s="104"/>
    </row>
    <row r="355">
      <c r="C355" s="104"/>
    </row>
    <row r="356">
      <c r="C356" s="104"/>
    </row>
    <row r="357">
      <c r="C357" s="104"/>
    </row>
    <row r="358">
      <c r="C358" s="104"/>
    </row>
    <row r="359">
      <c r="C359" s="104"/>
    </row>
    <row r="360">
      <c r="C360" s="104"/>
    </row>
    <row r="361">
      <c r="C361" s="104"/>
    </row>
    <row r="362">
      <c r="C362" s="104"/>
    </row>
    <row r="363">
      <c r="C363" s="104"/>
    </row>
    <row r="364">
      <c r="C364" s="104"/>
    </row>
    <row r="365">
      <c r="C365" s="104"/>
    </row>
    <row r="366">
      <c r="C366" s="104"/>
    </row>
    <row r="367">
      <c r="C367" s="104"/>
    </row>
    <row r="368">
      <c r="C368" s="104"/>
    </row>
    <row r="369">
      <c r="C369" s="104"/>
    </row>
    <row r="370">
      <c r="C370" s="104"/>
    </row>
    <row r="371">
      <c r="C371" s="104"/>
    </row>
    <row r="372">
      <c r="C372" s="104"/>
    </row>
    <row r="373">
      <c r="C373" s="104"/>
    </row>
    <row r="374">
      <c r="C374" s="104"/>
    </row>
    <row r="375">
      <c r="C375" s="104"/>
    </row>
    <row r="376">
      <c r="C376" s="104"/>
    </row>
    <row r="377">
      <c r="C377" s="104"/>
    </row>
    <row r="378">
      <c r="C378" s="104"/>
    </row>
    <row r="379">
      <c r="C379" s="104"/>
    </row>
    <row r="380">
      <c r="C380" s="104"/>
    </row>
    <row r="381">
      <c r="C381" s="104"/>
    </row>
    <row r="382">
      <c r="C382" s="104"/>
    </row>
    <row r="383">
      <c r="C383" s="104"/>
    </row>
    <row r="384">
      <c r="C384" s="104"/>
    </row>
    <row r="385">
      <c r="C385" s="104"/>
    </row>
    <row r="386">
      <c r="C386" s="104"/>
    </row>
    <row r="387">
      <c r="C387" s="104"/>
    </row>
    <row r="388">
      <c r="C388" s="104"/>
    </row>
    <row r="389">
      <c r="C389" s="104"/>
    </row>
    <row r="390">
      <c r="C390" s="104"/>
    </row>
    <row r="391">
      <c r="C391" s="104"/>
    </row>
    <row r="392">
      <c r="C392" s="104"/>
    </row>
    <row r="393">
      <c r="C393" s="104"/>
    </row>
    <row r="394">
      <c r="C394" s="104"/>
    </row>
    <row r="395">
      <c r="C395" s="104"/>
    </row>
    <row r="396">
      <c r="C396" s="104"/>
    </row>
    <row r="397">
      <c r="C397" s="104"/>
    </row>
    <row r="398">
      <c r="C398" s="104"/>
    </row>
    <row r="399">
      <c r="C399" s="104"/>
    </row>
    <row r="400">
      <c r="C400" s="104"/>
    </row>
    <row r="401">
      <c r="C401" s="104"/>
    </row>
    <row r="402">
      <c r="C402" s="104"/>
    </row>
    <row r="403">
      <c r="C403" s="104"/>
    </row>
    <row r="404">
      <c r="C404" s="104"/>
    </row>
    <row r="405">
      <c r="C405" s="104"/>
    </row>
    <row r="406">
      <c r="C406" s="104"/>
    </row>
    <row r="407">
      <c r="C407" s="104"/>
    </row>
    <row r="408">
      <c r="C408" s="104"/>
    </row>
    <row r="409">
      <c r="C409" s="104"/>
    </row>
    <row r="410">
      <c r="C410" s="104"/>
    </row>
    <row r="411">
      <c r="C411" s="104"/>
    </row>
    <row r="412">
      <c r="C412" s="104"/>
    </row>
    <row r="413">
      <c r="C413" s="104"/>
    </row>
    <row r="414">
      <c r="C414" s="104"/>
    </row>
    <row r="415">
      <c r="C415" s="104"/>
    </row>
    <row r="416">
      <c r="C416" s="104"/>
    </row>
    <row r="417">
      <c r="C417" s="104"/>
    </row>
    <row r="418">
      <c r="C418" s="104"/>
    </row>
    <row r="419">
      <c r="C419" s="104"/>
    </row>
    <row r="420">
      <c r="C420" s="104"/>
    </row>
    <row r="421">
      <c r="C421" s="104"/>
    </row>
    <row r="422">
      <c r="C422" s="104"/>
    </row>
    <row r="423">
      <c r="C423" s="104"/>
    </row>
    <row r="424">
      <c r="C424" s="104"/>
    </row>
    <row r="425">
      <c r="C425" s="104"/>
    </row>
    <row r="426">
      <c r="C426" s="104"/>
    </row>
    <row r="427">
      <c r="C427" s="104"/>
    </row>
    <row r="428">
      <c r="C428" s="104"/>
    </row>
    <row r="429">
      <c r="C429" s="104"/>
    </row>
    <row r="430">
      <c r="C430" s="104"/>
    </row>
    <row r="431">
      <c r="C431" s="104"/>
    </row>
    <row r="432">
      <c r="C432" s="104"/>
    </row>
    <row r="433">
      <c r="C433" s="104"/>
    </row>
    <row r="434">
      <c r="C434" s="104"/>
    </row>
    <row r="435">
      <c r="C435" s="104"/>
    </row>
    <row r="436">
      <c r="C436" s="104"/>
    </row>
    <row r="437">
      <c r="C437" s="104"/>
    </row>
    <row r="438">
      <c r="C438" s="104"/>
    </row>
    <row r="439">
      <c r="C439" s="104"/>
    </row>
    <row r="440">
      <c r="C440" s="104"/>
    </row>
    <row r="441">
      <c r="C441" s="104"/>
    </row>
    <row r="442">
      <c r="C442" s="104"/>
    </row>
    <row r="443">
      <c r="C443" s="104"/>
    </row>
    <row r="444">
      <c r="C444" s="104"/>
    </row>
    <row r="445">
      <c r="C445" s="104"/>
    </row>
    <row r="446">
      <c r="C446" s="104"/>
    </row>
    <row r="447">
      <c r="C447" s="104"/>
    </row>
    <row r="448">
      <c r="C448" s="104"/>
    </row>
    <row r="449">
      <c r="C449" s="104"/>
    </row>
    <row r="450">
      <c r="C450" s="104"/>
    </row>
    <row r="451">
      <c r="C451" s="104"/>
    </row>
    <row r="452">
      <c r="C452" s="104"/>
    </row>
    <row r="453">
      <c r="C453" s="104"/>
    </row>
    <row r="454">
      <c r="C454" s="104"/>
    </row>
    <row r="455">
      <c r="C455" s="104"/>
    </row>
    <row r="456">
      <c r="C456" s="104"/>
    </row>
    <row r="457">
      <c r="C457" s="104"/>
    </row>
    <row r="458">
      <c r="C458" s="104"/>
    </row>
    <row r="459">
      <c r="C459" s="104"/>
    </row>
    <row r="460">
      <c r="C460" s="104"/>
    </row>
    <row r="461">
      <c r="C461" s="104"/>
    </row>
    <row r="462">
      <c r="C462" s="104"/>
    </row>
    <row r="463">
      <c r="C463" s="104"/>
    </row>
    <row r="464">
      <c r="C464" s="104"/>
    </row>
    <row r="465">
      <c r="C465" s="104"/>
    </row>
    <row r="466">
      <c r="C466" s="104"/>
    </row>
    <row r="467">
      <c r="C467" s="104"/>
    </row>
    <row r="468">
      <c r="C468" s="104"/>
    </row>
    <row r="469">
      <c r="C469" s="104"/>
    </row>
    <row r="470">
      <c r="C470" s="104"/>
    </row>
    <row r="471">
      <c r="C471" s="104"/>
    </row>
    <row r="472">
      <c r="C472" s="104"/>
    </row>
    <row r="473">
      <c r="C473" s="104"/>
    </row>
    <row r="474">
      <c r="C474" s="104"/>
    </row>
    <row r="475">
      <c r="C475" s="104"/>
    </row>
    <row r="476">
      <c r="C476" s="104"/>
    </row>
    <row r="477">
      <c r="C477" s="104"/>
    </row>
    <row r="478">
      <c r="C478" s="104"/>
    </row>
    <row r="479">
      <c r="C479" s="104"/>
    </row>
    <row r="480">
      <c r="C480" s="104"/>
    </row>
    <row r="481">
      <c r="C481" s="104"/>
    </row>
    <row r="482">
      <c r="C482" s="104"/>
    </row>
    <row r="483">
      <c r="C483" s="104"/>
    </row>
    <row r="484">
      <c r="C484" s="104"/>
    </row>
    <row r="485">
      <c r="C485" s="104"/>
    </row>
    <row r="486">
      <c r="C486" s="104"/>
    </row>
    <row r="487">
      <c r="C487" s="104"/>
    </row>
    <row r="488">
      <c r="C488" s="104"/>
    </row>
    <row r="489">
      <c r="C489" s="104"/>
    </row>
    <row r="490">
      <c r="C490" s="104"/>
    </row>
    <row r="491">
      <c r="C491" s="104"/>
    </row>
    <row r="492">
      <c r="C492" s="104"/>
    </row>
    <row r="493">
      <c r="C493" s="104"/>
    </row>
    <row r="494">
      <c r="C494" s="104"/>
    </row>
    <row r="495">
      <c r="C495" s="104"/>
    </row>
    <row r="496">
      <c r="C496" s="104"/>
    </row>
    <row r="497">
      <c r="C497" s="104"/>
    </row>
    <row r="498">
      <c r="C498" s="104"/>
    </row>
    <row r="499">
      <c r="C499" s="104"/>
    </row>
    <row r="500">
      <c r="C500" s="104"/>
    </row>
    <row r="501">
      <c r="C501" s="104"/>
    </row>
    <row r="502">
      <c r="C502" s="104"/>
    </row>
    <row r="503">
      <c r="C503" s="104"/>
    </row>
    <row r="504">
      <c r="C504" s="104"/>
    </row>
    <row r="505">
      <c r="C505" s="104"/>
    </row>
    <row r="506">
      <c r="C506" s="104"/>
    </row>
    <row r="507">
      <c r="C507" s="104"/>
    </row>
    <row r="508">
      <c r="C508" s="104"/>
    </row>
    <row r="509">
      <c r="C509" s="104"/>
    </row>
    <row r="510">
      <c r="C510" s="104"/>
    </row>
    <row r="511">
      <c r="C511" s="104"/>
    </row>
    <row r="512">
      <c r="C512" s="104"/>
    </row>
    <row r="513">
      <c r="C513" s="104"/>
    </row>
    <row r="514">
      <c r="C514" s="104"/>
    </row>
    <row r="515">
      <c r="C515" s="104"/>
    </row>
    <row r="516">
      <c r="C516" s="104"/>
    </row>
    <row r="517">
      <c r="C517" s="104"/>
    </row>
    <row r="518">
      <c r="C518" s="104"/>
    </row>
    <row r="519">
      <c r="C519" s="104"/>
    </row>
    <row r="520">
      <c r="C520" s="104"/>
    </row>
    <row r="521">
      <c r="C521" s="104"/>
    </row>
    <row r="522">
      <c r="C522" s="104"/>
    </row>
    <row r="523">
      <c r="C523" s="104"/>
    </row>
    <row r="524">
      <c r="C524" s="104"/>
    </row>
    <row r="525">
      <c r="C525" s="104"/>
    </row>
    <row r="526">
      <c r="C526" s="104"/>
    </row>
    <row r="527">
      <c r="C527" s="104"/>
    </row>
    <row r="528">
      <c r="C528" s="104"/>
    </row>
    <row r="529">
      <c r="C529" s="104"/>
    </row>
    <row r="530">
      <c r="C530" s="104"/>
    </row>
    <row r="531">
      <c r="C531" s="104"/>
    </row>
    <row r="532">
      <c r="C532" s="104"/>
    </row>
    <row r="533">
      <c r="C533" s="104"/>
    </row>
    <row r="534">
      <c r="C534" s="104"/>
    </row>
    <row r="535">
      <c r="C535" s="104"/>
    </row>
    <row r="536">
      <c r="C536" s="104"/>
    </row>
    <row r="537">
      <c r="C537" s="104"/>
    </row>
    <row r="538">
      <c r="C538" s="104"/>
    </row>
    <row r="539">
      <c r="C539" s="104"/>
    </row>
    <row r="540">
      <c r="C540" s="104"/>
    </row>
    <row r="541">
      <c r="C541" s="104"/>
    </row>
    <row r="542">
      <c r="C542" s="104"/>
    </row>
    <row r="543">
      <c r="C543" s="104"/>
    </row>
    <row r="544">
      <c r="C544" s="104"/>
    </row>
    <row r="545">
      <c r="C545" s="104"/>
    </row>
    <row r="546">
      <c r="C546" s="104"/>
    </row>
    <row r="547">
      <c r="C547" s="104"/>
    </row>
    <row r="548">
      <c r="C548" s="104"/>
    </row>
    <row r="549">
      <c r="C549" s="104"/>
    </row>
    <row r="550">
      <c r="C550" s="104"/>
    </row>
    <row r="551">
      <c r="C551" s="104"/>
    </row>
    <row r="552">
      <c r="C552" s="104"/>
    </row>
    <row r="553">
      <c r="C553" s="104"/>
    </row>
    <row r="554">
      <c r="C554" s="104"/>
    </row>
    <row r="555">
      <c r="C555" s="104"/>
    </row>
    <row r="556">
      <c r="C556" s="104"/>
    </row>
    <row r="557">
      <c r="C557" s="104"/>
    </row>
    <row r="558">
      <c r="C558" s="104"/>
    </row>
    <row r="559">
      <c r="C559" s="104"/>
    </row>
    <row r="560">
      <c r="C560" s="104"/>
    </row>
    <row r="561">
      <c r="C561" s="104"/>
    </row>
    <row r="562">
      <c r="C562" s="104"/>
    </row>
    <row r="563">
      <c r="C563" s="104"/>
    </row>
    <row r="564">
      <c r="C564" s="104"/>
    </row>
    <row r="565">
      <c r="C565" s="104"/>
    </row>
    <row r="566">
      <c r="C566" s="104"/>
    </row>
    <row r="567">
      <c r="C567" s="104"/>
    </row>
    <row r="568">
      <c r="C568" s="104"/>
    </row>
    <row r="569">
      <c r="C569" s="104"/>
    </row>
    <row r="570">
      <c r="C570" s="104"/>
    </row>
    <row r="571">
      <c r="C571" s="104"/>
    </row>
    <row r="572">
      <c r="C572" s="104"/>
    </row>
    <row r="573">
      <c r="C573" s="104"/>
    </row>
    <row r="574">
      <c r="C574" s="104"/>
    </row>
    <row r="575">
      <c r="C575" s="104"/>
    </row>
    <row r="576">
      <c r="C576" s="104"/>
    </row>
    <row r="577">
      <c r="C577" s="104"/>
    </row>
    <row r="578">
      <c r="C578" s="104"/>
    </row>
    <row r="579">
      <c r="C579" s="104"/>
    </row>
    <row r="580">
      <c r="C580" s="104"/>
    </row>
    <row r="581">
      <c r="C581" s="104"/>
    </row>
    <row r="582">
      <c r="C582" s="104"/>
    </row>
    <row r="583">
      <c r="C583" s="104"/>
    </row>
    <row r="584">
      <c r="C584" s="104"/>
    </row>
    <row r="585">
      <c r="C585" s="104"/>
    </row>
    <row r="586">
      <c r="C586" s="104"/>
    </row>
    <row r="587">
      <c r="C587" s="104"/>
    </row>
    <row r="588">
      <c r="C588" s="104"/>
    </row>
    <row r="589">
      <c r="C589" s="104"/>
    </row>
    <row r="590">
      <c r="C590" s="104"/>
    </row>
    <row r="591">
      <c r="C591" s="104"/>
    </row>
    <row r="592">
      <c r="C592" s="104"/>
    </row>
    <row r="593">
      <c r="C593" s="104"/>
    </row>
    <row r="594">
      <c r="C594" s="104"/>
    </row>
    <row r="595">
      <c r="C595" s="104"/>
    </row>
    <row r="596">
      <c r="C596" s="104"/>
    </row>
    <row r="597">
      <c r="C597" s="104"/>
    </row>
    <row r="598">
      <c r="C598" s="104"/>
    </row>
    <row r="599">
      <c r="C599" s="104"/>
    </row>
    <row r="600">
      <c r="C600" s="104"/>
    </row>
    <row r="601">
      <c r="C601" s="104"/>
    </row>
    <row r="602">
      <c r="C602" s="104"/>
    </row>
    <row r="603">
      <c r="C603" s="104"/>
    </row>
    <row r="604">
      <c r="C604" s="104"/>
    </row>
    <row r="605">
      <c r="C605" s="104"/>
    </row>
    <row r="606">
      <c r="C606" s="104"/>
    </row>
    <row r="607">
      <c r="C607" s="104"/>
    </row>
    <row r="608">
      <c r="C608" s="104"/>
    </row>
    <row r="609">
      <c r="C609" s="104"/>
    </row>
    <row r="610">
      <c r="C610" s="104"/>
    </row>
    <row r="611">
      <c r="C611" s="104"/>
    </row>
    <row r="612">
      <c r="C612" s="104"/>
    </row>
    <row r="613">
      <c r="C613" s="104"/>
    </row>
    <row r="614">
      <c r="C614" s="104"/>
    </row>
    <row r="615">
      <c r="C615" s="104"/>
    </row>
    <row r="616">
      <c r="C616" s="104"/>
    </row>
    <row r="617">
      <c r="C617" s="104"/>
    </row>
    <row r="618">
      <c r="C618" s="104"/>
    </row>
    <row r="619">
      <c r="C619" s="104"/>
    </row>
    <row r="620">
      <c r="C620" s="104"/>
    </row>
    <row r="621">
      <c r="C621" s="104"/>
    </row>
    <row r="622">
      <c r="C622" s="104"/>
    </row>
    <row r="623">
      <c r="C623" s="104"/>
    </row>
    <row r="624">
      <c r="C624" s="104"/>
    </row>
    <row r="625">
      <c r="C625" s="104"/>
    </row>
    <row r="626">
      <c r="C626" s="104"/>
    </row>
    <row r="627">
      <c r="C627" s="104"/>
    </row>
    <row r="628">
      <c r="C628" s="104"/>
    </row>
    <row r="629">
      <c r="C629" s="104"/>
    </row>
    <row r="630">
      <c r="C630" s="104"/>
    </row>
    <row r="631">
      <c r="C631" s="104"/>
    </row>
    <row r="632">
      <c r="C632" s="104"/>
    </row>
    <row r="633">
      <c r="C633" s="104"/>
    </row>
    <row r="634">
      <c r="C634" s="104"/>
    </row>
    <row r="635">
      <c r="C635" s="104"/>
    </row>
    <row r="636">
      <c r="C636" s="104"/>
    </row>
    <row r="637">
      <c r="C637" s="104"/>
    </row>
    <row r="638">
      <c r="C638" s="104"/>
    </row>
    <row r="639">
      <c r="C639" s="104"/>
    </row>
    <row r="640">
      <c r="C640" s="104"/>
    </row>
    <row r="641">
      <c r="C641" s="104"/>
    </row>
    <row r="642">
      <c r="C642" s="104"/>
    </row>
    <row r="643">
      <c r="C643" s="104"/>
    </row>
    <row r="644">
      <c r="C644" s="104"/>
    </row>
    <row r="645">
      <c r="C645" s="104"/>
    </row>
    <row r="646">
      <c r="C646" s="104"/>
    </row>
    <row r="647">
      <c r="C647" s="104"/>
    </row>
    <row r="648">
      <c r="C648" s="104"/>
    </row>
    <row r="649">
      <c r="C649" s="104"/>
    </row>
    <row r="650">
      <c r="C650" s="104"/>
    </row>
    <row r="651">
      <c r="C651" s="104"/>
    </row>
    <row r="652">
      <c r="C652" s="104"/>
    </row>
    <row r="653">
      <c r="C653" s="104"/>
    </row>
    <row r="654">
      <c r="C654" s="104"/>
    </row>
    <row r="655">
      <c r="C655" s="104"/>
    </row>
    <row r="656">
      <c r="C656" s="104"/>
    </row>
    <row r="657">
      <c r="C657" s="104"/>
    </row>
    <row r="658">
      <c r="C658" s="104"/>
    </row>
    <row r="659">
      <c r="C659" s="104"/>
    </row>
    <row r="660">
      <c r="C660" s="104"/>
    </row>
    <row r="661">
      <c r="C661" s="104"/>
    </row>
    <row r="662">
      <c r="C662" s="104"/>
    </row>
    <row r="663">
      <c r="C663" s="104"/>
    </row>
    <row r="664">
      <c r="C664" s="104"/>
    </row>
    <row r="665">
      <c r="C665" s="104"/>
    </row>
    <row r="666">
      <c r="C666" s="104"/>
    </row>
    <row r="667">
      <c r="C667" s="104"/>
    </row>
    <row r="668">
      <c r="C668" s="104"/>
    </row>
    <row r="669">
      <c r="C669" s="104"/>
    </row>
    <row r="670">
      <c r="C670" s="104"/>
    </row>
    <row r="671">
      <c r="C671" s="104"/>
    </row>
    <row r="672">
      <c r="C672" s="104"/>
    </row>
    <row r="673">
      <c r="C673" s="104"/>
    </row>
    <row r="674">
      <c r="C674" s="104"/>
    </row>
    <row r="675">
      <c r="C675" s="104"/>
    </row>
    <row r="676">
      <c r="C676" s="104"/>
    </row>
    <row r="677">
      <c r="C677" s="104"/>
    </row>
    <row r="678">
      <c r="C678" s="104"/>
    </row>
    <row r="679">
      <c r="C679" s="104"/>
    </row>
    <row r="680">
      <c r="C680" s="104"/>
    </row>
    <row r="681">
      <c r="C681" s="104"/>
    </row>
    <row r="682">
      <c r="C682" s="104"/>
    </row>
    <row r="683">
      <c r="C683" s="104"/>
    </row>
    <row r="684">
      <c r="C684" s="104"/>
    </row>
    <row r="685">
      <c r="C685" s="104"/>
    </row>
    <row r="686">
      <c r="C686" s="104"/>
    </row>
    <row r="687">
      <c r="C687" s="104"/>
    </row>
    <row r="688">
      <c r="C688" s="104"/>
    </row>
    <row r="689">
      <c r="C689" s="104"/>
    </row>
    <row r="690">
      <c r="C690" s="104"/>
    </row>
    <row r="691">
      <c r="C691" s="104"/>
    </row>
    <row r="692">
      <c r="C692" s="104"/>
    </row>
    <row r="693">
      <c r="C693" s="104"/>
    </row>
    <row r="694">
      <c r="C694" s="104"/>
    </row>
    <row r="695">
      <c r="C695" s="104"/>
    </row>
    <row r="696">
      <c r="C696" s="104"/>
    </row>
    <row r="697">
      <c r="C697" s="104"/>
    </row>
    <row r="698">
      <c r="C698" s="104"/>
    </row>
    <row r="699">
      <c r="C699" s="104"/>
    </row>
    <row r="700">
      <c r="C700" s="104"/>
    </row>
    <row r="701">
      <c r="C701" s="104"/>
    </row>
    <row r="702">
      <c r="C702" s="104"/>
    </row>
    <row r="703">
      <c r="C703" s="104"/>
    </row>
    <row r="704">
      <c r="C704" s="104"/>
    </row>
    <row r="705">
      <c r="C705" s="104"/>
    </row>
    <row r="706">
      <c r="C706" s="104"/>
    </row>
    <row r="707">
      <c r="C707" s="104"/>
    </row>
    <row r="708">
      <c r="C708" s="104"/>
    </row>
    <row r="709">
      <c r="C709" s="104"/>
    </row>
    <row r="710">
      <c r="C710" s="104"/>
    </row>
    <row r="711">
      <c r="C711" s="104"/>
    </row>
    <row r="712">
      <c r="C712" s="104"/>
    </row>
    <row r="713">
      <c r="C713" s="104"/>
    </row>
    <row r="714">
      <c r="C714" s="104"/>
    </row>
    <row r="715">
      <c r="C715" s="104"/>
    </row>
    <row r="716">
      <c r="C716" s="104"/>
    </row>
    <row r="717">
      <c r="C717" s="104"/>
    </row>
    <row r="718">
      <c r="C718" s="104"/>
    </row>
    <row r="719">
      <c r="C719" s="104"/>
    </row>
    <row r="720">
      <c r="C720" s="104"/>
    </row>
    <row r="721">
      <c r="C721" s="104"/>
    </row>
    <row r="722">
      <c r="C722" s="104"/>
    </row>
    <row r="723">
      <c r="C723" s="104"/>
    </row>
    <row r="724">
      <c r="C724" s="104"/>
    </row>
    <row r="725">
      <c r="C725" s="104"/>
    </row>
    <row r="726">
      <c r="C726" s="104"/>
    </row>
    <row r="727">
      <c r="C727" s="104"/>
    </row>
    <row r="728">
      <c r="C728" s="104"/>
    </row>
    <row r="729">
      <c r="C729" s="104"/>
    </row>
    <row r="730">
      <c r="C730" s="104"/>
    </row>
    <row r="731">
      <c r="C731" s="104"/>
    </row>
    <row r="732">
      <c r="C732" s="104"/>
    </row>
    <row r="733">
      <c r="C733" s="104"/>
    </row>
    <row r="734">
      <c r="C734" s="104"/>
    </row>
    <row r="735">
      <c r="C735" s="104"/>
    </row>
    <row r="736">
      <c r="C736" s="104"/>
    </row>
    <row r="737">
      <c r="C737" s="104"/>
    </row>
    <row r="738">
      <c r="C738" s="104"/>
    </row>
    <row r="739">
      <c r="C739" s="104"/>
    </row>
    <row r="740">
      <c r="C740" s="104"/>
    </row>
    <row r="741">
      <c r="C741" s="104"/>
    </row>
    <row r="742">
      <c r="C742" s="104"/>
    </row>
    <row r="743">
      <c r="C743" s="104"/>
    </row>
    <row r="744">
      <c r="C744" s="104"/>
    </row>
    <row r="745">
      <c r="C745" s="104"/>
    </row>
    <row r="746">
      <c r="C746" s="104"/>
    </row>
    <row r="747">
      <c r="C747" s="104"/>
    </row>
    <row r="748">
      <c r="C748" s="104"/>
    </row>
    <row r="749">
      <c r="C749" s="104"/>
    </row>
    <row r="750">
      <c r="C750" s="104"/>
    </row>
    <row r="751">
      <c r="C751" s="104"/>
    </row>
    <row r="752">
      <c r="C752" s="104"/>
    </row>
    <row r="753">
      <c r="C753" s="104"/>
    </row>
    <row r="754">
      <c r="C754" s="104"/>
    </row>
    <row r="755">
      <c r="C755" s="104"/>
    </row>
    <row r="756">
      <c r="C756" s="104"/>
    </row>
    <row r="757">
      <c r="C757" s="104"/>
    </row>
    <row r="758">
      <c r="C758" s="104"/>
    </row>
    <row r="759">
      <c r="C759" s="104"/>
    </row>
    <row r="760">
      <c r="C760" s="104"/>
    </row>
    <row r="761">
      <c r="C761" s="104"/>
    </row>
    <row r="762">
      <c r="C762" s="104"/>
    </row>
    <row r="763">
      <c r="C763" s="104"/>
    </row>
    <row r="764">
      <c r="C764" s="104"/>
    </row>
    <row r="765">
      <c r="C765" s="104"/>
    </row>
    <row r="766">
      <c r="C766" s="104"/>
    </row>
    <row r="767">
      <c r="C767" s="104"/>
    </row>
    <row r="768">
      <c r="C768" s="104"/>
    </row>
    <row r="769">
      <c r="C769" s="104"/>
    </row>
    <row r="770">
      <c r="C770" s="104"/>
    </row>
    <row r="771">
      <c r="C771" s="104"/>
    </row>
    <row r="772">
      <c r="C772" s="104"/>
    </row>
    <row r="773">
      <c r="C773" s="104"/>
    </row>
    <row r="774">
      <c r="C774" s="104"/>
    </row>
    <row r="775">
      <c r="C775" s="104"/>
    </row>
    <row r="776">
      <c r="C776" s="104"/>
    </row>
    <row r="777">
      <c r="C777" s="104"/>
    </row>
    <row r="778">
      <c r="C778" s="104"/>
    </row>
    <row r="779">
      <c r="C779" s="104"/>
    </row>
    <row r="780">
      <c r="C780" s="104"/>
    </row>
    <row r="781">
      <c r="C781" s="104"/>
    </row>
    <row r="782">
      <c r="C782" s="104"/>
    </row>
    <row r="783">
      <c r="C783" s="104"/>
    </row>
    <row r="784">
      <c r="C784" s="104"/>
    </row>
    <row r="785">
      <c r="C785" s="104"/>
    </row>
    <row r="786">
      <c r="C786" s="104"/>
    </row>
    <row r="787">
      <c r="C787" s="104"/>
    </row>
    <row r="788">
      <c r="C788" s="104"/>
    </row>
    <row r="789">
      <c r="C789" s="104"/>
    </row>
    <row r="790">
      <c r="C790" s="104"/>
    </row>
    <row r="791">
      <c r="C791" s="104"/>
    </row>
    <row r="792">
      <c r="C792" s="104"/>
    </row>
    <row r="793">
      <c r="C793" s="104"/>
    </row>
    <row r="794">
      <c r="C794" s="104"/>
    </row>
    <row r="795">
      <c r="C795" s="104"/>
    </row>
    <row r="796">
      <c r="C796" s="104"/>
    </row>
    <row r="797">
      <c r="C797" s="104"/>
    </row>
    <row r="798">
      <c r="C798" s="104"/>
    </row>
    <row r="799">
      <c r="C799" s="104"/>
    </row>
    <row r="800">
      <c r="C800" s="104"/>
    </row>
    <row r="801">
      <c r="C801" s="104"/>
    </row>
    <row r="802">
      <c r="C802" s="104"/>
    </row>
    <row r="803">
      <c r="C803" s="104"/>
    </row>
    <row r="804">
      <c r="C804" s="104"/>
    </row>
    <row r="805">
      <c r="C805" s="104"/>
    </row>
    <row r="806">
      <c r="C806" s="104"/>
    </row>
    <row r="807">
      <c r="C807" s="104"/>
    </row>
    <row r="808">
      <c r="C808" s="104"/>
    </row>
    <row r="809">
      <c r="C809" s="104"/>
    </row>
    <row r="810">
      <c r="C810" s="104"/>
    </row>
    <row r="811">
      <c r="C811" s="104"/>
    </row>
    <row r="812">
      <c r="C812" s="104"/>
    </row>
    <row r="813">
      <c r="C813" s="104"/>
    </row>
    <row r="814">
      <c r="C814" s="104"/>
    </row>
    <row r="815">
      <c r="C815" s="104"/>
    </row>
    <row r="816">
      <c r="C816" s="104"/>
    </row>
    <row r="817">
      <c r="C817" s="104"/>
    </row>
    <row r="818">
      <c r="C818" s="104"/>
    </row>
    <row r="819">
      <c r="C819" s="104"/>
    </row>
    <row r="820">
      <c r="C820" s="104"/>
    </row>
    <row r="821">
      <c r="C821" s="104"/>
    </row>
    <row r="822">
      <c r="C822" s="104"/>
    </row>
    <row r="823">
      <c r="C823" s="104"/>
    </row>
    <row r="824">
      <c r="C824" s="104"/>
    </row>
    <row r="825">
      <c r="C825" s="104"/>
    </row>
    <row r="826">
      <c r="C826" s="104"/>
    </row>
    <row r="827">
      <c r="C827" s="104"/>
    </row>
    <row r="828">
      <c r="C828" s="104"/>
    </row>
    <row r="829">
      <c r="C829" s="104"/>
    </row>
    <row r="830">
      <c r="C830" s="104"/>
    </row>
    <row r="831">
      <c r="C831" s="104"/>
    </row>
    <row r="832">
      <c r="C832" s="104"/>
    </row>
    <row r="833">
      <c r="C833" s="104"/>
    </row>
    <row r="834">
      <c r="C834" s="104"/>
    </row>
    <row r="835">
      <c r="C835" s="104"/>
    </row>
    <row r="836">
      <c r="C836" s="104"/>
    </row>
    <row r="837">
      <c r="C837" s="104"/>
    </row>
    <row r="838">
      <c r="C838" s="104"/>
    </row>
    <row r="839">
      <c r="C839" s="104"/>
    </row>
    <row r="840">
      <c r="C840" s="104"/>
    </row>
    <row r="841">
      <c r="C841" s="104"/>
    </row>
    <row r="842">
      <c r="C842" s="104"/>
    </row>
    <row r="843">
      <c r="C843" s="104"/>
    </row>
    <row r="844">
      <c r="C844" s="104"/>
    </row>
    <row r="845">
      <c r="C845" s="104"/>
    </row>
    <row r="846">
      <c r="C846" s="104"/>
    </row>
    <row r="847">
      <c r="C847" s="104"/>
    </row>
    <row r="848">
      <c r="C848" s="104"/>
    </row>
    <row r="849">
      <c r="C849" s="104"/>
    </row>
    <row r="850">
      <c r="C850" s="104"/>
    </row>
    <row r="851">
      <c r="C851" s="104"/>
    </row>
    <row r="852">
      <c r="C852" s="104"/>
    </row>
    <row r="853">
      <c r="C853" s="104"/>
    </row>
    <row r="854">
      <c r="C854" s="104"/>
    </row>
    <row r="855">
      <c r="C855" s="104"/>
    </row>
    <row r="856">
      <c r="C856" s="104"/>
    </row>
    <row r="857">
      <c r="C857" s="104"/>
    </row>
    <row r="858">
      <c r="C858" s="104"/>
    </row>
    <row r="859">
      <c r="C859" s="104"/>
    </row>
    <row r="860">
      <c r="C860" s="104"/>
    </row>
    <row r="861">
      <c r="C861" s="104"/>
    </row>
    <row r="862">
      <c r="C862" s="104"/>
    </row>
    <row r="863">
      <c r="C863" s="104"/>
    </row>
    <row r="864">
      <c r="C864" s="104"/>
    </row>
    <row r="865">
      <c r="C865" s="104"/>
    </row>
    <row r="866">
      <c r="C866" s="104"/>
    </row>
    <row r="867">
      <c r="C867" s="104"/>
    </row>
    <row r="868">
      <c r="C868" s="104"/>
    </row>
    <row r="869">
      <c r="C869" s="104"/>
    </row>
    <row r="870">
      <c r="C870" s="104"/>
    </row>
    <row r="871">
      <c r="C871" s="104"/>
    </row>
    <row r="872">
      <c r="C872" s="104"/>
    </row>
    <row r="873">
      <c r="C873" s="104"/>
    </row>
    <row r="874">
      <c r="C874" s="104"/>
    </row>
    <row r="875">
      <c r="C875" s="104"/>
    </row>
    <row r="876">
      <c r="C876" s="104"/>
    </row>
    <row r="877">
      <c r="C877" s="104"/>
    </row>
    <row r="878">
      <c r="C878" s="104"/>
    </row>
    <row r="879">
      <c r="C879" s="104"/>
    </row>
    <row r="880">
      <c r="C880" s="104"/>
    </row>
    <row r="881">
      <c r="C881" s="104"/>
    </row>
    <row r="882">
      <c r="C882" s="104"/>
    </row>
    <row r="883">
      <c r="C883" s="104"/>
    </row>
    <row r="884">
      <c r="C884" s="104"/>
    </row>
    <row r="885">
      <c r="C885" s="104"/>
    </row>
    <row r="886">
      <c r="C886" s="104"/>
    </row>
    <row r="887">
      <c r="C887" s="104"/>
    </row>
    <row r="888">
      <c r="C888" s="104"/>
    </row>
    <row r="889">
      <c r="C889" s="104"/>
    </row>
    <row r="890">
      <c r="C890" s="104"/>
    </row>
    <row r="891">
      <c r="C891" s="104"/>
    </row>
    <row r="892">
      <c r="C892" s="104"/>
    </row>
    <row r="893">
      <c r="C893" s="104"/>
    </row>
    <row r="894">
      <c r="C894" s="104"/>
    </row>
    <row r="895">
      <c r="C895" s="104"/>
    </row>
    <row r="896">
      <c r="C896" s="104"/>
    </row>
    <row r="897">
      <c r="C897" s="104"/>
    </row>
    <row r="898">
      <c r="C898" s="104"/>
    </row>
    <row r="899">
      <c r="C899" s="104"/>
    </row>
    <row r="900">
      <c r="C900" s="104"/>
    </row>
    <row r="901">
      <c r="C901" s="104"/>
    </row>
    <row r="902">
      <c r="C902" s="104"/>
    </row>
    <row r="903">
      <c r="C903" s="104"/>
    </row>
    <row r="904">
      <c r="C904" s="104"/>
    </row>
    <row r="905">
      <c r="C905" s="104"/>
    </row>
    <row r="906">
      <c r="C906" s="104"/>
    </row>
    <row r="907">
      <c r="C907" s="104"/>
    </row>
    <row r="908">
      <c r="C908" s="104"/>
    </row>
    <row r="909">
      <c r="C909" s="104"/>
    </row>
    <row r="910">
      <c r="C910" s="104"/>
    </row>
    <row r="911">
      <c r="C911" s="104"/>
    </row>
    <row r="912">
      <c r="C912" s="104"/>
    </row>
    <row r="913">
      <c r="C913" s="104"/>
    </row>
    <row r="914">
      <c r="C914" s="104"/>
    </row>
    <row r="915">
      <c r="C915" s="104"/>
    </row>
    <row r="916">
      <c r="C916" s="104"/>
    </row>
    <row r="917">
      <c r="C917" s="104"/>
    </row>
    <row r="918">
      <c r="C918" s="104"/>
    </row>
    <row r="919">
      <c r="C919" s="104"/>
    </row>
    <row r="920">
      <c r="C920" s="104"/>
    </row>
    <row r="921">
      <c r="C921" s="104"/>
    </row>
    <row r="922">
      <c r="C922" s="104"/>
    </row>
    <row r="923">
      <c r="C923" s="104"/>
    </row>
    <row r="924">
      <c r="C924" s="104"/>
    </row>
    <row r="925">
      <c r="C925" s="104"/>
    </row>
    <row r="926">
      <c r="C926" s="104"/>
    </row>
    <row r="927">
      <c r="C927" s="104"/>
    </row>
    <row r="928">
      <c r="C928" s="104"/>
    </row>
    <row r="929">
      <c r="C929" s="104"/>
    </row>
    <row r="930">
      <c r="C930" s="104"/>
    </row>
    <row r="931">
      <c r="C931" s="104"/>
    </row>
    <row r="932">
      <c r="C932" s="104"/>
    </row>
    <row r="933">
      <c r="C933" s="104"/>
    </row>
    <row r="934">
      <c r="C934" s="104"/>
    </row>
    <row r="935">
      <c r="C935" s="104"/>
    </row>
    <row r="936">
      <c r="C936" s="104"/>
    </row>
    <row r="937">
      <c r="C937" s="104"/>
    </row>
    <row r="938">
      <c r="C938" s="104"/>
    </row>
    <row r="939">
      <c r="C939" s="104"/>
    </row>
    <row r="940">
      <c r="C940" s="104"/>
    </row>
    <row r="941">
      <c r="C941" s="104"/>
    </row>
    <row r="942">
      <c r="C942" s="104"/>
    </row>
    <row r="943">
      <c r="C943" s="104"/>
    </row>
    <row r="944">
      <c r="C944" s="104"/>
    </row>
    <row r="945">
      <c r="C945" s="104"/>
    </row>
    <row r="946">
      <c r="C946" s="104"/>
    </row>
    <row r="947">
      <c r="C947" s="104"/>
    </row>
    <row r="948">
      <c r="C948" s="104"/>
    </row>
    <row r="949">
      <c r="C949" s="104"/>
    </row>
    <row r="950">
      <c r="C950" s="104"/>
    </row>
    <row r="951">
      <c r="C951" s="104"/>
    </row>
    <row r="952">
      <c r="C952" s="104"/>
    </row>
    <row r="953">
      <c r="C953" s="104"/>
    </row>
    <row r="954">
      <c r="C954" s="104"/>
    </row>
    <row r="955">
      <c r="C955" s="104"/>
    </row>
    <row r="956">
      <c r="C956" s="104"/>
    </row>
    <row r="957">
      <c r="C957" s="104"/>
    </row>
    <row r="958">
      <c r="C958" s="104"/>
    </row>
    <row r="959">
      <c r="C959" s="104"/>
    </row>
    <row r="960">
      <c r="C960" s="104"/>
    </row>
    <row r="961">
      <c r="C961" s="104"/>
    </row>
    <row r="962">
      <c r="C962" s="104"/>
    </row>
    <row r="963">
      <c r="C963" s="104"/>
    </row>
    <row r="964">
      <c r="C964" s="104"/>
    </row>
    <row r="965">
      <c r="C965" s="104"/>
    </row>
    <row r="966">
      <c r="C966" s="104"/>
    </row>
    <row r="967">
      <c r="C967" s="104"/>
    </row>
    <row r="968">
      <c r="C968" s="104"/>
    </row>
    <row r="969">
      <c r="C969" s="104"/>
    </row>
    <row r="970">
      <c r="C970" s="104"/>
    </row>
    <row r="971">
      <c r="C971" s="104"/>
    </row>
    <row r="972">
      <c r="C972" s="104"/>
    </row>
    <row r="973">
      <c r="C973" s="104"/>
    </row>
    <row r="974">
      <c r="C974" s="104"/>
    </row>
    <row r="975">
      <c r="C975" s="104"/>
    </row>
    <row r="976">
      <c r="C976" s="104"/>
    </row>
    <row r="977">
      <c r="C977" s="104"/>
    </row>
    <row r="978">
      <c r="C978" s="104"/>
    </row>
    <row r="979">
      <c r="C979" s="104"/>
    </row>
    <row r="980">
      <c r="C980" s="104"/>
    </row>
    <row r="981">
      <c r="C981" s="104"/>
    </row>
    <row r="982">
      <c r="C982" s="104"/>
    </row>
    <row r="983">
      <c r="C983" s="104"/>
    </row>
    <row r="984">
      <c r="C984" s="104"/>
    </row>
    <row r="985">
      <c r="C985" s="104"/>
    </row>
    <row r="986">
      <c r="C986" s="104"/>
    </row>
    <row r="987">
      <c r="C987" s="104"/>
    </row>
    <row r="988">
      <c r="C988" s="104"/>
    </row>
    <row r="989">
      <c r="C989" s="104"/>
    </row>
    <row r="990">
      <c r="C990" s="104"/>
    </row>
    <row r="991">
      <c r="C991" s="104"/>
    </row>
    <row r="992">
      <c r="C992" s="104"/>
    </row>
    <row r="993">
      <c r="C993" s="104"/>
    </row>
    <row r="994">
      <c r="C994" s="104"/>
    </row>
    <row r="995">
      <c r="C995" s="104"/>
    </row>
    <row r="996">
      <c r="C996" s="104"/>
    </row>
    <row r="997">
      <c r="C997" s="104"/>
    </row>
    <row r="998">
      <c r="C998" s="104"/>
    </row>
    <row r="999">
      <c r="C999" s="104"/>
    </row>
  </sheetData>
  <autoFilter ref="$B$1:$Q$11"/>
  <mergeCells count="2">
    <mergeCell ref="D1:L1"/>
    <mergeCell ref="M1:N1"/>
  </mergeCells>
  <conditionalFormatting sqref="N3:N33">
    <cfRule type="cellIs" dxfId="5" priority="1" operator="greaterThan">
      <formula>0</formula>
    </cfRule>
  </conditionalFormatting>
  <conditionalFormatting sqref="N3:N33">
    <cfRule type="cellIs" dxfId="6" priority="2" operator="lessThan">
      <formula>0</formula>
    </cfRule>
  </conditionalFormatting>
  <conditionalFormatting sqref="N3:N33">
    <cfRule type="notContainsBlanks" dxfId="11" priority="3">
      <formula>LEN(TRIM(N3))&gt;0</formula>
    </cfRule>
  </conditionalFormatting>
  <dataValidations>
    <dataValidation type="list" allowBlank="1" showErrorMessage="1" sqref="I3:I33">
      <formula1>LEGEND!$A$3:$A$5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2.38"/>
    <col customWidth="1" min="3" max="3" width="29.13"/>
    <col customWidth="1" min="4" max="4" width="27.13"/>
    <col customWidth="1" min="5" max="5" width="30.88"/>
    <col customWidth="1" min="6" max="6" width="18.38"/>
  </cols>
  <sheetData>
    <row r="1">
      <c r="A1" s="254" t="s">
        <v>86</v>
      </c>
      <c r="B1" s="255" t="s">
        <v>3</v>
      </c>
      <c r="C1" s="256" t="s">
        <v>87</v>
      </c>
      <c r="D1" s="257" t="s">
        <v>88</v>
      </c>
      <c r="E1" s="259" t="s">
        <v>67</v>
      </c>
      <c r="F1" s="260" t="s">
        <v>70</v>
      </c>
    </row>
    <row r="2">
      <c r="A2" s="261">
        <v>0.05</v>
      </c>
      <c r="B2" s="262" t="s">
        <v>89</v>
      </c>
      <c r="C2" s="263" t="str">
        <f t="shared" ref="C2:C13" si="1">CONCAT("BUY_",B2)</f>
        <v>BUY_JAN</v>
      </c>
      <c r="D2" s="264" t="s">
        <v>90</v>
      </c>
      <c r="E2" s="265" t="s">
        <v>75</v>
      </c>
      <c r="F2" s="92" t="s">
        <v>91</v>
      </c>
    </row>
    <row r="3">
      <c r="A3" s="266">
        <v>0.07</v>
      </c>
      <c r="B3" s="262" t="s">
        <v>92</v>
      </c>
      <c r="C3" s="263" t="str">
        <f t="shared" si="1"/>
        <v>BUY_FEB</v>
      </c>
      <c r="D3" s="264" t="s">
        <v>93</v>
      </c>
      <c r="E3" s="265" t="s">
        <v>94</v>
      </c>
      <c r="F3" s="92" t="s">
        <v>76</v>
      </c>
    </row>
    <row r="4">
      <c r="A4" s="269">
        <v>0.14</v>
      </c>
      <c r="B4" s="262" t="s">
        <v>95</v>
      </c>
      <c r="C4" s="263" t="str">
        <f t="shared" si="1"/>
        <v>BUY_MAR</v>
      </c>
      <c r="D4" s="264" t="s">
        <v>96</v>
      </c>
      <c r="E4" s="265" t="s">
        <v>97</v>
      </c>
      <c r="F4" s="92" t="s">
        <v>98</v>
      </c>
    </row>
    <row r="5">
      <c r="A5" s="271">
        <v>0.0</v>
      </c>
      <c r="B5" s="262" t="s">
        <v>99</v>
      </c>
      <c r="C5" s="263" t="str">
        <f t="shared" si="1"/>
        <v>BUY_APR</v>
      </c>
      <c r="D5" s="264" t="s">
        <v>100</v>
      </c>
      <c r="E5" s="265" t="s">
        <v>101</v>
      </c>
      <c r="F5" s="105"/>
    </row>
    <row r="6">
      <c r="A6" s="273"/>
      <c r="B6" s="262" t="s">
        <v>102</v>
      </c>
      <c r="C6" s="263" t="str">
        <f t="shared" si="1"/>
        <v>BUY_MAY</v>
      </c>
      <c r="D6" s="264" t="s">
        <v>103</v>
      </c>
      <c r="E6" s="265" t="s">
        <v>105</v>
      </c>
      <c r="F6" s="105"/>
    </row>
    <row r="7">
      <c r="A7" s="273"/>
      <c r="B7" s="262" t="s">
        <v>106</v>
      </c>
      <c r="C7" s="263" t="str">
        <f t="shared" si="1"/>
        <v>BUY_JUN</v>
      </c>
      <c r="D7" s="264" t="s">
        <v>107</v>
      </c>
      <c r="E7" s="265" t="s">
        <v>108</v>
      </c>
      <c r="F7" s="105"/>
    </row>
    <row r="8">
      <c r="A8" s="273"/>
      <c r="B8" s="262" t="s">
        <v>109</v>
      </c>
      <c r="C8" s="263" t="str">
        <f t="shared" si="1"/>
        <v>BUY_JUL</v>
      </c>
      <c r="D8" s="264" t="s">
        <v>110</v>
      </c>
      <c r="E8" s="265" t="s">
        <v>111</v>
      </c>
      <c r="F8" s="105"/>
    </row>
    <row r="9">
      <c r="A9" s="273"/>
      <c r="B9" s="262" t="s">
        <v>39</v>
      </c>
      <c r="C9" s="263" t="str">
        <f t="shared" si="1"/>
        <v>BUY_AUG</v>
      </c>
      <c r="D9" s="264" t="s">
        <v>112</v>
      </c>
      <c r="E9" s="265" t="s">
        <v>113</v>
      </c>
      <c r="F9" s="105"/>
    </row>
    <row r="10">
      <c r="A10" s="273"/>
      <c r="B10" s="262" t="s">
        <v>55</v>
      </c>
      <c r="C10" s="263" t="str">
        <f t="shared" si="1"/>
        <v>BUY_SEP</v>
      </c>
      <c r="D10" s="264" t="s">
        <v>114</v>
      </c>
      <c r="E10" s="265" t="s">
        <v>115</v>
      </c>
      <c r="F10" s="105"/>
    </row>
    <row r="11">
      <c r="A11" s="273"/>
      <c r="B11" s="262" t="s">
        <v>64</v>
      </c>
      <c r="C11" s="263" t="str">
        <f t="shared" si="1"/>
        <v>BUY_OCT</v>
      </c>
      <c r="D11" s="264" t="s">
        <v>116</v>
      </c>
      <c r="E11" s="196"/>
      <c r="F11" s="105"/>
    </row>
    <row r="12">
      <c r="A12" s="273"/>
      <c r="B12" s="262" t="s">
        <v>77</v>
      </c>
      <c r="C12" s="263" t="str">
        <f t="shared" si="1"/>
        <v>BUY_NOV</v>
      </c>
      <c r="D12" s="264" t="s">
        <v>118</v>
      </c>
      <c r="E12" s="196"/>
      <c r="F12" s="105"/>
    </row>
    <row r="13">
      <c r="A13" s="273"/>
      <c r="B13" s="262" t="s">
        <v>78</v>
      </c>
      <c r="C13" s="263" t="str">
        <f t="shared" si="1"/>
        <v>BUY_DEC</v>
      </c>
      <c r="D13" s="264" t="s">
        <v>120</v>
      </c>
      <c r="E13" s="196"/>
      <c r="F13" s="105"/>
    </row>
    <row r="14">
      <c r="A14" s="104"/>
      <c r="B14" s="104"/>
      <c r="C14" s="104"/>
    </row>
    <row r="15">
      <c r="A15" s="104"/>
      <c r="B15" s="104"/>
      <c r="C15" s="104"/>
    </row>
    <row r="16">
      <c r="A16" s="104"/>
      <c r="B16" s="104"/>
      <c r="C16" s="104"/>
    </row>
    <row r="17">
      <c r="A17" s="104"/>
      <c r="B17" s="104"/>
      <c r="C17" s="104"/>
    </row>
    <row r="18">
      <c r="A18" s="104"/>
      <c r="B18" s="104"/>
      <c r="C18" s="104"/>
    </row>
    <row r="19">
      <c r="A19" s="104"/>
      <c r="B19" s="104"/>
      <c r="C19" s="104"/>
    </row>
    <row r="20">
      <c r="A20" s="104"/>
      <c r="B20" s="104"/>
      <c r="C20" s="104"/>
    </row>
    <row r="21">
      <c r="A21" s="104"/>
      <c r="B21" s="104"/>
      <c r="C21" s="104"/>
    </row>
    <row r="22">
      <c r="A22" s="104"/>
      <c r="B22" s="104"/>
      <c r="C22" s="104"/>
    </row>
    <row r="23">
      <c r="A23" s="104"/>
      <c r="B23" s="104"/>
      <c r="C23" s="104"/>
    </row>
    <row r="24">
      <c r="A24" s="104"/>
      <c r="B24" s="104"/>
      <c r="C24" s="104"/>
    </row>
    <row r="25">
      <c r="A25" s="104"/>
      <c r="B25" s="104"/>
      <c r="C25" s="104"/>
    </row>
    <row r="26">
      <c r="A26" s="104"/>
      <c r="B26" s="104"/>
      <c r="C26" s="104"/>
    </row>
    <row r="27">
      <c r="A27" s="104"/>
      <c r="B27" s="104"/>
      <c r="C27" s="104"/>
    </row>
    <row r="28">
      <c r="A28" s="104"/>
      <c r="B28" s="104"/>
      <c r="C28" s="104"/>
    </row>
    <row r="29">
      <c r="A29" s="104"/>
      <c r="B29" s="104"/>
      <c r="C29" s="104"/>
    </row>
    <row r="30">
      <c r="A30" s="104"/>
      <c r="B30" s="104"/>
      <c r="C30" s="104"/>
    </row>
    <row r="31">
      <c r="A31" s="104"/>
      <c r="B31" s="104"/>
      <c r="C31" s="104"/>
    </row>
    <row r="32">
      <c r="A32" s="104"/>
      <c r="B32" s="104"/>
      <c r="C32" s="104"/>
    </row>
    <row r="33">
      <c r="A33" s="104"/>
      <c r="B33" s="104"/>
      <c r="C33" s="104"/>
    </row>
    <row r="34">
      <c r="A34" s="104"/>
      <c r="B34" s="104"/>
      <c r="C34" s="104"/>
    </row>
    <row r="35">
      <c r="A35" s="104"/>
      <c r="B35" s="104"/>
      <c r="C35" s="104"/>
    </row>
    <row r="36">
      <c r="A36" s="104"/>
      <c r="B36" s="104"/>
      <c r="C36" s="104"/>
    </row>
    <row r="37">
      <c r="A37" s="104"/>
      <c r="B37" s="104"/>
      <c r="C37" s="104"/>
    </row>
    <row r="38">
      <c r="A38" s="104"/>
      <c r="B38" s="104"/>
      <c r="C38" s="104"/>
    </row>
    <row r="39">
      <c r="A39" s="104"/>
      <c r="B39" s="104"/>
      <c r="C39" s="104"/>
    </row>
    <row r="40">
      <c r="A40" s="104"/>
      <c r="B40" s="104"/>
      <c r="C40" s="104"/>
    </row>
    <row r="41">
      <c r="A41" s="104"/>
      <c r="B41" s="104"/>
      <c r="C41" s="104"/>
    </row>
    <row r="42">
      <c r="A42" s="104"/>
      <c r="B42" s="104"/>
      <c r="C42" s="104"/>
    </row>
    <row r="43">
      <c r="A43" s="104"/>
      <c r="B43" s="104"/>
      <c r="C43" s="104"/>
    </row>
    <row r="44">
      <c r="A44" s="104"/>
      <c r="B44" s="104"/>
      <c r="C44" s="104"/>
    </row>
    <row r="45">
      <c r="A45" s="104"/>
      <c r="B45" s="104"/>
      <c r="C45" s="104"/>
    </row>
    <row r="46">
      <c r="A46" s="104"/>
      <c r="B46" s="104"/>
      <c r="C46" s="104"/>
    </row>
    <row r="47">
      <c r="A47" s="104"/>
      <c r="B47" s="104"/>
      <c r="C47" s="104"/>
    </row>
    <row r="48">
      <c r="A48" s="104"/>
      <c r="B48" s="104"/>
      <c r="C48" s="104"/>
    </row>
    <row r="49">
      <c r="A49" s="104"/>
      <c r="B49" s="104"/>
      <c r="C49" s="104"/>
    </row>
    <row r="50">
      <c r="A50" s="104"/>
      <c r="B50" s="104"/>
      <c r="C50" s="104"/>
    </row>
    <row r="51">
      <c r="A51" s="104"/>
      <c r="B51" s="104"/>
      <c r="C51" s="104"/>
    </row>
    <row r="52">
      <c r="A52" s="104"/>
      <c r="B52" s="104"/>
      <c r="C52" s="104"/>
    </row>
    <row r="53">
      <c r="A53" s="104"/>
      <c r="B53" s="104"/>
      <c r="C53" s="104"/>
    </row>
    <row r="54">
      <c r="A54" s="104"/>
      <c r="B54" s="104"/>
      <c r="C54" s="104"/>
    </row>
    <row r="55">
      <c r="A55" s="104"/>
      <c r="B55" s="104"/>
      <c r="C55" s="104"/>
    </row>
    <row r="56">
      <c r="A56" s="104"/>
      <c r="B56" s="104"/>
      <c r="C56" s="104"/>
    </row>
    <row r="57">
      <c r="A57" s="104"/>
      <c r="B57" s="104"/>
      <c r="C57" s="104"/>
    </row>
    <row r="58">
      <c r="A58" s="104"/>
      <c r="B58" s="104"/>
      <c r="C58" s="104"/>
    </row>
    <row r="59">
      <c r="A59" s="104"/>
      <c r="B59" s="104"/>
      <c r="C59" s="104"/>
    </row>
    <row r="60">
      <c r="A60" s="104"/>
      <c r="B60" s="104"/>
      <c r="C60" s="104"/>
    </row>
    <row r="61">
      <c r="A61" s="104"/>
      <c r="B61" s="104"/>
      <c r="C61" s="104"/>
    </row>
    <row r="62">
      <c r="A62" s="104"/>
      <c r="B62" s="104"/>
      <c r="C62" s="104"/>
    </row>
    <row r="63">
      <c r="A63" s="104"/>
      <c r="B63" s="104"/>
      <c r="C63" s="104"/>
    </row>
    <row r="64">
      <c r="A64" s="104"/>
      <c r="B64" s="104"/>
      <c r="C64" s="104"/>
    </row>
    <row r="65">
      <c r="A65" s="104"/>
      <c r="B65" s="104"/>
      <c r="C65" s="104"/>
    </row>
    <row r="66">
      <c r="A66" s="104"/>
      <c r="B66" s="104"/>
      <c r="C66" s="104"/>
    </row>
    <row r="67">
      <c r="A67" s="104"/>
      <c r="B67" s="104"/>
      <c r="C67" s="104"/>
    </row>
    <row r="68">
      <c r="A68" s="104"/>
      <c r="B68" s="104"/>
      <c r="C68" s="104"/>
    </row>
    <row r="69">
      <c r="A69" s="104"/>
      <c r="B69" s="104"/>
      <c r="C69" s="104"/>
    </row>
    <row r="70">
      <c r="A70" s="104"/>
      <c r="B70" s="104"/>
      <c r="C70" s="104"/>
    </row>
    <row r="71">
      <c r="A71" s="104"/>
      <c r="B71" s="104"/>
      <c r="C71" s="104"/>
    </row>
    <row r="72">
      <c r="A72" s="104"/>
      <c r="B72" s="104"/>
      <c r="C72" s="104"/>
    </row>
    <row r="73">
      <c r="A73" s="104"/>
      <c r="B73" s="104"/>
      <c r="C73" s="104"/>
    </row>
    <row r="74">
      <c r="A74" s="104"/>
      <c r="B74" s="104"/>
      <c r="C74" s="104"/>
    </row>
    <row r="75">
      <c r="A75" s="104"/>
      <c r="B75" s="104"/>
      <c r="C75" s="104"/>
    </row>
    <row r="76">
      <c r="A76" s="104"/>
      <c r="B76" s="104"/>
      <c r="C76" s="104"/>
    </row>
    <row r="77">
      <c r="A77" s="104"/>
      <c r="B77" s="104"/>
      <c r="C77" s="104"/>
    </row>
    <row r="78">
      <c r="A78" s="104"/>
      <c r="B78" s="104"/>
      <c r="C78" s="104"/>
    </row>
    <row r="79">
      <c r="A79" s="104"/>
      <c r="B79" s="104"/>
      <c r="C79" s="104"/>
    </row>
    <row r="80">
      <c r="A80" s="104"/>
      <c r="B80" s="104"/>
      <c r="C80" s="104"/>
    </row>
    <row r="81">
      <c r="A81" s="104"/>
      <c r="B81" s="104"/>
      <c r="C81" s="104"/>
    </row>
    <row r="82">
      <c r="A82" s="104"/>
      <c r="B82" s="104"/>
      <c r="C82" s="104"/>
    </row>
    <row r="83">
      <c r="A83" s="104"/>
      <c r="B83" s="104"/>
      <c r="C83" s="104"/>
    </row>
    <row r="84">
      <c r="A84" s="104"/>
      <c r="B84" s="104"/>
      <c r="C84" s="104"/>
    </row>
    <row r="85">
      <c r="A85" s="104"/>
      <c r="B85" s="104"/>
      <c r="C85" s="104"/>
    </row>
    <row r="86">
      <c r="A86" s="104"/>
      <c r="B86" s="104"/>
      <c r="C86" s="104"/>
    </row>
    <row r="87">
      <c r="A87" s="104"/>
      <c r="B87" s="104"/>
      <c r="C87" s="104"/>
    </row>
    <row r="88">
      <c r="A88" s="104"/>
      <c r="B88" s="104"/>
      <c r="C88" s="104"/>
    </row>
    <row r="89">
      <c r="A89" s="104"/>
      <c r="B89" s="104"/>
      <c r="C89" s="104"/>
    </row>
    <row r="90">
      <c r="A90" s="104"/>
      <c r="B90" s="104"/>
      <c r="C90" s="104"/>
    </row>
    <row r="91">
      <c r="A91" s="104"/>
      <c r="B91" s="104"/>
      <c r="C91" s="104"/>
    </row>
    <row r="92">
      <c r="A92" s="104"/>
      <c r="B92" s="104"/>
      <c r="C92" s="104"/>
    </row>
    <row r="93">
      <c r="A93" s="104"/>
      <c r="B93" s="104"/>
      <c r="C93" s="104"/>
    </row>
    <row r="94">
      <c r="A94" s="104"/>
      <c r="B94" s="104"/>
      <c r="C94" s="104"/>
    </row>
    <row r="95">
      <c r="A95" s="104"/>
      <c r="B95" s="104"/>
      <c r="C95" s="104"/>
    </row>
    <row r="96">
      <c r="A96" s="104"/>
      <c r="B96" s="104"/>
      <c r="C96" s="104"/>
    </row>
    <row r="97">
      <c r="A97" s="104"/>
      <c r="B97" s="104"/>
      <c r="C97" s="104"/>
    </row>
    <row r="98">
      <c r="A98" s="104"/>
      <c r="B98" s="104"/>
      <c r="C98" s="104"/>
    </row>
    <row r="99">
      <c r="A99" s="104"/>
      <c r="B99" s="104"/>
      <c r="C99" s="104"/>
    </row>
    <row r="100">
      <c r="A100" s="104"/>
      <c r="B100" s="104"/>
      <c r="C100" s="104"/>
    </row>
    <row r="101">
      <c r="A101" s="104"/>
      <c r="B101" s="104"/>
      <c r="C101" s="104"/>
    </row>
    <row r="102">
      <c r="A102" s="104"/>
      <c r="B102" s="104"/>
      <c r="C102" s="104"/>
    </row>
    <row r="103">
      <c r="A103" s="104"/>
      <c r="B103" s="104"/>
      <c r="C103" s="104"/>
    </row>
    <row r="104">
      <c r="A104" s="104"/>
      <c r="B104" s="104"/>
      <c r="C104" s="104"/>
    </row>
    <row r="105">
      <c r="A105" s="104"/>
      <c r="B105" s="104"/>
      <c r="C105" s="104"/>
    </row>
    <row r="106">
      <c r="A106" s="104"/>
      <c r="B106" s="104"/>
      <c r="C106" s="104"/>
    </row>
    <row r="107">
      <c r="A107" s="104"/>
      <c r="B107" s="104"/>
      <c r="C107" s="104"/>
    </row>
    <row r="108">
      <c r="A108" s="104"/>
      <c r="B108" s="104"/>
      <c r="C108" s="104"/>
    </row>
    <row r="109">
      <c r="A109" s="104"/>
      <c r="B109" s="104"/>
      <c r="C109" s="104"/>
    </row>
    <row r="110">
      <c r="A110" s="104"/>
      <c r="B110" s="104"/>
      <c r="C110" s="104"/>
    </row>
    <row r="111">
      <c r="A111" s="104"/>
      <c r="B111" s="104"/>
      <c r="C111" s="104"/>
    </row>
    <row r="112">
      <c r="A112" s="104"/>
      <c r="B112" s="104"/>
      <c r="C112" s="104"/>
    </row>
    <row r="113">
      <c r="A113" s="104"/>
      <c r="B113" s="104"/>
      <c r="C113" s="104"/>
    </row>
    <row r="114">
      <c r="A114" s="104"/>
      <c r="B114" s="104"/>
      <c r="C114" s="104"/>
    </row>
    <row r="115">
      <c r="A115" s="104"/>
      <c r="B115" s="104"/>
      <c r="C115" s="104"/>
    </row>
    <row r="116">
      <c r="A116" s="104"/>
      <c r="B116" s="104"/>
      <c r="C116" s="104"/>
    </row>
    <row r="117">
      <c r="A117" s="104"/>
      <c r="B117" s="104"/>
      <c r="C117" s="104"/>
    </row>
    <row r="118">
      <c r="A118" s="104"/>
      <c r="B118" s="104"/>
      <c r="C118" s="104"/>
    </row>
    <row r="119">
      <c r="A119" s="104"/>
      <c r="B119" s="104"/>
      <c r="C119" s="104"/>
    </row>
    <row r="120">
      <c r="A120" s="104"/>
      <c r="B120" s="104"/>
      <c r="C120" s="104"/>
    </row>
    <row r="121">
      <c r="A121" s="104"/>
      <c r="B121" s="104"/>
      <c r="C121" s="104"/>
    </row>
    <row r="122">
      <c r="A122" s="104"/>
      <c r="B122" s="104"/>
      <c r="C122" s="104"/>
    </row>
    <row r="123">
      <c r="A123" s="104"/>
      <c r="B123" s="104"/>
      <c r="C123" s="104"/>
    </row>
    <row r="124">
      <c r="A124" s="104"/>
      <c r="B124" s="104"/>
      <c r="C124" s="104"/>
    </row>
    <row r="125">
      <c r="A125" s="104"/>
      <c r="B125" s="104"/>
      <c r="C125" s="104"/>
    </row>
    <row r="126">
      <c r="A126" s="104"/>
      <c r="B126" s="104"/>
      <c r="C126" s="104"/>
    </row>
    <row r="127">
      <c r="A127" s="104"/>
      <c r="B127" s="104"/>
      <c r="C127" s="104"/>
    </row>
    <row r="128">
      <c r="A128" s="104"/>
      <c r="B128" s="104"/>
      <c r="C128" s="104"/>
    </row>
    <row r="129">
      <c r="A129" s="104"/>
      <c r="B129" s="104"/>
      <c r="C129" s="104"/>
    </row>
    <row r="130">
      <c r="A130" s="104"/>
      <c r="B130" s="104"/>
      <c r="C130" s="104"/>
    </row>
    <row r="131">
      <c r="A131" s="104"/>
      <c r="B131" s="104"/>
      <c r="C131" s="104"/>
    </row>
    <row r="132">
      <c r="A132" s="104"/>
      <c r="B132" s="104"/>
      <c r="C132" s="104"/>
    </row>
    <row r="133">
      <c r="A133" s="104"/>
      <c r="B133" s="104"/>
      <c r="C133" s="104"/>
    </row>
    <row r="134">
      <c r="A134" s="104"/>
      <c r="B134" s="104"/>
      <c r="C134" s="104"/>
    </row>
    <row r="135">
      <c r="A135" s="104"/>
      <c r="B135" s="104"/>
      <c r="C135" s="104"/>
    </row>
    <row r="136">
      <c r="A136" s="104"/>
      <c r="B136" s="104"/>
      <c r="C136" s="104"/>
    </row>
    <row r="137">
      <c r="A137" s="104"/>
      <c r="B137" s="104"/>
      <c r="C137" s="104"/>
    </row>
    <row r="138">
      <c r="A138" s="104"/>
      <c r="B138" s="104"/>
      <c r="C138" s="104"/>
    </row>
    <row r="139">
      <c r="A139" s="104"/>
      <c r="B139" s="104"/>
      <c r="C139" s="104"/>
    </row>
    <row r="140">
      <c r="A140" s="104"/>
      <c r="B140" s="104"/>
      <c r="C140" s="104"/>
    </row>
    <row r="141">
      <c r="A141" s="104"/>
      <c r="B141" s="104"/>
      <c r="C141" s="104"/>
    </row>
    <row r="142">
      <c r="A142" s="104"/>
      <c r="B142" s="104"/>
      <c r="C142" s="104"/>
    </row>
    <row r="143">
      <c r="A143" s="104"/>
      <c r="B143" s="104"/>
      <c r="C143" s="104"/>
    </row>
    <row r="144">
      <c r="A144" s="104"/>
      <c r="B144" s="104"/>
      <c r="C144" s="104"/>
    </row>
    <row r="145">
      <c r="A145" s="104"/>
      <c r="B145" s="104"/>
      <c r="C145" s="104"/>
    </row>
    <row r="146">
      <c r="A146" s="104"/>
      <c r="B146" s="104"/>
      <c r="C146" s="104"/>
    </row>
    <row r="147">
      <c r="A147" s="104"/>
      <c r="B147" s="104"/>
      <c r="C147" s="104"/>
    </row>
    <row r="148">
      <c r="A148" s="104"/>
      <c r="B148" s="104"/>
      <c r="C148" s="104"/>
    </row>
    <row r="149">
      <c r="A149" s="104"/>
      <c r="B149" s="104"/>
      <c r="C149" s="104"/>
    </row>
    <row r="150">
      <c r="A150" s="104"/>
      <c r="B150" s="104"/>
      <c r="C150" s="104"/>
    </row>
    <row r="151">
      <c r="A151" s="104"/>
      <c r="B151" s="104"/>
      <c r="C151" s="104"/>
    </row>
    <row r="152">
      <c r="A152" s="104"/>
      <c r="B152" s="104"/>
      <c r="C152" s="104"/>
    </row>
    <row r="153">
      <c r="A153" s="104"/>
      <c r="B153" s="104"/>
      <c r="C153" s="104"/>
    </row>
    <row r="154">
      <c r="A154" s="104"/>
      <c r="B154" s="104"/>
      <c r="C154" s="104"/>
    </row>
    <row r="155">
      <c r="A155" s="104"/>
      <c r="B155" s="104"/>
      <c r="C155" s="104"/>
    </row>
    <row r="156">
      <c r="A156" s="104"/>
      <c r="B156" s="104"/>
      <c r="C156" s="104"/>
    </row>
    <row r="157">
      <c r="A157" s="104"/>
      <c r="B157" s="104"/>
      <c r="C157" s="104"/>
    </row>
    <row r="158">
      <c r="A158" s="104"/>
      <c r="B158" s="104"/>
      <c r="C158" s="104"/>
    </row>
    <row r="159">
      <c r="A159" s="104"/>
      <c r="B159" s="104"/>
      <c r="C159" s="104"/>
    </row>
    <row r="160">
      <c r="A160" s="104"/>
      <c r="B160" s="104"/>
      <c r="C160" s="104"/>
    </row>
    <row r="161">
      <c r="A161" s="104"/>
      <c r="B161" s="104"/>
      <c r="C161" s="104"/>
    </row>
    <row r="162">
      <c r="A162" s="104"/>
      <c r="B162" s="104"/>
      <c r="C162" s="104"/>
    </row>
    <row r="163">
      <c r="A163" s="104"/>
      <c r="B163" s="104"/>
      <c r="C163" s="104"/>
    </row>
    <row r="164">
      <c r="A164" s="104"/>
      <c r="B164" s="104"/>
      <c r="C164" s="104"/>
    </row>
    <row r="165">
      <c r="A165" s="104"/>
      <c r="B165" s="104"/>
      <c r="C165" s="104"/>
    </row>
    <row r="166">
      <c r="A166" s="104"/>
      <c r="B166" s="104"/>
      <c r="C166" s="104"/>
    </row>
    <row r="167">
      <c r="A167" s="104"/>
      <c r="B167" s="104"/>
      <c r="C167" s="104"/>
    </row>
    <row r="168">
      <c r="A168" s="104"/>
      <c r="B168" s="104"/>
      <c r="C168" s="104"/>
    </row>
    <row r="169">
      <c r="A169" s="104"/>
      <c r="B169" s="104"/>
      <c r="C169" s="104"/>
    </row>
    <row r="170">
      <c r="A170" s="104"/>
      <c r="B170" s="104"/>
      <c r="C170" s="104"/>
    </row>
    <row r="171">
      <c r="A171" s="104"/>
      <c r="B171" s="104"/>
      <c r="C171" s="104"/>
    </row>
    <row r="172">
      <c r="A172" s="104"/>
      <c r="B172" s="104"/>
      <c r="C172" s="104"/>
    </row>
    <row r="173">
      <c r="A173" s="104"/>
      <c r="B173" s="104"/>
      <c r="C173" s="104"/>
    </row>
    <row r="174">
      <c r="A174" s="104"/>
      <c r="B174" s="104"/>
      <c r="C174" s="104"/>
    </row>
    <row r="175">
      <c r="A175" s="104"/>
      <c r="B175" s="104"/>
      <c r="C175" s="104"/>
    </row>
    <row r="176">
      <c r="A176" s="104"/>
      <c r="B176" s="104"/>
      <c r="C176" s="104"/>
    </row>
    <row r="177">
      <c r="A177" s="104"/>
      <c r="B177" s="104"/>
      <c r="C177" s="104"/>
    </row>
    <row r="178">
      <c r="A178" s="104"/>
      <c r="B178" s="104"/>
      <c r="C178" s="104"/>
    </row>
    <row r="179">
      <c r="A179" s="104"/>
      <c r="B179" s="104"/>
      <c r="C179" s="104"/>
    </row>
    <row r="180">
      <c r="A180" s="104"/>
      <c r="B180" s="104"/>
      <c r="C180" s="104"/>
    </row>
    <row r="181">
      <c r="A181" s="104"/>
      <c r="B181" s="104"/>
      <c r="C181" s="104"/>
    </row>
    <row r="182">
      <c r="A182" s="104"/>
      <c r="B182" s="104"/>
      <c r="C182" s="104"/>
    </row>
    <row r="183">
      <c r="A183" s="104"/>
      <c r="B183" s="104"/>
      <c r="C183" s="104"/>
    </row>
    <row r="184">
      <c r="A184" s="104"/>
      <c r="B184" s="104"/>
      <c r="C184" s="104"/>
    </row>
    <row r="185">
      <c r="A185" s="104"/>
      <c r="B185" s="104"/>
      <c r="C185" s="104"/>
    </row>
    <row r="186">
      <c r="A186" s="104"/>
      <c r="B186" s="104"/>
      <c r="C186" s="104"/>
    </row>
    <row r="187">
      <c r="A187" s="104"/>
      <c r="B187" s="104"/>
      <c r="C187" s="104"/>
    </row>
    <row r="188">
      <c r="A188" s="104"/>
      <c r="B188" s="104"/>
      <c r="C188" s="104"/>
    </row>
    <row r="189">
      <c r="A189" s="104"/>
      <c r="B189" s="104"/>
      <c r="C189" s="104"/>
    </row>
    <row r="190">
      <c r="A190" s="104"/>
      <c r="B190" s="104"/>
      <c r="C190" s="104"/>
    </row>
    <row r="191">
      <c r="A191" s="104"/>
      <c r="B191" s="104"/>
      <c r="C191" s="104"/>
    </row>
    <row r="192">
      <c r="A192" s="104"/>
      <c r="B192" s="104"/>
      <c r="C192" s="104"/>
    </row>
    <row r="193">
      <c r="A193" s="104"/>
      <c r="B193" s="104"/>
      <c r="C193" s="104"/>
    </row>
    <row r="194">
      <c r="A194" s="104"/>
      <c r="B194" s="104"/>
      <c r="C194" s="104"/>
    </row>
    <row r="195">
      <c r="A195" s="104"/>
      <c r="B195" s="104"/>
      <c r="C195" s="104"/>
    </row>
    <row r="196">
      <c r="A196" s="104"/>
      <c r="B196" s="104"/>
      <c r="C196" s="104"/>
    </row>
    <row r="197">
      <c r="A197" s="104"/>
      <c r="B197" s="104"/>
      <c r="C197" s="104"/>
    </row>
    <row r="198">
      <c r="A198" s="104"/>
      <c r="B198" s="104"/>
      <c r="C198" s="104"/>
    </row>
    <row r="199">
      <c r="A199" s="104"/>
      <c r="B199" s="104"/>
      <c r="C199" s="104"/>
    </row>
    <row r="200">
      <c r="A200" s="104"/>
      <c r="B200" s="104"/>
      <c r="C200" s="104"/>
    </row>
    <row r="201">
      <c r="A201" s="104"/>
      <c r="B201" s="104"/>
      <c r="C201" s="104"/>
    </row>
    <row r="202">
      <c r="A202" s="104"/>
      <c r="B202" s="104"/>
      <c r="C202" s="104"/>
    </row>
    <row r="203">
      <c r="A203" s="104"/>
      <c r="B203" s="104"/>
      <c r="C203" s="104"/>
    </row>
    <row r="204">
      <c r="A204" s="104"/>
      <c r="B204" s="104"/>
      <c r="C204" s="104"/>
    </row>
    <row r="205">
      <c r="A205" s="104"/>
      <c r="B205" s="104"/>
      <c r="C205" s="104"/>
    </row>
    <row r="206">
      <c r="A206" s="104"/>
      <c r="B206" s="104"/>
      <c r="C206" s="104"/>
    </row>
    <row r="207">
      <c r="A207" s="104"/>
      <c r="B207" s="104"/>
      <c r="C207" s="104"/>
    </row>
    <row r="208">
      <c r="A208" s="104"/>
      <c r="B208" s="104"/>
      <c r="C208" s="104"/>
    </row>
    <row r="209">
      <c r="A209" s="104"/>
      <c r="B209" s="104"/>
      <c r="C209" s="104"/>
    </row>
    <row r="210">
      <c r="A210" s="104"/>
      <c r="B210" s="104"/>
      <c r="C210" s="104"/>
    </row>
    <row r="211">
      <c r="A211" s="104"/>
      <c r="B211" s="104"/>
      <c r="C211" s="104"/>
    </row>
    <row r="212">
      <c r="A212" s="104"/>
      <c r="B212" s="104"/>
      <c r="C212" s="104"/>
    </row>
    <row r="213">
      <c r="A213" s="104"/>
      <c r="B213" s="104"/>
      <c r="C213" s="104"/>
    </row>
    <row r="214">
      <c r="A214" s="104"/>
      <c r="B214" s="104"/>
      <c r="C214" s="104"/>
    </row>
    <row r="215">
      <c r="A215" s="104"/>
      <c r="B215" s="104"/>
      <c r="C215" s="104"/>
    </row>
    <row r="216">
      <c r="A216" s="104"/>
      <c r="B216" s="104"/>
      <c r="C216" s="104"/>
    </row>
    <row r="217">
      <c r="A217" s="104"/>
      <c r="B217" s="104"/>
      <c r="C217" s="104"/>
    </row>
    <row r="218">
      <c r="A218" s="104"/>
      <c r="B218" s="104"/>
      <c r="C218" s="104"/>
    </row>
    <row r="219">
      <c r="A219" s="104"/>
      <c r="B219" s="104"/>
      <c r="C219" s="104"/>
    </row>
    <row r="220">
      <c r="A220" s="104"/>
      <c r="B220" s="104"/>
      <c r="C220" s="104"/>
    </row>
    <row r="221">
      <c r="A221" s="104"/>
      <c r="B221" s="104"/>
      <c r="C221" s="104"/>
    </row>
    <row r="222">
      <c r="A222" s="104"/>
      <c r="B222" s="104"/>
      <c r="C222" s="104"/>
    </row>
    <row r="223">
      <c r="A223" s="104"/>
      <c r="B223" s="104"/>
      <c r="C223" s="104"/>
    </row>
    <row r="224">
      <c r="A224" s="104"/>
      <c r="B224" s="104"/>
      <c r="C224" s="104"/>
    </row>
    <row r="225">
      <c r="A225" s="104"/>
      <c r="B225" s="104"/>
      <c r="C225" s="104"/>
    </row>
    <row r="226">
      <c r="A226" s="104"/>
      <c r="B226" s="104"/>
      <c r="C226" s="104"/>
    </row>
    <row r="227">
      <c r="A227" s="104"/>
      <c r="B227" s="104"/>
      <c r="C227" s="104"/>
    </row>
    <row r="228">
      <c r="A228" s="104"/>
      <c r="B228" s="104"/>
      <c r="C228" s="104"/>
    </row>
    <row r="229">
      <c r="A229" s="104"/>
      <c r="B229" s="104"/>
      <c r="C229" s="104"/>
    </row>
    <row r="230">
      <c r="A230" s="104"/>
      <c r="B230" s="104"/>
      <c r="C230" s="104"/>
    </row>
    <row r="231">
      <c r="A231" s="104"/>
      <c r="B231" s="104"/>
      <c r="C231" s="104"/>
    </row>
    <row r="232">
      <c r="A232" s="104"/>
      <c r="B232" s="104"/>
      <c r="C232" s="104"/>
    </row>
    <row r="233">
      <c r="A233" s="104"/>
      <c r="B233" s="104"/>
      <c r="C233" s="104"/>
    </row>
    <row r="234">
      <c r="A234" s="104"/>
      <c r="B234" s="104"/>
      <c r="C234" s="104"/>
    </row>
    <row r="235">
      <c r="A235" s="104"/>
      <c r="B235" s="104"/>
      <c r="C235" s="104"/>
    </row>
    <row r="236">
      <c r="A236" s="104"/>
      <c r="B236" s="104"/>
      <c r="C236" s="104"/>
    </row>
    <row r="237">
      <c r="A237" s="104"/>
      <c r="B237" s="104"/>
      <c r="C237" s="104"/>
    </row>
    <row r="238">
      <c r="A238" s="104"/>
      <c r="B238" s="104"/>
      <c r="C238" s="104"/>
    </row>
    <row r="239">
      <c r="A239" s="104"/>
      <c r="B239" s="104"/>
      <c r="C239" s="104"/>
    </row>
    <row r="240">
      <c r="A240" s="104"/>
      <c r="B240" s="104"/>
      <c r="C240" s="104"/>
    </row>
    <row r="241">
      <c r="A241" s="104"/>
      <c r="B241" s="104"/>
      <c r="C241" s="104"/>
    </row>
    <row r="242">
      <c r="A242" s="104"/>
      <c r="B242" s="104"/>
      <c r="C242" s="104"/>
    </row>
    <row r="243">
      <c r="A243" s="104"/>
      <c r="B243" s="104"/>
      <c r="C243" s="104"/>
    </row>
    <row r="244">
      <c r="A244" s="104"/>
      <c r="B244" s="104"/>
      <c r="C244" s="104"/>
    </row>
    <row r="245">
      <c r="A245" s="104"/>
      <c r="B245" s="104"/>
      <c r="C245" s="104"/>
    </row>
    <row r="246">
      <c r="A246" s="104"/>
      <c r="B246" s="104"/>
      <c r="C246" s="104"/>
    </row>
    <row r="247">
      <c r="A247" s="104"/>
      <c r="B247" s="104"/>
      <c r="C247" s="104"/>
    </row>
    <row r="248">
      <c r="A248" s="104"/>
      <c r="B248" s="104"/>
      <c r="C248" s="104"/>
    </row>
    <row r="249">
      <c r="A249" s="104"/>
      <c r="B249" s="104"/>
      <c r="C249" s="104"/>
    </row>
    <row r="250">
      <c r="A250" s="104"/>
      <c r="B250" s="104"/>
      <c r="C250" s="104"/>
    </row>
    <row r="251">
      <c r="A251" s="104"/>
      <c r="B251" s="104"/>
      <c r="C251" s="104"/>
    </row>
    <row r="252">
      <c r="A252" s="104"/>
      <c r="B252" s="104"/>
      <c r="C252" s="104"/>
    </row>
    <row r="253">
      <c r="A253" s="104"/>
      <c r="B253" s="104"/>
      <c r="C253" s="104"/>
    </row>
    <row r="254">
      <c r="A254" s="104"/>
      <c r="B254" s="104"/>
      <c r="C254" s="104"/>
    </row>
    <row r="255">
      <c r="A255" s="104"/>
      <c r="B255" s="104"/>
      <c r="C255" s="104"/>
    </row>
    <row r="256">
      <c r="A256" s="104"/>
      <c r="B256" s="104"/>
      <c r="C256" s="104"/>
    </row>
    <row r="257">
      <c r="A257" s="104"/>
      <c r="B257" s="104"/>
      <c r="C257" s="104"/>
    </row>
    <row r="258">
      <c r="A258" s="104"/>
      <c r="B258" s="104"/>
      <c r="C258" s="104"/>
    </row>
    <row r="259">
      <c r="A259" s="104"/>
      <c r="B259" s="104"/>
      <c r="C259" s="104"/>
    </row>
    <row r="260">
      <c r="A260" s="104"/>
      <c r="B260" s="104"/>
      <c r="C260" s="104"/>
    </row>
    <row r="261">
      <c r="A261" s="104"/>
      <c r="B261" s="104"/>
      <c r="C261" s="104"/>
    </row>
    <row r="262">
      <c r="A262" s="104"/>
      <c r="B262" s="104"/>
      <c r="C262" s="104"/>
    </row>
    <row r="263">
      <c r="A263" s="104"/>
      <c r="B263" s="104"/>
      <c r="C263" s="104"/>
    </row>
    <row r="264">
      <c r="A264" s="104"/>
      <c r="B264" s="104"/>
      <c r="C264" s="104"/>
    </row>
    <row r="265">
      <c r="A265" s="104"/>
      <c r="B265" s="104"/>
      <c r="C265" s="104"/>
    </row>
    <row r="266">
      <c r="A266" s="104"/>
      <c r="B266" s="104"/>
      <c r="C266" s="104"/>
    </row>
    <row r="267">
      <c r="A267" s="104"/>
      <c r="B267" s="104"/>
      <c r="C267" s="104"/>
    </row>
    <row r="268">
      <c r="A268" s="104"/>
      <c r="B268" s="104"/>
      <c r="C268" s="104"/>
    </row>
    <row r="269">
      <c r="A269" s="104"/>
      <c r="B269" s="104"/>
      <c r="C269" s="104"/>
    </row>
    <row r="270">
      <c r="A270" s="104"/>
      <c r="B270" s="104"/>
      <c r="C270" s="104"/>
    </row>
    <row r="271">
      <c r="A271" s="104"/>
      <c r="B271" s="104"/>
      <c r="C271" s="104"/>
    </row>
    <row r="272">
      <c r="A272" s="104"/>
      <c r="B272" s="104"/>
      <c r="C272" s="104"/>
    </row>
    <row r="273">
      <c r="A273" s="104"/>
      <c r="B273" s="104"/>
      <c r="C273" s="104"/>
    </row>
    <row r="274">
      <c r="A274" s="104"/>
      <c r="B274" s="104"/>
      <c r="C274" s="104"/>
    </row>
    <row r="275">
      <c r="A275" s="104"/>
      <c r="B275" s="104"/>
      <c r="C275" s="104"/>
    </row>
    <row r="276">
      <c r="A276" s="104"/>
      <c r="B276" s="104"/>
      <c r="C276" s="104"/>
    </row>
    <row r="277">
      <c r="A277" s="104"/>
      <c r="B277" s="104"/>
      <c r="C277" s="104"/>
    </row>
    <row r="278">
      <c r="A278" s="104"/>
      <c r="B278" s="104"/>
      <c r="C278" s="104"/>
    </row>
    <row r="279">
      <c r="A279" s="104"/>
      <c r="B279" s="104"/>
      <c r="C279" s="104"/>
    </row>
    <row r="280">
      <c r="A280" s="104"/>
      <c r="B280" s="104"/>
      <c r="C280" s="104"/>
    </row>
    <row r="281">
      <c r="A281" s="104"/>
      <c r="B281" s="104"/>
      <c r="C281" s="104"/>
    </row>
    <row r="282">
      <c r="A282" s="104"/>
      <c r="B282" s="104"/>
      <c r="C282" s="104"/>
    </row>
    <row r="283">
      <c r="A283" s="104"/>
      <c r="B283" s="104"/>
      <c r="C283" s="104"/>
    </row>
    <row r="284">
      <c r="A284" s="104"/>
      <c r="B284" s="104"/>
      <c r="C284" s="104"/>
    </row>
    <row r="285">
      <c r="A285" s="104"/>
      <c r="B285" s="104"/>
      <c r="C285" s="104"/>
    </row>
    <row r="286">
      <c r="A286" s="104"/>
      <c r="B286" s="104"/>
      <c r="C286" s="104"/>
    </row>
    <row r="287">
      <c r="A287" s="104"/>
      <c r="B287" s="104"/>
      <c r="C287" s="104"/>
    </row>
    <row r="288">
      <c r="A288" s="104"/>
      <c r="B288" s="104"/>
      <c r="C288" s="104"/>
    </row>
    <row r="289">
      <c r="A289" s="104"/>
      <c r="B289" s="104"/>
      <c r="C289" s="104"/>
    </row>
    <row r="290">
      <c r="A290" s="104"/>
      <c r="B290" s="104"/>
      <c r="C290" s="104"/>
    </row>
    <row r="291">
      <c r="A291" s="104"/>
      <c r="B291" s="104"/>
      <c r="C291" s="104"/>
    </row>
    <row r="292">
      <c r="A292" s="104"/>
      <c r="B292" s="104"/>
      <c r="C292" s="104"/>
    </row>
    <row r="293">
      <c r="A293" s="104"/>
      <c r="B293" s="104"/>
      <c r="C293" s="104"/>
    </row>
    <row r="294">
      <c r="A294" s="104"/>
      <c r="B294" s="104"/>
      <c r="C294" s="104"/>
    </row>
    <row r="295">
      <c r="A295" s="104"/>
      <c r="B295" s="104"/>
      <c r="C295" s="104"/>
    </row>
    <row r="296">
      <c r="A296" s="104"/>
      <c r="B296" s="104"/>
      <c r="C296" s="104"/>
    </row>
    <row r="297">
      <c r="A297" s="104"/>
      <c r="B297" s="104"/>
      <c r="C297" s="104"/>
    </row>
    <row r="298">
      <c r="A298" s="104"/>
      <c r="B298" s="104"/>
      <c r="C298" s="104"/>
    </row>
    <row r="299">
      <c r="A299" s="104"/>
      <c r="B299" s="104"/>
      <c r="C299" s="104"/>
    </row>
    <row r="300">
      <c r="A300" s="104"/>
      <c r="B300" s="104"/>
      <c r="C300" s="104"/>
    </row>
    <row r="301">
      <c r="A301" s="104"/>
      <c r="B301" s="104"/>
      <c r="C301" s="104"/>
    </row>
    <row r="302">
      <c r="A302" s="104"/>
      <c r="B302" s="104"/>
      <c r="C302" s="104"/>
    </row>
    <row r="303">
      <c r="A303" s="104"/>
      <c r="B303" s="104"/>
      <c r="C303" s="104"/>
    </row>
    <row r="304">
      <c r="A304" s="104"/>
      <c r="B304" s="104"/>
      <c r="C304" s="104"/>
    </row>
    <row r="305">
      <c r="A305" s="104"/>
      <c r="B305" s="104"/>
      <c r="C305" s="104"/>
    </row>
    <row r="306">
      <c r="A306" s="104"/>
      <c r="B306" s="104"/>
      <c r="C306" s="104"/>
    </row>
    <row r="307">
      <c r="A307" s="104"/>
      <c r="B307" s="104"/>
      <c r="C307" s="104"/>
    </row>
    <row r="308">
      <c r="A308" s="104"/>
      <c r="B308" s="104"/>
      <c r="C308" s="104"/>
    </row>
    <row r="309">
      <c r="A309" s="104"/>
      <c r="B309" s="104"/>
      <c r="C309" s="104"/>
    </row>
    <row r="310">
      <c r="A310" s="104"/>
      <c r="B310" s="104"/>
      <c r="C310" s="104"/>
    </row>
    <row r="311">
      <c r="A311" s="104"/>
      <c r="B311" s="104"/>
      <c r="C311" s="104"/>
    </row>
    <row r="312">
      <c r="A312" s="104"/>
      <c r="B312" s="104"/>
      <c r="C312" s="104"/>
    </row>
    <row r="313">
      <c r="A313" s="104"/>
      <c r="B313" s="104"/>
      <c r="C313" s="104"/>
    </row>
    <row r="314">
      <c r="A314" s="104"/>
      <c r="B314" s="104"/>
      <c r="C314" s="104"/>
    </row>
    <row r="315">
      <c r="A315" s="104"/>
      <c r="B315" s="104"/>
      <c r="C315" s="104"/>
    </row>
    <row r="316">
      <c r="A316" s="104"/>
      <c r="B316" s="104"/>
      <c r="C316" s="104"/>
    </row>
    <row r="317">
      <c r="A317" s="104"/>
      <c r="B317" s="104"/>
      <c r="C317" s="104"/>
    </row>
    <row r="318">
      <c r="A318" s="104"/>
      <c r="B318" s="104"/>
      <c r="C318" s="104"/>
    </row>
    <row r="319">
      <c r="A319" s="104"/>
      <c r="B319" s="104"/>
      <c r="C319" s="104"/>
    </row>
    <row r="320">
      <c r="A320" s="104"/>
      <c r="B320" s="104"/>
      <c r="C320" s="104"/>
    </row>
    <row r="321">
      <c r="A321" s="104"/>
      <c r="B321" s="104"/>
      <c r="C321" s="104"/>
    </row>
    <row r="322">
      <c r="A322" s="104"/>
      <c r="B322" s="104"/>
      <c r="C322" s="104"/>
    </row>
    <row r="323">
      <c r="A323" s="104"/>
      <c r="B323" s="104"/>
      <c r="C323" s="104"/>
    </row>
    <row r="324">
      <c r="A324" s="104"/>
      <c r="B324" s="104"/>
      <c r="C324" s="104"/>
    </row>
    <row r="325">
      <c r="A325" s="104"/>
      <c r="B325" s="104"/>
      <c r="C325" s="104"/>
    </row>
    <row r="326">
      <c r="A326" s="104"/>
      <c r="B326" s="104"/>
      <c r="C326" s="104"/>
    </row>
    <row r="327">
      <c r="A327" s="104"/>
      <c r="B327" s="104"/>
      <c r="C327" s="104"/>
    </row>
    <row r="328">
      <c r="A328" s="104"/>
      <c r="B328" s="104"/>
      <c r="C328" s="104"/>
    </row>
    <row r="329">
      <c r="A329" s="104"/>
      <c r="B329" s="104"/>
      <c r="C329" s="104"/>
    </row>
    <row r="330">
      <c r="A330" s="104"/>
      <c r="B330" s="104"/>
      <c r="C330" s="104"/>
    </row>
    <row r="331">
      <c r="A331" s="104"/>
      <c r="B331" s="104"/>
      <c r="C331" s="104"/>
    </row>
    <row r="332">
      <c r="A332" s="104"/>
      <c r="B332" s="104"/>
      <c r="C332" s="104"/>
    </row>
    <row r="333">
      <c r="A333" s="104"/>
      <c r="B333" s="104"/>
      <c r="C333" s="104"/>
    </row>
    <row r="334">
      <c r="A334" s="104"/>
      <c r="B334" s="104"/>
      <c r="C334" s="104"/>
    </row>
    <row r="335">
      <c r="A335" s="104"/>
      <c r="B335" s="104"/>
      <c r="C335" s="104"/>
    </row>
    <row r="336">
      <c r="A336" s="104"/>
      <c r="B336" s="104"/>
      <c r="C336" s="104"/>
    </row>
    <row r="337">
      <c r="A337" s="104"/>
      <c r="B337" s="104"/>
      <c r="C337" s="104"/>
    </row>
    <row r="338">
      <c r="A338" s="104"/>
      <c r="B338" s="104"/>
      <c r="C338" s="104"/>
    </row>
    <row r="339">
      <c r="A339" s="104"/>
      <c r="B339" s="104"/>
      <c r="C339" s="104"/>
    </row>
    <row r="340">
      <c r="A340" s="104"/>
      <c r="B340" s="104"/>
      <c r="C340" s="104"/>
    </row>
    <row r="341">
      <c r="A341" s="104"/>
      <c r="B341" s="104"/>
      <c r="C341" s="104"/>
    </row>
    <row r="342">
      <c r="A342" s="104"/>
      <c r="B342" s="104"/>
      <c r="C342" s="104"/>
    </row>
    <row r="343">
      <c r="A343" s="104"/>
      <c r="B343" s="104"/>
      <c r="C343" s="104"/>
    </row>
    <row r="344">
      <c r="A344" s="104"/>
      <c r="B344" s="104"/>
      <c r="C344" s="104"/>
    </row>
    <row r="345">
      <c r="A345" s="104"/>
      <c r="B345" s="104"/>
      <c r="C345" s="104"/>
    </row>
    <row r="346">
      <c r="A346" s="104"/>
      <c r="B346" s="104"/>
      <c r="C346" s="104"/>
    </row>
    <row r="347">
      <c r="A347" s="104"/>
      <c r="B347" s="104"/>
      <c r="C347" s="104"/>
    </row>
    <row r="348">
      <c r="A348" s="104"/>
      <c r="B348" s="104"/>
      <c r="C348" s="104"/>
    </row>
    <row r="349">
      <c r="A349" s="104"/>
      <c r="B349" s="104"/>
      <c r="C349" s="104"/>
    </row>
    <row r="350">
      <c r="A350" s="104"/>
      <c r="B350" s="104"/>
      <c r="C350" s="104"/>
    </row>
    <row r="351">
      <c r="A351" s="104"/>
      <c r="B351" s="104"/>
      <c r="C351" s="104"/>
    </row>
    <row r="352">
      <c r="A352" s="104"/>
      <c r="B352" s="104"/>
      <c r="C352" s="104"/>
    </row>
    <row r="353">
      <c r="A353" s="104"/>
      <c r="B353" s="104"/>
      <c r="C353" s="104"/>
    </row>
    <row r="354">
      <c r="A354" s="104"/>
      <c r="B354" s="104"/>
      <c r="C354" s="104"/>
    </row>
    <row r="355">
      <c r="A355" s="104"/>
      <c r="B355" s="104"/>
      <c r="C355" s="104"/>
    </row>
    <row r="356">
      <c r="A356" s="104"/>
      <c r="B356" s="104"/>
      <c r="C356" s="104"/>
    </row>
    <row r="357">
      <c r="A357" s="104"/>
      <c r="B357" s="104"/>
      <c r="C357" s="104"/>
    </row>
    <row r="358">
      <c r="A358" s="104"/>
      <c r="B358" s="104"/>
      <c r="C358" s="104"/>
    </row>
    <row r="359">
      <c r="A359" s="104"/>
      <c r="B359" s="104"/>
      <c r="C359" s="104"/>
    </row>
    <row r="360">
      <c r="A360" s="104"/>
      <c r="B360" s="104"/>
      <c r="C360" s="104"/>
    </row>
    <row r="361">
      <c r="A361" s="104"/>
      <c r="B361" s="104"/>
      <c r="C361" s="104"/>
    </row>
    <row r="362">
      <c r="A362" s="104"/>
      <c r="B362" s="104"/>
      <c r="C362" s="104"/>
    </row>
    <row r="363">
      <c r="A363" s="104"/>
      <c r="B363" s="104"/>
      <c r="C363" s="104"/>
    </row>
    <row r="364">
      <c r="A364" s="104"/>
      <c r="B364" s="104"/>
      <c r="C364" s="104"/>
    </row>
    <row r="365">
      <c r="A365" s="104"/>
      <c r="B365" s="104"/>
      <c r="C365" s="104"/>
    </row>
    <row r="366">
      <c r="A366" s="104"/>
      <c r="B366" s="104"/>
      <c r="C366" s="104"/>
    </row>
    <row r="367">
      <c r="A367" s="104"/>
      <c r="B367" s="104"/>
      <c r="C367" s="104"/>
    </row>
    <row r="368">
      <c r="A368" s="104"/>
      <c r="B368" s="104"/>
      <c r="C368" s="104"/>
    </row>
    <row r="369">
      <c r="A369" s="104"/>
      <c r="B369" s="104"/>
      <c r="C369" s="104"/>
    </row>
    <row r="370">
      <c r="A370" s="104"/>
      <c r="B370" s="104"/>
      <c r="C370" s="104"/>
    </row>
    <row r="371">
      <c r="A371" s="104"/>
      <c r="B371" s="104"/>
      <c r="C371" s="104"/>
    </row>
    <row r="372">
      <c r="A372" s="104"/>
      <c r="B372" s="104"/>
      <c r="C372" s="104"/>
    </row>
    <row r="373">
      <c r="A373" s="104"/>
      <c r="B373" s="104"/>
      <c r="C373" s="104"/>
    </row>
    <row r="374">
      <c r="A374" s="104"/>
      <c r="B374" s="104"/>
      <c r="C374" s="104"/>
    </row>
    <row r="375">
      <c r="A375" s="104"/>
      <c r="B375" s="104"/>
      <c r="C375" s="104"/>
    </row>
    <row r="376">
      <c r="A376" s="104"/>
      <c r="B376" s="104"/>
      <c r="C376" s="104"/>
    </row>
    <row r="377">
      <c r="A377" s="104"/>
      <c r="B377" s="104"/>
      <c r="C377" s="104"/>
    </row>
    <row r="378">
      <c r="A378" s="104"/>
      <c r="B378" s="104"/>
      <c r="C378" s="104"/>
    </row>
    <row r="379">
      <c r="A379" s="104"/>
      <c r="B379" s="104"/>
      <c r="C379" s="104"/>
    </row>
    <row r="380">
      <c r="A380" s="104"/>
      <c r="B380" s="104"/>
      <c r="C380" s="104"/>
    </row>
    <row r="381">
      <c r="A381" s="104"/>
      <c r="B381" s="104"/>
      <c r="C381" s="104"/>
    </row>
    <row r="382">
      <c r="A382" s="104"/>
      <c r="B382" s="104"/>
      <c r="C382" s="104"/>
    </row>
    <row r="383">
      <c r="A383" s="104"/>
      <c r="B383" s="104"/>
      <c r="C383" s="104"/>
    </row>
    <row r="384">
      <c r="A384" s="104"/>
      <c r="B384" s="104"/>
      <c r="C384" s="104"/>
    </row>
    <row r="385">
      <c r="A385" s="104"/>
      <c r="B385" s="104"/>
      <c r="C385" s="104"/>
    </row>
    <row r="386">
      <c r="A386" s="104"/>
      <c r="B386" s="104"/>
      <c r="C386" s="104"/>
    </row>
    <row r="387">
      <c r="A387" s="104"/>
      <c r="B387" s="104"/>
      <c r="C387" s="104"/>
    </row>
    <row r="388">
      <c r="A388" s="104"/>
      <c r="B388" s="104"/>
      <c r="C388" s="104"/>
    </row>
    <row r="389">
      <c r="A389" s="104"/>
      <c r="B389" s="104"/>
      <c r="C389" s="104"/>
    </row>
    <row r="390">
      <c r="A390" s="104"/>
      <c r="B390" s="104"/>
      <c r="C390" s="104"/>
    </row>
    <row r="391">
      <c r="A391" s="104"/>
      <c r="B391" s="104"/>
      <c r="C391" s="104"/>
    </row>
    <row r="392">
      <c r="A392" s="104"/>
      <c r="B392" s="104"/>
      <c r="C392" s="104"/>
    </row>
    <row r="393">
      <c r="A393" s="104"/>
      <c r="B393" s="104"/>
      <c r="C393" s="104"/>
    </row>
    <row r="394">
      <c r="A394" s="104"/>
      <c r="B394" s="104"/>
      <c r="C394" s="104"/>
    </row>
    <row r="395">
      <c r="A395" s="104"/>
      <c r="B395" s="104"/>
      <c r="C395" s="104"/>
    </row>
    <row r="396">
      <c r="A396" s="104"/>
      <c r="B396" s="104"/>
      <c r="C396" s="104"/>
    </row>
    <row r="397">
      <c r="A397" s="104"/>
      <c r="B397" s="104"/>
      <c r="C397" s="104"/>
    </row>
    <row r="398">
      <c r="A398" s="104"/>
      <c r="B398" s="104"/>
      <c r="C398" s="104"/>
    </row>
    <row r="399">
      <c r="A399" s="104"/>
      <c r="B399" s="104"/>
      <c r="C399" s="104"/>
    </row>
    <row r="400">
      <c r="A400" s="104"/>
      <c r="B400" s="104"/>
      <c r="C400" s="104"/>
    </row>
    <row r="401">
      <c r="A401" s="104"/>
      <c r="B401" s="104"/>
      <c r="C401" s="104"/>
    </row>
    <row r="402">
      <c r="A402" s="104"/>
      <c r="B402" s="104"/>
      <c r="C402" s="104"/>
    </row>
    <row r="403">
      <c r="A403" s="104"/>
      <c r="B403" s="104"/>
      <c r="C403" s="104"/>
    </row>
    <row r="404">
      <c r="A404" s="104"/>
      <c r="B404" s="104"/>
      <c r="C404" s="104"/>
    </row>
    <row r="405">
      <c r="A405" s="104"/>
      <c r="B405" s="104"/>
      <c r="C405" s="104"/>
    </row>
    <row r="406">
      <c r="A406" s="104"/>
      <c r="B406" s="104"/>
      <c r="C406" s="104"/>
    </row>
    <row r="407">
      <c r="A407" s="104"/>
      <c r="B407" s="104"/>
      <c r="C407" s="104"/>
    </row>
    <row r="408">
      <c r="A408" s="104"/>
      <c r="B408" s="104"/>
      <c r="C408" s="104"/>
    </row>
    <row r="409">
      <c r="A409" s="104"/>
      <c r="B409" s="104"/>
      <c r="C409" s="104"/>
    </row>
    <row r="410">
      <c r="A410" s="104"/>
      <c r="B410" s="104"/>
      <c r="C410" s="104"/>
    </row>
    <row r="411">
      <c r="A411" s="104"/>
      <c r="B411" s="104"/>
      <c r="C411" s="104"/>
    </row>
    <row r="412">
      <c r="A412" s="104"/>
      <c r="B412" s="104"/>
      <c r="C412" s="104"/>
    </row>
    <row r="413">
      <c r="A413" s="104"/>
      <c r="B413" s="104"/>
      <c r="C413" s="104"/>
    </row>
    <row r="414">
      <c r="A414" s="104"/>
      <c r="B414" s="104"/>
      <c r="C414" s="104"/>
    </row>
    <row r="415">
      <c r="A415" s="104"/>
      <c r="B415" s="104"/>
      <c r="C415" s="104"/>
    </row>
    <row r="416">
      <c r="A416" s="104"/>
      <c r="B416" s="104"/>
      <c r="C416" s="104"/>
    </row>
    <row r="417">
      <c r="A417" s="104"/>
      <c r="B417" s="104"/>
      <c r="C417" s="104"/>
    </row>
    <row r="418">
      <c r="A418" s="104"/>
      <c r="B418" s="104"/>
      <c r="C418" s="104"/>
    </row>
    <row r="419">
      <c r="A419" s="104"/>
      <c r="B419" s="104"/>
      <c r="C419" s="104"/>
    </row>
    <row r="420">
      <c r="A420" s="104"/>
      <c r="B420" s="104"/>
      <c r="C420" s="104"/>
    </row>
    <row r="421">
      <c r="A421" s="104"/>
      <c r="B421" s="104"/>
      <c r="C421" s="104"/>
    </row>
    <row r="422">
      <c r="A422" s="104"/>
      <c r="B422" s="104"/>
      <c r="C422" s="104"/>
    </row>
    <row r="423">
      <c r="A423" s="104"/>
      <c r="B423" s="104"/>
      <c r="C423" s="104"/>
    </row>
    <row r="424">
      <c r="A424" s="104"/>
      <c r="B424" s="104"/>
      <c r="C424" s="104"/>
    </row>
    <row r="425">
      <c r="A425" s="104"/>
      <c r="B425" s="104"/>
      <c r="C425" s="104"/>
    </row>
    <row r="426">
      <c r="A426" s="104"/>
      <c r="B426" s="104"/>
      <c r="C426" s="104"/>
    </row>
    <row r="427">
      <c r="A427" s="104"/>
      <c r="B427" s="104"/>
      <c r="C427" s="104"/>
    </row>
    <row r="428">
      <c r="A428" s="104"/>
      <c r="B428" s="104"/>
      <c r="C428" s="104"/>
    </row>
    <row r="429">
      <c r="A429" s="104"/>
      <c r="B429" s="104"/>
      <c r="C429" s="104"/>
    </row>
    <row r="430">
      <c r="A430" s="104"/>
      <c r="B430" s="104"/>
      <c r="C430" s="104"/>
    </row>
    <row r="431">
      <c r="A431" s="104"/>
      <c r="B431" s="104"/>
      <c r="C431" s="104"/>
    </row>
    <row r="432">
      <c r="A432" s="104"/>
      <c r="B432" s="104"/>
      <c r="C432" s="104"/>
    </row>
    <row r="433">
      <c r="A433" s="104"/>
      <c r="B433" s="104"/>
      <c r="C433" s="104"/>
    </row>
    <row r="434">
      <c r="A434" s="104"/>
      <c r="B434" s="104"/>
      <c r="C434" s="104"/>
    </row>
    <row r="435">
      <c r="A435" s="104"/>
      <c r="B435" s="104"/>
      <c r="C435" s="104"/>
    </row>
    <row r="436">
      <c r="A436" s="104"/>
      <c r="B436" s="104"/>
      <c r="C436" s="104"/>
    </row>
    <row r="437">
      <c r="A437" s="104"/>
      <c r="B437" s="104"/>
      <c r="C437" s="104"/>
    </row>
    <row r="438">
      <c r="A438" s="104"/>
      <c r="B438" s="104"/>
      <c r="C438" s="104"/>
    </row>
    <row r="439">
      <c r="A439" s="104"/>
      <c r="B439" s="104"/>
      <c r="C439" s="104"/>
    </row>
    <row r="440">
      <c r="A440" s="104"/>
      <c r="B440" s="104"/>
      <c r="C440" s="104"/>
    </row>
    <row r="441">
      <c r="A441" s="104"/>
      <c r="B441" s="104"/>
      <c r="C441" s="104"/>
    </row>
    <row r="442">
      <c r="A442" s="104"/>
      <c r="B442" s="104"/>
      <c r="C442" s="104"/>
    </row>
    <row r="443">
      <c r="A443" s="104"/>
      <c r="B443" s="104"/>
      <c r="C443" s="104"/>
    </row>
    <row r="444">
      <c r="A444" s="104"/>
      <c r="B444" s="104"/>
      <c r="C444" s="104"/>
    </row>
    <row r="445">
      <c r="A445" s="104"/>
      <c r="B445" s="104"/>
      <c r="C445" s="104"/>
    </row>
    <row r="446">
      <c r="A446" s="104"/>
      <c r="B446" s="104"/>
      <c r="C446" s="104"/>
    </row>
    <row r="447">
      <c r="A447" s="104"/>
      <c r="B447" s="104"/>
      <c r="C447" s="104"/>
    </row>
    <row r="448">
      <c r="A448" s="104"/>
      <c r="B448" s="104"/>
      <c r="C448" s="104"/>
    </row>
    <row r="449">
      <c r="A449" s="104"/>
      <c r="B449" s="104"/>
      <c r="C449" s="104"/>
    </row>
    <row r="450">
      <c r="A450" s="104"/>
      <c r="B450" s="104"/>
      <c r="C450" s="104"/>
    </row>
    <row r="451">
      <c r="A451" s="104"/>
      <c r="B451" s="104"/>
      <c r="C451" s="104"/>
    </row>
    <row r="452">
      <c r="A452" s="104"/>
      <c r="B452" s="104"/>
      <c r="C452" s="104"/>
    </row>
    <row r="453">
      <c r="A453" s="104"/>
      <c r="B453" s="104"/>
      <c r="C453" s="104"/>
    </row>
    <row r="454">
      <c r="A454" s="104"/>
      <c r="B454" s="104"/>
      <c r="C454" s="104"/>
    </row>
    <row r="455">
      <c r="A455" s="104"/>
      <c r="B455" s="104"/>
      <c r="C455" s="104"/>
    </row>
    <row r="456">
      <c r="A456" s="104"/>
      <c r="B456" s="104"/>
      <c r="C456" s="104"/>
    </row>
    <row r="457">
      <c r="A457" s="104"/>
      <c r="B457" s="104"/>
      <c r="C457" s="104"/>
    </row>
    <row r="458">
      <c r="A458" s="104"/>
      <c r="B458" s="104"/>
      <c r="C458" s="104"/>
    </row>
    <row r="459">
      <c r="A459" s="104"/>
      <c r="B459" s="104"/>
      <c r="C459" s="104"/>
    </row>
    <row r="460">
      <c r="A460" s="104"/>
      <c r="B460" s="104"/>
      <c r="C460" s="104"/>
    </row>
    <row r="461">
      <c r="A461" s="104"/>
      <c r="B461" s="104"/>
      <c r="C461" s="104"/>
    </row>
    <row r="462">
      <c r="A462" s="104"/>
      <c r="B462" s="104"/>
      <c r="C462" s="104"/>
    </row>
    <row r="463">
      <c r="A463" s="104"/>
      <c r="B463" s="104"/>
      <c r="C463" s="104"/>
    </row>
    <row r="464">
      <c r="A464" s="104"/>
      <c r="B464" s="104"/>
      <c r="C464" s="104"/>
    </row>
    <row r="465">
      <c r="A465" s="104"/>
      <c r="B465" s="104"/>
      <c r="C465" s="104"/>
    </row>
    <row r="466">
      <c r="A466" s="104"/>
      <c r="B466" s="104"/>
      <c r="C466" s="104"/>
    </row>
    <row r="467">
      <c r="A467" s="104"/>
      <c r="B467" s="104"/>
      <c r="C467" s="104"/>
    </row>
    <row r="468">
      <c r="A468" s="104"/>
      <c r="B468" s="104"/>
      <c r="C468" s="104"/>
    </row>
    <row r="469">
      <c r="A469" s="104"/>
      <c r="B469" s="104"/>
      <c r="C469" s="104"/>
    </row>
    <row r="470">
      <c r="A470" s="104"/>
      <c r="B470" s="104"/>
      <c r="C470" s="104"/>
    </row>
    <row r="471">
      <c r="A471" s="104"/>
      <c r="B471" s="104"/>
      <c r="C471" s="104"/>
    </row>
    <row r="472">
      <c r="A472" s="104"/>
      <c r="B472" s="104"/>
      <c r="C472" s="104"/>
    </row>
    <row r="473">
      <c r="A473" s="104"/>
      <c r="B473" s="104"/>
      <c r="C473" s="104"/>
    </row>
    <row r="474">
      <c r="A474" s="104"/>
      <c r="B474" s="104"/>
      <c r="C474" s="104"/>
    </row>
    <row r="475">
      <c r="A475" s="104"/>
      <c r="B475" s="104"/>
      <c r="C475" s="104"/>
    </row>
    <row r="476">
      <c r="A476" s="104"/>
      <c r="B476" s="104"/>
      <c r="C476" s="104"/>
    </row>
    <row r="477">
      <c r="A477" s="104"/>
      <c r="B477" s="104"/>
      <c r="C477" s="104"/>
    </row>
    <row r="478">
      <c r="A478" s="104"/>
      <c r="B478" s="104"/>
      <c r="C478" s="104"/>
    </row>
    <row r="479">
      <c r="A479" s="104"/>
      <c r="B479" s="104"/>
      <c r="C479" s="104"/>
    </row>
    <row r="480">
      <c r="A480" s="104"/>
      <c r="B480" s="104"/>
      <c r="C480" s="104"/>
    </row>
    <row r="481">
      <c r="A481" s="104"/>
      <c r="B481" s="104"/>
      <c r="C481" s="104"/>
    </row>
    <row r="482">
      <c r="A482" s="104"/>
      <c r="B482" s="104"/>
      <c r="C482" s="104"/>
    </row>
    <row r="483">
      <c r="A483" s="104"/>
      <c r="B483" s="104"/>
      <c r="C483" s="104"/>
    </row>
    <row r="484">
      <c r="A484" s="104"/>
      <c r="B484" s="104"/>
      <c r="C484" s="104"/>
    </row>
    <row r="485">
      <c r="A485" s="104"/>
      <c r="B485" s="104"/>
      <c r="C485" s="104"/>
    </row>
    <row r="486">
      <c r="A486" s="104"/>
      <c r="B486" s="104"/>
      <c r="C486" s="104"/>
    </row>
    <row r="487">
      <c r="A487" s="104"/>
      <c r="B487" s="104"/>
      <c r="C487" s="104"/>
    </row>
    <row r="488">
      <c r="A488" s="104"/>
      <c r="B488" s="104"/>
      <c r="C488" s="104"/>
    </row>
    <row r="489">
      <c r="A489" s="104"/>
      <c r="B489" s="104"/>
      <c r="C489" s="104"/>
    </row>
    <row r="490">
      <c r="A490" s="104"/>
      <c r="B490" s="104"/>
      <c r="C490" s="104"/>
    </row>
    <row r="491">
      <c r="A491" s="104"/>
      <c r="B491" s="104"/>
      <c r="C491" s="104"/>
    </row>
    <row r="492">
      <c r="A492" s="104"/>
      <c r="B492" s="104"/>
      <c r="C492" s="104"/>
    </row>
    <row r="493">
      <c r="A493" s="104"/>
      <c r="B493" s="104"/>
      <c r="C493" s="104"/>
    </row>
    <row r="494">
      <c r="A494" s="104"/>
      <c r="B494" s="104"/>
      <c r="C494" s="104"/>
    </row>
    <row r="495">
      <c r="A495" s="104"/>
      <c r="B495" s="104"/>
      <c r="C495" s="104"/>
    </row>
    <row r="496">
      <c r="A496" s="104"/>
      <c r="B496" s="104"/>
      <c r="C496" s="104"/>
    </row>
    <row r="497">
      <c r="A497" s="104"/>
      <c r="B497" s="104"/>
      <c r="C497" s="104"/>
    </row>
    <row r="498">
      <c r="A498" s="104"/>
      <c r="B498" s="104"/>
      <c r="C498" s="104"/>
    </row>
    <row r="499">
      <c r="A499" s="104"/>
      <c r="B499" s="104"/>
      <c r="C499" s="104"/>
    </row>
    <row r="500">
      <c r="A500" s="104"/>
      <c r="B500" s="104"/>
      <c r="C500" s="104"/>
    </row>
    <row r="501">
      <c r="A501" s="104"/>
      <c r="B501" s="104"/>
      <c r="C501" s="104"/>
    </row>
    <row r="502">
      <c r="A502" s="104"/>
      <c r="B502" s="104"/>
      <c r="C502" s="104"/>
    </row>
    <row r="503">
      <c r="A503" s="104"/>
      <c r="B503" s="104"/>
      <c r="C503" s="104"/>
    </row>
    <row r="504">
      <c r="A504" s="104"/>
      <c r="B504" s="104"/>
      <c r="C504" s="104"/>
    </row>
    <row r="505">
      <c r="A505" s="104"/>
      <c r="B505" s="104"/>
      <c r="C505" s="104"/>
    </row>
    <row r="506">
      <c r="A506" s="104"/>
      <c r="B506" s="104"/>
      <c r="C506" s="104"/>
    </row>
    <row r="507">
      <c r="A507" s="104"/>
      <c r="B507" s="104"/>
      <c r="C507" s="104"/>
    </row>
    <row r="508">
      <c r="A508" s="104"/>
      <c r="B508" s="104"/>
      <c r="C508" s="104"/>
    </row>
    <row r="509">
      <c r="A509" s="104"/>
      <c r="B509" s="104"/>
      <c r="C509" s="104"/>
    </row>
    <row r="510">
      <c r="A510" s="104"/>
      <c r="B510" s="104"/>
      <c r="C510" s="104"/>
    </row>
    <row r="511">
      <c r="A511" s="104"/>
      <c r="B511" s="104"/>
      <c r="C511" s="104"/>
    </row>
    <row r="512">
      <c r="A512" s="104"/>
      <c r="B512" s="104"/>
      <c r="C512" s="104"/>
    </row>
    <row r="513">
      <c r="A513" s="104"/>
      <c r="B513" s="104"/>
      <c r="C513" s="104"/>
    </row>
    <row r="514">
      <c r="A514" s="104"/>
      <c r="B514" s="104"/>
      <c r="C514" s="104"/>
    </row>
    <row r="515">
      <c r="A515" s="104"/>
      <c r="B515" s="104"/>
      <c r="C515" s="104"/>
    </row>
    <row r="516">
      <c r="A516" s="104"/>
      <c r="B516" s="104"/>
      <c r="C516" s="104"/>
    </row>
    <row r="517">
      <c r="A517" s="104"/>
      <c r="B517" s="104"/>
      <c r="C517" s="104"/>
    </row>
    <row r="518">
      <c r="A518" s="104"/>
      <c r="B518" s="104"/>
      <c r="C518" s="104"/>
    </row>
    <row r="519">
      <c r="A519" s="104"/>
      <c r="B519" s="104"/>
      <c r="C519" s="104"/>
    </row>
    <row r="520">
      <c r="A520" s="104"/>
      <c r="B520" s="104"/>
      <c r="C520" s="104"/>
    </row>
    <row r="521">
      <c r="A521" s="104"/>
      <c r="B521" s="104"/>
      <c r="C521" s="104"/>
    </row>
    <row r="522">
      <c r="A522" s="104"/>
      <c r="B522" s="104"/>
      <c r="C522" s="104"/>
    </row>
    <row r="523">
      <c r="A523" s="104"/>
      <c r="B523" s="104"/>
      <c r="C523" s="104"/>
    </row>
    <row r="524">
      <c r="A524" s="104"/>
      <c r="B524" s="104"/>
      <c r="C524" s="104"/>
    </row>
    <row r="525">
      <c r="A525" s="104"/>
      <c r="B525" s="104"/>
      <c r="C525" s="104"/>
    </row>
    <row r="526">
      <c r="A526" s="104"/>
      <c r="B526" s="104"/>
      <c r="C526" s="104"/>
    </row>
    <row r="527">
      <c r="A527" s="104"/>
      <c r="B527" s="104"/>
      <c r="C527" s="104"/>
    </row>
    <row r="528">
      <c r="A528" s="104"/>
      <c r="B528" s="104"/>
      <c r="C528" s="104"/>
    </row>
    <row r="529">
      <c r="A529" s="104"/>
      <c r="B529" s="104"/>
      <c r="C529" s="104"/>
    </row>
    <row r="530">
      <c r="A530" s="104"/>
      <c r="B530" s="104"/>
      <c r="C530" s="104"/>
    </row>
    <row r="531">
      <c r="A531" s="104"/>
      <c r="B531" s="104"/>
      <c r="C531" s="104"/>
    </row>
    <row r="532">
      <c r="A532" s="104"/>
      <c r="B532" s="104"/>
      <c r="C532" s="104"/>
    </row>
    <row r="533">
      <c r="A533" s="104"/>
      <c r="B533" s="104"/>
      <c r="C533" s="104"/>
    </row>
    <row r="534">
      <c r="A534" s="104"/>
      <c r="B534" s="104"/>
      <c r="C534" s="104"/>
    </row>
    <row r="535">
      <c r="A535" s="104"/>
      <c r="B535" s="104"/>
      <c r="C535" s="104"/>
    </row>
    <row r="536">
      <c r="A536" s="104"/>
      <c r="B536" s="104"/>
      <c r="C536" s="104"/>
    </row>
    <row r="537">
      <c r="A537" s="104"/>
      <c r="B537" s="104"/>
      <c r="C537" s="104"/>
    </row>
    <row r="538">
      <c r="A538" s="104"/>
      <c r="B538" s="104"/>
      <c r="C538" s="104"/>
    </row>
    <row r="539">
      <c r="A539" s="104"/>
      <c r="B539" s="104"/>
      <c r="C539" s="104"/>
    </row>
    <row r="540">
      <c r="A540" s="104"/>
      <c r="B540" s="104"/>
      <c r="C540" s="104"/>
    </row>
    <row r="541">
      <c r="A541" s="104"/>
      <c r="B541" s="104"/>
      <c r="C541" s="104"/>
    </row>
    <row r="542">
      <c r="A542" s="104"/>
      <c r="B542" s="104"/>
      <c r="C542" s="104"/>
    </row>
    <row r="543">
      <c r="A543" s="104"/>
      <c r="B543" s="104"/>
      <c r="C543" s="104"/>
    </row>
    <row r="544">
      <c r="A544" s="104"/>
      <c r="B544" s="104"/>
      <c r="C544" s="104"/>
    </row>
    <row r="545">
      <c r="A545" s="104"/>
      <c r="B545" s="104"/>
      <c r="C545" s="104"/>
    </row>
    <row r="546">
      <c r="A546" s="104"/>
      <c r="B546" s="104"/>
      <c r="C546" s="104"/>
    </row>
    <row r="547">
      <c r="A547" s="104"/>
      <c r="B547" s="104"/>
      <c r="C547" s="104"/>
    </row>
    <row r="548">
      <c r="A548" s="104"/>
      <c r="B548" s="104"/>
      <c r="C548" s="104"/>
    </row>
    <row r="549">
      <c r="A549" s="104"/>
      <c r="B549" s="104"/>
      <c r="C549" s="104"/>
    </row>
    <row r="550">
      <c r="A550" s="104"/>
      <c r="B550" s="104"/>
      <c r="C550" s="104"/>
    </row>
    <row r="551">
      <c r="A551" s="104"/>
      <c r="B551" s="104"/>
      <c r="C551" s="104"/>
    </row>
    <row r="552">
      <c r="A552" s="104"/>
      <c r="B552" s="104"/>
      <c r="C552" s="104"/>
    </row>
    <row r="553">
      <c r="A553" s="104"/>
      <c r="B553" s="104"/>
      <c r="C553" s="104"/>
    </row>
    <row r="554">
      <c r="A554" s="104"/>
      <c r="B554" s="104"/>
      <c r="C554" s="104"/>
    </row>
    <row r="555">
      <c r="A555" s="104"/>
      <c r="B555" s="104"/>
      <c r="C555" s="104"/>
    </row>
    <row r="556">
      <c r="A556" s="104"/>
      <c r="B556" s="104"/>
      <c r="C556" s="104"/>
    </row>
    <row r="557">
      <c r="A557" s="104"/>
      <c r="B557" s="104"/>
      <c r="C557" s="104"/>
    </row>
    <row r="558">
      <c r="A558" s="104"/>
      <c r="B558" s="104"/>
      <c r="C558" s="104"/>
    </row>
    <row r="559">
      <c r="A559" s="104"/>
      <c r="B559" s="104"/>
      <c r="C559" s="104"/>
    </row>
    <row r="560">
      <c r="A560" s="104"/>
      <c r="B560" s="104"/>
      <c r="C560" s="104"/>
    </row>
    <row r="561">
      <c r="A561" s="104"/>
      <c r="B561" s="104"/>
      <c r="C561" s="104"/>
    </row>
    <row r="562">
      <c r="A562" s="104"/>
      <c r="B562" s="104"/>
      <c r="C562" s="104"/>
    </row>
    <row r="563">
      <c r="A563" s="104"/>
      <c r="B563" s="104"/>
      <c r="C563" s="104"/>
    </row>
    <row r="564">
      <c r="A564" s="104"/>
      <c r="B564" s="104"/>
      <c r="C564" s="104"/>
    </row>
    <row r="565">
      <c r="A565" s="104"/>
      <c r="B565" s="104"/>
      <c r="C565" s="104"/>
    </row>
    <row r="566">
      <c r="A566" s="104"/>
      <c r="B566" s="104"/>
      <c r="C566" s="104"/>
    </row>
    <row r="567">
      <c r="A567" s="104"/>
      <c r="B567" s="104"/>
      <c r="C567" s="104"/>
    </row>
    <row r="568">
      <c r="A568" s="104"/>
      <c r="B568" s="104"/>
      <c r="C568" s="104"/>
    </row>
    <row r="569">
      <c r="A569" s="104"/>
      <c r="B569" s="104"/>
      <c r="C569" s="104"/>
    </row>
    <row r="570">
      <c r="A570" s="104"/>
      <c r="B570" s="104"/>
      <c r="C570" s="104"/>
    </row>
    <row r="571">
      <c r="A571" s="104"/>
      <c r="B571" s="104"/>
      <c r="C571" s="104"/>
    </row>
    <row r="572">
      <c r="A572" s="104"/>
      <c r="B572" s="104"/>
      <c r="C572" s="104"/>
    </row>
    <row r="573">
      <c r="A573" s="104"/>
      <c r="B573" s="104"/>
      <c r="C573" s="104"/>
    </row>
    <row r="574">
      <c r="A574" s="104"/>
      <c r="B574" s="104"/>
      <c r="C574" s="104"/>
    </row>
    <row r="575">
      <c r="A575" s="104"/>
      <c r="B575" s="104"/>
      <c r="C575" s="104"/>
    </row>
    <row r="576">
      <c r="A576" s="104"/>
      <c r="B576" s="104"/>
      <c r="C576" s="104"/>
    </row>
    <row r="577">
      <c r="A577" s="104"/>
      <c r="B577" s="104"/>
      <c r="C577" s="104"/>
    </row>
    <row r="578">
      <c r="A578" s="104"/>
      <c r="B578" s="104"/>
      <c r="C578" s="104"/>
    </row>
    <row r="579">
      <c r="A579" s="104"/>
      <c r="B579" s="104"/>
      <c r="C579" s="104"/>
    </row>
    <row r="580">
      <c r="A580" s="104"/>
      <c r="B580" s="104"/>
      <c r="C580" s="104"/>
    </row>
    <row r="581">
      <c r="A581" s="104"/>
      <c r="B581" s="104"/>
      <c r="C581" s="104"/>
    </row>
    <row r="582">
      <c r="A582" s="104"/>
      <c r="B582" s="104"/>
      <c r="C582" s="104"/>
    </row>
    <row r="583">
      <c r="A583" s="104"/>
      <c r="B583" s="104"/>
      <c r="C583" s="104"/>
    </row>
    <row r="584">
      <c r="A584" s="104"/>
      <c r="B584" s="104"/>
      <c r="C584" s="104"/>
    </row>
    <row r="585">
      <c r="A585" s="104"/>
      <c r="B585" s="104"/>
      <c r="C585" s="104"/>
    </row>
    <row r="586">
      <c r="A586" s="104"/>
      <c r="B586" s="104"/>
      <c r="C586" s="104"/>
    </row>
    <row r="587">
      <c r="A587" s="104"/>
      <c r="B587" s="104"/>
      <c r="C587" s="104"/>
    </row>
    <row r="588">
      <c r="A588" s="104"/>
      <c r="B588" s="104"/>
      <c r="C588" s="104"/>
    </row>
    <row r="589">
      <c r="A589" s="104"/>
      <c r="B589" s="104"/>
      <c r="C589" s="104"/>
    </row>
    <row r="590">
      <c r="A590" s="104"/>
      <c r="B590" s="104"/>
      <c r="C590" s="104"/>
    </row>
    <row r="591">
      <c r="A591" s="104"/>
      <c r="B591" s="104"/>
      <c r="C591" s="104"/>
    </row>
    <row r="592">
      <c r="A592" s="104"/>
      <c r="B592" s="104"/>
      <c r="C592" s="104"/>
    </row>
    <row r="593">
      <c r="A593" s="104"/>
      <c r="B593" s="104"/>
      <c r="C593" s="104"/>
    </row>
    <row r="594">
      <c r="A594" s="104"/>
      <c r="B594" s="104"/>
      <c r="C594" s="104"/>
    </row>
    <row r="595">
      <c r="A595" s="104"/>
      <c r="B595" s="104"/>
      <c r="C595" s="104"/>
    </row>
    <row r="596">
      <c r="A596" s="104"/>
      <c r="B596" s="104"/>
      <c r="C596" s="104"/>
    </row>
    <row r="597">
      <c r="A597" s="104"/>
      <c r="B597" s="104"/>
      <c r="C597" s="104"/>
    </row>
    <row r="598">
      <c r="A598" s="104"/>
      <c r="B598" s="104"/>
      <c r="C598" s="104"/>
    </row>
    <row r="599">
      <c r="A599" s="104"/>
      <c r="B599" s="104"/>
      <c r="C599" s="104"/>
    </row>
    <row r="600">
      <c r="A600" s="104"/>
      <c r="B600" s="104"/>
      <c r="C600" s="104"/>
    </row>
    <row r="601">
      <c r="A601" s="104"/>
      <c r="B601" s="104"/>
      <c r="C601" s="104"/>
    </row>
    <row r="602">
      <c r="A602" s="104"/>
      <c r="B602" s="104"/>
      <c r="C602" s="104"/>
    </row>
    <row r="603">
      <c r="A603" s="104"/>
      <c r="B603" s="104"/>
      <c r="C603" s="104"/>
    </row>
    <row r="604">
      <c r="A604" s="104"/>
      <c r="B604" s="104"/>
      <c r="C604" s="104"/>
    </row>
    <row r="605">
      <c r="A605" s="104"/>
      <c r="B605" s="104"/>
      <c r="C605" s="104"/>
    </row>
    <row r="606">
      <c r="A606" s="104"/>
      <c r="B606" s="104"/>
      <c r="C606" s="104"/>
    </row>
    <row r="607">
      <c r="A607" s="104"/>
      <c r="B607" s="104"/>
      <c r="C607" s="104"/>
    </row>
    <row r="608">
      <c r="A608" s="104"/>
      <c r="B608" s="104"/>
      <c r="C608" s="104"/>
    </row>
    <row r="609">
      <c r="A609" s="104"/>
      <c r="B609" s="104"/>
      <c r="C609" s="104"/>
    </row>
    <row r="610">
      <c r="A610" s="104"/>
      <c r="B610" s="104"/>
      <c r="C610" s="104"/>
    </row>
    <row r="611">
      <c r="A611" s="104"/>
      <c r="B611" s="104"/>
      <c r="C611" s="104"/>
    </row>
    <row r="612">
      <c r="A612" s="104"/>
      <c r="B612" s="104"/>
      <c r="C612" s="104"/>
    </row>
    <row r="613">
      <c r="A613" s="104"/>
      <c r="B613" s="104"/>
      <c r="C613" s="104"/>
    </row>
    <row r="614">
      <c r="A614" s="104"/>
      <c r="B614" s="104"/>
      <c r="C614" s="104"/>
    </row>
    <row r="615">
      <c r="A615" s="104"/>
      <c r="B615" s="104"/>
      <c r="C615" s="104"/>
    </row>
    <row r="616">
      <c r="A616" s="104"/>
      <c r="B616" s="104"/>
      <c r="C616" s="104"/>
    </row>
    <row r="617">
      <c r="A617" s="104"/>
      <c r="B617" s="104"/>
      <c r="C617" s="104"/>
    </row>
    <row r="618">
      <c r="A618" s="104"/>
      <c r="B618" s="104"/>
      <c r="C618" s="104"/>
    </row>
    <row r="619">
      <c r="A619" s="104"/>
      <c r="B619" s="104"/>
      <c r="C619" s="104"/>
    </row>
    <row r="620">
      <c r="A620" s="104"/>
      <c r="B620" s="104"/>
      <c r="C620" s="104"/>
    </row>
    <row r="621">
      <c r="A621" s="104"/>
      <c r="B621" s="104"/>
      <c r="C621" s="104"/>
    </row>
    <row r="622">
      <c r="A622" s="104"/>
      <c r="B622" s="104"/>
      <c r="C622" s="104"/>
    </row>
    <row r="623">
      <c r="A623" s="104"/>
      <c r="B623" s="104"/>
      <c r="C623" s="104"/>
    </row>
    <row r="624">
      <c r="A624" s="104"/>
      <c r="B624" s="104"/>
      <c r="C624" s="104"/>
    </row>
    <row r="625">
      <c r="A625" s="104"/>
      <c r="B625" s="104"/>
      <c r="C625" s="104"/>
    </row>
    <row r="626">
      <c r="A626" s="104"/>
      <c r="B626" s="104"/>
      <c r="C626" s="104"/>
    </row>
    <row r="627">
      <c r="A627" s="104"/>
      <c r="B627" s="104"/>
      <c r="C627" s="104"/>
    </row>
    <row r="628">
      <c r="A628" s="104"/>
      <c r="B628" s="104"/>
      <c r="C628" s="104"/>
    </row>
    <row r="629">
      <c r="A629" s="104"/>
      <c r="B629" s="104"/>
      <c r="C629" s="104"/>
    </row>
    <row r="630">
      <c r="A630" s="104"/>
      <c r="B630" s="104"/>
      <c r="C630" s="104"/>
    </row>
    <row r="631">
      <c r="A631" s="104"/>
      <c r="B631" s="104"/>
      <c r="C631" s="104"/>
    </row>
    <row r="632">
      <c r="A632" s="104"/>
      <c r="B632" s="104"/>
      <c r="C632" s="104"/>
    </row>
    <row r="633">
      <c r="A633" s="104"/>
      <c r="B633" s="104"/>
      <c r="C633" s="104"/>
    </row>
    <row r="634">
      <c r="A634" s="104"/>
      <c r="B634" s="104"/>
      <c r="C634" s="104"/>
    </row>
    <row r="635">
      <c r="A635" s="104"/>
      <c r="B635" s="104"/>
      <c r="C635" s="104"/>
    </row>
    <row r="636">
      <c r="A636" s="104"/>
      <c r="B636" s="104"/>
      <c r="C636" s="104"/>
    </row>
    <row r="637">
      <c r="A637" s="104"/>
      <c r="B637" s="104"/>
      <c r="C637" s="104"/>
    </row>
    <row r="638">
      <c r="A638" s="104"/>
      <c r="B638" s="104"/>
      <c r="C638" s="104"/>
    </row>
    <row r="639">
      <c r="A639" s="104"/>
      <c r="B639" s="104"/>
      <c r="C639" s="104"/>
    </row>
    <row r="640">
      <c r="A640" s="104"/>
      <c r="B640" s="104"/>
      <c r="C640" s="104"/>
    </row>
    <row r="641">
      <c r="A641" s="104"/>
      <c r="B641" s="104"/>
      <c r="C641" s="104"/>
    </row>
    <row r="642">
      <c r="A642" s="104"/>
      <c r="B642" s="104"/>
      <c r="C642" s="104"/>
    </row>
    <row r="643">
      <c r="A643" s="104"/>
      <c r="B643" s="104"/>
      <c r="C643" s="104"/>
    </row>
    <row r="644">
      <c r="A644" s="104"/>
      <c r="B644" s="104"/>
      <c r="C644" s="104"/>
    </row>
    <row r="645">
      <c r="A645" s="104"/>
      <c r="B645" s="104"/>
      <c r="C645" s="104"/>
    </row>
    <row r="646">
      <c r="A646" s="104"/>
      <c r="B646" s="104"/>
      <c r="C646" s="104"/>
    </row>
    <row r="647">
      <c r="A647" s="104"/>
      <c r="B647" s="104"/>
      <c r="C647" s="104"/>
    </row>
    <row r="648">
      <c r="A648" s="104"/>
      <c r="B648" s="104"/>
      <c r="C648" s="104"/>
    </row>
    <row r="649">
      <c r="A649" s="104"/>
      <c r="B649" s="104"/>
      <c r="C649" s="104"/>
    </row>
    <row r="650">
      <c r="A650" s="104"/>
      <c r="B650" s="104"/>
      <c r="C650" s="104"/>
    </row>
    <row r="651">
      <c r="A651" s="104"/>
      <c r="B651" s="104"/>
      <c r="C651" s="104"/>
    </row>
    <row r="652">
      <c r="A652" s="104"/>
      <c r="B652" s="104"/>
      <c r="C652" s="104"/>
    </row>
    <row r="653">
      <c r="A653" s="104"/>
      <c r="B653" s="104"/>
      <c r="C653" s="104"/>
    </row>
    <row r="654">
      <c r="A654" s="104"/>
      <c r="B654" s="104"/>
      <c r="C654" s="104"/>
    </row>
    <row r="655">
      <c r="A655" s="104"/>
      <c r="B655" s="104"/>
      <c r="C655" s="104"/>
    </row>
    <row r="656">
      <c r="A656" s="104"/>
      <c r="B656" s="104"/>
      <c r="C656" s="104"/>
    </row>
    <row r="657">
      <c r="A657" s="104"/>
      <c r="B657" s="104"/>
      <c r="C657" s="104"/>
    </row>
    <row r="658">
      <c r="A658" s="104"/>
      <c r="B658" s="104"/>
      <c r="C658" s="104"/>
    </row>
    <row r="659">
      <c r="A659" s="104"/>
      <c r="B659" s="104"/>
      <c r="C659" s="104"/>
    </row>
    <row r="660">
      <c r="A660" s="104"/>
      <c r="B660" s="104"/>
      <c r="C660" s="104"/>
    </row>
    <row r="661">
      <c r="A661" s="104"/>
      <c r="B661" s="104"/>
      <c r="C661" s="104"/>
    </row>
    <row r="662">
      <c r="A662" s="104"/>
      <c r="B662" s="104"/>
      <c r="C662" s="104"/>
    </row>
    <row r="663">
      <c r="A663" s="104"/>
      <c r="B663" s="104"/>
      <c r="C663" s="104"/>
    </row>
    <row r="664">
      <c r="A664" s="104"/>
      <c r="B664" s="104"/>
      <c r="C664" s="104"/>
    </row>
    <row r="665">
      <c r="A665" s="104"/>
      <c r="B665" s="104"/>
      <c r="C665" s="104"/>
    </row>
    <row r="666">
      <c r="A666" s="104"/>
      <c r="B666" s="104"/>
      <c r="C666" s="104"/>
    </row>
    <row r="667">
      <c r="A667" s="104"/>
      <c r="B667" s="104"/>
      <c r="C667" s="104"/>
    </row>
    <row r="668">
      <c r="A668" s="104"/>
      <c r="B668" s="104"/>
      <c r="C668" s="104"/>
    </row>
    <row r="669">
      <c r="A669" s="104"/>
      <c r="B669" s="104"/>
      <c r="C669" s="104"/>
    </row>
    <row r="670">
      <c r="A670" s="104"/>
      <c r="B670" s="104"/>
      <c r="C670" s="104"/>
    </row>
    <row r="671">
      <c r="A671" s="104"/>
      <c r="B671" s="104"/>
      <c r="C671" s="104"/>
    </row>
    <row r="672">
      <c r="A672" s="104"/>
      <c r="B672" s="104"/>
      <c r="C672" s="104"/>
    </row>
    <row r="673">
      <c r="A673" s="104"/>
      <c r="B673" s="104"/>
      <c r="C673" s="104"/>
    </row>
    <row r="674">
      <c r="A674" s="104"/>
      <c r="B674" s="104"/>
      <c r="C674" s="104"/>
    </row>
    <row r="675">
      <c r="A675" s="104"/>
      <c r="B675" s="104"/>
      <c r="C675" s="104"/>
    </row>
    <row r="676">
      <c r="A676" s="104"/>
      <c r="B676" s="104"/>
      <c r="C676" s="104"/>
    </row>
    <row r="677">
      <c r="A677" s="104"/>
      <c r="B677" s="104"/>
      <c r="C677" s="104"/>
    </row>
    <row r="678">
      <c r="A678" s="104"/>
      <c r="B678" s="104"/>
      <c r="C678" s="104"/>
    </row>
    <row r="679">
      <c r="A679" s="104"/>
      <c r="B679" s="104"/>
      <c r="C679" s="104"/>
    </row>
    <row r="680">
      <c r="A680" s="104"/>
      <c r="B680" s="104"/>
      <c r="C680" s="104"/>
    </row>
    <row r="681">
      <c r="A681" s="104"/>
      <c r="B681" s="104"/>
      <c r="C681" s="104"/>
    </row>
    <row r="682">
      <c r="A682" s="104"/>
      <c r="B682" s="104"/>
      <c r="C682" s="104"/>
    </row>
    <row r="683">
      <c r="A683" s="104"/>
      <c r="B683" s="104"/>
      <c r="C683" s="104"/>
    </row>
    <row r="684">
      <c r="A684" s="104"/>
      <c r="B684" s="104"/>
      <c r="C684" s="104"/>
    </row>
    <row r="685">
      <c r="A685" s="104"/>
      <c r="B685" s="104"/>
      <c r="C685" s="104"/>
    </row>
    <row r="686">
      <c r="A686" s="104"/>
      <c r="B686" s="104"/>
      <c r="C686" s="104"/>
    </row>
    <row r="687">
      <c r="A687" s="104"/>
      <c r="B687" s="104"/>
      <c r="C687" s="104"/>
    </row>
    <row r="688">
      <c r="A688" s="104"/>
      <c r="B688" s="104"/>
      <c r="C688" s="104"/>
    </row>
    <row r="689">
      <c r="A689" s="104"/>
      <c r="B689" s="104"/>
      <c r="C689" s="104"/>
    </row>
    <row r="690">
      <c r="A690" s="104"/>
      <c r="B690" s="104"/>
      <c r="C690" s="104"/>
    </row>
    <row r="691">
      <c r="A691" s="104"/>
      <c r="B691" s="104"/>
      <c r="C691" s="104"/>
    </row>
    <row r="692">
      <c r="A692" s="104"/>
      <c r="B692" s="104"/>
      <c r="C692" s="104"/>
    </row>
    <row r="693">
      <c r="A693" s="104"/>
      <c r="B693" s="104"/>
      <c r="C693" s="104"/>
    </row>
    <row r="694">
      <c r="A694" s="104"/>
      <c r="B694" s="104"/>
      <c r="C694" s="104"/>
    </row>
    <row r="695">
      <c r="A695" s="104"/>
      <c r="B695" s="104"/>
      <c r="C695" s="104"/>
    </row>
    <row r="696">
      <c r="A696" s="104"/>
      <c r="B696" s="104"/>
      <c r="C696" s="104"/>
    </row>
    <row r="697">
      <c r="A697" s="104"/>
      <c r="B697" s="104"/>
      <c r="C697" s="104"/>
    </row>
    <row r="698">
      <c r="A698" s="104"/>
      <c r="B698" s="104"/>
      <c r="C698" s="104"/>
    </row>
    <row r="699">
      <c r="A699" s="104"/>
      <c r="B699" s="104"/>
      <c r="C699" s="104"/>
    </row>
    <row r="700">
      <c r="A700" s="104"/>
      <c r="B700" s="104"/>
      <c r="C700" s="104"/>
    </row>
    <row r="701">
      <c r="A701" s="104"/>
      <c r="B701" s="104"/>
      <c r="C701" s="104"/>
    </row>
    <row r="702">
      <c r="A702" s="104"/>
      <c r="B702" s="104"/>
      <c r="C702" s="104"/>
    </row>
    <row r="703">
      <c r="A703" s="104"/>
      <c r="B703" s="104"/>
      <c r="C703" s="104"/>
    </row>
    <row r="704">
      <c r="A704" s="104"/>
      <c r="B704" s="104"/>
      <c r="C704" s="104"/>
    </row>
    <row r="705">
      <c r="A705" s="104"/>
      <c r="B705" s="104"/>
      <c r="C705" s="104"/>
    </row>
    <row r="706">
      <c r="A706" s="104"/>
      <c r="B706" s="104"/>
      <c r="C706" s="104"/>
    </row>
    <row r="707">
      <c r="A707" s="104"/>
      <c r="B707" s="104"/>
      <c r="C707" s="104"/>
    </row>
    <row r="708">
      <c r="A708" s="104"/>
      <c r="B708" s="104"/>
      <c r="C708" s="104"/>
    </row>
    <row r="709">
      <c r="A709" s="104"/>
      <c r="B709" s="104"/>
      <c r="C709" s="104"/>
    </row>
    <row r="710">
      <c r="A710" s="104"/>
      <c r="B710" s="104"/>
      <c r="C710" s="104"/>
    </row>
    <row r="711">
      <c r="A711" s="104"/>
      <c r="B711" s="104"/>
      <c r="C711" s="104"/>
    </row>
    <row r="712">
      <c r="A712" s="104"/>
      <c r="B712" s="104"/>
      <c r="C712" s="104"/>
    </row>
    <row r="713">
      <c r="A713" s="104"/>
      <c r="B713" s="104"/>
      <c r="C713" s="104"/>
    </row>
    <row r="714">
      <c r="A714" s="104"/>
      <c r="B714" s="104"/>
      <c r="C714" s="104"/>
    </row>
    <row r="715">
      <c r="A715" s="104"/>
      <c r="B715" s="104"/>
      <c r="C715" s="104"/>
    </row>
    <row r="716">
      <c r="A716" s="104"/>
      <c r="B716" s="104"/>
      <c r="C716" s="104"/>
    </row>
    <row r="717">
      <c r="A717" s="104"/>
      <c r="B717" s="104"/>
      <c r="C717" s="104"/>
    </row>
    <row r="718">
      <c r="A718" s="104"/>
      <c r="B718" s="104"/>
      <c r="C718" s="104"/>
    </row>
    <row r="719">
      <c r="A719" s="104"/>
      <c r="B719" s="104"/>
      <c r="C719" s="104"/>
    </row>
    <row r="720">
      <c r="A720" s="104"/>
      <c r="B720" s="104"/>
      <c r="C720" s="104"/>
    </row>
    <row r="721">
      <c r="A721" s="104"/>
      <c r="B721" s="104"/>
      <c r="C721" s="104"/>
    </row>
    <row r="722">
      <c r="A722" s="104"/>
      <c r="B722" s="104"/>
      <c r="C722" s="104"/>
    </row>
    <row r="723">
      <c r="A723" s="104"/>
      <c r="B723" s="104"/>
      <c r="C723" s="104"/>
    </row>
    <row r="724">
      <c r="A724" s="104"/>
      <c r="B724" s="104"/>
      <c r="C724" s="104"/>
    </row>
    <row r="725">
      <c r="A725" s="104"/>
      <c r="B725" s="104"/>
      <c r="C725" s="104"/>
    </row>
    <row r="726">
      <c r="A726" s="104"/>
      <c r="B726" s="104"/>
      <c r="C726" s="104"/>
    </row>
    <row r="727">
      <c r="A727" s="104"/>
      <c r="B727" s="104"/>
      <c r="C727" s="104"/>
    </row>
    <row r="728">
      <c r="A728" s="104"/>
      <c r="B728" s="104"/>
      <c r="C728" s="104"/>
    </row>
    <row r="729">
      <c r="A729" s="104"/>
      <c r="B729" s="104"/>
      <c r="C729" s="104"/>
    </row>
    <row r="730">
      <c r="A730" s="104"/>
      <c r="B730" s="104"/>
      <c r="C730" s="104"/>
    </row>
    <row r="731">
      <c r="A731" s="104"/>
      <c r="B731" s="104"/>
      <c r="C731" s="104"/>
    </row>
    <row r="732">
      <c r="A732" s="104"/>
      <c r="B732" s="104"/>
      <c r="C732" s="104"/>
    </row>
    <row r="733">
      <c r="A733" s="104"/>
      <c r="B733" s="104"/>
      <c r="C733" s="104"/>
    </row>
    <row r="734">
      <c r="A734" s="104"/>
      <c r="B734" s="104"/>
      <c r="C734" s="104"/>
    </row>
    <row r="735">
      <c r="A735" s="104"/>
      <c r="B735" s="104"/>
      <c r="C735" s="104"/>
    </row>
    <row r="736">
      <c r="A736" s="104"/>
      <c r="B736" s="104"/>
      <c r="C736" s="104"/>
    </row>
    <row r="737">
      <c r="A737" s="104"/>
      <c r="B737" s="104"/>
      <c r="C737" s="104"/>
    </row>
    <row r="738">
      <c r="A738" s="104"/>
      <c r="B738" s="104"/>
      <c r="C738" s="104"/>
    </row>
    <row r="739">
      <c r="A739" s="104"/>
      <c r="B739" s="104"/>
      <c r="C739" s="104"/>
    </row>
    <row r="740">
      <c r="A740" s="104"/>
      <c r="B740" s="104"/>
      <c r="C740" s="104"/>
    </row>
    <row r="741">
      <c r="A741" s="104"/>
      <c r="B741" s="104"/>
      <c r="C741" s="104"/>
    </row>
    <row r="742">
      <c r="A742" s="104"/>
      <c r="B742" s="104"/>
      <c r="C742" s="104"/>
    </row>
    <row r="743">
      <c r="A743" s="104"/>
      <c r="B743" s="104"/>
      <c r="C743" s="104"/>
    </row>
    <row r="744">
      <c r="A744" s="104"/>
      <c r="B744" s="104"/>
      <c r="C744" s="104"/>
    </row>
    <row r="745">
      <c r="A745" s="104"/>
      <c r="B745" s="104"/>
      <c r="C745" s="104"/>
    </row>
    <row r="746">
      <c r="A746" s="104"/>
      <c r="B746" s="104"/>
      <c r="C746" s="104"/>
    </row>
    <row r="747">
      <c r="A747" s="104"/>
      <c r="B747" s="104"/>
      <c r="C747" s="104"/>
    </row>
    <row r="748">
      <c r="A748" s="104"/>
      <c r="B748" s="104"/>
      <c r="C748" s="104"/>
    </row>
    <row r="749">
      <c r="A749" s="104"/>
      <c r="B749" s="104"/>
      <c r="C749" s="104"/>
    </row>
    <row r="750">
      <c r="A750" s="104"/>
      <c r="B750" s="104"/>
      <c r="C750" s="104"/>
    </row>
    <row r="751">
      <c r="A751" s="104"/>
      <c r="B751" s="104"/>
      <c r="C751" s="104"/>
    </row>
    <row r="752">
      <c r="A752" s="104"/>
      <c r="B752" s="104"/>
      <c r="C752" s="104"/>
    </row>
    <row r="753">
      <c r="A753" s="104"/>
      <c r="B753" s="104"/>
      <c r="C753" s="104"/>
    </row>
    <row r="754">
      <c r="A754" s="104"/>
      <c r="B754" s="104"/>
      <c r="C754" s="104"/>
    </row>
    <row r="755">
      <c r="A755" s="104"/>
      <c r="B755" s="104"/>
      <c r="C755" s="104"/>
    </row>
    <row r="756">
      <c r="A756" s="104"/>
      <c r="B756" s="104"/>
      <c r="C756" s="104"/>
    </row>
    <row r="757">
      <c r="A757" s="104"/>
      <c r="B757" s="104"/>
      <c r="C757" s="104"/>
    </row>
    <row r="758">
      <c r="A758" s="104"/>
      <c r="B758" s="104"/>
      <c r="C758" s="104"/>
    </row>
    <row r="759">
      <c r="A759" s="104"/>
      <c r="B759" s="104"/>
      <c r="C759" s="104"/>
    </row>
    <row r="760">
      <c r="A760" s="104"/>
      <c r="B760" s="104"/>
      <c r="C760" s="104"/>
    </row>
    <row r="761">
      <c r="A761" s="104"/>
      <c r="B761" s="104"/>
      <c r="C761" s="104"/>
    </row>
    <row r="762">
      <c r="A762" s="104"/>
      <c r="B762" s="104"/>
      <c r="C762" s="104"/>
    </row>
    <row r="763">
      <c r="A763" s="104"/>
      <c r="B763" s="104"/>
      <c r="C763" s="104"/>
    </row>
    <row r="764">
      <c r="A764" s="104"/>
      <c r="B764" s="104"/>
      <c r="C764" s="104"/>
    </row>
    <row r="765">
      <c r="A765" s="104"/>
      <c r="B765" s="104"/>
      <c r="C765" s="104"/>
    </row>
    <row r="766">
      <c r="A766" s="104"/>
      <c r="B766" s="104"/>
      <c r="C766" s="104"/>
    </row>
    <row r="767">
      <c r="A767" s="104"/>
      <c r="B767" s="104"/>
      <c r="C767" s="104"/>
    </row>
    <row r="768">
      <c r="A768" s="104"/>
      <c r="B768" s="104"/>
      <c r="C768" s="104"/>
    </row>
    <row r="769">
      <c r="A769" s="104"/>
      <c r="B769" s="104"/>
      <c r="C769" s="104"/>
    </row>
    <row r="770">
      <c r="A770" s="104"/>
      <c r="B770" s="104"/>
      <c r="C770" s="104"/>
    </row>
    <row r="771">
      <c r="A771" s="104"/>
      <c r="B771" s="104"/>
      <c r="C771" s="104"/>
    </row>
    <row r="772">
      <c r="A772" s="104"/>
      <c r="B772" s="104"/>
      <c r="C772" s="104"/>
    </row>
    <row r="773">
      <c r="A773" s="104"/>
      <c r="B773" s="104"/>
      <c r="C773" s="104"/>
    </row>
    <row r="774">
      <c r="A774" s="104"/>
      <c r="B774" s="104"/>
      <c r="C774" s="104"/>
    </row>
    <row r="775">
      <c r="A775" s="104"/>
      <c r="B775" s="104"/>
      <c r="C775" s="104"/>
    </row>
    <row r="776">
      <c r="A776" s="104"/>
      <c r="B776" s="104"/>
      <c r="C776" s="104"/>
    </row>
    <row r="777">
      <c r="A777" s="104"/>
      <c r="B777" s="104"/>
      <c r="C777" s="104"/>
    </row>
    <row r="778">
      <c r="A778" s="104"/>
      <c r="B778" s="104"/>
      <c r="C778" s="104"/>
    </row>
    <row r="779">
      <c r="A779" s="104"/>
      <c r="B779" s="104"/>
      <c r="C779" s="104"/>
    </row>
    <row r="780">
      <c r="A780" s="104"/>
      <c r="B780" s="104"/>
      <c r="C780" s="104"/>
    </row>
    <row r="781">
      <c r="A781" s="104"/>
      <c r="B781" s="104"/>
      <c r="C781" s="104"/>
    </row>
    <row r="782">
      <c r="A782" s="104"/>
      <c r="B782" s="104"/>
      <c r="C782" s="104"/>
    </row>
    <row r="783">
      <c r="A783" s="104"/>
      <c r="B783" s="104"/>
      <c r="C783" s="104"/>
    </row>
    <row r="784">
      <c r="A784" s="104"/>
      <c r="B784" s="104"/>
      <c r="C784" s="104"/>
    </row>
    <row r="785">
      <c r="A785" s="104"/>
      <c r="B785" s="104"/>
      <c r="C785" s="104"/>
    </row>
    <row r="786">
      <c r="A786" s="104"/>
      <c r="B786" s="104"/>
      <c r="C786" s="104"/>
    </row>
    <row r="787">
      <c r="A787" s="104"/>
      <c r="B787" s="104"/>
      <c r="C787" s="104"/>
    </row>
    <row r="788">
      <c r="A788" s="104"/>
      <c r="B788" s="104"/>
      <c r="C788" s="104"/>
    </row>
    <row r="789">
      <c r="A789" s="104"/>
      <c r="B789" s="104"/>
      <c r="C789" s="104"/>
    </row>
    <row r="790">
      <c r="A790" s="104"/>
      <c r="B790" s="104"/>
      <c r="C790" s="104"/>
    </row>
    <row r="791">
      <c r="A791" s="104"/>
      <c r="B791" s="104"/>
      <c r="C791" s="104"/>
    </row>
    <row r="792">
      <c r="A792" s="104"/>
      <c r="B792" s="104"/>
      <c r="C792" s="104"/>
    </row>
    <row r="793">
      <c r="A793" s="104"/>
      <c r="B793" s="104"/>
      <c r="C793" s="104"/>
    </row>
    <row r="794">
      <c r="A794" s="104"/>
      <c r="B794" s="104"/>
      <c r="C794" s="104"/>
    </row>
    <row r="795">
      <c r="A795" s="104"/>
      <c r="B795" s="104"/>
      <c r="C795" s="104"/>
    </row>
    <row r="796">
      <c r="A796" s="104"/>
      <c r="B796" s="104"/>
      <c r="C796" s="104"/>
    </row>
    <row r="797">
      <c r="A797" s="104"/>
      <c r="B797" s="104"/>
      <c r="C797" s="104"/>
    </row>
    <row r="798">
      <c r="A798" s="104"/>
      <c r="B798" s="104"/>
      <c r="C798" s="104"/>
    </row>
    <row r="799">
      <c r="A799" s="104"/>
      <c r="B799" s="104"/>
      <c r="C799" s="104"/>
    </row>
    <row r="800">
      <c r="A800" s="104"/>
      <c r="B800" s="104"/>
      <c r="C800" s="104"/>
    </row>
    <row r="801">
      <c r="A801" s="104"/>
      <c r="B801" s="104"/>
      <c r="C801" s="104"/>
    </row>
    <row r="802">
      <c r="A802" s="104"/>
      <c r="B802" s="104"/>
      <c r="C802" s="104"/>
    </row>
    <row r="803">
      <c r="A803" s="104"/>
      <c r="B803" s="104"/>
      <c r="C803" s="104"/>
    </row>
    <row r="804">
      <c r="A804" s="104"/>
      <c r="B804" s="104"/>
      <c r="C804" s="104"/>
    </row>
    <row r="805">
      <c r="A805" s="104"/>
      <c r="B805" s="104"/>
      <c r="C805" s="104"/>
    </row>
    <row r="806">
      <c r="A806" s="104"/>
      <c r="B806" s="104"/>
      <c r="C806" s="104"/>
    </row>
    <row r="807">
      <c r="A807" s="104"/>
      <c r="B807" s="104"/>
      <c r="C807" s="104"/>
    </row>
    <row r="808">
      <c r="A808" s="104"/>
      <c r="B808" s="104"/>
      <c r="C808" s="104"/>
    </row>
    <row r="809">
      <c r="A809" s="104"/>
      <c r="B809" s="104"/>
      <c r="C809" s="104"/>
    </row>
    <row r="810">
      <c r="A810" s="104"/>
      <c r="B810" s="104"/>
      <c r="C810" s="104"/>
    </row>
    <row r="811">
      <c r="A811" s="104"/>
      <c r="B811" s="104"/>
      <c r="C811" s="104"/>
    </row>
    <row r="812">
      <c r="A812" s="104"/>
      <c r="B812" s="104"/>
      <c r="C812" s="104"/>
    </row>
    <row r="813">
      <c r="A813" s="104"/>
      <c r="B813" s="104"/>
      <c r="C813" s="104"/>
    </row>
    <row r="814">
      <c r="A814" s="104"/>
      <c r="B814" s="104"/>
      <c r="C814" s="104"/>
    </row>
    <row r="815">
      <c r="A815" s="104"/>
      <c r="B815" s="104"/>
      <c r="C815" s="104"/>
    </row>
    <row r="816">
      <c r="A816" s="104"/>
      <c r="B816" s="104"/>
      <c r="C816" s="104"/>
    </row>
    <row r="817">
      <c r="A817" s="104"/>
      <c r="B817" s="104"/>
      <c r="C817" s="104"/>
    </row>
    <row r="818">
      <c r="A818" s="104"/>
      <c r="B818" s="104"/>
      <c r="C818" s="104"/>
    </row>
    <row r="819">
      <c r="A819" s="104"/>
      <c r="B819" s="104"/>
      <c r="C819" s="104"/>
    </row>
    <row r="820">
      <c r="A820" s="104"/>
      <c r="B820" s="104"/>
      <c r="C820" s="104"/>
    </row>
    <row r="821">
      <c r="A821" s="104"/>
      <c r="B821" s="104"/>
      <c r="C821" s="104"/>
    </row>
    <row r="822">
      <c r="A822" s="104"/>
      <c r="B822" s="104"/>
      <c r="C822" s="104"/>
    </row>
    <row r="823">
      <c r="A823" s="104"/>
      <c r="B823" s="104"/>
      <c r="C823" s="104"/>
    </row>
    <row r="824">
      <c r="A824" s="104"/>
      <c r="B824" s="104"/>
      <c r="C824" s="104"/>
    </row>
    <row r="825">
      <c r="A825" s="104"/>
      <c r="B825" s="104"/>
      <c r="C825" s="104"/>
    </row>
    <row r="826">
      <c r="A826" s="104"/>
      <c r="B826" s="104"/>
      <c r="C826" s="104"/>
    </row>
    <row r="827">
      <c r="A827" s="104"/>
      <c r="B827" s="104"/>
      <c r="C827" s="104"/>
    </row>
    <row r="828">
      <c r="A828" s="104"/>
      <c r="B828" s="104"/>
      <c r="C828" s="104"/>
    </row>
    <row r="829">
      <c r="A829" s="104"/>
      <c r="B829" s="104"/>
      <c r="C829" s="104"/>
    </row>
    <row r="830">
      <c r="A830" s="104"/>
      <c r="B830" s="104"/>
      <c r="C830" s="104"/>
    </row>
    <row r="831">
      <c r="A831" s="104"/>
      <c r="B831" s="104"/>
      <c r="C831" s="104"/>
    </row>
    <row r="832">
      <c r="A832" s="104"/>
      <c r="B832" s="104"/>
      <c r="C832" s="104"/>
    </row>
    <row r="833">
      <c r="A833" s="104"/>
      <c r="B833" s="104"/>
      <c r="C833" s="104"/>
    </row>
    <row r="834">
      <c r="A834" s="104"/>
      <c r="B834" s="104"/>
      <c r="C834" s="104"/>
    </row>
    <row r="835">
      <c r="A835" s="104"/>
      <c r="B835" s="104"/>
      <c r="C835" s="104"/>
    </row>
    <row r="836">
      <c r="A836" s="104"/>
      <c r="B836" s="104"/>
      <c r="C836" s="104"/>
    </row>
    <row r="837">
      <c r="A837" s="104"/>
      <c r="B837" s="104"/>
      <c r="C837" s="104"/>
    </row>
    <row r="838">
      <c r="A838" s="104"/>
      <c r="B838" s="104"/>
      <c r="C838" s="104"/>
    </row>
    <row r="839">
      <c r="A839" s="104"/>
      <c r="B839" s="104"/>
      <c r="C839" s="104"/>
    </row>
    <row r="840">
      <c r="A840" s="104"/>
      <c r="B840" s="104"/>
      <c r="C840" s="104"/>
    </row>
    <row r="841">
      <c r="A841" s="104"/>
      <c r="B841" s="104"/>
      <c r="C841" s="104"/>
    </row>
    <row r="842">
      <c r="A842" s="104"/>
      <c r="B842" s="104"/>
      <c r="C842" s="104"/>
    </row>
    <row r="843">
      <c r="A843" s="104"/>
      <c r="B843" s="104"/>
      <c r="C843" s="104"/>
    </row>
    <row r="844">
      <c r="A844" s="104"/>
      <c r="B844" s="104"/>
      <c r="C844" s="104"/>
    </row>
    <row r="845">
      <c r="A845" s="104"/>
      <c r="B845" s="104"/>
      <c r="C845" s="104"/>
    </row>
    <row r="846">
      <c r="A846" s="104"/>
      <c r="B846" s="104"/>
      <c r="C846" s="104"/>
    </row>
    <row r="847">
      <c r="A847" s="104"/>
      <c r="B847" s="104"/>
      <c r="C847" s="104"/>
    </row>
    <row r="848">
      <c r="A848" s="104"/>
      <c r="B848" s="104"/>
      <c r="C848" s="104"/>
    </row>
    <row r="849">
      <c r="A849" s="104"/>
      <c r="B849" s="104"/>
      <c r="C849" s="104"/>
    </row>
    <row r="850">
      <c r="A850" s="104"/>
      <c r="B850" s="104"/>
      <c r="C850" s="104"/>
    </row>
    <row r="851">
      <c r="A851" s="104"/>
      <c r="B851" s="104"/>
      <c r="C851" s="104"/>
    </row>
    <row r="852">
      <c r="A852" s="104"/>
      <c r="B852" s="104"/>
      <c r="C852" s="104"/>
    </row>
    <row r="853">
      <c r="A853" s="104"/>
      <c r="B853" s="104"/>
      <c r="C853" s="104"/>
    </row>
    <row r="854">
      <c r="A854" s="104"/>
      <c r="B854" s="104"/>
      <c r="C854" s="104"/>
    </row>
    <row r="855">
      <c r="A855" s="104"/>
      <c r="B855" s="104"/>
      <c r="C855" s="104"/>
    </row>
    <row r="856">
      <c r="A856" s="104"/>
      <c r="B856" s="104"/>
      <c r="C856" s="104"/>
    </row>
    <row r="857">
      <c r="A857" s="104"/>
      <c r="B857" s="104"/>
      <c r="C857" s="104"/>
    </row>
    <row r="858">
      <c r="A858" s="104"/>
      <c r="B858" s="104"/>
      <c r="C858" s="104"/>
    </row>
    <row r="859">
      <c r="A859" s="104"/>
      <c r="B859" s="104"/>
      <c r="C859" s="104"/>
    </row>
    <row r="860">
      <c r="A860" s="104"/>
      <c r="B860" s="104"/>
      <c r="C860" s="104"/>
    </row>
    <row r="861">
      <c r="A861" s="104"/>
      <c r="B861" s="104"/>
      <c r="C861" s="104"/>
    </row>
    <row r="862">
      <c r="A862" s="104"/>
      <c r="B862" s="104"/>
      <c r="C862" s="104"/>
    </row>
    <row r="863">
      <c r="A863" s="104"/>
      <c r="B863" s="104"/>
      <c r="C863" s="104"/>
    </row>
    <row r="864">
      <c r="A864" s="104"/>
      <c r="B864" s="104"/>
      <c r="C864" s="104"/>
    </row>
    <row r="865">
      <c r="A865" s="104"/>
      <c r="B865" s="104"/>
      <c r="C865" s="104"/>
    </row>
    <row r="866">
      <c r="A866" s="104"/>
      <c r="B866" s="104"/>
      <c r="C866" s="104"/>
    </row>
    <row r="867">
      <c r="A867" s="104"/>
      <c r="B867" s="104"/>
      <c r="C867" s="104"/>
    </row>
    <row r="868">
      <c r="A868" s="104"/>
      <c r="B868" s="104"/>
      <c r="C868" s="104"/>
    </row>
    <row r="869">
      <c r="A869" s="104"/>
      <c r="B869" s="104"/>
      <c r="C869" s="104"/>
    </row>
    <row r="870">
      <c r="A870" s="104"/>
      <c r="B870" s="104"/>
      <c r="C870" s="104"/>
    </row>
    <row r="871">
      <c r="A871" s="104"/>
      <c r="B871" s="104"/>
      <c r="C871" s="104"/>
    </row>
    <row r="872">
      <c r="A872" s="104"/>
      <c r="B872" s="104"/>
      <c r="C872" s="104"/>
    </row>
    <row r="873">
      <c r="A873" s="104"/>
      <c r="B873" s="104"/>
      <c r="C873" s="104"/>
    </row>
    <row r="874">
      <c r="A874" s="104"/>
      <c r="B874" s="104"/>
      <c r="C874" s="104"/>
    </row>
    <row r="875">
      <c r="A875" s="104"/>
      <c r="B875" s="104"/>
      <c r="C875" s="104"/>
    </row>
    <row r="876">
      <c r="A876" s="104"/>
      <c r="B876" s="104"/>
      <c r="C876" s="104"/>
    </row>
    <row r="877">
      <c r="A877" s="104"/>
      <c r="B877" s="104"/>
      <c r="C877" s="104"/>
    </row>
    <row r="878">
      <c r="A878" s="104"/>
      <c r="B878" s="104"/>
      <c r="C878" s="104"/>
    </row>
    <row r="879">
      <c r="A879" s="104"/>
      <c r="B879" s="104"/>
      <c r="C879" s="104"/>
    </row>
    <row r="880">
      <c r="A880" s="104"/>
      <c r="B880" s="104"/>
      <c r="C880" s="104"/>
    </row>
    <row r="881">
      <c r="A881" s="104"/>
      <c r="B881" s="104"/>
      <c r="C881" s="104"/>
    </row>
    <row r="882">
      <c r="A882" s="104"/>
      <c r="B882" s="104"/>
      <c r="C882" s="104"/>
    </row>
    <row r="883">
      <c r="A883" s="104"/>
      <c r="B883" s="104"/>
      <c r="C883" s="104"/>
    </row>
    <row r="884">
      <c r="A884" s="104"/>
      <c r="B884" s="104"/>
      <c r="C884" s="104"/>
    </row>
    <row r="885">
      <c r="A885" s="104"/>
      <c r="B885" s="104"/>
      <c r="C885" s="104"/>
    </row>
    <row r="886">
      <c r="A886" s="104"/>
      <c r="B886" s="104"/>
      <c r="C886" s="104"/>
    </row>
    <row r="887">
      <c r="A887" s="104"/>
      <c r="B887" s="104"/>
      <c r="C887" s="104"/>
    </row>
    <row r="888">
      <c r="A888" s="104"/>
      <c r="B888" s="104"/>
      <c r="C888" s="104"/>
    </row>
    <row r="889">
      <c r="A889" s="104"/>
      <c r="B889" s="104"/>
      <c r="C889" s="104"/>
    </row>
    <row r="890">
      <c r="A890" s="104"/>
      <c r="B890" s="104"/>
      <c r="C890" s="104"/>
    </row>
    <row r="891">
      <c r="A891" s="104"/>
      <c r="B891" s="104"/>
      <c r="C891" s="104"/>
    </row>
    <row r="892">
      <c r="A892" s="104"/>
      <c r="B892" s="104"/>
      <c r="C892" s="104"/>
    </row>
    <row r="893">
      <c r="A893" s="104"/>
      <c r="B893" s="104"/>
      <c r="C893" s="104"/>
    </row>
    <row r="894">
      <c r="A894" s="104"/>
      <c r="B894" s="104"/>
      <c r="C894" s="104"/>
    </row>
    <row r="895">
      <c r="A895" s="104"/>
      <c r="B895" s="104"/>
      <c r="C895" s="104"/>
    </row>
    <row r="896">
      <c r="A896" s="104"/>
      <c r="B896" s="104"/>
      <c r="C896" s="104"/>
    </row>
    <row r="897">
      <c r="A897" s="104"/>
      <c r="B897" s="104"/>
      <c r="C897" s="104"/>
    </row>
    <row r="898">
      <c r="A898" s="104"/>
      <c r="B898" s="104"/>
      <c r="C898" s="104"/>
    </row>
    <row r="899">
      <c r="A899" s="104"/>
      <c r="B899" s="104"/>
      <c r="C899" s="104"/>
    </row>
    <row r="900">
      <c r="A900" s="104"/>
      <c r="B900" s="104"/>
      <c r="C900" s="104"/>
    </row>
    <row r="901">
      <c r="A901" s="104"/>
      <c r="B901" s="104"/>
      <c r="C901" s="104"/>
    </row>
    <row r="902">
      <c r="A902" s="104"/>
      <c r="B902" s="104"/>
      <c r="C902" s="104"/>
    </row>
    <row r="903">
      <c r="A903" s="104"/>
      <c r="B903" s="104"/>
      <c r="C903" s="104"/>
    </row>
    <row r="904">
      <c r="A904" s="104"/>
      <c r="B904" s="104"/>
      <c r="C904" s="104"/>
    </row>
    <row r="905">
      <c r="A905" s="104"/>
      <c r="B905" s="104"/>
      <c r="C905" s="104"/>
    </row>
    <row r="906">
      <c r="A906" s="104"/>
      <c r="B906" s="104"/>
      <c r="C906" s="104"/>
    </row>
    <row r="907">
      <c r="A907" s="104"/>
      <c r="B907" s="104"/>
      <c r="C907" s="104"/>
    </row>
    <row r="908">
      <c r="A908" s="104"/>
      <c r="B908" s="104"/>
      <c r="C908" s="104"/>
    </row>
    <row r="909">
      <c r="A909" s="104"/>
      <c r="B909" s="104"/>
      <c r="C909" s="104"/>
    </row>
    <row r="910">
      <c r="A910" s="104"/>
      <c r="B910" s="104"/>
      <c r="C910" s="104"/>
    </row>
    <row r="911">
      <c r="A911" s="104"/>
      <c r="B911" s="104"/>
      <c r="C911" s="104"/>
    </row>
    <row r="912">
      <c r="A912" s="104"/>
      <c r="B912" s="104"/>
      <c r="C912" s="104"/>
    </row>
    <row r="913">
      <c r="A913" s="104"/>
      <c r="B913" s="104"/>
      <c r="C913" s="104"/>
    </row>
    <row r="914">
      <c r="A914" s="104"/>
      <c r="B914" s="104"/>
      <c r="C914" s="104"/>
    </row>
    <row r="915">
      <c r="A915" s="104"/>
      <c r="B915" s="104"/>
      <c r="C915" s="104"/>
    </row>
    <row r="916">
      <c r="A916" s="104"/>
      <c r="B916" s="104"/>
      <c r="C916" s="104"/>
    </row>
    <row r="917">
      <c r="A917" s="104"/>
      <c r="B917" s="104"/>
      <c r="C917" s="104"/>
    </row>
    <row r="918">
      <c r="A918" s="104"/>
      <c r="B918" s="104"/>
      <c r="C918" s="104"/>
    </row>
    <row r="919">
      <c r="A919" s="104"/>
      <c r="B919" s="104"/>
      <c r="C919" s="104"/>
    </row>
    <row r="920">
      <c r="A920" s="104"/>
      <c r="B920" s="104"/>
      <c r="C920" s="104"/>
    </row>
    <row r="921">
      <c r="A921" s="104"/>
      <c r="B921" s="104"/>
      <c r="C921" s="104"/>
    </row>
    <row r="922">
      <c r="A922" s="104"/>
      <c r="B922" s="104"/>
      <c r="C922" s="104"/>
    </row>
    <row r="923">
      <c r="A923" s="104"/>
      <c r="B923" s="104"/>
      <c r="C923" s="104"/>
    </row>
    <row r="924">
      <c r="A924" s="104"/>
      <c r="B924" s="104"/>
      <c r="C924" s="104"/>
    </row>
    <row r="925">
      <c r="A925" s="104"/>
      <c r="B925" s="104"/>
      <c r="C925" s="104"/>
    </row>
    <row r="926">
      <c r="A926" s="104"/>
      <c r="B926" s="104"/>
      <c r="C926" s="104"/>
    </row>
    <row r="927">
      <c r="A927" s="104"/>
      <c r="B927" s="104"/>
      <c r="C927" s="104"/>
    </row>
    <row r="928">
      <c r="A928" s="104"/>
      <c r="B928" s="104"/>
      <c r="C928" s="104"/>
    </row>
    <row r="929">
      <c r="A929" s="104"/>
      <c r="B929" s="104"/>
      <c r="C929" s="104"/>
    </row>
    <row r="930">
      <c r="A930" s="104"/>
      <c r="B930" s="104"/>
      <c r="C930" s="104"/>
    </row>
    <row r="931">
      <c r="A931" s="104"/>
      <c r="B931" s="104"/>
      <c r="C931" s="104"/>
    </row>
    <row r="932">
      <c r="A932" s="104"/>
      <c r="B932" s="104"/>
      <c r="C932" s="104"/>
    </row>
    <row r="933">
      <c r="A933" s="104"/>
      <c r="B933" s="104"/>
      <c r="C933" s="104"/>
    </row>
    <row r="934">
      <c r="A934" s="104"/>
      <c r="B934" s="104"/>
      <c r="C934" s="104"/>
    </row>
    <row r="935">
      <c r="A935" s="104"/>
      <c r="B935" s="104"/>
      <c r="C935" s="104"/>
    </row>
    <row r="936">
      <c r="A936" s="104"/>
      <c r="B936" s="104"/>
      <c r="C936" s="104"/>
    </row>
    <row r="937">
      <c r="A937" s="104"/>
      <c r="B937" s="104"/>
      <c r="C937" s="104"/>
    </row>
    <row r="938">
      <c r="A938" s="104"/>
      <c r="B938" s="104"/>
      <c r="C938" s="104"/>
    </row>
    <row r="939">
      <c r="A939" s="104"/>
      <c r="B939" s="104"/>
      <c r="C939" s="104"/>
    </row>
    <row r="940">
      <c r="A940" s="104"/>
      <c r="B940" s="104"/>
      <c r="C940" s="104"/>
    </row>
    <row r="941">
      <c r="A941" s="104"/>
      <c r="B941" s="104"/>
      <c r="C941" s="104"/>
    </row>
    <row r="942">
      <c r="A942" s="104"/>
      <c r="B942" s="104"/>
      <c r="C942" s="104"/>
    </row>
    <row r="943">
      <c r="A943" s="104"/>
      <c r="B943" s="104"/>
      <c r="C943" s="104"/>
    </row>
    <row r="944">
      <c r="A944" s="104"/>
      <c r="B944" s="104"/>
      <c r="C944" s="104"/>
    </row>
    <row r="945">
      <c r="A945" s="104"/>
      <c r="B945" s="104"/>
      <c r="C945" s="104"/>
    </row>
    <row r="946">
      <c r="A946" s="104"/>
      <c r="B946" s="104"/>
      <c r="C946" s="104"/>
    </row>
    <row r="947">
      <c r="A947" s="104"/>
      <c r="B947" s="104"/>
      <c r="C947" s="104"/>
    </row>
    <row r="948">
      <c r="A948" s="104"/>
      <c r="B948" s="104"/>
      <c r="C948" s="104"/>
    </row>
    <row r="949">
      <c r="A949" s="104"/>
      <c r="B949" s="104"/>
      <c r="C949" s="104"/>
    </row>
    <row r="950">
      <c r="A950" s="104"/>
      <c r="B950" s="104"/>
      <c r="C950" s="104"/>
    </row>
    <row r="951">
      <c r="A951" s="104"/>
      <c r="B951" s="104"/>
      <c r="C951" s="104"/>
    </row>
    <row r="952">
      <c r="A952" s="104"/>
      <c r="B952" s="104"/>
      <c r="C952" s="104"/>
    </row>
    <row r="953">
      <c r="A953" s="104"/>
      <c r="B953" s="104"/>
      <c r="C953" s="104"/>
    </row>
    <row r="954">
      <c r="A954" s="104"/>
      <c r="B954" s="104"/>
      <c r="C954" s="104"/>
    </row>
    <row r="955">
      <c r="A955" s="104"/>
      <c r="B955" s="104"/>
      <c r="C955" s="104"/>
    </row>
    <row r="956">
      <c r="A956" s="104"/>
      <c r="B956" s="104"/>
      <c r="C956" s="104"/>
    </row>
    <row r="957">
      <c r="A957" s="104"/>
      <c r="B957" s="104"/>
      <c r="C957" s="104"/>
    </row>
    <row r="958">
      <c r="A958" s="104"/>
      <c r="B958" s="104"/>
      <c r="C958" s="104"/>
    </row>
    <row r="959">
      <c r="A959" s="104"/>
      <c r="B959" s="104"/>
      <c r="C959" s="104"/>
    </row>
    <row r="960">
      <c r="A960" s="104"/>
      <c r="B960" s="104"/>
      <c r="C960" s="104"/>
    </row>
    <row r="961">
      <c r="A961" s="104"/>
      <c r="B961" s="104"/>
      <c r="C961" s="104"/>
    </row>
    <row r="962">
      <c r="A962" s="104"/>
      <c r="B962" s="104"/>
      <c r="C962" s="104"/>
    </row>
    <row r="963">
      <c r="A963" s="104"/>
      <c r="B963" s="104"/>
      <c r="C963" s="104"/>
    </row>
    <row r="964">
      <c r="A964" s="104"/>
      <c r="B964" s="104"/>
      <c r="C964" s="104"/>
    </row>
    <row r="965">
      <c r="A965" s="104"/>
      <c r="B965" s="104"/>
      <c r="C965" s="104"/>
    </row>
    <row r="966">
      <c r="A966" s="104"/>
      <c r="B966" s="104"/>
      <c r="C966" s="104"/>
    </row>
    <row r="967">
      <c r="A967" s="104"/>
      <c r="B967" s="104"/>
      <c r="C967" s="104"/>
    </row>
    <row r="968">
      <c r="A968" s="104"/>
      <c r="B968" s="104"/>
      <c r="C968" s="104"/>
    </row>
    <row r="969">
      <c r="A969" s="104"/>
      <c r="B969" s="104"/>
      <c r="C969" s="104"/>
    </row>
    <row r="970">
      <c r="A970" s="104"/>
      <c r="B970" s="104"/>
      <c r="C970" s="104"/>
    </row>
    <row r="971">
      <c r="A971" s="104"/>
      <c r="B971" s="104"/>
      <c r="C971" s="104"/>
    </row>
    <row r="972">
      <c r="A972" s="104"/>
      <c r="B972" s="104"/>
      <c r="C972" s="104"/>
    </row>
    <row r="973">
      <c r="A973" s="104"/>
      <c r="B973" s="104"/>
      <c r="C973" s="104"/>
    </row>
    <row r="974">
      <c r="A974" s="104"/>
      <c r="B974" s="104"/>
      <c r="C974" s="104"/>
    </row>
    <row r="975">
      <c r="A975" s="104"/>
      <c r="B975" s="104"/>
      <c r="C975" s="104"/>
    </row>
    <row r="976">
      <c r="A976" s="104"/>
      <c r="B976" s="104"/>
      <c r="C976" s="104"/>
    </row>
    <row r="977">
      <c r="A977" s="104"/>
      <c r="B977" s="104"/>
      <c r="C977" s="104"/>
    </row>
    <row r="978">
      <c r="A978" s="104"/>
      <c r="B978" s="104"/>
      <c r="C978" s="104"/>
    </row>
    <row r="979">
      <c r="A979" s="104"/>
      <c r="B979" s="104"/>
      <c r="C979" s="104"/>
    </row>
    <row r="980">
      <c r="A980" s="104"/>
      <c r="B980" s="104"/>
      <c r="C980" s="104"/>
    </row>
    <row r="981">
      <c r="A981" s="104"/>
      <c r="B981" s="104"/>
      <c r="C981" s="104"/>
    </row>
    <row r="982">
      <c r="A982" s="104"/>
      <c r="B982" s="104"/>
      <c r="C982" s="104"/>
    </row>
    <row r="983">
      <c r="A983" s="104"/>
      <c r="B983" s="104"/>
      <c r="C983" s="104"/>
    </row>
    <row r="984">
      <c r="A984" s="104"/>
      <c r="B984" s="104"/>
      <c r="C984" s="104"/>
    </row>
    <row r="985">
      <c r="A985" s="104"/>
      <c r="B985" s="104"/>
      <c r="C985" s="104"/>
    </row>
    <row r="986">
      <c r="A986" s="104"/>
      <c r="B986" s="104"/>
      <c r="C986" s="104"/>
    </row>
    <row r="987">
      <c r="A987" s="104"/>
      <c r="B987" s="104"/>
      <c r="C987" s="104"/>
    </row>
    <row r="988">
      <c r="A988" s="104"/>
      <c r="B988" s="104"/>
      <c r="C988" s="104"/>
    </row>
    <row r="989">
      <c r="A989" s="104"/>
      <c r="B989" s="104"/>
      <c r="C989" s="104"/>
    </row>
    <row r="990">
      <c r="A990" s="104"/>
      <c r="B990" s="104"/>
      <c r="C990" s="104"/>
    </row>
    <row r="991">
      <c r="A991" s="104"/>
      <c r="B991" s="104"/>
      <c r="C991" s="104"/>
    </row>
    <row r="992">
      <c r="A992" s="104"/>
      <c r="B992" s="104"/>
      <c r="C992" s="104"/>
    </row>
    <row r="993">
      <c r="A993" s="104"/>
      <c r="B993" s="104"/>
      <c r="C993" s="104"/>
    </row>
    <row r="994">
      <c r="A994" s="104"/>
      <c r="B994" s="104"/>
      <c r="C994" s="104"/>
    </row>
    <row r="995">
      <c r="A995" s="104"/>
      <c r="B995" s="104"/>
      <c r="C995" s="104"/>
    </row>
    <row r="996">
      <c r="A996" s="104"/>
      <c r="B996" s="104"/>
      <c r="C996" s="104"/>
    </row>
    <row r="997">
      <c r="A997" s="104"/>
      <c r="B997" s="104"/>
      <c r="C997" s="104"/>
    </row>
    <row r="998">
      <c r="A998" s="104"/>
      <c r="B998" s="104"/>
      <c r="C998" s="104"/>
    </row>
    <row r="999">
      <c r="A999" s="104"/>
      <c r="B999" s="104"/>
      <c r="C999" s="104"/>
    </row>
    <row r="1000">
      <c r="A1000" s="104"/>
      <c r="B1000" s="104"/>
      <c r="C1000" s="104"/>
    </row>
    <row r="1001">
      <c r="A1001" s="104"/>
      <c r="B1001" s="104"/>
      <c r="C1001" s="10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20.38"/>
    <col customWidth="1" min="3" max="3" width="18.88"/>
    <col customWidth="1" min="4" max="4" width="14.13"/>
    <col customWidth="1" min="5" max="5" width="23.38"/>
    <col customWidth="1" min="6" max="6" width="15.38"/>
    <col customWidth="1" min="7" max="7" width="22.88"/>
    <col customWidth="1" min="8" max="8" width="17.13"/>
    <col customWidth="1" min="9" max="9" width="20.88"/>
    <col customWidth="1" min="10" max="10" width="19.38"/>
    <col customWidth="1" min="11" max="11" width="20.13"/>
    <col customWidth="1" min="12" max="12" width="20.38"/>
    <col customWidth="1" min="13" max="13" width="23.13"/>
    <col customWidth="1" min="15" max="15" width="16.5"/>
    <col customWidth="1" min="16" max="16" width="20.63"/>
    <col customWidth="1" min="17" max="17" width="23.13"/>
  </cols>
  <sheetData>
    <row r="1">
      <c r="A1" s="125"/>
      <c r="B1" s="258"/>
      <c r="C1" s="4" t="s">
        <v>6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</row>
    <row r="2">
      <c r="A2" s="125"/>
      <c r="B2" s="267"/>
      <c r="C2" s="268" t="s">
        <v>7</v>
      </c>
      <c r="D2" s="270" t="s">
        <v>31</v>
      </c>
      <c r="E2" s="270" t="s">
        <v>10</v>
      </c>
      <c r="F2" s="270" t="s">
        <v>35</v>
      </c>
      <c r="G2" s="270" t="s">
        <v>13</v>
      </c>
      <c r="H2" s="272" t="s">
        <v>36</v>
      </c>
      <c r="I2" s="274" t="s">
        <v>18</v>
      </c>
      <c r="J2" s="275" t="s">
        <v>104</v>
      </c>
      <c r="K2" s="10"/>
      <c r="L2" s="10"/>
      <c r="M2" s="276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</row>
    <row r="3">
      <c r="A3" s="277" t="s">
        <v>117</v>
      </c>
      <c r="B3" s="278" t="s">
        <v>119</v>
      </c>
      <c r="C3" s="276"/>
      <c r="D3" s="276"/>
      <c r="E3" s="276"/>
      <c r="F3" s="276"/>
      <c r="G3" s="276"/>
      <c r="H3" s="279">
        <v>7.0E-4</v>
      </c>
      <c r="I3" s="276"/>
      <c r="J3" s="280"/>
      <c r="K3" s="281" t="s">
        <v>7</v>
      </c>
      <c r="L3" s="272" t="s">
        <v>121</v>
      </c>
      <c r="M3" s="272" t="s">
        <v>17</v>
      </c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</row>
    <row r="4">
      <c r="A4" s="282">
        <v>1.0</v>
      </c>
      <c r="B4" s="283">
        <f t="shared" ref="B4:B32" si="1">C4</f>
        <v>56529.11</v>
      </c>
      <c r="C4" s="240">
        <v>56529.11</v>
      </c>
      <c r="D4" s="284">
        <v>17662.0</v>
      </c>
      <c r="E4" s="241">
        <f t="shared" ref="E4:E58" si="2">D4*C4</f>
        <v>998417140.8</v>
      </c>
      <c r="F4" s="284">
        <v>17690.0</v>
      </c>
      <c r="G4" s="285">
        <f t="shared" ref="G4:G53" si="3">F4*C4</f>
        <v>999999955.9</v>
      </c>
      <c r="H4" s="284">
        <v>0.0</v>
      </c>
      <c r="I4" s="286">
        <f t="shared" ref="I4:I58" si="4">G4-E4</f>
        <v>1582815.08</v>
      </c>
      <c r="J4" s="287" t="s">
        <v>122</v>
      </c>
      <c r="K4" s="288">
        <v>0.01</v>
      </c>
      <c r="L4" s="289">
        <v>17829.0</v>
      </c>
      <c r="M4" s="285">
        <f t="shared" ref="M4:M55" si="5">L4*K4</f>
        <v>178.29</v>
      </c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</row>
    <row r="5">
      <c r="A5" s="282">
        <v>2.0</v>
      </c>
      <c r="B5" s="283">
        <f t="shared" si="1"/>
        <v>56513.13</v>
      </c>
      <c r="C5" s="240">
        <v>56513.13</v>
      </c>
      <c r="D5" s="284">
        <v>17662.0</v>
      </c>
      <c r="E5" s="241">
        <f t="shared" si="2"/>
        <v>998134902.1</v>
      </c>
      <c r="F5" s="284">
        <v>17695.0</v>
      </c>
      <c r="G5" s="285">
        <f t="shared" si="3"/>
        <v>999999835.4</v>
      </c>
      <c r="H5" s="284">
        <v>0.0</v>
      </c>
      <c r="I5" s="286">
        <f t="shared" si="4"/>
        <v>1864933.29</v>
      </c>
      <c r="J5" s="290"/>
      <c r="K5" s="291">
        <v>27480.75</v>
      </c>
      <c r="L5" s="292">
        <v>17663.0</v>
      </c>
      <c r="M5" s="293">
        <f t="shared" si="5"/>
        <v>485392487.3</v>
      </c>
      <c r="N5" s="13">
        <v>1.0</v>
      </c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</row>
    <row r="6">
      <c r="A6" s="282">
        <v>3.0</v>
      </c>
      <c r="B6" s="283">
        <f t="shared" si="1"/>
        <v>56529.11</v>
      </c>
      <c r="C6" s="240">
        <v>56529.11</v>
      </c>
      <c r="D6" s="284">
        <v>17662.0</v>
      </c>
      <c r="E6" s="241">
        <f t="shared" si="2"/>
        <v>998417140.8</v>
      </c>
      <c r="F6" s="284">
        <v>17690.0</v>
      </c>
      <c r="G6" s="285">
        <f t="shared" si="3"/>
        <v>999999955.9</v>
      </c>
      <c r="H6" s="284">
        <v>0.0</v>
      </c>
      <c r="I6" s="286">
        <f t="shared" si="4"/>
        <v>1582815.08</v>
      </c>
      <c r="J6" s="290"/>
      <c r="K6" s="291">
        <v>27480.75</v>
      </c>
      <c r="L6" s="292">
        <v>17665.0</v>
      </c>
      <c r="M6" s="293">
        <f t="shared" si="5"/>
        <v>485447448.8</v>
      </c>
      <c r="N6" s="13">
        <v>2.0</v>
      </c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</row>
    <row r="7">
      <c r="A7" s="282">
        <v>4.0</v>
      </c>
      <c r="B7" s="294" t="str">
        <f t="shared" si="1"/>
        <v/>
      </c>
      <c r="C7" s="295"/>
      <c r="D7" s="284">
        <v>17662.0</v>
      </c>
      <c r="E7" s="241">
        <f t="shared" si="2"/>
        <v>0</v>
      </c>
      <c r="F7" s="284">
        <v>17997.0</v>
      </c>
      <c r="G7" s="285">
        <f t="shared" si="3"/>
        <v>0</v>
      </c>
      <c r="H7" s="284">
        <v>0.0</v>
      </c>
      <c r="I7" s="286">
        <f t="shared" si="4"/>
        <v>0</v>
      </c>
      <c r="J7" s="290"/>
      <c r="K7" s="291">
        <v>899.37</v>
      </c>
      <c r="L7" s="292">
        <v>17665.0</v>
      </c>
      <c r="M7" s="293">
        <f t="shared" si="5"/>
        <v>15887371.05</v>
      </c>
      <c r="N7" s="13">
        <v>3.0</v>
      </c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</row>
    <row r="8">
      <c r="A8" s="282">
        <v>5.0</v>
      </c>
      <c r="B8" s="294" t="str">
        <f t="shared" si="1"/>
        <v/>
      </c>
      <c r="C8" s="296"/>
      <c r="D8" s="284">
        <v>17662.0</v>
      </c>
      <c r="E8" s="241">
        <f t="shared" si="2"/>
        <v>0</v>
      </c>
      <c r="F8" s="284">
        <v>17997.0</v>
      </c>
      <c r="G8" s="285">
        <f t="shared" si="3"/>
        <v>0</v>
      </c>
      <c r="H8" s="284">
        <v>0.0</v>
      </c>
      <c r="I8" s="286">
        <f t="shared" si="4"/>
        <v>0</v>
      </c>
      <c r="J8" s="290"/>
      <c r="K8" s="297">
        <v>3173.58</v>
      </c>
      <c r="L8" s="298">
        <v>17665.0</v>
      </c>
      <c r="M8" s="299">
        <f t="shared" si="5"/>
        <v>56061290.7</v>
      </c>
      <c r="N8" s="13">
        <v>4.0</v>
      </c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</row>
    <row r="9">
      <c r="A9" s="282">
        <v>6.0</v>
      </c>
      <c r="B9" s="294" t="str">
        <f t="shared" si="1"/>
        <v/>
      </c>
      <c r="C9" s="296"/>
      <c r="D9" s="284">
        <v>17662.0</v>
      </c>
      <c r="E9" s="241">
        <f t="shared" si="2"/>
        <v>0</v>
      </c>
      <c r="F9" s="284">
        <v>17956.0</v>
      </c>
      <c r="G9" s="285">
        <f t="shared" si="3"/>
        <v>0</v>
      </c>
      <c r="H9" s="284">
        <v>0.0</v>
      </c>
      <c r="I9" s="286">
        <f t="shared" si="4"/>
        <v>0</v>
      </c>
      <c r="J9" s="290"/>
      <c r="K9" s="297">
        <v>49300.31</v>
      </c>
      <c r="L9" s="298">
        <v>17665.0</v>
      </c>
      <c r="M9" s="299">
        <f t="shared" si="5"/>
        <v>870889976.2</v>
      </c>
      <c r="N9" s="13">
        <v>5.0</v>
      </c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</row>
    <row r="10">
      <c r="A10" s="282">
        <v>7.0</v>
      </c>
      <c r="B10" s="294" t="str">
        <f t="shared" si="1"/>
        <v/>
      </c>
      <c r="C10" s="296"/>
      <c r="D10" s="284">
        <v>17662.0</v>
      </c>
      <c r="E10" s="241">
        <f t="shared" si="2"/>
        <v>0</v>
      </c>
      <c r="F10" s="284">
        <v>17894.0</v>
      </c>
      <c r="G10" s="285">
        <f t="shared" si="3"/>
        <v>0</v>
      </c>
      <c r="H10" s="284">
        <v>0.0</v>
      </c>
      <c r="I10" s="286">
        <f t="shared" si="4"/>
        <v>0</v>
      </c>
      <c r="J10" s="290"/>
      <c r="K10" s="297">
        <v>899.37</v>
      </c>
      <c r="L10" s="298">
        <v>17665.0</v>
      </c>
      <c r="M10" s="299">
        <f t="shared" si="5"/>
        <v>15887371.05</v>
      </c>
      <c r="N10" s="13">
        <v>6.0</v>
      </c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</row>
    <row r="11">
      <c r="A11" s="282">
        <v>8.0</v>
      </c>
      <c r="B11" s="294" t="str">
        <f t="shared" si="1"/>
        <v/>
      </c>
      <c r="C11" s="296"/>
      <c r="D11" s="284">
        <v>17662.0</v>
      </c>
      <c r="E11" s="241">
        <f t="shared" si="2"/>
        <v>0</v>
      </c>
      <c r="F11" s="284">
        <v>17894.0</v>
      </c>
      <c r="G11" s="285">
        <f t="shared" si="3"/>
        <v>0</v>
      </c>
      <c r="H11" s="284">
        <v>0.0</v>
      </c>
      <c r="I11" s="286">
        <f t="shared" si="4"/>
        <v>0</v>
      </c>
      <c r="J11" s="290"/>
      <c r="K11" s="300">
        <v>1269.19</v>
      </c>
      <c r="L11" s="301">
        <v>17665.0</v>
      </c>
      <c r="M11" s="302">
        <f t="shared" si="5"/>
        <v>22420241.35</v>
      </c>
      <c r="N11" s="13">
        <v>7.0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</row>
    <row r="12">
      <c r="A12" s="282">
        <v>9.0</v>
      </c>
      <c r="B12" s="294" t="str">
        <f t="shared" si="1"/>
        <v/>
      </c>
      <c r="C12" s="296"/>
      <c r="D12" s="284">
        <v>17662.0</v>
      </c>
      <c r="E12" s="241">
        <f t="shared" si="2"/>
        <v>0</v>
      </c>
      <c r="F12" s="284">
        <v>17894.0</v>
      </c>
      <c r="G12" s="285">
        <f t="shared" si="3"/>
        <v>0</v>
      </c>
      <c r="H12" s="284">
        <v>0.0</v>
      </c>
      <c r="I12" s="286">
        <f t="shared" si="4"/>
        <v>0</v>
      </c>
      <c r="J12" s="290"/>
      <c r="K12" s="300">
        <v>899.37</v>
      </c>
      <c r="L12" s="301">
        <v>17665.0</v>
      </c>
      <c r="M12" s="302">
        <f t="shared" si="5"/>
        <v>15887371.05</v>
      </c>
      <c r="N12" s="13">
        <v>8.0</v>
      </c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</row>
    <row r="13">
      <c r="A13" s="282">
        <v>10.0</v>
      </c>
      <c r="B13" s="294" t="str">
        <f t="shared" si="1"/>
        <v/>
      </c>
      <c r="C13" s="296"/>
      <c r="D13" s="284">
        <v>17662.0</v>
      </c>
      <c r="E13" s="241">
        <f t="shared" si="2"/>
        <v>0</v>
      </c>
      <c r="F13" s="284">
        <v>17894.0</v>
      </c>
      <c r="G13" s="285">
        <f t="shared" si="3"/>
        <v>0</v>
      </c>
      <c r="H13" s="284">
        <v>0.0</v>
      </c>
      <c r="I13" s="286">
        <f t="shared" si="4"/>
        <v>0</v>
      </c>
      <c r="J13" s="290"/>
      <c r="K13" s="300">
        <v>1166.22</v>
      </c>
      <c r="L13" s="301">
        <v>17665.0</v>
      </c>
      <c r="M13" s="302">
        <f t="shared" si="5"/>
        <v>20601276.3</v>
      </c>
      <c r="N13" s="13">
        <v>9.0</v>
      </c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</row>
    <row r="14">
      <c r="A14" s="282">
        <v>11.0</v>
      </c>
      <c r="B14" s="294" t="str">
        <f t="shared" si="1"/>
        <v/>
      </c>
      <c r="C14" s="296"/>
      <c r="D14" s="284">
        <v>17662.0</v>
      </c>
      <c r="E14" s="241">
        <f t="shared" si="2"/>
        <v>0</v>
      </c>
      <c r="F14" s="284">
        <v>18002.0</v>
      </c>
      <c r="G14" s="285">
        <f t="shared" si="3"/>
        <v>0</v>
      </c>
      <c r="H14" s="284">
        <v>0.0</v>
      </c>
      <c r="I14" s="286">
        <f t="shared" si="4"/>
        <v>0</v>
      </c>
      <c r="J14" s="290"/>
      <c r="K14" s="300">
        <v>19751.63</v>
      </c>
      <c r="L14" s="301">
        <v>17652.0</v>
      </c>
      <c r="M14" s="302">
        <f t="shared" si="5"/>
        <v>348655772.8</v>
      </c>
      <c r="N14" s="13">
        <v>10.0</v>
      </c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</row>
    <row r="15">
      <c r="A15" s="282">
        <v>12.0</v>
      </c>
      <c r="B15" s="294" t="str">
        <f t="shared" si="1"/>
        <v/>
      </c>
      <c r="C15" s="296"/>
      <c r="D15" s="284">
        <v>17662.0</v>
      </c>
      <c r="E15" s="241">
        <f t="shared" si="2"/>
        <v>0</v>
      </c>
      <c r="F15" s="284">
        <v>17840.0</v>
      </c>
      <c r="G15" s="285">
        <f t="shared" si="3"/>
        <v>0</v>
      </c>
      <c r="H15" s="284">
        <v>0.0</v>
      </c>
      <c r="I15" s="286">
        <f t="shared" si="4"/>
        <v>0</v>
      </c>
      <c r="J15" s="290"/>
      <c r="K15" s="300">
        <v>1998.61</v>
      </c>
      <c r="L15" s="301">
        <v>17652.0</v>
      </c>
      <c r="M15" s="302">
        <f t="shared" si="5"/>
        <v>35279463.72</v>
      </c>
      <c r="N15" s="13">
        <v>11.0</v>
      </c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</row>
    <row r="16">
      <c r="A16" s="282">
        <v>13.0</v>
      </c>
      <c r="B16" s="294" t="str">
        <f t="shared" si="1"/>
        <v/>
      </c>
      <c r="C16" s="296"/>
      <c r="D16" s="284">
        <v>17662.0</v>
      </c>
      <c r="E16" s="241">
        <f t="shared" si="2"/>
        <v>0</v>
      </c>
      <c r="F16" s="284">
        <v>17840.0</v>
      </c>
      <c r="G16" s="285">
        <f t="shared" si="3"/>
        <v>0</v>
      </c>
      <c r="H16" s="284">
        <v>0.0</v>
      </c>
      <c r="I16" s="286">
        <f t="shared" si="4"/>
        <v>0</v>
      </c>
      <c r="J16" s="290"/>
      <c r="K16" s="300">
        <v>1666.45</v>
      </c>
      <c r="L16" s="301">
        <v>17652.0</v>
      </c>
      <c r="M16" s="302">
        <f t="shared" si="5"/>
        <v>29416175.4</v>
      </c>
      <c r="N16" s="13">
        <v>12.0</v>
      </c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</row>
    <row r="17">
      <c r="A17" s="282">
        <v>14.0</v>
      </c>
      <c r="B17" s="294" t="str">
        <f t="shared" si="1"/>
        <v/>
      </c>
      <c r="C17" s="295"/>
      <c r="D17" s="284">
        <v>17662.0</v>
      </c>
      <c r="E17" s="241">
        <f t="shared" si="2"/>
        <v>0</v>
      </c>
      <c r="F17" s="284">
        <v>17840.0</v>
      </c>
      <c r="G17" s="285">
        <f t="shared" si="3"/>
        <v>0</v>
      </c>
      <c r="H17" s="284">
        <v>0.0</v>
      </c>
      <c r="I17" s="286">
        <f t="shared" si="4"/>
        <v>0</v>
      </c>
      <c r="J17" s="290"/>
      <c r="K17" s="300">
        <v>898.48</v>
      </c>
      <c r="L17" s="301">
        <v>17655.0</v>
      </c>
      <c r="M17" s="302">
        <f t="shared" si="5"/>
        <v>15862664.4</v>
      </c>
      <c r="N17" s="13">
        <v>13.0</v>
      </c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</row>
    <row r="18">
      <c r="A18" s="282">
        <v>15.0</v>
      </c>
      <c r="B18" s="294" t="str">
        <f t="shared" si="1"/>
        <v/>
      </c>
      <c r="C18" s="296"/>
      <c r="D18" s="284">
        <v>17665.0</v>
      </c>
      <c r="E18" s="241">
        <f t="shared" si="2"/>
        <v>0</v>
      </c>
      <c r="F18" s="284">
        <v>17840.0</v>
      </c>
      <c r="G18" s="285">
        <f t="shared" si="3"/>
        <v>0</v>
      </c>
      <c r="H18" s="284">
        <v>0.0</v>
      </c>
      <c r="I18" s="286">
        <f t="shared" si="4"/>
        <v>0</v>
      </c>
      <c r="J18" s="290"/>
      <c r="K18" s="300">
        <v>849.41</v>
      </c>
      <c r="L18" s="301">
        <v>17655.0</v>
      </c>
      <c r="M18" s="302">
        <f t="shared" si="5"/>
        <v>14996333.55</v>
      </c>
      <c r="N18" s="13">
        <v>14.0</v>
      </c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</row>
    <row r="19">
      <c r="A19" s="282">
        <v>16.0</v>
      </c>
      <c r="B19" s="294" t="str">
        <f t="shared" si="1"/>
        <v/>
      </c>
      <c r="C19" s="296"/>
      <c r="D19" s="284">
        <v>17665.0</v>
      </c>
      <c r="E19" s="241">
        <f t="shared" si="2"/>
        <v>0</v>
      </c>
      <c r="F19" s="284">
        <v>17983.0</v>
      </c>
      <c r="G19" s="285">
        <f t="shared" si="3"/>
        <v>0</v>
      </c>
      <c r="H19" s="284">
        <v>0.0</v>
      </c>
      <c r="I19" s="286">
        <f t="shared" si="4"/>
        <v>0</v>
      </c>
      <c r="J19" s="290"/>
      <c r="K19" s="300">
        <v>1131.65</v>
      </c>
      <c r="L19" s="301">
        <v>17655.0</v>
      </c>
      <c r="M19" s="302">
        <f t="shared" si="5"/>
        <v>19979280.75</v>
      </c>
      <c r="N19" s="13">
        <v>15.0</v>
      </c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</row>
    <row r="20">
      <c r="A20" s="282">
        <v>17.0</v>
      </c>
      <c r="B20" s="294" t="str">
        <f t="shared" si="1"/>
        <v/>
      </c>
      <c r="C20" s="296"/>
      <c r="D20" s="284">
        <v>17665.0</v>
      </c>
      <c r="E20" s="241">
        <f t="shared" si="2"/>
        <v>0</v>
      </c>
      <c r="F20" s="284">
        <v>17989.0</v>
      </c>
      <c r="G20" s="285">
        <f t="shared" si="3"/>
        <v>0</v>
      </c>
      <c r="H20" s="284">
        <v>0.0</v>
      </c>
      <c r="I20" s="286">
        <f t="shared" si="4"/>
        <v>0</v>
      </c>
      <c r="J20" s="290"/>
      <c r="K20" s="300">
        <v>1132.03</v>
      </c>
      <c r="L20" s="301">
        <v>17655.0</v>
      </c>
      <c r="M20" s="302">
        <f t="shared" si="5"/>
        <v>19985989.65</v>
      </c>
      <c r="N20" s="13">
        <v>16.0</v>
      </c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</row>
    <row r="21">
      <c r="A21" s="282">
        <v>18.0</v>
      </c>
      <c r="B21" s="294" t="str">
        <f t="shared" si="1"/>
        <v/>
      </c>
      <c r="C21" s="296"/>
      <c r="D21" s="284">
        <v>17665.0</v>
      </c>
      <c r="E21" s="241">
        <f t="shared" si="2"/>
        <v>0</v>
      </c>
      <c r="F21" s="284">
        <v>17989.0</v>
      </c>
      <c r="G21" s="285">
        <f t="shared" si="3"/>
        <v>0</v>
      </c>
      <c r="H21" s="284">
        <v>0.0</v>
      </c>
      <c r="I21" s="286">
        <f t="shared" si="4"/>
        <v>0</v>
      </c>
      <c r="J21" s="290"/>
      <c r="K21" s="300">
        <v>3599.42</v>
      </c>
      <c r="L21" s="301">
        <v>17662.0</v>
      </c>
      <c r="M21" s="302">
        <f t="shared" si="5"/>
        <v>63572956.04</v>
      </c>
      <c r="N21" s="13">
        <v>17.0</v>
      </c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</row>
    <row r="22">
      <c r="A22" s="282">
        <v>19.0</v>
      </c>
      <c r="B22" s="294" t="str">
        <f t="shared" si="1"/>
        <v/>
      </c>
      <c r="C22" s="296"/>
      <c r="D22" s="284">
        <v>17665.0</v>
      </c>
      <c r="E22" s="241">
        <f t="shared" si="2"/>
        <v>0</v>
      </c>
      <c r="F22" s="284">
        <v>18010.0</v>
      </c>
      <c r="G22" s="285">
        <f t="shared" si="3"/>
        <v>0</v>
      </c>
      <c r="H22" s="284">
        <v>0.0</v>
      </c>
      <c r="I22" s="286">
        <f t="shared" si="4"/>
        <v>0</v>
      </c>
      <c r="J22" s="290"/>
      <c r="K22" s="300">
        <v>999.3</v>
      </c>
      <c r="L22" s="301">
        <v>17662.0</v>
      </c>
      <c r="M22" s="302">
        <f t="shared" si="5"/>
        <v>17649636.6</v>
      </c>
      <c r="N22" s="13">
        <v>18.0</v>
      </c>
      <c r="O22" s="303"/>
      <c r="P22" s="42"/>
      <c r="Q22" s="42"/>
      <c r="R22" s="303"/>
      <c r="S22" s="303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</row>
    <row r="23">
      <c r="A23" s="282">
        <v>20.0</v>
      </c>
      <c r="B23" s="294" t="str">
        <f t="shared" si="1"/>
        <v/>
      </c>
      <c r="C23" s="296"/>
      <c r="D23" s="284">
        <v>17665.0</v>
      </c>
      <c r="E23" s="241">
        <f t="shared" si="2"/>
        <v>0</v>
      </c>
      <c r="F23" s="284">
        <v>18008.0</v>
      </c>
      <c r="G23" s="285">
        <f t="shared" si="3"/>
        <v>0</v>
      </c>
      <c r="H23" s="284">
        <v>0.0</v>
      </c>
      <c r="I23" s="286">
        <f t="shared" si="4"/>
        <v>0</v>
      </c>
      <c r="J23" s="290"/>
      <c r="K23" s="300">
        <v>3219.83</v>
      </c>
      <c r="L23" s="301">
        <v>17662.0</v>
      </c>
      <c r="M23" s="302">
        <f t="shared" si="5"/>
        <v>56868637.46</v>
      </c>
      <c r="N23" s="13">
        <v>19.0</v>
      </c>
      <c r="O23" s="303"/>
      <c r="P23" s="303"/>
      <c r="Q23" s="303"/>
      <c r="R23" s="303"/>
      <c r="S23" s="303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</row>
    <row r="24">
      <c r="A24" s="282">
        <v>21.0</v>
      </c>
      <c r="B24" s="294" t="str">
        <f t="shared" si="1"/>
        <v/>
      </c>
      <c r="C24" s="296"/>
      <c r="D24" s="284">
        <v>17665.0</v>
      </c>
      <c r="E24" s="241">
        <f t="shared" si="2"/>
        <v>0</v>
      </c>
      <c r="F24" s="284">
        <v>18008.0</v>
      </c>
      <c r="G24" s="285">
        <f t="shared" si="3"/>
        <v>0</v>
      </c>
      <c r="H24" s="284">
        <v>0.0</v>
      </c>
      <c r="I24" s="286">
        <f t="shared" si="4"/>
        <v>0</v>
      </c>
      <c r="J24" s="290"/>
      <c r="K24" s="300">
        <v>3998.64</v>
      </c>
      <c r="L24" s="301">
        <v>17662.0</v>
      </c>
      <c r="M24" s="302">
        <f t="shared" si="5"/>
        <v>70623979.68</v>
      </c>
      <c r="N24" s="13">
        <v>20.0</v>
      </c>
      <c r="O24" s="303"/>
      <c r="P24" s="303"/>
      <c r="Q24" s="303"/>
      <c r="R24" s="303"/>
      <c r="S24" s="303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</row>
    <row r="25">
      <c r="A25" s="282">
        <v>22.0</v>
      </c>
      <c r="B25" s="294" t="str">
        <f t="shared" si="1"/>
        <v/>
      </c>
      <c r="C25" s="296"/>
      <c r="D25" s="284">
        <v>17665.0</v>
      </c>
      <c r="E25" s="241">
        <f t="shared" si="2"/>
        <v>0</v>
      </c>
      <c r="F25" s="284">
        <v>18008.0</v>
      </c>
      <c r="G25" s="285">
        <f t="shared" si="3"/>
        <v>0</v>
      </c>
      <c r="H25" s="284">
        <v>0.0</v>
      </c>
      <c r="I25" s="286">
        <f t="shared" si="4"/>
        <v>0</v>
      </c>
      <c r="J25" s="290"/>
      <c r="K25" s="300">
        <v>1226.6</v>
      </c>
      <c r="L25" s="301">
        <v>17662.0</v>
      </c>
      <c r="M25" s="302">
        <f t="shared" si="5"/>
        <v>21664209.2</v>
      </c>
      <c r="N25" s="13">
        <v>21.0</v>
      </c>
      <c r="O25" s="303"/>
      <c r="P25" s="304"/>
      <c r="Q25" s="305"/>
      <c r="R25" s="306"/>
      <c r="S25" s="303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</row>
    <row r="26">
      <c r="A26" s="282">
        <v>23.0</v>
      </c>
      <c r="B26" s="294" t="str">
        <f t="shared" si="1"/>
        <v/>
      </c>
      <c r="C26" s="296"/>
      <c r="D26" s="284">
        <v>17665.0</v>
      </c>
      <c r="E26" s="241">
        <f t="shared" si="2"/>
        <v>0</v>
      </c>
      <c r="F26" s="284">
        <v>18008.0</v>
      </c>
      <c r="G26" s="285">
        <f t="shared" si="3"/>
        <v>0</v>
      </c>
      <c r="H26" s="284">
        <v>0.0</v>
      </c>
      <c r="I26" s="286">
        <f t="shared" si="4"/>
        <v>0</v>
      </c>
      <c r="J26" s="290"/>
      <c r="K26" s="300">
        <v>2498.25</v>
      </c>
      <c r="L26" s="301">
        <v>17662.0</v>
      </c>
      <c r="M26" s="302">
        <f t="shared" si="5"/>
        <v>44124091.5</v>
      </c>
      <c r="N26" s="13">
        <v>22.0</v>
      </c>
      <c r="O26" s="303"/>
      <c r="P26" s="303"/>
      <c r="Q26" s="303"/>
      <c r="R26" s="303"/>
      <c r="S26" s="303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</row>
    <row r="27">
      <c r="A27" s="282">
        <v>24.0</v>
      </c>
      <c r="B27" s="294" t="str">
        <f t="shared" si="1"/>
        <v/>
      </c>
      <c r="C27" s="296"/>
      <c r="D27" s="284">
        <v>17665.0</v>
      </c>
      <c r="E27" s="241">
        <f t="shared" si="2"/>
        <v>0</v>
      </c>
      <c r="F27" s="284">
        <v>18008.0</v>
      </c>
      <c r="G27" s="285">
        <f t="shared" si="3"/>
        <v>0</v>
      </c>
      <c r="H27" s="284">
        <v>0.0</v>
      </c>
      <c r="I27" s="286">
        <f t="shared" si="4"/>
        <v>0</v>
      </c>
      <c r="J27" s="290"/>
      <c r="K27" s="300">
        <v>2428.3</v>
      </c>
      <c r="L27" s="301">
        <v>17662.0</v>
      </c>
      <c r="M27" s="302">
        <f t="shared" si="5"/>
        <v>42888634.6</v>
      </c>
      <c r="N27" s="13">
        <v>23.0</v>
      </c>
      <c r="O27" s="307"/>
      <c r="P27" s="304"/>
      <c r="Q27" s="305"/>
      <c r="R27" s="306"/>
      <c r="S27" s="307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</row>
    <row r="28">
      <c r="A28" s="282">
        <v>25.0</v>
      </c>
      <c r="B28" s="294" t="str">
        <f t="shared" si="1"/>
        <v/>
      </c>
      <c r="C28" s="296"/>
      <c r="D28" s="284">
        <v>17665.0</v>
      </c>
      <c r="E28" s="241">
        <f t="shared" si="2"/>
        <v>0</v>
      </c>
      <c r="F28" s="284">
        <v>18008.0</v>
      </c>
      <c r="G28" s="285">
        <f t="shared" si="3"/>
        <v>0</v>
      </c>
      <c r="H28" s="284">
        <v>0.0</v>
      </c>
      <c r="I28" s="286">
        <f t="shared" si="4"/>
        <v>0</v>
      </c>
      <c r="J28" s="290"/>
      <c r="K28" s="300">
        <v>1732.79</v>
      </c>
      <c r="L28" s="301">
        <v>17662.0</v>
      </c>
      <c r="M28" s="302">
        <f t="shared" si="5"/>
        <v>30604536.98</v>
      </c>
      <c r="N28" s="13">
        <v>24.0</v>
      </c>
      <c r="O28" s="307"/>
      <c r="P28" s="307"/>
      <c r="Q28" s="307"/>
      <c r="R28" s="307"/>
      <c r="S28" s="307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</row>
    <row r="29">
      <c r="A29" s="282">
        <v>26.0</v>
      </c>
      <c r="B29" s="294" t="str">
        <f t="shared" si="1"/>
        <v/>
      </c>
      <c r="C29" s="296"/>
      <c r="D29" s="284">
        <v>17910.0</v>
      </c>
      <c r="E29" s="241">
        <f t="shared" si="2"/>
        <v>0</v>
      </c>
      <c r="F29" s="284">
        <v>18008.0</v>
      </c>
      <c r="G29" s="285">
        <f t="shared" si="3"/>
        <v>0</v>
      </c>
      <c r="H29" s="284">
        <v>0.0</v>
      </c>
      <c r="I29" s="286">
        <f t="shared" si="4"/>
        <v>0</v>
      </c>
      <c r="J29" s="290"/>
      <c r="K29" s="300">
        <v>3504.55</v>
      </c>
      <c r="L29" s="301">
        <v>17662.0</v>
      </c>
      <c r="M29" s="302">
        <f t="shared" si="5"/>
        <v>61897362.1</v>
      </c>
      <c r="N29" s="13">
        <v>25.0</v>
      </c>
      <c r="O29" s="308"/>
      <c r="P29" s="308"/>
      <c r="Q29" s="308"/>
      <c r="R29" s="308"/>
      <c r="S29" s="308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</row>
    <row r="30">
      <c r="A30" s="282">
        <v>27.0</v>
      </c>
      <c r="B30" s="294" t="str">
        <f t="shared" si="1"/>
        <v/>
      </c>
      <c r="C30" s="296"/>
      <c r="D30" s="284">
        <v>17910.0</v>
      </c>
      <c r="E30" s="241">
        <f t="shared" si="2"/>
        <v>0</v>
      </c>
      <c r="F30" s="284">
        <v>18008.0</v>
      </c>
      <c r="G30" s="285">
        <f t="shared" si="3"/>
        <v>0</v>
      </c>
      <c r="H30" s="284">
        <v>0.0</v>
      </c>
      <c r="I30" s="286">
        <f t="shared" si="4"/>
        <v>0</v>
      </c>
      <c r="J30" s="290"/>
      <c r="K30" s="300">
        <v>1998.6</v>
      </c>
      <c r="L30" s="301">
        <v>17662.0</v>
      </c>
      <c r="M30" s="302">
        <f t="shared" si="5"/>
        <v>35299273.2</v>
      </c>
      <c r="N30" s="13">
        <v>26.0</v>
      </c>
      <c r="O30" s="308"/>
      <c r="P30" s="308"/>
      <c r="Q30" s="308"/>
      <c r="R30" s="308"/>
      <c r="S30" s="308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</row>
    <row r="31">
      <c r="A31" s="282">
        <v>28.0</v>
      </c>
      <c r="B31" s="294" t="str">
        <f t="shared" si="1"/>
        <v/>
      </c>
      <c r="C31" s="296"/>
      <c r="D31" s="284">
        <v>17910.0</v>
      </c>
      <c r="E31" s="241">
        <f t="shared" si="2"/>
        <v>0</v>
      </c>
      <c r="F31" s="284">
        <v>18008.0</v>
      </c>
      <c r="G31" s="285">
        <f t="shared" si="3"/>
        <v>0</v>
      </c>
      <c r="H31" s="284">
        <v>0.0</v>
      </c>
      <c r="I31" s="286">
        <f t="shared" si="4"/>
        <v>0</v>
      </c>
      <c r="J31" s="290"/>
      <c r="K31" s="300">
        <v>4325.62</v>
      </c>
      <c r="L31" s="301">
        <v>17662.0</v>
      </c>
      <c r="M31" s="302">
        <f t="shared" si="5"/>
        <v>76399100.44</v>
      </c>
      <c r="N31" s="13">
        <v>27.0</v>
      </c>
      <c r="O31" s="308">
        <f>sum(M4:M31)</f>
        <v>2994243110</v>
      </c>
      <c r="P31" s="308"/>
      <c r="Q31" s="308"/>
      <c r="R31" s="308"/>
      <c r="S31" s="308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</row>
    <row r="32">
      <c r="A32" s="282">
        <v>288.0</v>
      </c>
      <c r="B32" s="294" t="str">
        <f t="shared" si="1"/>
        <v/>
      </c>
      <c r="C32" s="309"/>
      <c r="D32" s="284">
        <v>16439.0</v>
      </c>
      <c r="E32" s="310">
        <f t="shared" si="2"/>
        <v>0</v>
      </c>
      <c r="F32" s="284">
        <v>16535.0</v>
      </c>
      <c r="G32" s="310">
        <f t="shared" si="3"/>
        <v>0</v>
      </c>
      <c r="H32" s="284">
        <v>0.0</v>
      </c>
      <c r="I32" s="311">
        <f t="shared" si="4"/>
        <v>0</v>
      </c>
      <c r="J32" s="290"/>
      <c r="K32" s="309"/>
      <c r="L32" s="312">
        <v>17900.0</v>
      </c>
      <c r="M32" s="310">
        <f t="shared" si="5"/>
        <v>0</v>
      </c>
      <c r="N32" s="13">
        <v>28.0</v>
      </c>
      <c r="O32" s="313"/>
      <c r="P32" s="314" t="s">
        <v>123</v>
      </c>
      <c r="Q32" s="288">
        <v>0.01</v>
      </c>
      <c r="R32" s="315">
        <f>Q32*L57</f>
        <v>176.6212092</v>
      </c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</row>
    <row r="33">
      <c r="A33" s="282">
        <v>289.0</v>
      </c>
      <c r="B33" s="294"/>
      <c r="C33" s="309"/>
      <c r="D33" s="284">
        <v>16439.0</v>
      </c>
      <c r="E33" s="310">
        <f t="shared" si="2"/>
        <v>0</v>
      </c>
      <c r="F33" s="284">
        <v>16535.0</v>
      </c>
      <c r="G33" s="310">
        <f t="shared" si="3"/>
        <v>0</v>
      </c>
      <c r="H33" s="284">
        <v>0.0</v>
      </c>
      <c r="I33" s="311">
        <f t="shared" si="4"/>
        <v>0</v>
      </c>
      <c r="J33" s="290"/>
      <c r="K33" s="309"/>
      <c r="L33" s="312">
        <v>17900.0</v>
      </c>
      <c r="M33" s="310">
        <f t="shared" si="5"/>
        <v>0</v>
      </c>
      <c r="N33" s="13">
        <v>29.0</v>
      </c>
      <c r="O33" s="42"/>
      <c r="P33" s="316"/>
      <c r="Q33" s="316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</row>
    <row r="34">
      <c r="A34" s="282">
        <v>290.0</v>
      </c>
      <c r="B34" s="294"/>
      <c r="C34" s="309"/>
      <c r="D34" s="284">
        <v>16439.0</v>
      </c>
      <c r="E34" s="310">
        <f t="shared" si="2"/>
        <v>0</v>
      </c>
      <c r="F34" s="284">
        <v>16535.0</v>
      </c>
      <c r="G34" s="310">
        <f t="shared" si="3"/>
        <v>0</v>
      </c>
      <c r="H34" s="284">
        <v>0.0</v>
      </c>
      <c r="I34" s="311">
        <f t="shared" si="4"/>
        <v>0</v>
      </c>
      <c r="J34" s="290"/>
      <c r="K34" s="309"/>
      <c r="L34" s="312">
        <v>17680.0</v>
      </c>
      <c r="M34" s="310">
        <f t="shared" si="5"/>
        <v>0</v>
      </c>
      <c r="N34" s="13">
        <v>30.0</v>
      </c>
      <c r="O34" s="313"/>
      <c r="P34" s="317" t="s">
        <v>5</v>
      </c>
      <c r="Q34" s="318"/>
      <c r="R34" s="42"/>
      <c r="S34" s="42"/>
      <c r="T34" s="42" t="str">
        <f t="array" ref="T34:BC35">TRANSPOSE(P34:Q69)</f>
        <v>SALDO</v>
      </c>
      <c r="U34" s="306" t="s">
        <v>8</v>
      </c>
      <c r="V34" s="306" t="s">
        <v>32</v>
      </c>
      <c r="W34" s="306" t="s">
        <v>14</v>
      </c>
      <c r="X34" s="306" t="s">
        <v>17</v>
      </c>
      <c r="Y34" s="42" t="s">
        <v>124</v>
      </c>
      <c r="Z34" s="306" t="s">
        <v>8</v>
      </c>
      <c r="AA34" s="306" t="s">
        <v>32</v>
      </c>
      <c r="AB34" s="306" t="s">
        <v>16</v>
      </c>
      <c r="AC34" s="306" t="s">
        <v>17</v>
      </c>
      <c r="AD34" s="306" t="s">
        <v>18</v>
      </c>
      <c r="AE34" s="306"/>
      <c r="AF34" s="306" t="s">
        <v>125</v>
      </c>
      <c r="AG34" s="306" t="s">
        <v>22</v>
      </c>
      <c r="AH34" s="306" t="s">
        <v>23</v>
      </c>
      <c r="AI34" s="306" t="s">
        <v>24</v>
      </c>
      <c r="AJ34" s="306" t="s">
        <v>25</v>
      </c>
      <c r="AK34" s="306" t="s">
        <v>26</v>
      </c>
      <c r="AL34" s="42" t="s">
        <v>126</v>
      </c>
      <c r="AM34" s="42" t="s">
        <v>29</v>
      </c>
      <c r="AN34" s="42" t="s">
        <v>30</v>
      </c>
      <c r="AO34" s="42"/>
      <c r="AP34" s="42"/>
      <c r="AQ34" s="306" t="s">
        <v>17</v>
      </c>
      <c r="AR34" s="306" t="s">
        <v>127</v>
      </c>
      <c r="AS34" s="306" t="s">
        <v>22</v>
      </c>
      <c r="AT34" s="306" t="s">
        <v>23</v>
      </c>
      <c r="AU34" s="306" t="s">
        <v>24</v>
      </c>
      <c r="AV34" s="306" t="s">
        <v>25</v>
      </c>
      <c r="AW34" s="306" t="s">
        <v>26</v>
      </c>
      <c r="AX34" s="42" t="s">
        <v>126</v>
      </c>
      <c r="AY34" s="42" t="s">
        <v>29</v>
      </c>
      <c r="AZ34" s="42" t="s">
        <v>30</v>
      </c>
      <c r="BA34" s="42" t="s">
        <v>41</v>
      </c>
      <c r="BB34" s="42" t="s">
        <v>41</v>
      </c>
      <c r="BC34" s="306" t="s">
        <v>17</v>
      </c>
      <c r="BD34" s="42"/>
      <c r="BE34" s="42"/>
      <c r="BF34" s="42"/>
      <c r="BG34" s="42"/>
      <c r="BH34" s="42"/>
      <c r="BI34" s="42"/>
      <c r="BJ34" s="42"/>
      <c r="BK34" s="42"/>
      <c r="BL34" s="42"/>
      <c r="BM34" s="42"/>
    </row>
    <row r="35">
      <c r="A35" s="282">
        <v>291.0</v>
      </c>
      <c r="B35" s="294"/>
      <c r="C35" s="309"/>
      <c r="D35" s="284">
        <v>16343.0</v>
      </c>
      <c r="E35" s="310">
        <f t="shared" si="2"/>
        <v>0</v>
      </c>
      <c r="F35" s="284">
        <v>16535.0</v>
      </c>
      <c r="G35" s="310">
        <f t="shared" si="3"/>
        <v>0</v>
      </c>
      <c r="H35" s="284">
        <v>0.0</v>
      </c>
      <c r="I35" s="311">
        <f t="shared" si="4"/>
        <v>0</v>
      </c>
      <c r="J35" s="290"/>
      <c r="K35" s="309"/>
      <c r="L35" s="312">
        <v>17750.0</v>
      </c>
      <c r="M35" s="310">
        <f t="shared" si="5"/>
        <v>0</v>
      </c>
      <c r="N35" s="13">
        <v>31.0</v>
      </c>
      <c r="O35" s="313"/>
      <c r="P35" s="310" t="s">
        <v>8</v>
      </c>
      <c r="Q35" s="319">
        <v>1.1188029E7</v>
      </c>
      <c r="R35" s="42"/>
      <c r="S35" s="316"/>
      <c r="T35" s="42"/>
      <c r="U35" s="306">
        <v>1.1188029E7</v>
      </c>
      <c r="V35" s="306">
        <v>0.0</v>
      </c>
      <c r="W35" s="308"/>
      <c r="X35" s="306">
        <v>1.1188029E7</v>
      </c>
      <c r="Y35" s="42"/>
      <c r="Z35" s="308">
        <v>1.3265E7</v>
      </c>
      <c r="AA35" s="308"/>
      <c r="AB35" s="308">
        <v>1604000.0</v>
      </c>
      <c r="AC35" s="306">
        <v>1.4869E7</v>
      </c>
      <c r="AD35" s="306">
        <v>3680971.0</v>
      </c>
      <c r="AE35" s="306"/>
      <c r="AF35" s="306"/>
      <c r="AG35" s="308">
        <v>1.1188029E7</v>
      </c>
      <c r="AH35" s="308">
        <v>10000.0</v>
      </c>
      <c r="AI35" s="308">
        <v>10000.0</v>
      </c>
      <c r="AJ35" s="308">
        <v>10000.0</v>
      </c>
      <c r="AK35" s="308">
        <v>75000.0</v>
      </c>
      <c r="AL35" s="308">
        <v>10000.0</v>
      </c>
      <c r="AM35" s="308"/>
      <c r="AN35" s="320"/>
      <c r="AO35" s="320"/>
      <c r="AP35" s="320"/>
      <c r="AQ35" s="306">
        <v>1.1303029E7</v>
      </c>
      <c r="AR35" s="306"/>
      <c r="AS35" s="308">
        <v>1.3144E7</v>
      </c>
      <c r="AT35" s="308">
        <v>10000.0</v>
      </c>
      <c r="AU35" s="308">
        <v>10000.0</v>
      </c>
      <c r="AV35" s="308">
        <v>10000.0</v>
      </c>
      <c r="AW35" s="308">
        <v>81000.0</v>
      </c>
      <c r="AX35" s="308">
        <v>10000.0</v>
      </c>
      <c r="AY35" s="308"/>
      <c r="AZ35" s="308"/>
      <c r="BA35" s="308"/>
      <c r="BB35" s="308"/>
      <c r="BC35" s="306">
        <v>1.3265E7</v>
      </c>
      <c r="BD35" s="42"/>
      <c r="BE35" s="42"/>
      <c r="BF35" s="42"/>
      <c r="BG35" s="42"/>
      <c r="BH35" s="42"/>
      <c r="BI35" s="42"/>
      <c r="BJ35" s="42"/>
      <c r="BK35" s="42"/>
      <c r="BL35" s="42"/>
      <c r="BM35" s="42"/>
    </row>
    <row r="36">
      <c r="A36" s="282">
        <v>292.0</v>
      </c>
      <c r="B36" s="294"/>
      <c r="C36" s="309"/>
      <c r="D36" s="284">
        <v>16343.0</v>
      </c>
      <c r="E36" s="310">
        <f t="shared" si="2"/>
        <v>0</v>
      </c>
      <c r="F36" s="284">
        <v>16535.0</v>
      </c>
      <c r="G36" s="310">
        <f t="shared" si="3"/>
        <v>0</v>
      </c>
      <c r="H36" s="284">
        <v>0.0</v>
      </c>
      <c r="I36" s="311">
        <f t="shared" si="4"/>
        <v>0</v>
      </c>
      <c r="J36" s="290"/>
      <c r="K36" s="309"/>
      <c r="L36" s="289">
        <v>17850.0</v>
      </c>
      <c r="M36" s="310">
        <f t="shared" si="5"/>
        <v>0</v>
      </c>
      <c r="N36" s="42"/>
      <c r="O36" s="313"/>
      <c r="P36" s="310" t="s">
        <v>32</v>
      </c>
      <c r="Q36" s="322">
        <v>0.0</v>
      </c>
      <c r="R36" s="313"/>
      <c r="S36" s="2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</row>
    <row r="37">
      <c r="A37" s="282">
        <v>293.0</v>
      </c>
      <c r="B37" s="294"/>
      <c r="C37" s="309"/>
      <c r="D37" s="284">
        <v>16343.0</v>
      </c>
      <c r="E37" s="310">
        <f t="shared" si="2"/>
        <v>0</v>
      </c>
      <c r="F37" s="284">
        <v>15280.0</v>
      </c>
      <c r="G37" s="310">
        <f t="shared" si="3"/>
        <v>0</v>
      </c>
      <c r="H37" s="284">
        <v>0.0</v>
      </c>
      <c r="I37" s="311">
        <f t="shared" si="4"/>
        <v>0</v>
      </c>
      <c r="J37" s="290"/>
      <c r="K37" s="309"/>
      <c r="L37" s="289">
        <v>17850.0</v>
      </c>
      <c r="M37" s="310">
        <f t="shared" si="5"/>
        <v>0</v>
      </c>
      <c r="N37" s="42"/>
      <c r="O37" s="313"/>
      <c r="P37" s="310" t="s">
        <v>14</v>
      </c>
      <c r="Q37" s="324"/>
      <c r="R37" s="42"/>
      <c r="S37" s="316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</row>
    <row r="38">
      <c r="A38" s="282">
        <v>294.0</v>
      </c>
      <c r="B38" s="294"/>
      <c r="C38" s="309"/>
      <c r="D38" s="284">
        <v>16343.0</v>
      </c>
      <c r="E38" s="310">
        <f t="shared" si="2"/>
        <v>0</v>
      </c>
      <c r="F38" s="284">
        <v>15280.0</v>
      </c>
      <c r="G38" s="310">
        <f t="shared" si="3"/>
        <v>0</v>
      </c>
      <c r="H38" s="284">
        <v>0.0</v>
      </c>
      <c r="I38" s="311">
        <f t="shared" si="4"/>
        <v>0</v>
      </c>
      <c r="J38" s="290"/>
      <c r="K38" s="309"/>
      <c r="L38" s="289">
        <v>17700.0</v>
      </c>
      <c r="M38" s="310">
        <f t="shared" si="5"/>
        <v>0</v>
      </c>
      <c r="N38" s="42"/>
      <c r="O38" s="313"/>
      <c r="P38" s="325" t="s">
        <v>17</v>
      </c>
      <c r="Q38" s="325">
        <f>SUM(Q35+Q36+Q37)</f>
        <v>11188029</v>
      </c>
      <c r="R38" s="313"/>
      <c r="S38" s="290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</row>
    <row r="39">
      <c r="A39" s="282">
        <v>295.0</v>
      </c>
      <c r="B39" s="294" t="str">
        <f t="shared" ref="B39:B52" si="6">C39</f>
        <v/>
      </c>
      <c r="C39" s="309"/>
      <c r="D39" s="284">
        <v>16343.0</v>
      </c>
      <c r="E39" s="310">
        <f t="shared" si="2"/>
        <v>0</v>
      </c>
      <c r="F39" s="284">
        <v>15280.0</v>
      </c>
      <c r="G39" s="310">
        <f t="shared" si="3"/>
        <v>0</v>
      </c>
      <c r="H39" s="284">
        <v>0.0</v>
      </c>
      <c r="I39" s="311">
        <f t="shared" si="4"/>
        <v>0</v>
      </c>
      <c r="J39" s="290"/>
      <c r="K39" s="309"/>
      <c r="L39" s="289">
        <v>17700.0</v>
      </c>
      <c r="M39" s="310">
        <f t="shared" si="5"/>
        <v>0</v>
      </c>
      <c r="N39" s="42"/>
      <c r="O39" s="313"/>
      <c r="P39" s="327" t="s">
        <v>124</v>
      </c>
      <c r="Q39" s="328"/>
      <c r="R39" s="42"/>
      <c r="S39" s="316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</row>
    <row r="40">
      <c r="A40" s="282">
        <v>296.0</v>
      </c>
      <c r="B40" s="294" t="str">
        <f t="shared" si="6"/>
        <v/>
      </c>
      <c r="C40" s="309"/>
      <c r="D40" s="284">
        <v>16343.0</v>
      </c>
      <c r="E40" s="310">
        <f t="shared" si="2"/>
        <v>0</v>
      </c>
      <c r="F40" s="284">
        <v>15280.0</v>
      </c>
      <c r="G40" s="310">
        <f t="shared" si="3"/>
        <v>0</v>
      </c>
      <c r="H40" s="284">
        <v>0.0</v>
      </c>
      <c r="I40" s="311">
        <f t="shared" si="4"/>
        <v>0</v>
      </c>
      <c r="J40" s="290"/>
      <c r="K40" s="309"/>
      <c r="L40" s="289">
        <v>17700.0</v>
      </c>
      <c r="M40" s="310">
        <f t="shared" si="5"/>
        <v>0</v>
      </c>
      <c r="N40" s="42"/>
      <c r="O40" s="313"/>
      <c r="P40" s="310" t="s">
        <v>8</v>
      </c>
      <c r="Q40" s="329">
        <v>1.3265E7</v>
      </c>
      <c r="R40" s="313"/>
      <c r="S40" s="330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</row>
    <row r="41">
      <c r="A41" s="282">
        <v>297.0</v>
      </c>
      <c r="B41" s="294" t="str">
        <f t="shared" si="6"/>
        <v/>
      </c>
      <c r="C41" s="309"/>
      <c r="D41" s="284">
        <v>16343.0</v>
      </c>
      <c r="E41" s="310">
        <f t="shared" si="2"/>
        <v>0</v>
      </c>
      <c r="F41" s="284">
        <v>15280.0</v>
      </c>
      <c r="G41" s="310">
        <f t="shared" si="3"/>
        <v>0</v>
      </c>
      <c r="H41" s="284">
        <v>0.0</v>
      </c>
      <c r="I41" s="311">
        <f t="shared" si="4"/>
        <v>0</v>
      </c>
      <c r="J41" s="290"/>
      <c r="K41" s="309"/>
      <c r="L41" s="289">
        <v>17875.0</v>
      </c>
      <c r="M41" s="310">
        <f t="shared" si="5"/>
        <v>0</v>
      </c>
      <c r="N41" s="42"/>
      <c r="O41" s="313"/>
      <c r="P41" s="310" t="s">
        <v>32</v>
      </c>
      <c r="Q41" s="33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</row>
    <row r="42">
      <c r="A42" s="282">
        <v>298.0</v>
      </c>
      <c r="B42" s="294" t="str">
        <f t="shared" si="6"/>
        <v/>
      </c>
      <c r="C42" s="309"/>
      <c r="D42" s="284">
        <v>16343.0</v>
      </c>
      <c r="E42" s="310">
        <f t="shared" si="2"/>
        <v>0</v>
      </c>
      <c r="F42" s="284">
        <v>15280.0</v>
      </c>
      <c r="G42" s="310">
        <f t="shared" si="3"/>
        <v>0</v>
      </c>
      <c r="H42" s="284">
        <v>0.0</v>
      </c>
      <c r="I42" s="311">
        <f t="shared" si="4"/>
        <v>0</v>
      </c>
      <c r="J42" s="290"/>
      <c r="K42" s="309"/>
      <c r="L42" s="289">
        <v>17900.0</v>
      </c>
      <c r="M42" s="310">
        <f t="shared" si="5"/>
        <v>0</v>
      </c>
      <c r="N42" s="42"/>
      <c r="O42" s="313"/>
      <c r="P42" s="310" t="s">
        <v>16</v>
      </c>
      <c r="Q42" s="334">
        <v>1604000.0</v>
      </c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</row>
    <row r="43">
      <c r="A43" s="282">
        <v>299.0</v>
      </c>
      <c r="B43" s="294" t="str">
        <f t="shared" si="6"/>
        <v/>
      </c>
      <c r="C43" s="309"/>
      <c r="D43" s="284">
        <v>16343.0</v>
      </c>
      <c r="E43" s="310">
        <f t="shared" si="2"/>
        <v>0</v>
      </c>
      <c r="F43" s="284">
        <v>15280.0</v>
      </c>
      <c r="G43" s="310">
        <f t="shared" si="3"/>
        <v>0</v>
      </c>
      <c r="H43" s="284">
        <v>0.0</v>
      </c>
      <c r="I43" s="311">
        <f t="shared" si="4"/>
        <v>0</v>
      </c>
      <c r="J43" s="290"/>
      <c r="K43" s="309"/>
      <c r="L43" s="289">
        <v>17880.0</v>
      </c>
      <c r="M43" s="310">
        <f t="shared" si="5"/>
        <v>0</v>
      </c>
      <c r="N43" s="42"/>
      <c r="O43" s="313"/>
      <c r="P43" s="310" t="s">
        <v>17</v>
      </c>
      <c r="Q43" s="310">
        <f>SUM(Q40:Q42)</f>
        <v>14869000</v>
      </c>
      <c r="R43" s="336" t="s">
        <v>41</v>
      </c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</row>
    <row r="44">
      <c r="A44" s="282">
        <v>300.0</v>
      </c>
      <c r="B44" s="294" t="str">
        <f t="shared" si="6"/>
        <v/>
      </c>
      <c r="C44" s="309"/>
      <c r="D44" s="284">
        <v>16343.0</v>
      </c>
      <c r="E44" s="310">
        <f t="shared" si="2"/>
        <v>0</v>
      </c>
      <c r="F44" s="284">
        <v>15280.0</v>
      </c>
      <c r="G44" s="310">
        <f t="shared" si="3"/>
        <v>0</v>
      </c>
      <c r="H44" s="284">
        <v>0.0</v>
      </c>
      <c r="I44" s="311">
        <f t="shared" si="4"/>
        <v>0</v>
      </c>
      <c r="J44" s="290"/>
      <c r="K44" s="309"/>
      <c r="L44" s="289">
        <v>15657.0</v>
      </c>
      <c r="M44" s="310">
        <f t="shared" si="5"/>
        <v>0</v>
      </c>
      <c r="N44" s="42"/>
      <c r="O44" s="313"/>
      <c r="P44" s="337" t="s">
        <v>18</v>
      </c>
      <c r="Q44" s="337">
        <f>Q43-Q38</f>
        <v>3680971</v>
      </c>
      <c r="R44" s="42"/>
      <c r="S44" s="339" t="s">
        <v>128</v>
      </c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</row>
    <row r="45">
      <c r="A45" s="282">
        <v>301.0</v>
      </c>
      <c r="B45" s="294" t="str">
        <f t="shared" si="6"/>
        <v/>
      </c>
      <c r="C45" s="309"/>
      <c r="D45" s="284">
        <v>16343.0</v>
      </c>
      <c r="E45" s="310">
        <f t="shared" si="2"/>
        <v>0</v>
      </c>
      <c r="F45" s="284">
        <v>15280.0</v>
      </c>
      <c r="G45" s="310">
        <f t="shared" si="3"/>
        <v>0</v>
      </c>
      <c r="H45" s="284">
        <v>0.0</v>
      </c>
      <c r="I45" s="311">
        <f t="shared" si="4"/>
        <v>0</v>
      </c>
      <c r="J45" s="290"/>
      <c r="K45" s="309"/>
      <c r="L45" s="289">
        <v>15657.0</v>
      </c>
      <c r="M45" s="310">
        <f t="shared" si="5"/>
        <v>0</v>
      </c>
      <c r="N45" s="42"/>
      <c r="O45" s="42"/>
      <c r="P45" s="340"/>
      <c r="Q45" s="340"/>
      <c r="R45" s="42"/>
      <c r="S45" s="341">
        <v>0.01</v>
      </c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</row>
    <row r="46">
      <c r="A46" s="282">
        <v>302.0</v>
      </c>
      <c r="B46" s="294" t="str">
        <f t="shared" si="6"/>
        <v/>
      </c>
      <c r="C46" s="309"/>
      <c r="D46" s="284">
        <v>16343.0</v>
      </c>
      <c r="E46" s="310">
        <f t="shared" si="2"/>
        <v>0</v>
      </c>
      <c r="F46" s="284">
        <v>15280.0</v>
      </c>
      <c r="G46" s="310">
        <f t="shared" si="3"/>
        <v>0</v>
      </c>
      <c r="H46" s="284">
        <v>0.0</v>
      </c>
      <c r="I46" s="311">
        <f t="shared" si="4"/>
        <v>0</v>
      </c>
      <c r="J46" s="290"/>
      <c r="K46" s="309"/>
      <c r="L46" s="289">
        <v>15657.0</v>
      </c>
      <c r="M46" s="310">
        <f t="shared" si="5"/>
        <v>0</v>
      </c>
      <c r="N46" s="42"/>
      <c r="O46" s="313"/>
      <c r="P46" s="342" t="s">
        <v>125</v>
      </c>
      <c r="Q46" s="343"/>
      <c r="R46" s="42"/>
      <c r="S46" s="344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</row>
    <row r="47">
      <c r="A47" s="282">
        <v>303.0</v>
      </c>
      <c r="B47" s="294" t="str">
        <f t="shared" si="6"/>
        <v/>
      </c>
      <c r="C47" s="309"/>
      <c r="D47" s="284">
        <v>16343.0</v>
      </c>
      <c r="E47" s="310">
        <f t="shared" si="2"/>
        <v>0</v>
      </c>
      <c r="F47" s="284">
        <v>15280.0</v>
      </c>
      <c r="G47" s="310">
        <f t="shared" si="3"/>
        <v>0</v>
      </c>
      <c r="H47" s="284">
        <v>0.0</v>
      </c>
      <c r="I47" s="311">
        <f t="shared" si="4"/>
        <v>0</v>
      </c>
      <c r="J47" s="290"/>
      <c r="K47" s="309"/>
      <c r="L47" s="289">
        <v>15647.0</v>
      </c>
      <c r="M47" s="310">
        <f t="shared" si="5"/>
        <v>0</v>
      </c>
      <c r="N47" s="42"/>
      <c r="O47" s="313"/>
      <c r="P47" s="310" t="s">
        <v>22</v>
      </c>
      <c r="Q47" s="334">
        <v>1.1188029E7</v>
      </c>
      <c r="R47" s="42"/>
      <c r="S47" s="345">
        <f>S45+S46</f>
        <v>0.01</v>
      </c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</row>
    <row r="48">
      <c r="A48" s="282">
        <v>304.0</v>
      </c>
      <c r="B48" s="294" t="str">
        <f t="shared" si="6"/>
        <v/>
      </c>
      <c r="C48" s="309"/>
      <c r="D48" s="284">
        <v>16343.0</v>
      </c>
      <c r="E48" s="310">
        <f t="shared" si="2"/>
        <v>0</v>
      </c>
      <c r="F48" s="284">
        <v>15280.0</v>
      </c>
      <c r="G48" s="310">
        <f t="shared" si="3"/>
        <v>0</v>
      </c>
      <c r="H48" s="284">
        <v>0.0</v>
      </c>
      <c r="I48" s="311">
        <f t="shared" si="4"/>
        <v>0</v>
      </c>
      <c r="J48" s="290"/>
      <c r="K48" s="309"/>
      <c r="L48" s="289">
        <v>15380.0</v>
      </c>
      <c r="M48" s="310">
        <f t="shared" si="5"/>
        <v>0</v>
      </c>
      <c r="N48" s="42"/>
      <c r="O48" s="313"/>
      <c r="P48" s="310" t="s">
        <v>23</v>
      </c>
      <c r="Q48" s="334">
        <v>10000.0</v>
      </c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</row>
    <row r="49">
      <c r="A49" s="282">
        <v>305.0</v>
      </c>
      <c r="B49" s="294" t="str">
        <f t="shared" si="6"/>
        <v/>
      </c>
      <c r="C49" s="309"/>
      <c r="D49" s="284">
        <v>16343.0</v>
      </c>
      <c r="E49" s="310">
        <f t="shared" si="2"/>
        <v>0</v>
      </c>
      <c r="F49" s="284">
        <v>15280.0</v>
      </c>
      <c r="G49" s="310">
        <f t="shared" si="3"/>
        <v>0</v>
      </c>
      <c r="H49" s="284">
        <v>0.0</v>
      </c>
      <c r="I49" s="311">
        <f t="shared" si="4"/>
        <v>0</v>
      </c>
      <c r="J49" s="290"/>
      <c r="K49" s="309"/>
      <c r="L49" s="289">
        <v>14765.0</v>
      </c>
      <c r="M49" s="310">
        <f t="shared" si="5"/>
        <v>0</v>
      </c>
      <c r="N49" s="42"/>
      <c r="O49" s="313"/>
      <c r="P49" s="310" t="s">
        <v>24</v>
      </c>
      <c r="Q49" s="334">
        <v>10000.0</v>
      </c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</row>
    <row r="50">
      <c r="A50" s="282">
        <v>306.0</v>
      </c>
      <c r="B50" s="294" t="str">
        <f t="shared" si="6"/>
        <v/>
      </c>
      <c r="C50" s="309"/>
      <c r="D50" s="284">
        <v>15516.0</v>
      </c>
      <c r="E50" s="310">
        <f t="shared" si="2"/>
        <v>0</v>
      </c>
      <c r="F50" s="284">
        <v>15280.0</v>
      </c>
      <c r="G50" s="310">
        <f t="shared" si="3"/>
        <v>0</v>
      </c>
      <c r="H50" s="284">
        <v>0.0</v>
      </c>
      <c r="I50" s="311">
        <f t="shared" si="4"/>
        <v>0</v>
      </c>
      <c r="J50" s="290"/>
      <c r="K50" s="309"/>
      <c r="L50" s="289">
        <v>14765.0</v>
      </c>
      <c r="M50" s="310">
        <f t="shared" si="5"/>
        <v>0</v>
      </c>
      <c r="N50" s="42"/>
      <c r="O50" s="313"/>
      <c r="P50" s="310" t="s">
        <v>25</v>
      </c>
      <c r="Q50" s="334">
        <v>10000.0</v>
      </c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</row>
    <row r="51">
      <c r="A51" s="282">
        <v>307.0</v>
      </c>
      <c r="B51" s="294" t="str">
        <f t="shared" si="6"/>
        <v/>
      </c>
      <c r="C51" s="309"/>
      <c r="D51" s="284">
        <v>15090.0</v>
      </c>
      <c r="E51" s="310">
        <f t="shared" si="2"/>
        <v>0</v>
      </c>
      <c r="F51" s="284">
        <v>15280.0</v>
      </c>
      <c r="G51" s="310">
        <f t="shared" si="3"/>
        <v>0</v>
      </c>
      <c r="H51" s="284">
        <v>0.0</v>
      </c>
      <c r="I51" s="311">
        <f t="shared" si="4"/>
        <v>0</v>
      </c>
      <c r="J51" s="290"/>
      <c r="K51" s="309"/>
      <c r="L51" s="289">
        <v>14775.0</v>
      </c>
      <c r="M51" s="310">
        <f t="shared" si="5"/>
        <v>0</v>
      </c>
      <c r="N51" s="42"/>
      <c r="O51" s="313"/>
      <c r="P51" s="310" t="s">
        <v>26</v>
      </c>
      <c r="Q51" s="334">
        <v>75000.0</v>
      </c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</row>
    <row r="52">
      <c r="A52" s="282">
        <v>308.0</v>
      </c>
      <c r="B52" s="294" t="str">
        <f t="shared" si="6"/>
        <v/>
      </c>
      <c r="C52" s="309"/>
      <c r="D52" s="284">
        <v>15090.0</v>
      </c>
      <c r="E52" s="310">
        <f t="shared" si="2"/>
        <v>0</v>
      </c>
      <c r="F52" s="284">
        <v>15280.0</v>
      </c>
      <c r="G52" s="310">
        <f t="shared" si="3"/>
        <v>0</v>
      </c>
      <c r="H52" s="284">
        <v>0.0</v>
      </c>
      <c r="I52" s="311">
        <f t="shared" si="4"/>
        <v>0</v>
      </c>
      <c r="J52" s="290"/>
      <c r="K52" s="309"/>
      <c r="L52" s="289">
        <v>15380.0</v>
      </c>
      <c r="M52" s="310">
        <f t="shared" si="5"/>
        <v>0</v>
      </c>
      <c r="N52" s="42"/>
      <c r="O52" s="313"/>
      <c r="P52" s="284" t="s">
        <v>126</v>
      </c>
      <c r="Q52" s="334">
        <v>10000.0</v>
      </c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</row>
    <row r="53">
      <c r="A53" s="125"/>
      <c r="B53" s="313"/>
      <c r="C53" s="309"/>
      <c r="D53" s="284">
        <v>15090.0</v>
      </c>
      <c r="E53" s="310">
        <f t="shared" si="2"/>
        <v>0</v>
      </c>
      <c r="F53" s="284">
        <v>15280.0</v>
      </c>
      <c r="G53" s="310">
        <f t="shared" si="3"/>
        <v>0</v>
      </c>
      <c r="H53" s="284">
        <v>0.0</v>
      </c>
      <c r="I53" s="311">
        <f t="shared" si="4"/>
        <v>0</v>
      </c>
      <c r="J53" s="290"/>
      <c r="K53" s="309"/>
      <c r="L53" s="289">
        <v>15380.0</v>
      </c>
      <c r="M53" s="310">
        <f t="shared" si="5"/>
        <v>0</v>
      </c>
      <c r="N53" s="42"/>
      <c r="O53" s="313"/>
      <c r="P53" s="151" t="s">
        <v>29</v>
      </c>
      <c r="Q53" s="37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</row>
    <row r="54">
      <c r="A54" s="125"/>
      <c r="B54" s="313"/>
      <c r="C54" s="309"/>
      <c r="D54" s="284">
        <v>15090.0</v>
      </c>
      <c r="E54" s="310">
        <f t="shared" si="2"/>
        <v>0</v>
      </c>
      <c r="F54" s="284">
        <v>15280.0</v>
      </c>
      <c r="G54" s="310">
        <v>0.0</v>
      </c>
      <c r="H54" s="284">
        <v>0.0</v>
      </c>
      <c r="I54" s="311">
        <f t="shared" si="4"/>
        <v>0</v>
      </c>
      <c r="J54" s="290"/>
      <c r="K54" s="309"/>
      <c r="L54" s="289">
        <v>15380.0</v>
      </c>
      <c r="M54" s="310">
        <f t="shared" si="5"/>
        <v>0</v>
      </c>
      <c r="N54" s="42"/>
      <c r="O54" s="313"/>
      <c r="P54" s="151" t="s">
        <v>30</v>
      </c>
      <c r="Q54" s="346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</row>
    <row r="55">
      <c r="A55" s="125"/>
      <c r="B55" s="313"/>
      <c r="C55" s="309"/>
      <c r="D55" s="284">
        <v>15090.0</v>
      </c>
      <c r="E55" s="310">
        <f t="shared" si="2"/>
        <v>0</v>
      </c>
      <c r="F55" s="284">
        <v>15280.0</v>
      </c>
      <c r="G55" s="310">
        <f t="shared" ref="G55:G58" si="7">F55*C55</f>
        <v>0</v>
      </c>
      <c r="H55" s="284">
        <v>0.0</v>
      </c>
      <c r="I55" s="311">
        <f t="shared" si="4"/>
        <v>0</v>
      </c>
      <c r="J55" s="290"/>
      <c r="K55" s="309"/>
      <c r="L55" s="289">
        <v>15380.0</v>
      </c>
      <c r="M55" s="310">
        <f t="shared" si="5"/>
        <v>0</v>
      </c>
      <c r="N55" s="42"/>
      <c r="O55" s="313"/>
      <c r="P55" s="159"/>
      <c r="Q55" s="346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</row>
    <row r="56">
      <c r="A56" s="125"/>
      <c r="B56" s="313"/>
      <c r="C56" s="296"/>
      <c r="D56" s="284">
        <v>15090.0</v>
      </c>
      <c r="E56" s="310">
        <f t="shared" si="2"/>
        <v>0</v>
      </c>
      <c r="F56" s="284">
        <v>15280.0</v>
      </c>
      <c r="G56" s="310">
        <f t="shared" si="7"/>
        <v>0</v>
      </c>
      <c r="H56" s="284">
        <v>0.0</v>
      </c>
      <c r="I56" s="347">
        <f t="shared" si="4"/>
        <v>0</v>
      </c>
      <c r="J56" s="159"/>
      <c r="K56" s="295"/>
      <c r="L56" s="159"/>
      <c r="M56" s="159"/>
      <c r="N56" s="42"/>
      <c r="O56" s="313"/>
      <c r="P56" s="159"/>
      <c r="Q56" s="346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</row>
    <row r="57">
      <c r="A57" s="125"/>
      <c r="B57" s="313"/>
      <c r="C57" s="296"/>
      <c r="D57" s="284">
        <v>15090.0</v>
      </c>
      <c r="E57" s="310">
        <f t="shared" si="2"/>
        <v>0</v>
      </c>
      <c r="F57" s="284">
        <v>15280.0</v>
      </c>
      <c r="G57" s="310">
        <f t="shared" si="7"/>
        <v>0</v>
      </c>
      <c r="H57" s="284">
        <v>0.0</v>
      </c>
      <c r="I57" s="286">
        <f t="shared" si="4"/>
        <v>0</v>
      </c>
      <c r="J57" s="348" t="s">
        <v>45</v>
      </c>
      <c r="K57" s="349">
        <f>SUM(K4:K56)</f>
        <v>169529.08</v>
      </c>
      <c r="L57" s="350">
        <f>M57/K57</f>
        <v>17662.12092</v>
      </c>
      <c r="M57" s="351">
        <f>SUM(M4:M56)</f>
        <v>2994243110</v>
      </c>
      <c r="N57" s="42"/>
      <c r="O57" s="313"/>
      <c r="P57" s="163" t="s">
        <v>17</v>
      </c>
      <c r="Q57" s="352">
        <f>SUM(Q47:Q56)</f>
        <v>11303029</v>
      </c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</row>
    <row r="58">
      <c r="A58" s="125"/>
      <c r="B58" s="313"/>
      <c r="C58" s="296"/>
      <c r="D58" s="284">
        <v>15090.0</v>
      </c>
      <c r="E58" s="310">
        <f t="shared" si="2"/>
        <v>0</v>
      </c>
      <c r="F58" s="284">
        <v>15280.0</v>
      </c>
      <c r="G58" s="310">
        <f t="shared" si="7"/>
        <v>0</v>
      </c>
      <c r="H58" s="284">
        <v>0.0</v>
      </c>
      <c r="I58" s="286">
        <f t="shared" si="4"/>
        <v>0</v>
      </c>
      <c r="J58" s="348" t="s">
        <v>129</v>
      </c>
      <c r="K58" s="349">
        <f>K57*L58</f>
        <v>118.670356</v>
      </c>
      <c r="L58" s="353">
        <v>7.0E-4</v>
      </c>
      <c r="M58" s="354"/>
      <c r="N58" s="42"/>
      <c r="O58" s="313"/>
      <c r="P58" s="355" t="s">
        <v>127</v>
      </c>
      <c r="Q58" s="358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</row>
    <row r="59">
      <c r="A59" s="282">
        <f t="shared" ref="A59:C59" si="8">SUM(A4:A58)</f>
        <v>6664</v>
      </c>
      <c r="B59" s="323">
        <f t="shared" si="8"/>
        <v>169571.35</v>
      </c>
      <c r="C59" s="356">
        <f t="shared" si="8"/>
        <v>169571.35</v>
      </c>
      <c r="D59" s="290"/>
      <c r="E59" s="357">
        <f>SUM(E4:E58)</f>
        <v>2994969184</v>
      </c>
      <c r="F59" s="290"/>
      <c r="G59" s="357">
        <f>SUM(G4:G58)</f>
        <v>2999999747</v>
      </c>
      <c r="H59" s="357">
        <f>E59*H3</f>
        <v>2096478.429</v>
      </c>
      <c r="I59" s="359">
        <f>G59-E59-H59</f>
        <v>2934085.021</v>
      </c>
      <c r="J59" s="348" t="s">
        <v>130</v>
      </c>
      <c r="K59" s="349">
        <f>K57-K58</f>
        <v>169410.4096</v>
      </c>
      <c r="L59" s="360"/>
      <c r="M59" s="354"/>
      <c r="N59" s="42"/>
      <c r="O59" s="313"/>
      <c r="P59" s="310" t="s">
        <v>22</v>
      </c>
      <c r="Q59" s="334">
        <v>1.3144E7</v>
      </c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</row>
    <row r="60">
      <c r="A60" s="125"/>
      <c r="B60" s="258"/>
      <c r="C60" s="361"/>
      <c r="D60" s="42"/>
      <c r="E60" s="42"/>
      <c r="F60" s="42"/>
      <c r="G60" s="42"/>
      <c r="H60" s="42"/>
      <c r="I60" s="313"/>
      <c r="J60" s="362" t="s">
        <v>131</v>
      </c>
      <c r="K60" s="363">
        <f>K59-C59</f>
        <v>-160.940356</v>
      </c>
      <c r="L60" s="360"/>
      <c r="M60" s="354"/>
      <c r="N60" s="42"/>
      <c r="O60" s="313"/>
      <c r="P60" s="310" t="s">
        <v>23</v>
      </c>
      <c r="Q60" s="334">
        <v>10000.0</v>
      </c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</row>
    <row r="61">
      <c r="A61" s="125"/>
      <c r="B61" s="258"/>
      <c r="C61" s="361"/>
      <c r="D61" s="42"/>
      <c r="E61" s="42"/>
      <c r="F61" s="42"/>
      <c r="G61" s="42"/>
      <c r="H61" s="42"/>
      <c r="I61" s="42"/>
      <c r="J61" s="42"/>
      <c r="K61" s="304"/>
      <c r="L61" s="42"/>
      <c r="M61" s="42"/>
      <c r="N61" s="42"/>
      <c r="O61" s="313"/>
      <c r="P61" s="310" t="s">
        <v>24</v>
      </c>
      <c r="Q61" s="334">
        <v>10000.0</v>
      </c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</row>
    <row r="62">
      <c r="A62" s="125"/>
      <c r="B62" s="258"/>
      <c r="C62" s="361"/>
      <c r="D62" s="42"/>
      <c r="E62" s="42"/>
      <c r="F62" s="42"/>
      <c r="G62" s="42"/>
      <c r="H62" s="42"/>
      <c r="I62" s="364"/>
      <c r="J62" s="42"/>
      <c r="K62" s="304"/>
      <c r="L62" s="42"/>
      <c r="M62" s="42"/>
      <c r="N62" s="42"/>
      <c r="O62" s="313"/>
      <c r="P62" s="310" t="s">
        <v>25</v>
      </c>
      <c r="Q62" s="334">
        <v>10000.0</v>
      </c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</row>
    <row r="63">
      <c r="A63" s="125"/>
      <c r="B63" s="258"/>
      <c r="C63" s="361"/>
      <c r="D63" s="42"/>
      <c r="E63" s="42"/>
      <c r="F63" s="42"/>
      <c r="G63" s="42"/>
      <c r="H63" s="42"/>
      <c r="I63" s="42"/>
      <c r="J63" s="42"/>
      <c r="K63" s="304"/>
      <c r="L63" s="42"/>
      <c r="M63" s="42"/>
      <c r="N63" s="13" t="s">
        <v>41</v>
      </c>
      <c r="O63" s="313"/>
      <c r="P63" s="310" t="s">
        <v>26</v>
      </c>
      <c r="Q63" s="334">
        <v>81000.0</v>
      </c>
      <c r="R63" s="308"/>
      <c r="S63" s="336" t="s">
        <v>41</v>
      </c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</row>
    <row r="64">
      <c r="A64" s="125"/>
      <c r="B64" s="258"/>
      <c r="C64" s="365"/>
      <c r="D64" s="42"/>
      <c r="E64" s="42"/>
      <c r="F64" s="42"/>
      <c r="G64" s="42"/>
      <c r="H64" s="42"/>
      <c r="I64" s="42"/>
      <c r="J64" s="42"/>
      <c r="K64" s="304"/>
      <c r="L64" s="42"/>
      <c r="M64" s="42"/>
      <c r="N64" s="42"/>
      <c r="O64" s="42"/>
      <c r="P64" s="151" t="s">
        <v>126</v>
      </c>
      <c r="Q64" s="334">
        <v>10000.0</v>
      </c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</row>
    <row r="65">
      <c r="A65" s="125"/>
      <c r="B65" s="258"/>
      <c r="C65" s="361"/>
      <c r="D65" s="42"/>
      <c r="E65" s="42"/>
      <c r="F65" s="42"/>
      <c r="G65" s="42"/>
      <c r="H65" s="42"/>
      <c r="I65" s="42"/>
      <c r="J65" s="42"/>
      <c r="K65" s="304"/>
      <c r="L65" s="42"/>
      <c r="M65" s="42"/>
      <c r="N65" s="42"/>
      <c r="O65" s="42"/>
      <c r="P65" s="151" t="s">
        <v>29</v>
      </c>
      <c r="Q65" s="324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</row>
    <row r="66">
      <c r="A66" s="125"/>
      <c r="B66" s="258"/>
      <c r="C66" s="361"/>
      <c r="D66" s="42"/>
      <c r="E66" s="42"/>
      <c r="F66" s="42"/>
      <c r="G66" s="42"/>
      <c r="H66" s="42"/>
      <c r="I66" s="42"/>
      <c r="J66" s="42"/>
      <c r="K66" s="304"/>
      <c r="L66" s="42"/>
      <c r="M66" s="42"/>
      <c r="N66" s="42"/>
      <c r="O66" s="42"/>
      <c r="P66" s="151" t="s">
        <v>30</v>
      </c>
      <c r="Q66" s="324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</row>
    <row r="67">
      <c r="A67" s="125"/>
      <c r="B67" s="258"/>
      <c r="C67" s="361"/>
      <c r="D67" s="42"/>
      <c r="E67" s="42"/>
      <c r="F67" s="42"/>
      <c r="G67" s="42"/>
      <c r="H67" s="42"/>
      <c r="I67" s="42"/>
      <c r="J67" s="42"/>
      <c r="K67" s="304"/>
      <c r="L67" s="42"/>
      <c r="M67" s="42"/>
      <c r="N67" s="42"/>
      <c r="O67" s="42"/>
      <c r="P67" s="151" t="s">
        <v>41</v>
      </c>
      <c r="Q67" s="324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</row>
    <row r="68">
      <c r="A68" s="125"/>
      <c r="B68" s="258"/>
      <c r="C68" s="361"/>
      <c r="D68" s="42"/>
      <c r="E68" s="42"/>
      <c r="F68" s="42"/>
      <c r="G68" s="42"/>
      <c r="H68" s="42"/>
      <c r="I68" s="42"/>
      <c r="J68" s="42"/>
      <c r="K68" s="304"/>
      <c r="L68" s="42"/>
      <c r="M68" s="42"/>
      <c r="N68" s="42"/>
      <c r="O68" s="42"/>
      <c r="P68" s="151" t="s">
        <v>41</v>
      </c>
      <c r="Q68" s="324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</row>
    <row r="69">
      <c r="A69" s="125"/>
      <c r="B69" s="258"/>
      <c r="C69" s="361"/>
      <c r="D69" s="42"/>
      <c r="E69" s="42"/>
      <c r="F69" s="42"/>
      <c r="G69" s="42"/>
      <c r="H69" s="42"/>
      <c r="I69" s="42"/>
      <c r="J69" s="42"/>
      <c r="K69" s="304"/>
      <c r="L69" s="42"/>
      <c r="M69" s="42"/>
      <c r="N69" s="42"/>
      <c r="O69" s="42"/>
      <c r="P69" s="163" t="s">
        <v>17</v>
      </c>
      <c r="Q69" s="366">
        <f>SUM(Q59:Q68)</f>
        <v>13265000</v>
      </c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</row>
    <row r="70">
      <c r="A70" s="125"/>
      <c r="B70" s="258"/>
      <c r="C70" s="361"/>
      <c r="D70" s="42"/>
      <c r="E70" s="42"/>
      <c r="F70" s="42"/>
      <c r="G70" s="42"/>
      <c r="H70" s="42"/>
      <c r="I70" s="42"/>
      <c r="J70" s="42"/>
      <c r="K70" s="304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</row>
    <row r="71">
      <c r="A71" s="125"/>
      <c r="B71" s="258"/>
      <c r="C71" s="361"/>
      <c r="D71" s="42"/>
      <c r="E71" s="42"/>
      <c r="F71" s="42"/>
      <c r="G71" s="42"/>
      <c r="H71" s="42"/>
      <c r="I71" s="42"/>
      <c r="J71" s="42"/>
      <c r="K71" s="304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</row>
    <row r="72">
      <c r="A72" s="125"/>
      <c r="B72" s="258"/>
      <c r="C72" s="361"/>
      <c r="D72" s="42"/>
      <c r="E72" s="42"/>
      <c r="F72" s="42"/>
      <c r="G72" s="42"/>
      <c r="H72" s="42"/>
      <c r="I72" s="42"/>
      <c r="J72" s="42"/>
      <c r="K72" s="304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</row>
    <row r="73">
      <c r="A73" s="125"/>
      <c r="B73" s="258"/>
      <c r="C73" s="361"/>
      <c r="D73" s="42"/>
      <c r="E73" s="42"/>
      <c r="F73" s="42"/>
      <c r="G73" s="42"/>
      <c r="H73" s="42"/>
      <c r="I73" s="42"/>
      <c r="J73" s="42"/>
      <c r="K73" s="304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</row>
    <row r="74">
      <c r="A74" s="125"/>
      <c r="B74" s="258"/>
      <c r="C74" s="361"/>
      <c r="D74" s="42"/>
      <c r="E74" s="42"/>
      <c r="F74" s="42"/>
      <c r="G74" s="42"/>
      <c r="H74" s="42"/>
      <c r="I74" s="42"/>
      <c r="J74" s="42"/>
      <c r="K74" s="304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</row>
    <row r="75">
      <c r="A75" s="125"/>
      <c r="B75" s="258"/>
      <c r="C75" s="361"/>
      <c r="D75" s="42"/>
      <c r="E75" s="42"/>
      <c r="F75" s="42"/>
      <c r="G75" s="42"/>
      <c r="H75" s="42"/>
      <c r="I75" s="42"/>
      <c r="J75" s="42"/>
      <c r="K75" s="304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</row>
    <row r="76">
      <c r="A76" s="125"/>
      <c r="B76" s="258"/>
      <c r="C76" s="361"/>
      <c r="D76" s="42"/>
      <c r="E76" s="42"/>
      <c r="F76" s="42"/>
      <c r="G76" s="42"/>
      <c r="H76" s="42"/>
      <c r="I76" s="42"/>
      <c r="J76" s="42"/>
      <c r="K76" s="304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</row>
    <row r="77">
      <c r="A77" s="125"/>
      <c r="B77" s="258"/>
      <c r="C77" s="361"/>
      <c r="D77" s="42"/>
      <c r="E77" s="42"/>
      <c r="F77" s="42"/>
      <c r="G77" s="42"/>
      <c r="H77" s="42"/>
      <c r="I77" s="42"/>
      <c r="J77" s="42"/>
      <c r="K77" s="304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</row>
    <row r="78">
      <c r="A78" s="125"/>
      <c r="B78" s="258"/>
      <c r="C78" s="361"/>
      <c r="D78" s="42"/>
      <c r="E78" s="42"/>
      <c r="F78" s="42"/>
      <c r="G78" s="42"/>
      <c r="H78" s="42"/>
      <c r="I78" s="42"/>
      <c r="J78" s="42"/>
      <c r="K78" s="304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</row>
    <row r="79">
      <c r="A79" s="125"/>
      <c r="B79" s="258"/>
      <c r="C79" s="361"/>
      <c r="D79" s="42"/>
      <c r="E79" s="42"/>
      <c r="F79" s="42"/>
      <c r="G79" s="42"/>
      <c r="H79" s="42"/>
      <c r="I79" s="42"/>
      <c r="J79" s="304"/>
      <c r="K79" s="304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</row>
    <row r="80">
      <c r="A80" s="125"/>
      <c r="B80" s="258"/>
      <c r="C80" s="361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</row>
    <row r="81">
      <c r="A81" s="125"/>
      <c r="B81" s="258"/>
      <c r="C81" s="361"/>
      <c r="D81" s="42"/>
      <c r="E81" s="42"/>
      <c r="F81" s="42"/>
      <c r="G81" s="42"/>
      <c r="H81" s="42"/>
      <c r="I81" s="42"/>
      <c r="J81" s="42"/>
      <c r="K81" s="304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</row>
    <row r="82">
      <c r="A82" s="125"/>
      <c r="B82" s="258"/>
      <c r="C82" s="361"/>
      <c r="D82" s="42"/>
      <c r="E82" s="42"/>
      <c r="F82" s="42"/>
      <c r="G82" s="42"/>
      <c r="H82" s="42"/>
      <c r="I82" s="42"/>
      <c r="J82" s="42"/>
      <c r="K82" s="304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</row>
    <row r="83">
      <c r="A83" s="125"/>
      <c r="B83" s="258"/>
      <c r="C83" s="361"/>
      <c r="D83" s="42"/>
      <c r="E83" s="42"/>
      <c r="F83" s="42"/>
      <c r="G83" s="42"/>
      <c r="H83" s="42"/>
      <c r="I83" s="42"/>
      <c r="J83" s="42"/>
      <c r="K83" s="304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</row>
    <row r="84">
      <c r="A84" s="125"/>
      <c r="B84" s="258"/>
      <c r="C84" s="361"/>
      <c r="D84" s="42"/>
      <c r="E84" s="42"/>
      <c r="F84" s="42"/>
      <c r="G84" s="42"/>
      <c r="H84" s="42"/>
      <c r="I84" s="42"/>
      <c r="J84" s="42"/>
      <c r="K84" s="304"/>
      <c r="L84" s="304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</row>
    <row r="85">
      <c r="A85" s="125"/>
      <c r="B85" s="258"/>
      <c r="C85" s="361"/>
      <c r="D85" s="42"/>
      <c r="E85" s="42"/>
      <c r="F85" s="42"/>
      <c r="G85" s="42"/>
      <c r="H85" s="42"/>
      <c r="I85" s="42"/>
      <c r="J85" s="42"/>
      <c r="K85" s="304"/>
      <c r="L85" s="304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</row>
    <row r="86">
      <c r="A86" s="125"/>
      <c r="B86" s="258"/>
      <c r="C86" s="361"/>
      <c r="D86" s="42"/>
      <c r="E86" s="42"/>
      <c r="F86" s="42"/>
      <c r="G86" s="42"/>
      <c r="H86" s="42"/>
      <c r="I86" s="42"/>
      <c r="J86" s="42"/>
      <c r="K86" s="304"/>
      <c r="L86" s="304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</row>
    <row r="87">
      <c r="A87" s="125"/>
      <c r="B87" s="258"/>
      <c r="C87" s="361"/>
      <c r="D87" s="42"/>
      <c r="E87" s="42"/>
      <c r="F87" s="42"/>
      <c r="G87" s="42"/>
      <c r="H87" s="42"/>
      <c r="I87" s="42"/>
      <c r="J87" s="42"/>
      <c r="K87" s="304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</row>
    <row r="88">
      <c r="A88" s="125"/>
      <c r="B88" s="258"/>
      <c r="C88" s="361"/>
      <c r="D88" s="42"/>
      <c r="E88" s="42"/>
      <c r="F88" s="42"/>
      <c r="G88" s="42"/>
      <c r="H88" s="42"/>
      <c r="I88" s="42"/>
      <c r="J88" s="42"/>
      <c r="K88" s="304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</row>
    <row r="89">
      <c r="A89" s="125"/>
      <c r="B89" s="258"/>
      <c r="C89" s="361"/>
      <c r="D89" s="42"/>
      <c r="E89" s="42"/>
      <c r="F89" s="42"/>
      <c r="G89" s="42"/>
      <c r="H89" s="42"/>
      <c r="I89" s="42"/>
      <c r="J89" s="42"/>
      <c r="K89" s="304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</row>
    <row r="90">
      <c r="A90" s="125"/>
      <c r="B90" s="258"/>
      <c r="C90" s="361"/>
      <c r="D90" s="42"/>
      <c r="E90" s="42"/>
      <c r="F90" s="42"/>
      <c r="G90" s="42"/>
      <c r="H90" s="42"/>
      <c r="I90" s="42"/>
      <c r="J90" s="42"/>
      <c r="K90" s="304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</row>
    <row r="91">
      <c r="A91" s="125"/>
      <c r="B91" s="258"/>
      <c r="C91" s="361"/>
      <c r="D91" s="42"/>
      <c r="E91" s="42"/>
      <c r="F91" s="42"/>
      <c r="G91" s="42"/>
      <c r="H91" s="42"/>
      <c r="I91" s="42"/>
      <c r="J91" s="42"/>
      <c r="K91" s="304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</row>
    <row r="92">
      <c r="A92" s="125"/>
      <c r="B92" s="258"/>
      <c r="C92" s="361"/>
      <c r="D92" s="42"/>
      <c r="E92" s="42"/>
      <c r="F92" s="42"/>
      <c r="G92" s="42"/>
      <c r="H92" s="42"/>
      <c r="I92" s="42"/>
      <c r="J92" s="42"/>
      <c r="K92" s="304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</row>
    <row r="93">
      <c r="A93" s="125"/>
      <c r="B93" s="258"/>
      <c r="C93" s="361"/>
      <c r="D93" s="42"/>
      <c r="E93" s="42"/>
      <c r="F93" s="42"/>
      <c r="G93" s="42"/>
      <c r="H93" s="42"/>
      <c r="I93" s="42"/>
      <c r="J93" s="42"/>
      <c r="K93" s="304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</row>
    <row r="94">
      <c r="A94" s="125"/>
      <c r="B94" s="258"/>
      <c r="C94" s="361"/>
      <c r="D94" s="42"/>
      <c r="E94" s="42"/>
      <c r="F94" s="42"/>
      <c r="G94" s="42"/>
      <c r="H94" s="42"/>
      <c r="I94" s="42"/>
      <c r="J94" s="42"/>
      <c r="K94" s="304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</row>
    <row r="95">
      <c r="A95" s="125"/>
      <c r="B95" s="258"/>
      <c r="C95" s="361"/>
      <c r="D95" s="42"/>
      <c r="E95" s="42"/>
      <c r="F95" s="42"/>
      <c r="G95" s="42"/>
      <c r="H95" s="42"/>
      <c r="I95" s="42"/>
      <c r="J95" s="42"/>
      <c r="K95" s="304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</row>
    <row r="96">
      <c r="A96" s="125"/>
      <c r="B96" s="258"/>
      <c r="C96" s="361"/>
      <c r="D96" s="42"/>
      <c r="E96" s="42"/>
      <c r="F96" s="42"/>
      <c r="G96" s="42"/>
      <c r="H96" s="42"/>
      <c r="I96" s="42"/>
      <c r="J96" s="42"/>
      <c r="K96" s="304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</row>
    <row r="97">
      <c r="A97" s="125"/>
      <c r="B97" s="258"/>
      <c r="C97" s="361"/>
      <c r="D97" s="42"/>
      <c r="E97" s="42"/>
      <c r="F97" s="42"/>
      <c r="G97" s="42"/>
      <c r="H97" s="42"/>
      <c r="I97" s="42"/>
      <c r="J97" s="42"/>
      <c r="K97" s="304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</row>
    <row r="98">
      <c r="A98" s="125"/>
      <c r="B98" s="258"/>
      <c r="C98" s="361"/>
      <c r="D98" s="42"/>
      <c r="E98" s="42"/>
      <c r="F98" s="42"/>
      <c r="G98" s="42"/>
      <c r="H98" s="42"/>
      <c r="I98" s="42"/>
      <c r="J98" s="42"/>
      <c r="K98" s="304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</row>
    <row r="99">
      <c r="A99" s="125"/>
      <c r="B99" s="258"/>
      <c r="C99" s="361"/>
      <c r="D99" s="42"/>
      <c r="E99" s="42"/>
      <c r="F99" s="42"/>
      <c r="G99" s="42"/>
      <c r="H99" s="42"/>
      <c r="I99" s="42"/>
      <c r="J99" s="42"/>
      <c r="K99" s="304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</row>
    <row r="100">
      <c r="A100" s="125"/>
      <c r="B100" s="258"/>
      <c r="C100" s="361"/>
      <c r="D100" s="42"/>
      <c r="E100" s="42"/>
      <c r="F100" s="42"/>
      <c r="G100" s="42"/>
      <c r="H100" s="42"/>
      <c r="I100" s="42"/>
      <c r="J100" s="42"/>
      <c r="K100" s="304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</row>
    <row r="101">
      <c r="A101" s="125"/>
      <c r="B101" s="258"/>
      <c r="C101" s="361"/>
      <c r="D101" s="42"/>
      <c r="E101" s="42"/>
      <c r="F101" s="42"/>
      <c r="G101" s="42"/>
      <c r="H101" s="42"/>
      <c r="I101" s="42"/>
      <c r="J101" s="42"/>
      <c r="K101" s="304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</row>
    <row r="102">
      <c r="A102" s="125"/>
      <c r="B102" s="258"/>
      <c r="C102" s="361"/>
      <c r="D102" s="42"/>
      <c r="E102" s="42"/>
      <c r="F102" s="42"/>
      <c r="G102" s="42"/>
      <c r="H102" s="42"/>
      <c r="I102" s="42"/>
      <c r="J102" s="42"/>
      <c r="K102" s="304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</row>
    <row r="103">
      <c r="A103" s="125"/>
      <c r="B103" s="258"/>
      <c r="C103" s="361"/>
      <c r="D103" s="42"/>
      <c r="E103" s="42"/>
      <c r="F103" s="42"/>
      <c r="G103" s="42"/>
      <c r="H103" s="42"/>
      <c r="I103" s="42"/>
      <c r="J103" s="42"/>
      <c r="K103" s="304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</row>
    <row r="104">
      <c r="A104" s="125"/>
      <c r="B104" s="258"/>
      <c r="C104" s="361"/>
      <c r="D104" s="42"/>
      <c r="E104" s="42"/>
      <c r="F104" s="42"/>
      <c r="G104" s="42"/>
      <c r="H104" s="42"/>
      <c r="I104" s="42"/>
      <c r="J104" s="42"/>
      <c r="K104" s="304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</row>
    <row r="105">
      <c r="A105" s="125"/>
      <c r="B105" s="258"/>
      <c r="C105" s="361"/>
      <c r="D105" s="42"/>
      <c r="E105" s="42"/>
      <c r="F105" s="42"/>
      <c r="G105" s="42"/>
      <c r="H105" s="42"/>
      <c r="I105" s="42"/>
      <c r="J105" s="42"/>
      <c r="K105" s="304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</row>
    <row r="106">
      <c r="A106" s="125"/>
      <c r="B106" s="258"/>
      <c r="C106" s="361"/>
      <c r="D106" s="42"/>
      <c r="E106" s="42"/>
      <c r="F106" s="42"/>
      <c r="G106" s="42"/>
      <c r="H106" s="42"/>
      <c r="I106" s="42"/>
      <c r="J106" s="42"/>
      <c r="K106" s="304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</row>
    <row r="107">
      <c r="A107" s="125"/>
      <c r="B107" s="258"/>
      <c r="C107" s="361"/>
      <c r="D107" s="42"/>
      <c r="E107" s="42"/>
      <c r="F107" s="42"/>
      <c r="G107" s="42"/>
      <c r="H107" s="42"/>
      <c r="I107" s="42"/>
      <c r="J107" s="42"/>
      <c r="K107" s="304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</row>
    <row r="108">
      <c r="A108" s="125"/>
      <c r="B108" s="258"/>
      <c r="C108" s="361"/>
      <c r="D108" s="42"/>
      <c r="E108" s="42"/>
      <c r="F108" s="42"/>
      <c r="G108" s="42"/>
      <c r="H108" s="42"/>
      <c r="I108" s="42"/>
      <c r="J108" s="42"/>
      <c r="K108" s="304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</row>
    <row r="109">
      <c r="A109" s="125"/>
      <c r="B109" s="258"/>
      <c r="C109" s="361"/>
      <c r="D109" s="42"/>
      <c r="E109" s="42"/>
      <c r="F109" s="42"/>
      <c r="G109" s="42"/>
      <c r="H109" s="42"/>
      <c r="I109" s="42"/>
      <c r="J109" s="42"/>
      <c r="K109" s="304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</row>
    <row r="110">
      <c r="A110" s="125"/>
      <c r="B110" s="258"/>
      <c r="C110" s="361"/>
      <c r="D110" s="42"/>
      <c r="E110" s="42"/>
      <c r="F110" s="42"/>
      <c r="G110" s="42"/>
      <c r="H110" s="42"/>
      <c r="I110" s="42"/>
      <c r="J110" s="42"/>
      <c r="K110" s="304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</row>
    <row r="111">
      <c r="A111" s="125"/>
      <c r="B111" s="258"/>
      <c r="C111" s="361"/>
      <c r="D111" s="42"/>
      <c r="E111" s="42"/>
      <c r="F111" s="42"/>
      <c r="G111" s="42"/>
      <c r="H111" s="42"/>
      <c r="I111" s="42"/>
      <c r="J111" s="42"/>
      <c r="K111" s="304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</row>
    <row r="112">
      <c r="A112" s="125"/>
      <c r="B112" s="258"/>
      <c r="C112" s="361"/>
      <c r="D112" s="42"/>
      <c r="E112" s="42"/>
      <c r="F112" s="42"/>
      <c r="G112" s="42"/>
      <c r="H112" s="42"/>
      <c r="I112" s="42"/>
      <c r="J112" s="42"/>
      <c r="K112" s="304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</row>
    <row r="113">
      <c r="A113" s="125"/>
      <c r="B113" s="258"/>
      <c r="C113" s="361"/>
      <c r="D113" s="42"/>
      <c r="E113" s="42"/>
      <c r="F113" s="42"/>
      <c r="G113" s="42"/>
      <c r="H113" s="42"/>
      <c r="I113" s="42"/>
      <c r="J113" s="42"/>
      <c r="K113" s="304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</row>
    <row r="114">
      <c r="A114" s="125"/>
      <c r="B114" s="258"/>
      <c r="C114" s="361"/>
      <c r="D114" s="42"/>
      <c r="E114" s="42"/>
      <c r="F114" s="42"/>
      <c r="G114" s="42"/>
      <c r="H114" s="42"/>
      <c r="I114" s="42"/>
      <c r="J114" s="42"/>
      <c r="K114" s="304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</row>
    <row r="115">
      <c r="A115" s="125"/>
      <c r="B115" s="258"/>
      <c r="C115" s="361"/>
      <c r="D115" s="42"/>
      <c r="E115" s="42"/>
      <c r="F115" s="42"/>
      <c r="G115" s="42"/>
      <c r="H115" s="42"/>
      <c r="I115" s="42"/>
      <c r="J115" s="42"/>
      <c r="K115" s="304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</row>
    <row r="116">
      <c r="A116" s="125"/>
      <c r="B116" s="258"/>
      <c r="C116" s="361"/>
      <c r="D116" s="42"/>
      <c r="E116" s="42"/>
      <c r="F116" s="42"/>
      <c r="G116" s="42"/>
      <c r="H116" s="42"/>
      <c r="I116" s="42"/>
      <c r="J116" s="42"/>
      <c r="K116" s="304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</row>
    <row r="117">
      <c r="A117" s="125"/>
      <c r="B117" s="258"/>
      <c r="C117" s="361"/>
      <c r="D117" s="42"/>
      <c r="E117" s="42"/>
      <c r="F117" s="42"/>
      <c r="G117" s="42"/>
      <c r="H117" s="42"/>
      <c r="I117" s="42"/>
      <c r="J117" s="42"/>
      <c r="K117" s="304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</row>
    <row r="118">
      <c r="A118" s="125"/>
      <c r="B118" s="258"/>
      <c r="C118" s="361"/>
      <c r="D118" s="42"/>
      <c r="E118" s="42"/>
      <c r="F118" s="42"/>
      <c r="G118" s="42"/>
      <c r="H118" s="42"/>
      <c r="I118" s="42"/>
      <c r="J118" s="42"/>
      <c r="K118" s="304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</row>
    <row r="119">
      <c r="A119" s="125"/>
      <c r="B119" s="258"/>
      <c r="C119" s="361"/>
      <c r="D119" s="42"/>
      <c r="E119" s="42"/>
      <c r="F119" s="42"/>
      <c r="G119" s="42"/>
      <c r="H119" s="42"/>
      <c r="I119" s="42"/>
      <c r="J119" s="42"/>
      <c r="K119" s="304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</row>
    <row r="120">
      <c r="A120" s="125"/>
      <c r="B120" s="258"/>
      <c r="C120" s="361"/>
      <c r="D120" s="42"/>
      <c r="E120" s="42"/>
      <c r="F120" s="42"/>
      <c r="G120" s="42"/>
      <c r="H120" s="42"/>
      <c r="I120" s="42"/>
      <c r="J120" s="42"/>
      <c r="K120" s="304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</row>
    <row r="121">
      <c r="A121" s="125"/>
      <c r="B121" s="258"/>
      <c r="C121" s="361"/>
      <c r="D121" s="42"/>
      <c r="E121" s="42"/>
      <c r="F121" s="42"/>
      <c r="G121" s="42"/>
      <c r="H121" s="42"/>
      <c r="I121" s="42"/>
      <c r="J121" s="42"/>
      <c r="K121" s="304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</row>
    <row r="122">
      <c r="A122" s="125"/>
      <c r="B122" s="258"/>
      <c r="C122" s="361"/>
      <c r="D122" s="42"/>
      <c r="E122" s="42"/>
      <c r="F122" s="42"/>
      <c r="G122" s="42"/>
      <c r="H122" s="42"/>
      <c r="I122" s="42"/>
      <c r="J122" s="42"/>
      <c r="K122" s="304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</row>
    <row r="123">
      <c r="A123" s="125"/>
      <c r="B123" s="258"/>
      <c r="C123" s="361"/>
      <c r="D123" s="42"/>
      <c r="E123" s="42"/>
      <c r="F123" s="42"/>
      <c r="G123" s="42"/>
      <c r="H123" s="42"/>
      <c r="I123" s="42"/>
      <c r="J123" s="42"/>
      <c r="K123" s="304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</row>
    <row r="124">
      <c r="A124" s="125"/>
      <c r="B124" s="258"/>
      <c r="C124" s="361"/>
      <c r="D124" s="42"/>
      <c r="E124" s="42"/>
      <c r="F124" s="42"/>
      <c r="G124" s="42"/>
      <c r="H124" s="42"/>
      <c r="I124" s="42"/>
      <c r="J124" s="42"/>
      <c r="K124" s="304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</row>
    <row r="125">
      <c r="A125" s="125"/>
      <c r="B125" s="258"/>
      <c r="C125" s="361"/>
      <c r="D125" s="42"/>
      <c r="E125" s="42"/>
      <c r="F125" s="42"/>
      <c r="G125" s="42"/>
      <c r="H125" s="42"/>
      <c r="I125" s="42"/>
      <c r="J125" s="42"/>
      <c r="K125" s="304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</row>
    <row r="126">
      <c r="A126" s="125"/>
      <c r="B126" s="258"/>
      <c r="C126" s="361"/>
      <c r="D126" s="42"/>
      <c r="E126" s="42"/>
      <c r="F126" s="42"/>
      <c r="G126" s="42"/>
      <c r="H126" s="42"/>
      <c r="I126" s="42"/>
      <c r="J126" s="42"/>
      <c r="K126" s="304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</row>
    <row r="127">
      <c r="A127" s="125"/>
      <c r="B127" s="258"/>
      <c r="C127" s="361"/>
      <c r="D127" s="42"/>
      <c r="E127" s="42"/>
      <c r="F127" s="42"/>
      <c r="G127" s="42"/>
      <c r="H127" s="42"/>
      <c r="I127" s="42"/>
      <c r="J127" s="42"/>
      <c r="K127" s="304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</row>
    <row r="128">
      <c r="A128" s="125"/>
      <c r="B128" s="258"/>
      <c r="C128" s="361"/>
      <c r="D128" s="42"/>
      <c r="E128" s="42"/>
      <c r="F128" s="42"/>
      <c r="G128" s="42"/>
      <c r="H128" s="42"/>
      <c r="I128" s="42"/>
      <c r="J128" s="42"/>
      <c r="K128" s="304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</row>
    <row r="129">
      <c r="A129" s="125"/>
      <c r="B129" s="258"/>
      <c r="C129" s="361"/>
      <c r="D129" s="42"/>
      <c r="E129" s="42"/>
      <c r="F129" s="42"/>
      <c r="G129" s="42"/>
      <c r="H129" s="42"/>
      <c r="I129" s="42"/>
      <c r="J129" s="42"/>
      <c r="K129" s="304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</row>
    <row r="130">
      <c r="A130" s="125"/>
      <c r="B130" s="258"/>
      <c r="C130" s="361"/>
      <c r="D130" s="42"/>
      <c r="E130" s="42"/>
      <c r="F130" s="42"/>
      <c r="G130" s="42"/>
      <c r="H130" s="42"/>
      <c r="I130" s="42"/>
      <c r="J130" s="42"/>
      <c r="K130" s="304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</row>
    <row r="131">
      <c r="A131" s="125"/>
      <c r="B131" s="258"/>
      <c r="C131" s="361"/>
      <c r="D131" s="42"/>
      <c r="E131" s="42"/>
      <c r="F131" s="42"/>
      <c r="G131" s="42"/>
      <c r="H131" s="42"/>
      <c r="I131" s="42"/>
      <c r="J131" s="42"/>
      <c r="K131" s="304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</row>
    <row r="132">
      <c r="A132" s="125"/>
      <c r="B132" s="258"/>
      <c r="C132" s="361"/>
      <c r="D132" s="42"/>
      <c r="E132" s="42"/>
      <c r="F132" s="42"/>
      <c r="G132" s="42"/>
      <c r="H132" s="42"/>
      <c r="I132" s="42"/>
      <c r="J132" s="42"/>
      <c r="K132" s="304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</row>
    <row r="133">
      <c r="A133" s="125"/>
      <c r="B133" s="258"/>
      <c r="C133" s="361"/>
      <c r="D133" s="42"/>
      <c r="E133" s="42"/>
      <c r="F133" s="42"/>
      <c r="G133" s="42"/>
      <c r="H133" s="42"/>
      <c r="I133" s="42"/>
      <c r="J133" s="42"/>
      <c r="K133" s="304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</row>
    <row r="134">
      <c r="A134" s="125"/>
      <c r="B134" s="258"/>
      <c r="C134" s="361"/>
      <c r="D134" s="42"/>
      <c r="E134" s="42"/>
      <c r="F134" s="42"/>
      <c r="G134" s="42"/>
      <c r="H134" s="42"/>
      <c r="I134" s="42"/>
      <c r="J134" s="42"/>
      <c r="K134" s="304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</row>
    <row r="135">
      <c r="A135" s="125"/>
      <c r="B135" s="258"/>
      <c r="C135" s="361"/>
      <c r="D135" s="42"/>
      <c r="E135" s="42"/>
      <c r="F135" s="42"/>
      <c r="G135" s="42"/>
      <c r="H135" s="42"/>
      <c r="I135" s="42"/>
      <c r="J135" s="42"/>
      <c r="K135" s="304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</row>
    <row r="136">
      <c r="A136" s="125"/>
      <c r="B136" s="258"/>
      <c r="C136" s="361"/>
      <c r="D136" s="42"/>
      <c r="E136" s="42"/>
      <c r="F136" s="42"/>
      <c r="G136" s="42"/>
      <c r="H136" s="42"/>
      <c r="I136" s="42"/>
      <c r="J136" s="42"/>
      <c r="K136" s="304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</row>
    <row r="137">
      <c r="A137" s="125"/>
      <c r="B137" s="258"/>
      <c r="C137" s="361"/>
      <c r="D137" s="42"/>
      <c r="E137" s="42"/>
      <c r="F137" s="42"/>
      <c r="G137" s="42"/>
      <c r="H137" s="42"/>
      <c r="I137" s="42"/>
      <c r="J137" s="42"/>
      <c r="K137" s="304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</row>
    <row r="138">
      <c r="A138" s="125"/>
      <c r="B138" s="258"/>
      <c r="C138" s="361"/>
      <c r="D138" s="42"/>
      <c r="E138" s="42"/>
      <c r="F138" s="42"/>
      <c r="G138" s="42"/>
      <c r="H138" s="42"/>
      <c r="I138" s="42"/>
      <c r="J138" s="42"/>
      <c r="K138" s="304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</row>
    <row r="139">
      <c r="A139" s="125"/>
      <c r="B139" s="258"/>
      <c r="C139" s="361"/>
      <c r="D139" s="42"/>
      <c r="E139" s="42"/>
      <c r="F139" s="42"/>
      <c r="G139" s="42"/>
      <c r="H139" s="42"/>
      <c r="I139" s="42"/>
      <c r="J139" s="42"/>
      <c r="K139" s="304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</row>
    <row r="140">
      <c r="A140" s="125"/>
      <c r="B140" s="258"/>
      <c r="C140" s="361"/>
      <c r="D140" s="42"/>
      <c r="E140" s="42"/>
      <c r="F140" s="42"/>
      <c r="G140" s="42"/>
      <c r="H140" s="42"/>
      <c r="I140" s="42"/>
      <c r="J140" s="42"/>
      <c r="K140" s="304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</row>
    <row r="141">
      <c r="A141" s="125"/>
      <c r="B141" s="258"/>
      <c r="C141" s="361"/>
      <c r="D141" s="42"/>
      <c r="E141" s="42"/>
      <c r="F141" s="42"/>
      <c r="G141" s="42"/>
      <c r="H141" s="42"/>
      <c r="I141" s="42"/>
      <c r="J141" s="42"/>
      <c r="K141" s="304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</row>
    <row r="142">
      <c r="A142" s="125"/>
      <c r="B142" s="258"/>
      <c r="C142" s="361"/>
      <c r="D142" s="42"/>
      <c r="E142" s="42"/>
      <c r="F142" s="42"/>
      <c r="G142" s="42"/>
      <c r="H142" s="42"/>
      <c r="I142" s="42"/>
      <c r="J142" s="42"/>
      <c r="K142" s="304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</row>
    <row r="143">
      <c r="A143" s="125"/>
      <c r="B143" s="258"/>
      <c r="C143" s="361"/>
      <c r="D143" s="42"/>
      <c r="E143" s="42"/>
      <c r="F143" s="42"/>
      <c r="G143" s="42"/>
      <c r="H143" s="42"/>
      <c r="I143" s="42"/>
      <c r="J143" s="42"/>
      <c r="K143" s="304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/>
    </row>
    <row r="144">
      <c r="A144" s="125"/>
      <c r="B144" s="258"/>
      <c r="C144" s="361"/>
      <c r="D144" s="42"/>
      <c r="E144" s="42"/>
      <c r="F144" s="42"/>
      <c r="G144" s="42"/>
      <c r="H144" s="42"/>
      <c r="I144" s="42"/>
      <c r="J144" s="42"/>
      <c r="K144" s="304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</row>
    <row r="145">
      <c r="A145" s="125"/>
      <c r="B145" s="258"/>
      <c r="C145" s="361"/>
      <c r="D145" s="42"/>
      <c r="E145" s="42"/>
      <c r="F145" s="42"/>
      <c r="G145" s="42"/>
      <c r="H145" s="42"/>
      <c r="I145" s="42"/>
      <c r="J145" s="42"/>
      <c r="K145" s="304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</row>
    <row r="146">
      <c r="A146" s="125"/>
      <c r="B146" s="258"/>
      <c r="C146" s="361"/>
      <c r="D146" s="42"/>
      <c r="E146" s="42"/>
      <c r="F146" s="42"/>
      <c r="G146" s="42"/>
      <c r="H146" s="42"/>
      <c r="I146" s="42"/>
      <c r="J146" s="42"/>
      <c r="K146" s="304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</row>
    <row r="147">
      <c r="A147" s="125"/>
      <c r="B147" s="258"/>
      <c r="C147" s="361"/>
      <c r="D147" s="42"/>
      <c r="E147" s="42"/>
      <c r="F147" s="42"/>
      <c r="G147" s="42"/>
      <c r="H147" s="42"/>
      <c r="I147" s="42"/>
      <c r="J147" s="42"/>
      <c r="K147" s="304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</row>
    <row r="148">
      <c r="A148" s="125"/>
      <c r="B148" s="258"/>
      <c r="C148" s="361"/>
      <c r="D148" s="42"/>
      <c r="E148" s="42"/>
      <c r="F148" s="42"/>
      <c r="G148" s="42"/>
      <c r="H148" s="42"/>
      <c r="I148" s="42"/>
      <c r="J148" s="42"/>
      <c r="K148" s="304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</row>
    <row r="149">
      <c r="A149" s="125"/>
      <c r="B149" s="258"/>
      <c r="C149" s="361"/>
      <c r="D149" s="42"/>
      <c r="E149" s="42"/>
      <c r="F149" s="42"/>
      <c r="G149" s="42"/>
      <c r="H149" s="42"/>
      <c r="I149" s="42"/>
      <c r="J149" s="42"/>
      <c r="K149" s="304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</row>
    <row r="150">
      <c r="A150" s="125"/>
      <c r="B150" s="258"/>
      <c r="C150" s="361"/>
      <c r="D150" s="42"/>
      <c r="E150" s="42"/>
      <c r="F150" s="42"/>
      <c r="G150" s="42"/>
      <c r="H150" s="42"/>
      <c r="I150" s="42"/>
      <c r="J150" s="42"/>
      <c r="K150" s="304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</row>
    <row r="151">
      <c r="A151" s="125"/>
      <c r="B151" s="258"/>
      <c r="C151" s="361"/>
      <c r="D151" s="42"/>
      <c r="E151" s="42"/>
      <c r="F151" s="42"/>
      <c r="G151" s="42"/>
      <c r="H151" s="42"/>
      <c r="I151" s="42"/>
      <c r="J151" s="42"/>
      <c r="K151" s="304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</row>
    <row r="152">
      <c r="A152" s="125"/>
      <c r="B152" s="258"/>
      <c r="C152" s="361"/>
      <c r="D152" s="42"/>
      <c r="E152" s="42"/>
      <c r="F152" s="42"/>
      <c r="G152" s="42"/>
      <c r="H152" s="42"/>
      <c r="I152" s="42"/>
      <c r="J152" s="42"/>
      <c r="K152" s="304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</row>
    <row r="153">
      <c r="A153" s="125"/>
      <c r="B153" s="258"/>
      <c r="C153" s="361"/>
      <c r="D153" s="42"/>
      <c r="E153" s="42"/>
      <c r="F153" s="42"/>
      <c r="G153" s="42"/>
      <c r="H153" s="42"/>
      <c r="I153" s="42"/>
      <c r="J153" s="42"/>
      <c r="K153" s="304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</row>
    <row r="154">
      <c r="A154" s="125"/>
      <c r="B154" s="258"/>
      <c r="C154" s="361"/>
      <c r="D154" s="42"/>
      <c r="E154" s="42"/>
      <c r="F154" s="42"/>
      <c r="G154" s="42"/>
      <c r="H154" s="42"/>
      <c r="I154" s="42"/>
      <c r="J154" s="42"/>
      <c r="K154" s="304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</row>
    <row r="155">
      <c r="A155" s="125"/>
      <c r="B155" s="258"/>
      <c r="C155" s="361"/>
      <c r="D155" s="42"/>
      <c r="E155" s="42"/>
      <c r="F155" s="42"/>
      <c r="G155" s="42"/>
      <c r="H155" s="42"/>
      <c r="I155" s="42"/>
      <c r="J155" s="42"/>
      <c r="K155" s="304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</row>
    <row r="156">
      <c r="A156" s="125"/>
      <c r="B156" s="258"/>
      <c r="C156" s="361"/>
      <c r="D156" s="42"/>
      <c r="E156" s="42"/>
      <c r="F156" s="42"/>
      <c r="G156" s="42"/>
      <c r="H156" s="42"/>
      <c r="I156" s="42"/>
      <c r="J156" s="42"/>
      <c r="K156" s="304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</row>
    <row r="157">
      <c r="A157" s="125"/>
      <c r="B157" s="258"/>
      <c r="C157" s="361"/>
      <c r="D157" s="42"/>
      <c r="E157" s="42"/>
      <c r="F157" s="42"/>
      <c r="G157" s="42"/>
      <c r="H157" s="42"/>
      <c r="I157" s="42"/>
      <c r="J157" s="42"/>
      <c r="K157" s="304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</row>
    <row r="158">
      <c r="A158" s="125"/>
      <c r="B158" s="258"/>
      <c r="C158" s="361"/>
      <c r="D158" s="42"/>
      <c r="E158" s="42"/>
      <c r="F158" s="42"/>
      <c r="G158" s="42"/>
      <c r="H158" s="42"/>
      <c r="I158" s="42"/>
      <c r="J158" s="42"/>
      <c r="K158" s="304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</row>
    <row r="159">
      <c r="A159" s="125"/>
      <c r="B159" s="258"/>
      <c r="C159" s="361"/>
      <c r="D159" s="42"/>
      <c r="E159" s="42"/>
      <c r="F159" s="42"/>
      <c r="G159" s="42"/>
      <c r="H159" s="42"/>
      <c r="I159" s="42"/>
      <c r="J159" s="42"/>
      <c r="K159" s="304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</row>
    <row r="160">
      <c r="A160" s="125"/>
      <c r="B160" s="258"/>
      <c r="C160" s="361"/>
      <c r="D160" s="42"/>
      <c r="E160" s="42"/>
      <c r="F160" s="42"/>
      <c r="G160" s="42"/>
      <c r="H160" s="42"/>
      <c r="I160" s="42"/>
      <c r="J160" s="42"/>
      <c r="K160" s="304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</row>
    <row r="161">
      <c r="A161" s="125"/>
      <c r="B161" s="258"/>
      <c r="C161" s="361"/>
      <c r="D161" s="42"/>
      <c r="E161" s="42"/>
      <c r="F161" s="42"/>
      <c r="G161" s="42"/>
      <c r="H161" s="42"/>
      <c r="I161" s="42"/>
      <c r="J161" s="42"/>
      <c r="K161" s="304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</row>
    <row r="162">
      <c r="A162" s="125"/>
      <c r="B162" s="258"/>
      <c r="C162" s="361"/>
      <c r="D162" s="42"/>
      <c r="E162" s="42"/>
      <c r="F162" s="42"/>
      <c r="G162" s="42"/>
      <c r="H162" s="42"/>
      <c r="I162" s="42"/>
      <c r="J162" s="42"/>
      <c r="K162" s="304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</row>
    <row r="163">
      <c r="A163" s="125"/>
      <c r="B163" s="258"/>
      <c r="C163" s="361"/>
      <c r="D163" s="42"/>
      <c r="E163" s="42"/>
      <c r="F163" s="42"/>
      <c r="G163" s="42"/>
      <c r="H163" s="42"/>
      <c r="I163" s="42"/>
      <c r="J163" s="42"/>
      <c r="K163" s="304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</row>
    <row r="164">
      <c r="A164" s="125"/>
      <c r="B164" s="258"/>
      <c r="C164" s="361"/>
      <c r="D164" s="42"/>
      <c r="E164" s="42"/>
      <c r="F164" s="42"/>
      <c r="G164" s="42"/>
      <c r="H164" s="42"/>
      <c r="I164" s="42"/>
      <c r="J164" s="42"/>
      <c r="K164" s="304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2"/>
      <c r="BM164" s="42"/>
    </row>
    <row r="165">
      <c r="A165" s="125"/>
      <c r="B165" s="258"/>
      <c r="C165" s="361"/>
      <c r="D165" s="42"/>
      <c r="E165" s="42"/>
      <c r="F165" s="42"/>
      <c r="G165" s="42"/>
      <c r="H165" s="42"/>
      <c r="I165" s="42"/>
      <c r="J165" s="42"/>
      <c r="K165" s="304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2"/>
      <c r="BM165" s="42"/>
    </row>
    <row r="166">
      <c r="A166" s="125"/>
      <c r="B166" s="258"/>
      <c r="C166" s="361"/>
      <c r="D166" s="42"/>
      <c r="E166" s="42"/>
      <c r="F166" s="42"/>
      <c r="G166" s="42"/>
      <c r="H166" s="42"/>
      <c r="I166" s="42"/>
      <c r="J166" s="42"/>
      <c r="K166" s="304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/>
    </row>
    <row r="167">
      <c r="A167" s="125"/>
      <c r="B167" s="258"/>
      <c r="C167" s="361"/>
      <c r="D167" s="42"/>
      <c r="E167" s="42"/>
      <c r="F167" s="42"/>
      <c r="G167" s="42"/>
      <c r="H167" s="42"/>
      <c r="I167" s="42"/>
      <c r="J167" s="42"/>
      <c r="K167" s="304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</row>
    <row r="168">
      <c r="A168" s="125"/>
      <c r="B168" s="258"/>
      <c r="C168" s="361"/>
      <c r="D168" s="42"/>
      <c r="E168" s="42"/>
      <c r="F168" s="42"/>
      <c r="G168" s="42"/>
      <c r="H168" s="42"/>
      <c r="I168" s="42"/>
      <c r="J168" s="42"/>
      <c r="K168" s="304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</row>
    <row r="169">
      <c r="A169" s="125"/>
      <c r="B169" s="258"/>
      <c r="C169" s="361"/>
      <c r="D169" s="42"/>
      <c r="E169" s="42"/>
      <c r="F169" s="42"/>
      <c r="G169" s="42"/>
      <c r="H169" s="42"/>
      <c r="I169" s="42"/>
      <c r="J169" s="42"/>
      <c r="K169" s="304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</row>
    <row r="170">
      <c r="A170" s="125"/>
      <c r="B170" s="258"/>
      <c r="C170" s="361"/>
      <c r="D170" s="42"/>
      <c r="E170" s="42"/>
      <c r="F170" s="42"/>
      <c r="G170" s="42"/>
      <c r="H170" s="42"/>
      <c r="I170" s="42"/>
      <c r="J170" s="42"/>
      <c r="K170" s="304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</row>
    <row r="171">
      <c r="A171" s="125"/>
      <c r="B171" s="258"/>
      <c r="C171" s="361"/>
      <c r="D171" s="42"/>
      <c r="E171" s="42"/>
      <c r="F171" s="42"/>
      <c r="G171" s="42"/>
      <c r="H171" s="42"/>
      <c r="I171" s="42"/>
      <c r="J171" s="42"/>
      <c r="K171" s="304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</row>
    <row r="172">
      <c r="A172" s="125"/>
      <c r="B172" s="258"/>
      <c r="C172" s="361"/>
      <c r="D172" s="42"/>
      <c r="E172" s="42"/>
      <c r="F172" s="42"/>
      <c r="G172" s="42"/>
      <c r="H172" s="42"/>
      <c r="I172" s="42"/>
      <c r="J172" s="42"/>
      <c r="K172" s="304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</row>
    <row r="173">
      <c r="A173" s="125"/>
      <c r="B173" s="258"/>
      <c r="C173" s="361"/>
      <c r="D173" s="42"/>
      <c r="E173" s="42"/>
      <c r="F173" s="42"/>
      <c r="G173" s="42"/>
      <c r="H173" s="42"/>
      <c r="I173" s="42"/>
      <c r="J173" s="42"/>
      <c r="K173" s="304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</row>
    <row r="174">
      <c r="A174" s="125"/>
      <c r="B174" s="258"/>
      <c r="C174" s="361"/>
      <c r="D174" s="42"/>
      <c r="E174" s="42"/>
      <c r="F174" s="42"/>
      <c r="G174" s="42"/>
      <c r="H174" s="42"/>
      <c r="I174" s="42"/>
      <c r="J174" s="42"/>
      <c r="K174" s="304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</row>
    <row r="175">
      <c r="A175" s="125"/>
      <c r="B175" s="258"/>
      <c r="C175" s="361"/>
      <c r="D175" s="42"/>
      <c r="E175" s="42"/>
      <c r="F175" s="42"/>
      <c r="G175" s="42"/>
      <c r="H175" s="42"/>
      <c r="I175" s="42"/>
      <c r="J175" s="42"/>
      <c r="K175" s="304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</row>
    <row r="176">
      <c r="A176" s="125"/>
      <c r="B176" s="258"/>
      <c r="C176" s="361"/>
      <c r="D176" s="42"/>
      <c r="E176" s="42"/>
      <c r="F176" s="42"/>
      <c r="G176" s="42"/>
      <c r="H176" s="42"/>
      <c r="I176" s="42"/>
      <c r="J176" s="42"/>
      <c r="K176" s="304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</row>
    <row r="177">
      <c r="A177" s="125"/>
      <c r="B177" s="258"/>
      <c r="C177" s="361"/>
      <c r="D177" s="42"/>
      <c r="E177" s="42"/>
      <c r="F177" s="42"/>
      <c r="G177" s="42"/>
      <c r="H177" s="42"/>
      <c r="I177" s="42"/>
      <c r="J177" s="42"/>
      <c r="K177" s="304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  <c r="BM177" s="42"/>
    </row>
    <row r="178">
      <c r="A178" s="125"/>
      <c r="B178" s="258"/>
      <c r="C178" s="361"/>
      <c r="D178" s="42"/>
      <c r="E178" s="42"/>
      <c r="F178" s="42"/>
      <c r="G178" s="42"/>
      <c r="H178" s="42"/>
      <c r="I178" s="42"/>
      <c r="J178" s="42"/>
      <c r="K178" s="304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</row>
    <row r="179">
      <c r="A179" s="125"/>
      <c r="B179" s="258"/>
      <c r="C179" s="361"/>
      <c r="D179" s="42"/>
      <c r="E179" s="42"/>
      <c r="F179" s="42"/>
      <c r="G179" s="42"/>
      <c r="H179" s="42"/>
      <c r="I179" s="42"/>
      <c r="J179" s="42"/>
      <c r="K179" s="304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</row>
    <row r="180">
      <c r="A180" s="125"/>
      <c r="B180" s="258"/>
      <c r="C180" s="361"/>
      <c r="D180" s="42"/>
      <c r="E180" s="42"/>
      <c r="F180" s="42"/>
      <c r="G180" s="42"/>
      <c r="H180" s="42"/>
      <c r="I180" s="42"/>
      <c r="J180" s="42"/>
      <c r="K180" s="304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</row>
    <row r="181">
      <c r="A181" s="125"/>
      <c r="B181" s="258"/>
      <c r="C181" s="361"/>
      <c r="D181" s="42"/>
      <c r="E181" s="42"/>
      <c r="F181" s="42"/>
      <c r="G181" s="42"/>
      <c r="H181" s="42"/>
      <c r="I181" s="42"/>
      <c r="J181" s="42"/>
      <c r="K181" s="304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</row>
    <row r="182">
      <c r="A182" s="125"/>
      <c r="B182" s="258"/>
      <c r="C182" s="361"/>
      <c r="D182" s="42"/>
      <c r="E182" s="42"/>
      <c r="F182" s="42"/>
      <c r="G182" s="42"/>
      <c r="H182" s="42"/>
      <c r="I182" s="42"/>
      <c r="J182" s="42"/>
      <c r="K182" s="304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</row>
    <row r="183">
      <c r="A183" s="125"/>
      <c r="B183" s="258"/>
      <c r="C183" s="361"/>
      <c r="D183" s="42"/>
      <c r="E183" s="42"/>
      <c r="F183" s="42"/>
      <c r="G183" s="42"/>
      <c r="H183" s="42"/>
      <c r="I183" s="42"/>
      <c r="J183" s="42"/>
      <c r="K183" s="304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</row>
    <row r="184">
      <c r="A184" s="125"/>
      <c r="B184" s="258"/>
      <c r="C184" s="361"/>
      <c r="D184" s="42"/>
      <c r="E184" s="42"/>
      <c r="F184" s="42"/>
      <c r="G184" s="42"/>
      <c r="H184" s="42"/>
      <c r="I184" s="42"/>
      <c r="J184" s="42"/>
      <c r="K184" s="304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</row>
    <row r="185">
      <c r="A185" s="125"/>
      <c r="B185" s="258"/>
      <c r="C185" s="361"/>
      <c r="D185" s="42"/>
      <c r="E185" s="42"/>
      <c r="F185" s="42"/>
      <c r="G185" s="42"/>
      <c r="H185" s="42"/>
      <c r="I185" s="42"/>
      <c r="J185" s="42"/>
      <c r="K185" s="304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  <c r="BM185" s="42"/>
    </row>
    <row r="186">
      <c r="A186" s="125"/>
      <c r="B186" s="258"/>
      <c r="C186" s="361"/>
      <c r="D186" s="42"/>
      <c r="E186" s="42"/>
      <c r="F186" s="42"/>
      <c r="G186" s="42"/>
      <c r="H186" s="42"/>
      <c r="I186" s="42"/>
      <c r="J186" s="42"/>
      <c r="K186" s="304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</row>
    <row r="187">
      <c r="A187" s="125"/>
      <c r="B187" s="258"/>
      <c r="C187" s="361"/>
      <c r="D187" s="42"/>
      <c r="E187" s="42"/>
      <c r="F187" s="42"/>
      <c r="G187" s="42"/>
      <c r="H187" s="42"/>
      <c r="I187" s="42"/>
      <c r="J187" s="42"/>
      <c r="K187" s="304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</row>
    <row r="188">
      <c r="A188" s="125"/>
      <c r="B188" s="258"/>
      <c r="C188" s="361"/>
      <c r="D188" s="42"/>
      <c r="E188" s="42"/>
      <c r="F188" s="42"/>
      <c r="G188" s="42"/>
      <c r="H188" s="42"/>
      <c r="I188" s="42"/>
      <c r="J188" s="42"/>
      <c r="K188" s="304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</row>
    <row r="189">
      <c r="A189" s="125"/>
      <c r="B189" s="258"/>
      <c r="C189" s="361"/>
      <c r="D189" s="42"/>
      <c r="E189" s="42"/>
      <c r="F189" s="42"/>
      <c r="G189" s="42"/>
      <c r="H189" s="42"/>
      <c r="I189" s="42"/>
      <c r="J189" s="42"/>
      <c r="K189" s="304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2"/>
      <c r="BM189" s="42"/>
    </row>
    <row r="190">
      <c r="A190" s="125"/>
      <c r="B190" s="258"/>
      <c r="C190" s="361"/>
      <c r="D190" s="42"/>
      <c r="E190" s="42"/>
      <c r="F190" s="42"/>
      <c r="G190" s="42"/>
      <c r="H190" s="42"/>
      <c r="I190" s="42"/>
      <c r="J190" s="42"/>
      <c r="K190" s="304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2"/>
      <c r="BK190" s="42"/>
      <c r="BL190" s="42"/>
      <c r="BM190" s="42"/>
    </row>
    <row r="191">
      <c r="A191" s="125"/>
      <c r="B191" s="258"/>
      <c r="C191" s="361"/>
      <c r="D191" s="42"/>
      <c r="E191" s="42"/>
      <c r="F191" s="42"/>
      <c r="G191" s="42"/>
      <c r="H191" s="42"/>
      <c r="I191" s="42"/>
      <c r="J191" s="42"/>
      <c r="K191" s="304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  <c r="BM191" s="42"/>
    </row>
    <row r="192">
      <c r="A192" s="125"/>
      <c r="B192" s="258"/>
      <c r="C192" s="361"/>
      <c r="D192" s="42"/>
      <c r="E192" s="42"/>
      <c r="F192" s="42"/>
      <c r="G192" s="42"/>
      <c r="H192" s="42"/>
      <c r="I192" s="42"/>
      <c r="J192" s="42"/>
      <c r="K192" s="304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  <c r="BM192" s="42"/>
    </row>
    <row r="193">
      <c r="A193" s="125"/>
      <c r="B193" s="258"/>
      <c r="C193" s="361"/>
      <c r="D193" s="42"/>
      <c r="E193" s="42"/>
      <c r="F193" s="42"/>
      <c r="G193" s="42"/>
      <c r="H193" s="42"/>
      <c r="I193" s="42"/>
      <c r="J193" s="42"/>
      <c r="K193" s="304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</row>
    <row r="194">
      <c r="A194" s="125"/>
      <c r="B194" s="258"/>
      <c r="C194" s="361"/>
      <c r="D194" s="42"/>
      <c r="E194" s="42"/>
      <c r="F194" s="42"/>
      <c r="G194" s="42"/>
      <c r="H194" s="42"/>
      <c r="I194" s="42"/>
      <c r="J194" s="42"/>
      <c r="K194" s="304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</row>
    <row r="195">
      <c r="A195" s="125"/>
      <c r="B195" s="258"/>
      <c r="C195" s="361"/>
      <c r="D195" s="42"/>
      <c r="E195" s="42"/>
      <c r="F195" s="42"/>
      <c r="G195" s="42"/>
      <c r="H195" s="42"/>
      <c r="I195" s="42"/>
      <c r="J195" s="42"/>
      <c r="K195" s="304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  <c r="BM195" s="42"/>
    </row>
    <row r="196">
      <c r="A196" s="125"/>
      <c r="B196" s="258"/>
      <c r="C196" s="361"/>
      <c r="D196" s="42"/>
      <c r="E196" s="42"/>
      <c r="F196" s="42"/>
      <c r="G196" s="42"/>
      <c r="H196" s="42"/>
      <c r="I196" s="42"/>
      <c r="J196" s="42"/>
      <c r="K196" s="304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</row>
    <row r="197">
      <c r="A197" s="125"/>
      <c r="B197" s="258"/>
      <c r="C197" s="361"/>
      <c r="D197" s="42"/>
      <c r="E197" s="42"/>
      <c r="F197" s="42"/>
      <c r="G197" s="42"/>
      <c r="H197" s="42"/>
      <c r="I197" s="42"/>
      <c r="J197" s="42"/>
      <c r="K197" s="304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/>
    </row>
    <row r="198">
      <c r="A198" s="125"/>
      <c r="B198" s="258"/>
      <c r="C198" s="361"/>
      <c r="D198" s="42"/>
      <c r="E198" s="42"/>
      <c r="F198" s="42"/>
      <c r="G198" s="42"/>
      <c r="H198" s="42"/>
      <c r="I198" s="42"/>
      <c r="J198" s="42"/>
      <c r="K198" s="304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/>
    </row>
    <row r="199">
      <c r="A199" s="125"/>
      <c r="B199" s="258"/>
      <c r="C199" s="361"/>
      <c r="D199" s="42"/>
      <c r="E199" s="42"/>
      <c r="F199" s="42"/>
      <c r="G199" s="42"/>
      <c r="H199" s="42"/>
      <c r="I199" s="42"/>
      <c r="J199" s="42"/>
      <c r="K199" s="304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/>
    </row>
    <row r="200">
      <c r="A200" s="125"/>
      <c r="B200" s="258"/>
      <c r="C200" s="361"/>
      <c r="D200" s="42"/>
      <c r="E200" s="42"/>
      <c r="F200" s="42"/>
      <c r="G200" s="42"/>
      <c r="H200" s="42"/>
      <c r="I200" s="42"/>
      <c r="J200" s="42"/>
      <c r="K200" s="304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/>
    </row>
    <row r="201">
      <c r="A201" s="125"/>
      <c r="B201" s="258"/>
      <c r="C201" s="361"/>
      <c r="D201" s="42"/>
      <c r="E201" s="42"/>
      <c r="F201" s="42"/>
      <c r="G201" s="42"/>
      <c r="H201" s="42"/>
      <c r="I201" s="42"/>
      <c r="J201" s="42"/>
      <c r="K201" s="304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/>
    </row>
    <row r="202">
      <c r="A202" s="125"/>
      <c r="B202" s="258"/>
      <c r="C202" s="361"/>
      <c r="D202" s="42"/>
      <c r="E202" s="42"/>
      <c r="F202" s="42"/>
      <c r="G202" s="42"/>
      <c r="H202" s="42"/>
      <c r="I202" s="42"/>
      <c r="J202" s="42"/>
      <c r="K202" s="304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</row>
    <row r="203">
      <c r="A203" s="125"/>
      <c r="B203" s="258"/>
      <c r="C203" s="361"/>
      <c r="D203" s="42"/>
      <c r="E203" s="42"/>
      <c r="F203" s="42"/>
      <c r="G203" s="42"/>
      <c r="H203" s="42"/>
      <c r="I203" s="42"/>
      <c r="J203" s="42"/>
      <c r="K203" s="304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  <c r="BM203" s="42"/>
    </row>
    <row r="204">
      <c r="A204" s="125"/>
      <c r="B204" s="258"/>
      <c r="C204" s="361"/>
      <c r="D204" s="42"/>
      <c r="E204" s="42"/>
      <c r="F204" s="42"/>
      <c r="G204" s="42"/>
      <c r="H204" s="42"/>
      <c r="I204" s="42"/>
      <c r="J204" s="42"/>
      <c r="K204" s="304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  <c r="BM204" s="42"/>
    </row>
    <row r="205">
      <c r="A205" s="125"/>
      <c r="B205" s="258"/>
      <c r="C205" s="361"/>
      <c r="D205" s="42"/>
      <c r="E205" s="42"/>
      <c r="F205" s="42"/>
      <c r="G205" s="42"/>
      <c r="H205" s="42"/>
      <c r="I205" s="42"/>
      <c r="J205" s="42"/>
      <c r="K205" s="304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  <c r="BC205" s="42"/>
      <c r="BD205" s="42"/>
      <c r="BE205" s="42"/>
      <c r="BF205" s="42"/>
      <c r="BG205" s="42"/>
      <c r="BH205" s="42"/>
      <c r="BI205" s="42"/>
      <c r="BJ205" s="42"/>
      <c r="BK205" s="42"/>
      <c r="BL205" s="42"/>
      <c r="BM205" s="42"/>
    </row>
    <row r="206">
      <c r="A206" s="125"/>
      <c r="B206" s="258"/>
      <c r="C206" s="361"/>
      <c r="D206" s="42"/>
      <c r="E206" s="42"/>
      <c r="F206" s="42"/>
      <c r="G206" s="42"/>
      <c r="H206" s="42"/>
      <c r="I206" s="42"/>
      <c r="J206" s="42"/>
      <c r="K206" s="304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/>
      <c r="BJ206" s="42"/>
      <c r="BK206" s="42"/>
      <c r="BL206" s="42"/>
      <c r="BM206" s="42"/>
    </row>
    <row r="207">
      <c r="A207" s="125"/>
      <c r="B207" s="258"/>
      <c r="C207" s="361"/>
      <c r="D207" s="42"/>
      <c r="E207" s="42"/>
      <c r="F207" s="42"/>
      <c r="G207" s="42"/>
      <c r="H207" s="42"/>
      <c r="I207" s="42"/>
      <c r="J207" s="42"/>
      <c r="K207" s="304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/>
      <c r="BJ207" s="42"/>
      <c r="BK207" s="42"/>
      <c r="BL207" s="42"/>
      <c r="BM207" s="42"/>
    </row>
    <row r="208">
      <c r="A208" s="125"/>
      <c r="B208" s="258"/>
      <c r="C208" s="361"/>
      <c r="D208" s="42"/>
      <c r="E208" s="42"/>
      <c r="F208" s="42"/>
      <c r="G208" s="42"/>
      <c r="H208" s="42"/>
      <c r="I208" s="42"/>
      <c r="J208" s="42"/>
      <c r="K208" s="304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</row>
    <row r="209">
      <c r="A209" s="125"/>
      <c r="B209" s="258"/>
      <c r="C209" s="361"/>
      <c r="D209" s="42"/>
      <c r="E209" s="42"/>
      <c r="F209" s="42"/>
      <c r="G209" s="42"/>
      <c r="H209" s="42"/>
      <c r="I209" s="42"/>
      <c r="J209" s="42"/>
      <c r="K209" s="304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  <c r="BM209" s="42"/>
    </row>
    <row r="210">
      <c r="A210" s="125"/>
      <c r="B210" s="258"/>
      <c r="C210" s="361"/>
      <c r="D210" s="42"/>
      <c r="E210" s="42"/>
      <c r="F210" s="42"/>
      <c r="G210" s="42"/>
      <c r="H210" s="42"/>
      <c r="I210" s="42"/>
      <c r="J210" s="42"/>
      <c r="K210" s="304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/>
    </row>
    <row r="211">
      <c r="A211" s="125"/>
      <c r="B211" s="258"/>
      <c r="C211" s="361"/>
      <c r="D211" s="42"/>
      <c r="E211" s="42"/>
      <c r="F211" s="42"/>
      <c r="G211" s="42"/>
      <c r="H211" s="42"/>
      <c r="I211" s="42"/>
      <c r="J211" s="42"/>
      <c r="K211" s="304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/>
    </row>
    <row r="212">
      <c r="A212" s="125"/>
      <c r="B212" s="258"/>
      <c r="C212" s="361"/>
      <c r="D212" s="42"/>
      <c r="E212" s="42"/>
      <c r="F212" s="42"/>
      <c r="G212" s="42"/>
      <c r="H212" s="42"/>
      <c r="I212" s="42"/>
      <c r="J212" s="42"/>
      <c r="K212" s="304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/>
    </row>
    <row r="213">
      <c r="A213" s="125"/>
      <c r="B213" s="258"/>
      <c r="C213" s="361"/>
      <c r="D213" s="42"/>
      <c r="E213" s="42"/>
      <c r="F213" s="42"/>
      <c r="G213" s="42"/>
      <c r="H213" s="42"/>
      <c r="I213" s="42"/>
      <c r="J213" s="42"/>
      <c r="K213" s="304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</row>
    <row r="214">
      <c r="A214" s="125"/>
      <c r="B214" s="258"/>
      <c r="C214" s="361"/>
      <c r="D214" s="42"/>
      <c r="E214" s="42"/>
      <c r="F214" s="42"/>
      <c r="G214" s="42"/>
      <c r="H214" s="42"/>
      <c r="I214" s="42"/>
      <c r="J214" s="42"/>
      <c r="K214" s="304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2"/>
      <c r="BM214" s="42"/>
    </row>
    <row r="215">
      <c r="A215" s="125"/>
      <c r="B215" s="258"/>
      <c r="C215" s="361"/>
      <c r="D215" s="42"/>
      <c r="E215" s="42"/>
      <c r="F215" s="42"/>
      <c r="G215" s="42"/>
      <c r="H215" s="42"/>
      <c r="I215" s="42"/>
      <c r="J215" s="42"/>
      <c r="K215" s="304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/>
    </row>
    <row r="216">
      <c r="A216" s="125"/>
      <c r="B216" s="258"/>
      <c r="C216" s="361"/>
      <c r="D216" s="42"/>
      <c r="E216" s="42"/>
      <c r="F216" s="42"/>
      <c r="G216" s="42"/>
      <c r="H216" s="42"/>
      <c r="I216" s="42"/>
      <c r="J216" s="42"/>
      <c r="K216" s="304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2"/>
      <c r="BM216" s="42"/>
    </row>
    <row r="217">
      <c r="A217" s="125"/>
      <c r="B217" s="258"/>
      <c r="C217" s="361"/>
      <c r="D217" s="42"/>
      <c r="E217" s="42"/>
      <c r="F217" s="42"/>
      <c r="G217" s="42"/>
      <c r="H217" s="42"/>
      <c r="I217" s="42"/>
      <c r="J217" s="42"/>
      <c r="K217" s="304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/>
      <c r="BJ217" s="42"/>
      <c r="BK217" s="42"/>
      <c r="BL217" s="42"/>
      <c r="BM217" s="42"/>
    </row>
    <row r="218">
      <c r="A218" s="125"/>
      <c r="B218" s="258"/>
      <c r="C218" s="361"/>
      <c r="D218" s="42"/>
      <c r="E218" s="42"/>
      <c r="F218" s="42"/>
      <c r="G218" s="42"/>
      <c r="H218" s="42"/>
      <c r="I218" s="42"/>
      <c r="J218" s="42"/>
      <c r="K218" s="304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</row>
    <row r="219">
      <c r="A219" s="125"/>
      <c r="B219" s="258"/>
      <c r="C219" s="361"/>
      <c r="D219" s="42"/>
      <c r="E219" s="42"/>
      <c r="F219" s="42"/>
      <c r="G219" s="42"/>
      <c r="H219" s="42"/>
      <c r="I219" s="42"/>
      <c r="J219" s="42"/>
      <c r="K219" s="304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/>
      <c r="BJ219" s="42"/>
      <c r="BK219" s="42"/>
      <c r="BL219" s="42"/>
      <c r="BM219" s="42"/>
    </row>
    <row r="220">
      <c r="A220" s="125"/>
      <c r="B220" s="258"/>
      <c r="C220" s="361"/>
      <c r="D220" s="42"/>
      <c r="E220" s="42"/>
      <c r="F220" s="42"/>
      <c r="G220" s="42"/>
      <c r="H220" s="42"/>
      <c r="I220" s="42"/>
      <c r="J220" s="42"/>
      <c r="K220" s="304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/>
      <c r="BJ220" s="42"/>
      <c r="BK220" s="42"/>
      <c r="BL220" s="42"/>
      <c r="BM220" s="42"/>
    </row>
    <row r="221">
      <c r="A221" s="125"/>
      <c r="B221" s="258"/>
      <c r="C221" s="361"/>
      <c r="D221" s="42"/>
      <c r="E221" s="42"/>
      <c r="F221" s="42"/>
      <c r="G221" s="42"/>
      <c r="H221" s="42"/>
      <c r="I221" s="42"/>
      <c r="J221" s="42"/>
      <c r="K221" s="304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/>
      <c r="BJ221" s="42"/>
      <c r="BK221" s="42"/>
      <c r="BL221" s="42"/>
      <c r="BM221" s="42"/>
    </row>
    <row r="222">
      <c r="A222" s="125"/>
      <c r="B222" s="258"/>
      <c r="C222" s="361"/>
      <c r="D222" s="42"/>
      <c r="E222" s="42"/>
      <c r="F222" s="42"/>
      <c r="G222" s="42"/>
      <c r="H222" s="42"/>
      <c r="I222" s="42"/>
      <c r="J222" s="42"/>
      <c r="K222" s="304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/>
      <c r="BJ222" s="42"/>
      <c r="BK222" s="42"/>
      <c r="BL222" s="42"/>
      <c r="BM222" s="42"/>
    </row>
    <row r="223">
      <c r="A223" s="125"/>
      <c r="B223" s="258"/>
      <c r="C223" s="361"/>
      <c r="D223" s="42"/>
      <c r="E223" s="42"/>
      <c r="F223" s="42"/>
      <c r="G223" s="42"/>
      <c r="H223" s="42"/>
      <c r="I223" s="42"/>
      <c r="J223" s="42"/>
      <c r="K223" s="304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42"/>
      <c r="BC223" s="42"/>
      <c r="BD223" s="42"/>
      <c r="BE223" s="42"/>
      <c r="BF223" s="42"/>
      <c r="BG223" s="42"/>
      <c r="BH223" s="42"/>
      <c r="BI223" s="42"/>
      <c r="BJ223" s="42"/>
      <c r="BK223" s="42"/>
      <c r="BL223" s="42"/>
      <c r="BM223" s="42"/>
    </row>
    <row r="224">
      <c r="A224" s="125"/>
      <c r="B224" s="258"/>
      <c r="C224" s="361"/>
      <c r="D224" s="42"/>
      <c r="E224" s="42"/>
      <c r="F224" s="42"/>
      <c r="G224" s="42"/>
      <c r="H224" s="42"/>
      <c r="I224" s="42"/>
      <c r="J224" s="42"/>
      <c r="K224" s="304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2"/>
      <c r="BD224" s="42"/>
      <c r="BE224" s="42"/>
      <c r="BF224" s="42"/>
      <c r="BG224" s="42"/>
      <c r="BH224" s="42"/>
      <c r="BI224" s="42"/>
      <c r="BJ224" s="42"/>
      <c r="BK224" s="42"/>
      <c r="BL224" s="42"/>
      <c r="BM224" s="42"/>
    </row>
    <row r="225">
      <c r="A225" s="125"/>
      <c r="B225" s="258"/>
      <c r="C225" s="361"/>
      <c r="D225" s="42"/>
      <c r="E225" s="42"/>
      <c r="F225" s="42"/>
      <c r="G225" s="42"/>
      <c r="H225" s="42"/>
      <c r="I225" s="42"/>
      <c r="J225" s="42"/>
      <c r="K225" s="304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  <c r="BC225" s="42"/>
      <c r="BD225" s="42"/>
      <c r="BE225" s="42"/>
      <c r="BF225" s="42"/>
      <c r="BG225" s="42"/>
      <c r="BH225" s="42"/>
      <c r="BI225" s="42"/>
      <c r="BJ225" s="42"/>
      <c r="BK225" s="42"/>
      <c r="BL225" s="42"/>
      <c r="BM225" s="42"/>
    </row>
    <row r="226">
      <c r="A226" s="125"/>
      <c r="B226" s="258"/>
      <c r="C226" s="361"/>
      <c r="D226" s="42"/>
      <c r="E226" s="42"/>
      <c r="F226" s="42"/>
      <c r="G226" s="42"/>
      <c r="H226" s="42"/>
      <c r="I226" s="42"/>
      <c r="J226" s="42"/>
      <c r="K226" s="304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2"/>
      <c r="BD226" s="42"/>
      <c r="BE226" s="42"/>
      <c r="BF226" s="42"/>
      <c r="BG226" s="42"/>
      <c r="BH226" s="42"/>
      <c r="BI226" s="42"/>
      <c r="BJ226" s="42"/>
      <c r="BK226" s="42"/>
      <c r="BL226" s="42"/>
      <c r="BM226" s="42"/>
    </row>
    <row r="227">
      <c r="A227" s="125"/>
      <c r="B227" s="258"/>
      <c r="C227" s="361"/>
      <c r="D227" s="42"/>
      <c r="E227" s="42"/>
      <c r="F227" s="42"/>
      <c r="G227" s="42"/>
      <c r="H227" s="42"/>
      <c r="I227" s="42"/>
      <c r="J227" s="42"/>
      <c r="K227" s="304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  <c r="BC227" s="42"/>
      <c r="BD227" s="42"/>
      <c r="BE227" s="42"/>
      <c r="BF227" s="42"/>
      <c r="BG227" s="42"/>
      <c r="BH227" s="42"/>
      <c r="BI227" s="42"/>
      <c r="BJ227" s="42"/>
      <c r="BK227" s="42"/>
      <c r="BL227" s="42"/>
      <c r="BM227" s="42"/>
    </row>
    <row r="228">
      <c r="A228" s="125"/>
      <c r="B228" s="258"/>
      <c r="C228" s="361"/>
      <c r="D228" s="42"/>
      <c r="E228" s="42"/>
      <c r="F228" s="42"/>
      <c r="G228" s="42"/>
      <c r="H228" s="42"/>
      <c r="I228" s="42"/>
      <c r="J228" s="42"/>
      <c r="K228" s="304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</row>
    <row r="229">
      <c r="A229" s="125"/>
      <c r="B229" s="258"/>
      <c r="C229" s="361"/>
      <c r="D229" s="42"/>
      <c r="E229" s="42"/>
      <c r="F229" s="42"/>
      <c r="G229" s="42"/>
      <c r="H229" s="42"/>
      <c r="I229" s="42"/>
      <c r="J229" s="42"/>
      <c r="K229" s="304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  <c r="BC229" s="42"/>
      <c r="BD229" s="42"/>
      <c r="BE229" s="42"/>
      <c r="BF229" s="42"/>
      <c r="BG229" s="42"/>
      <c r="BH229" s="42"/>
      <c r="BI229" s="42"/>
      <c r="BJ229" s="42"/>
      <c r="BK229" s="42"/>
      <c r="BL229" s="42"/>
      <c r="BM229" s="42"/>
    </row>
    <row r="230">
      <c r="A230" s="125"/>
      <c r="B230" s="258"/>
      <c r="C230" s="361"/>
      <c r="D230" s="42"/>
      <c r="E230" s="42"/>
      <c r="F230" s="42"/>
      <c r="G230" s="42"/>
      <c r="H230" s="42"/>
      <c r="I230" s="42"/>
      <c r="J230" s="42"/>
      <c r="K230" s="304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2"/>
      <c r="BD230" s="42"/>
      <c r="BE230" s="42"/>
      <c r="BF230" s="42"/>
      <c r="BG230" s="42"/>
      <c r="BH230" s="42"/>
      <c r="BI230" s="42"/>
      <c r="BJ230" s="42"/>
      <c r="BK230" s="42"/>
      <c r="BL230" s="42"/>
      <c r="BM230" s="42"/>
    </row>
    <row r="231">
      <c r="A231" s="125"/>
      <c r="B231" s="258"/>
      <c r="C231" s="361"/>
      <c r="D231" s="42"/>
      <c r="E231" s="42"/>
      <c r="F231" s="42"/>
      <c r="G231" s="42"/>
      <c r="H231" s="42"/>
      <c r="I231" s="42"/>
      <c r="J231" s="42"/>
      <c r="K231" s="304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  <c r="BC231" s="42"/>
      <c r="BD231" s="42"/>
      <c r="BE231" s="42"/>
      <c r="BF231" s="42"/>
      <c r="BG231" s="42"/>
      <c r="BH231" s="42"/>
      <c r="BI231" s="42"/>
      <c r="BJ231" s="42"/>
      <c r="BK231" s="42"/>
      <c r="BL231" s="42"/>
      <c r="BM231" s="42"/>
    </row>
    <row r="232">
      <c r="A232" s="125"/>
      <c r="B232" s="258"/>
      <c r="C232" s="361"/>
      <c r="D232" s="42"/>
      <c r="E232" s="42"/>
      <c r="F232" s="42"/>
      <c r="G232" s="42"/>
      <c r="H232" s="42"/>
      <c r="I232" s="42"/>
      <c r="J232" s="42"/>
      <c r="K232" s="304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2"/>
      <c r="BD232" s="42"/>
      <c r="BE232" s="42"/>
      <c r="BF232" s="42"/>
      <c r="BG232" s="42"/>
      <c r="BH232" s="42"/>
      <c r="BI232" s="42"/>
      <c r="BJ232" s="42"/>
      <c r="BK232" s="42"/>
      <c r="BL232" s="42"/>
      <c r="BM232" s="42"/>
    </row>
    <row r="233">
      <c r="A233" s="125"/>
      <c r="B233" s="258"/>
      <c r="C233" s="361"/>
      <c r="D233" s="42"/>
      <c r="E233" s="42"/>
      <c r="F233" s="42"/>
      <c r="G233" s="42"/>
      <c r="H233" s="42"/>
      <c r="I233" s="42"/>
      <c r="J233" s="42"/>
      <c r="K233" s="304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</row>
    <row r="234">
      <c r="A234" s="125"/>
      <c r="B234" s="258"/>
      <c r="C234" s="361"/>
      <c r="D234" s="42"/>
      <c r="E234" s="42"/>
      <c r="F234" s="42"/>
      <c r="G234" s="42"/>
      <c r="H234" s="42"/>
      <c r="I234" s="42"/>
      <c r="J234" s="42"/>
      <c r="K234" s="304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2"/>
      <c r="BD234" s="42"/>
      <c r="BE234" s="42"/>
      <c r="BF234" s="42"/>
      <c r="BG234" s="42"/>
      <c r="BH234" s="42"/>
      <c r="BI234" s="42"/>
      <c r="BJ234" s="42"/>
      <c r="BK234" s="42"/>
      <c r="BL234" s="42"/>
      <c r="BM234" s="42"/>
    </row>
    <row r="235">
      <c r="A235" s="125"/>
      <c r="B235" s="258"/>
      <c r="C235" s="361"/>
      <c r="D235" s="42"/>
      <c r="E235" s="42"/>
      <c r="F235" s="42"/>
      <c r="G235" s="42"/>
      <c r="H235" s="42"/>
      <c r="I235" s="42"/>
      <c r="J235" s="42"/>
      <c r="K235" s="304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  <c r="BC235" s="42"/>
      <c r="BD235" s="42"/>
      <c r="BE235" s="42"/>
      <c r="BF235" s="42"/>
      <c r="BG235" s="42"/>
      <c r="BH235" s="42"/>
      <c r="BI235" s="42"/>
      <c r="BJ235" s="42"/>
      <c r="BK235" s="42"/>
      <c r="BL235" s="42"/>
      <c r="BM235" s="42"/>
    </row>
    <row r="236">
      <c r="A236" s="125"/>
      <c r="B236" s="258"/>
      <c r="C236" s="361"/>
      <c r="D236" s="42"/>
      <c r="E236" s="42"/>
      <c r="F236" s="42"/>
      <c r="G236" s="42"/>
      <c r="H236" s="42"/>
      <c r="I236" s="42"/>
      <c r="J236" s="42"/>
      <c r="K236" s="304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2"/>
      <c r="BD236" s="42"/>
      <c r="BE236" s="42"/>
      <c r="BF236" s="42"/>
      <c r="BG236" s="42"/>
      <c r="BH236" s="42"/>
      <c r="BI236" s="42"/>
      <c r="BJ236" s="42"/>
      <c r="BK236" s="42"/>
      <c r="BL236" s="42"/>
      <c r="BM236" s="42"/>
    </row>
    <row r="237">
      <c r="A237" s="125"/>
      <c r="B237" s="258"/>
      <c r="C237" s="361"/>
      <c r="D237" s="42"/>
      <c r="E237" s="42"/>
      <c r="F237" s="42"/>
      <c r="G237" s="42"/>
      <c r="H237" s="42"/>
      <c r="I237" s="42"/>
      <c r="J237" s="42"/>
      <c r="K237" s="304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  <c r="BC237" s="42"/>
      <c r="BD237" s="42"/>
      <c r="BE237" s="42"/>
      <c r="BF237" s="42"/>
      <c r="BG237" s="42"/>
      <c r="BH237" s="42"/>
      <c r="BI237" s="42"/>
      <c r="BJ237" s="42"/>
      <c r="BK237" s="42"/>
      <c r="BL237" s="42"/>
      <c r="BM237" s="42"/>
    </row>
    <row r="238">
      <c r="A238" s="125"/>
      <c r="B238" s="258"/>
      <c r="C238" s="361"/>
      <c r="D238" s="42"/>
      <c r="E238" s="42"/>
      <c r="F238" s="42"/>
      <c r="G238" s="42"/>
      <c r="H238" s="42"/>
      <c r="I238" s="42"/>
      <c r="J238" s="42"/>
      <c r="K238" s="304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2"/>
      <c r="BD238" s="42"/>
      <c r="BE238" s="42"/>
      <c r="BF238" s="42"/>
      <c r="BG238" s="42"/>
      <c r="BH238" s="42"/>
      <c r="BI238" s="42"/>
      <c r="BJ238" s="42"/>
      <c r="BK238" s="42"/>
      <c r="BL238" s="42"/>
      <c r="BM238" s="42"/>
    </row>
    <row r="239">
      <c r="A239" s="125"/>
      <c r="B239" s="258"/>
      <c r="C239" s="361"/>
      <c r="D239" s="42"/>
      <c r="E239" s="42"/>
      <c r="F239" s="42"/>
      <c r="G239" s="42"/>
      <c r="H239" s="42"/>
      <c r="I239" s="42"/>
      <c r="J239" s="42"/>
      <c r="K239" s="304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  <c r="BC239" s="42"/>
      <c r="BD239" s="42"/>
      <c r="BE239" s="42"/>
      <c r="BF239" s="42"/>
      <c r="BG239" s="42"/>
      <c r="BH239" s="42"/>
      <c r="BI239" s="42"/>
      <c r="BJ239" s="42"/>
      <c r="BK239" s="42"/>
      <c r="BL239" s="42"/>
      <c r="BM239" s="42"/>
    </row>
    <row r="240">
      <c r="A240" s="125"/>
      <c r="B240" s="258"/>
      <c r="C240" s="361"/>
      <c r="D240" s="42"/>
      <c r="E240" s="42"/>
      <c r="F240" s="42"/>
      <c r="G240" s="42"/>
      <c r="H240" s="42"/>
      <c r="I240" s="42"/>
      <c r="J240" s="42"/>
      <c r="K240" s="304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2"/>
      <c r="BD240" s="42"/>
      <c r="BE240" s="42"/>
      <c r="BF240" s="42"/>
      <c r="BG240" s="42"/>
      <c r="BH240" s="42"/>
      <c r="BI240" s="42"/>
      <c r="BJ240" s="42"/>
      <c r="BK240" s="42"/>
      <c r="BL240" s="42"/>
      <c r="BM240" s="42"/>
    </row>
    <row r="241">
      <c r="A241" s="125"/>
      <c r="B241" s="258"/>
      <c r="C241" s="361"/>
      <c r="D241" s="42"/>
      <c r="E241" s="42"/>
      <c r="F241" s="42"/>
      <c r="G241" s="42"/>
      <c r="H241" s="42"/>
      <c r="I241" s="42"/>
      <c r="J241" s="42"/>
      <c r="K241" s="304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  <c r="BC241" s="42"/>
      <c r="BD241" s="42"/>
      <c r="BE241" s="42"/>
      <c r="BF241" s="42"/>
      <c r="BG241" s="42"/>
      <c r="BH241" s="42"/>
      <c r="BI241" s="42"/>
      <c r="BJ241" s="42"/>
      <c r="BK241" s="42"/>
      <c r="BL241" s="42"/>
      <c r="BM241" s="42"/>
    </row>
    <row r="242">
      <c r="A242" s="125"/>
      <c r="B242" s="258"/>
      <c r="C242" s="361"/>
      <c r="D242" s="42"/>
      <c r="E242" s="42"/>
      <c r="F242" s="42"/>
      <c r="G242" s="42"/>
      <c r="H242" s="42"/>
      <c r="I242" s="42"/>
      <c r="J242" s="42"/>
      <c r="K242" s="304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2"/>
      <c r="BD242" s="42"/>
      <c r="BE242" s="42"/>
      <c r="BF242" s="42"/>
      <c r="BG242" s="42"/>
      <c r="BH242" s="42"/>
      <c r="BI242" s="42"/>
      <c r="BJ242" s="42"/>
      <c r="BK242" s="42"/>
      <c r="BL242" s="42"/>
      <c r="BM242" s="42"/>
    </row>
    <row r="243">
      <c r="A243" s="125"/>
      <c r="B243" s="258"/>
      <c r="C243" s="361"/>
      <c r="D243" s="42"/>
      <c r="E243" s="42"/>
      <c r="F243" s="42"/>
      <c r="G243" s="42"/>
      <c r="H243" s="42"/>
      <c r="I243" s="42"/>
      <c r="J243" s="42"/>
      <c r="K243" s="304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  <c r="BC243" s="42"/>
      <c r="BD243" s="42"/>
      <c r="BE243" s="42"/>
      <c r="BF243" s="42"/>
      <c r="BG243" s="42"/>
      <c r="BH243" s="42"/>
      <c r="BI243" s="42"/>
      <c r="BJ243" s="42"/>
      <c r="BK243" s="42"/>
      <c r="BL243" s="42"/>
      <c r="BM243" s="42"/>
    </row>
    <row r="244">
      <c r="A244" s="125"/>
      <c r="B244" s="258"/>
      <c r="C244" s="361"/>
      <c r="D244" s="42"/>
      <c r="E244" s="42"/>
      <c r="F244" s="42"/>
      <c r="G244" s="42"/>
      <c r="H244" s="42"/>
      <c r="I244" s="42"/>
      <c r="J244" s="42"/>
      <c r="K244" s="304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2"/>
      <c r="BD244" s="42"/>
      <c r="BE244" s="42"/>
      <c r="BF244" s="42"/>
      <c r="BG244" s="42"/>
      <c r="BH244" s="42"/>
      <c r="BI244" s="42"/>
      <c r="BJ244" s="42"/>
      <c r="BK244" s="42"/>
      <c r="BL244" s="42"/>
      <c r="BM244" s="42"/>
    </row>
    <row r="245">
      <c r="A245" s="125"/>
      <c r="B245" s="258"/>
      <c r="C245" s="361"/>
      <c r="D245" s="42"/>
      <c r="E245" s="42"/>
      <c r="F245" s="42"/>
      <c r="G245" s="42"/>
      <c r="H245" s="42"/>
      <c r="I245" s="42"/>
      <c r="J245" s="42"/>
      <c r="K245" s="304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  <c r="BB245" s="42"/>
      <c r="BC245" s="42"/>
      <c r="BD245" s="42"/>
      <c r="BE245" s="42"/>
      <c r="BF245" s="42"/>
      <c r="BG245" s="42"/>
      <c r="BH245" s="42"/>
      <c r="BI245" s="42"/>
      <c r="BJ245" s="42"/>
      <c r="BK245" s="42"/>
      <c r="BL245" s="42"/>
      <c r="BM245" s="42"/>
    </row>
    <row r="246">
      <c r="A246" s="125"/>
      <c r="B246" s="258"/>
      <c r="C246" s="361"/>
      <c r="D246" s="42"/>
      <c r="E246" s="42"/>
      <c r="F246" s="42"/>
      <c r="G246" s="42"/>
      <c r="H246" s="42"/>
      <c r="I246" s="42"/>
      <c r="J246" s="42"/>
      <c r="K246" s="304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  <c r="BC246" s="42"/>
      <c r="BD246" s="42"/>
      <c r="BE246" s="42"/>
      <c r="BF246" s="42"/>
      <c r="BG246" s="42"/>
      <c r="BH246" s="42"/>
      <c r="BI246" s="42"/>
      <c r="BJ246" s="42"/>
      <c r="BK246" s="42"/>
      <c r="BL246" s="42"/>
      <c r="BM246" s="42"/>
    </row>
    <row r="247">
      <c r="A247" s="125"/>
      <c r="B247" s="267"/>
      <c r="C247" s="361"/>
      <c r="D247" s="42"/>
      <c r="E247" s="42"/>
      <c r="F247" s="42"/>
      <c r="G247" s="42"/>
      <c r="H247" s="42"/>
      <c r="I247" s="42"/>
      <c r="J247" s="42"/>
      <c r="K247" s="304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  <c r="BB247" s="42"/>
      <c r="BC247" s="42"/>
      <c r="BD247" s="42"/>
      <c r="BE247" s="42"/>
      <c r="BF247" s="42"/>
      <c r="BG247" s="42"/>
      <c r="BH247" s="42"/>
      <c r="BI247" s="42"/>
      <c r="BJ247" s="42"/>
      <c r="BK247" s="42"/>
      <c r="BL247" s="42"/>
      <c r="BM247" s="42"/>
    </row>
    <row r="248">
      <c r="A248" s="125"/>
      <c r="B248" s="267"/>
      <c r="C248" s="361"/>
      <c r="D248" s="42"/>
      <c r="E248" s="42"/>
      <c r="F248" s="42"/>
      <c r="G248" s="42"/>
      <c r="H248" s="42"/>
      <c r="I248" s="42"/>
      <c r="J248" s="42"/>
      <c r="K248" s="304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2"/>
      <c r="BD248" s="42"/>
      <c r="BE248" s="42"/>
      <c r="BF248" s="42"/>
      <c r="BG248" s="42"/>
      <c r="BH248" s="42"/>
      <c r="BI248" s="42"/>
      <c r="BJ248" s="42"/>
      <c r="BK248" s="42"/>
      <c r="BL248" s="42"/>
      <c r="BM248" s="42"/>
    </row>
    <row r="249">
      <c r="A249" s="125"/>
      <c r="B249" s="267"/>
      <c r="C249" s="361"/>
      <c r="D249" s="42"/>
      <c r="E249" s="42"/>
      <c r="F249" s="42"/>
      <c r="G249" s="42"/>
      <c r="H249" s="42"/>
      <c r="I249" s="42"/>
      <c r="J249" s="42"/>
      <c r="K249" s="304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  <c r="BC249" s="42"/>
      <c r="BD249" s="42"/>
      <c r="BE249" s="42"/>
      <c r="BF249" s="42"/>
      <c r="BG249" s="42"/>
      <c r="BH249" s="42"/>
      <c r="BI249" s="42"/>
      <c r="BJ249" s="42"/>
      <c r="BK249" s="42"/>
      <c r="BL249" s="42"/>
      <c r="BM249" s="42"/>
    </row>
    <row r="250">
      <c r="A250" s="125"/>
      <c r="B250" s="267"/>
      <c r="C250" s="361"/>
      <c r="D250" s="42"/>
      <c r="E250" s="42"/>
      <c r="F250" s="42"/>
      <c r="G250" s="42"/>
      <c r="H250" s="42"/>
      <c r="I250" s="42"/>
      <c r="J250" s="42"/>
      <c r="K250" s="304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2"/>
      <c r="BD250" s="42"/>
      <c r="BE250" s="42"/>
      <c r="BF250" s="42"/>
      <c r="BG250" s="42"/>
      <c r="BH250" s="42"/>
      <c r="BI250" s="42"/>
      <c r="BJ250" s="42"/>
      <c r="BK250" s="42"/>
      <c r="BL250" s="42"/>
      <c r="BM250" s="42"/>
    </row>
    <row r="251">
      <c r="A251" s="125"/>
      <c r="B251" s="267"/>
      <c r="C251" s="361"/>
      <c r="D251" s="42"/>
      <c r="E251" s="42"/>
      <c r="F251" s="42"/>
      <c r="G251" s="42"/>
      <c r="H251" s="42"/>
      <c r="I251" s="42"/>
      <c r="J251" s="42"/>
      <c r="K251" s="304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  <c r="BB251" s="42"/>
      <c r="BC251" s="42"/>
      <c r="BD251" s="42"/>
      <c r="BE251" s="42"/>
      <c r="BF251" s="42"/>
      <c r="BG251" s="42"/>
      <c r="BH251" s="42"/>
      <c r="BI251" s="42"/>
      <c r="BJ251" s="42"/>
      <c r="BK251" s="42"/>
      <c r="BL251" s="42"/>
      <c r="BM251" s="42"/>
    </row>
    <row r="252">
      <c r="A252" s="125"/>
      <c r="B252" s="267"/>
      <c r="C252" s="361"/>
      <c r="D252" s="42"/>
      <c r="E252" s="42"/>
      <c r="F252" s="42"/>
      <c r="G252" s="42"/>
      <c r="H252" s="42"/>
      <c r="I252" s="42"/>
      <c r="J252" s="42"/>
      <c r="K252" s="304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  <c r="BC252" s="42"/>
      <c r="BD252" s="42"/>
      <c r="BE252" s="42"/>
      <c r="BF252" s="42"/>
      <c r="BG252" s="42"/>
      <c r="BH252" s="42"/>
      <c r="BI252" s="42"/>
      <c r="BJ252" s="42"/>
      <c r="BK252" s="42"/>
      <c r="BL252" s="42"/>
      <c r="BM252" s="42"/>
    </row>
    <row r="253">
      <c r="A253" s="125"/>
      <c r="B253" s="267"/>
      <c r="C253" s="361"/>
      <c r="D253" s="42"/>
      <c r="E253" s="42"/>
      <c r="F253" s="42"/>
      <c r="G253" s="42"/>
      <c r="H253" s="42"/>
      <c r="I253" s="42"/>
      <c r="J253" s="42"/>
      <c r="K253" s="304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  <c r="BB253" s="42"/>
      <c r="BC253" s="42"/>
      <c r="BD253" s="42"/>
      <c r="BE253" s="42"/>
      <c r="BF253" s="42"/>
      <c r="BG253" s="42"/>
      <c r="BH253" s="42"/>
      <c r="BI253" s="42"/>
      <c r="BJ253" s="42"/>
      <c r="BK253" s="42"/>
      <c r="BL253" s="42"/>
      <c r="BM253" s="42"/>
    </row>
    <row r="254">
      <c r="A254" s="125"/>
      <c r="B254" s="267"/>
      <c r="C254" s="361"/>
      <c r="D254" s="42"/>
      <c r="E254" s="42"/>
      <c r="F254" s="42"/>
      <c r="G254" s="42"/>
      <c r="H254" s="42"/>
      <c r="I254" s="42"/>
      <c r="J254" s="42"/>
      <c r="K254" s="304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2"/>
      <c r="BD254" s="42"/>
      <c r="BE254" s="42"/>
      <c r="BF254" s="42"/>
      <c r="BG254" s="42"/>
      <c r="BH254" s="42"/>
      <c r="BI254" s="42"/>
      <c r="BJ254" s="42"/>
      <c r="BK254" s="42"/>
      <c r="BL254" s="42"/>
      <c r="BM254" s="42"/>
    </row>
    <row r="255">
      <c r="A255" s="125"/>
      <c r="B255" s="267"/>
      <c r="C255" s="361"/>
      <c r="D255" s="42"/>
      <c r="E255" s="42"/>
      <c r="F255" s="42"/>
      <c r="G255" s="42"/>
      <c r="H255" s="42"/>
      <c r="I255" s="42"/>
      <c r="J255" s="42"/>
      <c r="K255" s="304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  <c r="BC255" s="42"/>
      <c r="BD255" s="42"/>
      <c r="BE255" s="42"/>
      <c r="BF255" s="42"/>
      <c r="BG255" s="42"/>
      <c r="BH255" s="42"/>
      <c r="BI255" s="42"/>
      <c r="BJ255" s="42"/>
      <c r="BK255" s="42"/>
      <c r="BL255" s="42"/>
      <c r="BM255" s="42"/>
    </row>
    <row r="256">
      <c r="A256" s="125"/>
      <c r="B256" s="267"/>
      <c r="C256" s="361"/>
      <c r="D256" s="42"/>
      <c r="E256" s="42"/>
      <c r="F256" s="42"/>
      <c r="G256" s="42"/>
      <c r="H256" s="42"/>
      <c r="I256" s="42"/>
      <c r="J256" s="42"/>
      <c r="K256" s="304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</row>
    <row r="257">
      <c r="A257" s="125"/>
      <c r="B257" s="267"/>
      <c r="C257" s="361"/>
      <c r="D257" s="42"/>
      <c r="E257" s="42"/>
      <c r="F257" s="42"/>
      <c r="G257" s="42"/>
      <c r="H257" s="42"/>
      <c r="I257" s="42"/>
      <c r="J257" s="42"/>
      <c r="K257" s="304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  <c r="BC257" s="42"/>
      <c r="BD257" s="42"/>
      <c r="BE257" s="42"/>
      <c r="BF257" s="42"/>
      <c r="BG257" s="42"/>
      <c r="BH257" s="42"/>
      <c r="BI257" s="42"/>
      <c r="BJ257" s="42"/>
      <c r="BK257" s="42"/>
      <c r="BL257" s="42"/>
      <c r="BM257" s="42"/>
    </row>
    <row r="258">
      <c r="A258" s="125"/>
      <c r="B258" s="267"/>
      <c r="C258" s="361"/>
      <c r="D258" s="42"/>
      <c r="E258" s="42"/>
      <c r="F258" s="42"/>
      <c r="G258" s="42"/>
      <c r="H258" s="42"/>
      <c r="I258" s="42"/>
      <c r="J258" s="42"/>
      <c r="K258" s="304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2"/>
    </row>
    <row r="259">
      <c r="A259" s="125"/>
      <c r="B259" s="267"/>
      <c r="C259" s="361"/>
      <c r="D259" s="42"/>
      <c r="E259" s="42"/>
      <c r="F259" s="42"/>
      <c r="G259" s="42"/>
      <c r="H259" s="42"/>
      <c r="I259" s="42"/>
      <c r="J259" s="42"/>
      <c r="K259" s="304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  <c r="BC259" s="42"/>
      <c r="BD259" s="42"/>
      <c r="BE259" s="42"/>
      <c r="BF259" s="42"/>
      <c r="BG259" s="42"/>
      <c r="BH259" s="42"/>
      <c r="BI259" s="42"/>
      <c r="BJ259" s="42"/>
      <c r="BK259" s="42"/>
      <c r="BL259" s="42"/>
      <c r="BM259" s="42"/>
    </row>
    <row r="260">
      <c r="A260" s="125"/>
      <c r="B260" s="267"/>
      <c r="C260" s="361"/>
      <c r="D260" s="42"/>
      <c r="E260" s="42"/>
      <c r="F260" s="42"/>
      <c r="G260" s="42"/>
      <c r="H260" s="42"/>
      <c r="I260" s="42"/>
      <c r="J260" s="42"/>
      <c r="K260" s="304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  <c r="BG260" s="42"/>
      <c r="BH260" s="42"/>
      <c r="BI260" s="42"/>
      <c r="BJ260" s="42"/>
      <c r="BK260" s="42"/>
      <c r="BL260" s="42"/>
      <c r="BM260" s="42"/>
    </row>
    <row r="261">
      <c r="A261" s="125"/>
      <c r="B261" s="267"/>
      <c r="C261" s="361"/>
      <c r="D261" s="42"/>
      <c r="E261" s="42"/>
      <c r="F261" s="42"/>
      <c r="G261" s="42"/>
      <c r="H261" s="42"/>
      <c r="I261" s="42"/>
      <c r="J261" s="42"/>
      <c r="K261" s="304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  <c r="BC261" s="42"/>
      <c r="BD261" s="42"/>
      <c r="BE261" s="42"/>
      <c r="BF261" s="42"/>
      <c r="BG261" s="42"/>
      <c r="BH261" s="42"/>
      <c r="BI261" s="42"/>
      <c r="BJ261" s="42"/>
      <c r="BK261" s="42"/>
      <c r="BL261" s="42"/>
      <c r="BM261" s="42"/>
    </row>
    <row r="262">
      <c r="A262" s="125"/>
      <c r="B262" s="267"/>
      <c r="C262" s="361"/>
      <c r="D262" s="42"/>
      <c r="E262" s="42"/>
      <c r="F262" s="42"/>
      <c r="G262" s="42"/>
      <c r="H262" s="42"/>
      <c r="I262" s="42"/>
      <c r="J262" s="42"/>
      <c r="K262" s="304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2"/>
      <c r="BD262" s="42"/>
      <c r="BE262" s="42"/>
      <c r="BF262" s="42"/>
      <c r="BG262" s="42"/>
      <c r="BH262" s="42"/>
      <c r="BI262" s="42"/>
      <c r="BJ262" s="42"/>
      <c r="BK262" s="42"/>
      <c r="BL262" s="42"/>
      <c r="BM262" s="42"/>
    </row>
    <row r="263">
      <c r="A263" s="125"/>
      <c r="B263" s="267"/>
      <c r="C263" s="361"/>
      <c r="D263" s="42"/>
      <c r="E263" s="42"/>
      <c r="F263" s="42"/>
      <c r="G263" s="42"/>
      <c r="H263" s="42"/>
      <c r="I263" s="42"/>
      <c r="J263" s="42"/>
      <c r="K263" s="304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42"/>
      <c r="BD263" s="42"/>
      <c r="BE263" s="42"/>
      <c r="BF263" s="42"/>
      <c r="BG263" s="42"/>
      <c r="BH263" s="42"/>
      <c r="BI263" s="42"/>
      <c r="BJ263" s="42"/>
      <c r="BK263" s="42"/>
      <c r="BL263" s="42"/>
      <c r="BM263" s="42"/>
    </row>
    <row r="264">
      <c r="A264" s="125"/>
      <c r="B264" s="267"/>
      <c r="C264" s="361"/>
      <c r="D264" s="42"/>
      <c r="E264" s="42"/>
      <c r="F264" s="42"/>
      <c r="G264" s="42"/>
      <c r="H264" s="42"/>
      <c r="I264" s="42"/>
      <c r="J264" s="42"/>
      <c r="K264" s="304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42"/>
      <c r="BD264" s="42"/>
      <c r="BE264" s="42"/>
      <c r="BF264" s="42"/>
      <c r="BG264" s="42"/>
      <c r="BH264" s="42"/>
      <c r="BI264" s="42"/>
      <c r="BJ264" s="42"/>
      <c r="BK264" s="42"/>
      <c r="BL264" s="42"/>
      <c r="BM264" s="42"/>
    </row>
    <row r="265">
      <c r="A265" s="125"/>
      <c r="B265" s="267"/>
      <c r="C265" s="361"/>
      <c r="D265" s="42"/>
      <c r="E265" s="42"/>
      <c r="F265" s="42"/>
      <c r="G265" s="42"/>
      <c r="H265" s="42"/>
      <c r="I265" s="42"/>
      <c r="J265" s="42"/>
      <c r="K265" s="304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  <c r="BC265" s="42"/>
      <c r="BD265" s="42"/>
      <c r="BE265" s="42"/>
      <c r="BF265" s="42"/>
      <c r="BG265" s="42"/>
      <c r="BH265" s="42"/>
      <c r="BI265" s="42"/>
      <c r="BJ265" s="42"/>
      <c r="BK265" s="42"/>
      <c r="BL265" s="42"/>
      <c r="BM265" s="42"/>
    </row>
    <row r="266">
      <c r="A266" s="125"/>
      <c r="B266" s="267"/>
      <c r="C266" s="361"/>
      <c r="D266" s="42"/>
      <c r="E266" s="42"/>
      <c r="F266" s="42"/>
      <c r="G266" s="42"/>
      <c r="H266" s="42"/>
      <c r="I266" s="42"/>
      <c r="J266" s="42"/>
      <c r="K266" s="304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2"/>
      <c r="BD266" s="42"/>
      <c r="BE266" s="42"/>
      <c r="BF266" s="42"/>
      <c r="BG266" s="42"/>
      <c r="BH266" s="42"/>
      <c r="BI266" s="42"/>
      <c r="BJ266" s="42"/>
      <c r="BK266" s="42"/>
      <c r="BL266" s="42"/>
      <c r="BM266" s="42"/>
    </row>
    <row r="267">
      <c r="A267" s="125"/>
      <c r="B267" s="267"/>
      <c r="C267" s="361"/>
      <c r="D267" s="42"/>
      <c r="E267" s="42"/>
      <c r="F267" s="42"/>
      <c r="G267" s="42"/>
      <c r="H267" s="42"/>
      <c r="I267" s="42"/>
      <c r="J267" s="42"/>
      <c r="K267" s="304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  <c r="BC267" s="42"/>
      <c r="BD267" s="42"/>
      <c r="BE267" s="42"/>
      <c r="BF267" s="42"/>
      <c r="BG267" s="42"/>
      <c r="BH267" s="42"/>
      <c r="BI267" s="42"/>
      <c r="BJ267" s="42"/>
      <c r="BK267" s="42"/>
      <c r="BL267" s="42"/>
      <c r="BM267" s="42"/>
    </row>
    <row r="268">
      <c r="A268" s="125"/>
      <c r="B268" s="267"/>
      <c r="C268" s="361"/>
      <c r="D268" s="42"/>
      <c r="E268" s="42"/>
      <c r="F268" s="42"/>
      <c r="G268" s="42"/>
      <c r="H268" s="42"/>
      <c r="I268" s="42"/>
      <c r="J268" s="42"/>
      <c r="K268" s="304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</row>
    <row r="269">
      <c r="A269" s="125"/>
      <c r="B269" s="267"/>
      <c r="C269" s="361"/>
      <c r="D269" s="42"/>
      <c r="E269" s="42"/>
      <c r="F269" s="42"/>
      <c r="G269" s="42"/>
      <c r="H269" s="42"/>
      <c r="I269" s="42"/>
      <c r="J269" s="42"/>
      <c r="K269" s="304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  <c r="BB269" s="42"/>
      <c r="BC269" s="42"/>
      <c r="BD269" s="42"/>
      <c r="BE269" s="42"/>
      <c r="BF269" s="42"/>
      <c r="BG269" s="42"/>
      <c r="BH269" s="42"/>
      <c r="BI269" s="42"/>
      <c r="BJ269" s="42"/>
      <c r="BK269" s="42"/>
      <c r="BL269" s="42"/>
      <c r="BM269" s="42"/>
    </row>
    <row r="270">
      <c r="A270" s="125"/>
      <c r="B270" s="267"/>
      <c r="C270" s="361"/>
      <c r="D270" s="42"/>
      <c r="E270" s="42"/>
      <c r="F270" s="42"/>
      <c r="G270" s="42"/>
      <c r="H270" s="42"/>
      <c r="I270" s="42"/>
      <c r="J270" s="42"/>
      <c r="K270" s="304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42"/>
      <c r="BD270" s="42"/>
      <c r="BE270" s="42"/>
      <c r="BF270" s="42"/>
      <c r="BG270" s="42"/>
      <c r="BH270" s="42"/>
      <c r="BI270" s="42"/>
      <c r="BJ270" s="42"/>
      <c r="BK270" s="42"/>
      <c r="BL270" s="42"/>
      <c r="BM270" s="42"/>
    </row>
    <row r="271">
      <c r="A271" s="125"/>
      <c r="B271" s="267"/>
      <c r="C271" s="361"/>
      <c r="D271" s="42"/>
      <c r="E271" s="42"/>
      <c r="F271" s="42"/>
      <c r="G271" s="42"/>
      <c r="H271" s="42"/>
      <c r="I271" s="42"/>
      <c r="J271" s="42"/>
      <c r="K271" s="304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  <c r="AZ271" s="42"/>
      <c r="BA271" s="42"/>
      <c r="BB271" s="42"/>
      <c r="BC271" s="42"/>
      <c r="BD271" s="42"/>
      <c r="BE271" s="42"/>
      <c r="BF271" s="42"/>
      <c r="BG271" s="42"/>
      <c r="BH271" s="42"/>
      <c r="BI271" s="42"/>
      <c r="BJ271" s="42"/>
      <c r="BK271" s="42"/>
      <c r="BL271" s="42"/>
      <c r="BM271" s="42"/>
    </row>
    <row r="272">
      <c r="A272" s="125"/>
      <c r="B272" s="267"/>
      <c r="C272" s="361"/>
      <c r="D272" s="42"/>
      <c r="E272" s="42"/>
      <c r="F272" s="42"/>
      <c r="G272" s="42"/>
      <c r="H272" s="42"/>
      <c r="I272" s="42"/>
      <c r="J272" s="42"/>
      <c r="K272" s="304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  <c r="BC272" s="42"/>
      <c r="BD272" s="42"/>
      <c r="BE272" s="42"/>
      <c r="BF272" s="42"/>
      <c r="BG272" s="42"/>
      <c r="BH272" s="42"/>
      <c r="BI272" s="42"/>
      <c r="BJ272" s="42"/>
      <c r="BK272" s="42"/>
      <c r="BL272" s="42"/>
      <c r="BM272" s="42"/>
    </row>
    <row r="273">
      <c r="A273" s="125"/>
      <c r="B273" s="267"/>
      <c r="C273" s="361"/>
      <c r="D273" s="42"/>
      <c r="E273" s="42"/>
      <c r="F273" s="42"/>
      <c r="G273" s="42"/>
      <c r="H273" s="42"/>
      <c r="I273" s="42"/>
      <c r="J273" s="42"/>
      <c r="K273" s="304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</row>
    <row r="274">
      <c r="A274" s="125"/>
      <c r="B274" s="267"/>
      <c r="C274" s="361"/>
      <c r="D274" s="42"/>
      <c r="E274" s="42"/>
      <c r="F274" s="42"/>
      <c r="G274" s="42"/>
      <c r="H274" s="42"/>
      <c r="I274" s="42"/>
      <c r="J274" s="42"/>
      <c r="K274" s="304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  <c r="BC274" s="42"/>
      <c r="BD274" s="42"/>
      <c r="BE274" s="42"/>
      <c r="BF274" s="42"/>
      <c r="BG274" s="42"/>
      <c r="BH274" s="42"/>
      <c r="BI274" s="42"/>
      <c r="BJ274" s="42"/>
      <c r="BK274" s="42"/>
      <c r="BL274" s="42"/>
      <c r="BM274" s="42"/>
    </row>
    <row r="275">
      <c r="A275" s="125"/>
      <c r="B275" s="267"/>
      <c r="C275" s="361"/>
      <c r="D275" s="42"/>
      <c r="E275" s="42"/>
      <c r="F275" s="42"/>
      <c r="G275" s="42"/>
      <c r="H275" s="42"/>
      <c r="I275" s="42"/>
      <c r="J275" s="42"/>
      <c r="K275" s="304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  <c r="BC275" s="42"/>
      <c r="BD275" s="42"/>
      <c r="BE275" s="42"/>
      <c r="BF275" s="42"/>
      <c r="BG275" s="42"/>
      <c r="BH275" s="42"/>
      <c r="BI275" s="42"/>
      <c r="BJ275" s="42"/>
      <c r="BK275" s="42"/>
      <c r="BL275" s="42"/>
      <c r="BM275" s="42"/>
    </row>
    <row r="276">
      <c r="A276" s="125"/>
      <c r="B276" s="267"/>
      <c r="C276" s="361"/>
      <c r="D276" s="42"/>
      <c r="E276" s="42"/>
      <c r="F276" s="42"/>
      <c r="G276" s="42"/>
      <c r="H276" s="42"/>
      <c r="I276" s="42"/>
      <c r="J276" s="42"/>
      <c r="K276" s="304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2"/>
      <c r="BD276" s="42"/>
      <c r="BE276" s="42"/>
      <c r="BF276" s="42"/>
      <c r="BG276" s="42"/>
      <c r="BH276" s="42"/>
      <c r="BI276" s="42"/>
      <c r="BJ276" s="42"/>
      <c r="BK276" s="42"/>
      <c r="BL276" s="42"/>
      <c r="BM276" s="42"/>
    </row>
    <row r="277">
      <c r="A277" s="125"/>
      <c r="B277" s="267"/>
      <c r="C277" s="361"/>
      <c r="D277" s="42"/>
      <c r="E277" s="42"/>
      <c r="F277" s="42"/>
      <c r="G277" s="42"/>
      <c r="H277" s="42"/>
      <c r="I277" s="42"/>
      <c r="J277" s="42"/>
      <c r="K277" s="304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AY277" s="42"/>
      <c r="AZ277" s="42"/>
      <c r="BA277" s="42"/>
      <c r="BB277" s="42"/>
      <c r="BC277" s="42"/>
      <c r="BD277" s="42"/>
      <c r="BE277" s="42"/>
      <c r="BF277" s="42"/>
      <c r="BG277" s="42"/>
      <c r="BH277" s="42"/>
      <c r="BI277" s="42"/>
      <c r="BJ277" s="42"/>
      <c r="BK277" s="42"/>
      <c r="BL277" s="42"/>
      <c r="BM277" s="42"/>
    </row>
    <row r="278">
      <c r="A278" s="125"/>
      <c r="B278" s="267"/>
      <c r="C278" s="361"/>
      <c r="D278" s="42"/>
      <c r="E278" s="42"/>
      <c r="F278" s="42"/>
      <c r="G278" s="42"/>
      <c r="H278" s="42"/>
      <c r="I278" s="42"/>
      <c r="J278" s="42"/>
      <c r="K278" s="304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42"/>
      <c r="BD278" s="42"/>
      <c r="BE278" s="42"/>
      <c r="BF278" s="42"/>
      <c r="BG278" s="42"/>
      <c r="BH278" s="42"/>
      <c r="BI278" s="42"/>
      <c r="BJ278" s="42"/>
      <c r="BK278" s="42"/>
      <c r="BL278" s="42"/>
      <c r="BM278" s="42"/>
    </row>
    <row r="279">
      <c r="A279" s="125"/>
      <c r="B279" s="267"/>
      <c r="C279" s="361"/>
      <c r="D279" s="42"/>
      <c r="E279" s="42"/>
      <c r="F279" s="42"/>
      <c r="G279" s="42"/>
      <c r="H279" s="42"/>
      <c r="I279" s="42"/>
      <c r="J279" s="42"/>
      <c r="K279" s="304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AY279" s="42"/>
      <c r="AZ279" s="42"/>
      <c r="BA279" s="42"/>
      <c r="BB279" s="42"/>
      <c r="BC279" s="42"/>
      <c r="BD279" s="42"/>
      <c r="BE279" s="42"/>
      <c r="BF279" s="42"/>
      <c r="BG279" s="42"/>
      <c r="BH279" s="42"/>
      <c r="BI279" s="42"/>
      <c r="BJ279" s="42"/>
      <c r="BK279" s="42"/>
      <c r="BL279" s="42"/>
      <c r="BM279" s="42"/>
    </row>
    <row r="280">
      <c r="A280" s="125"/>
      <c r="B280" s="267"/>
      <c r="C280" s="361"/>
      <c r="D280" s="42"/>
      <c r="E280" s="42"/>
      <c r="F280" s="42"/>
      <c r="G280" s="42"/>
      <c r="H280" s="42"/>
      <c r="I280" s="42"/>
      <c r="J280" s="42"/>
      <c r="K280" s="304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42"/>
      <c r="BD280" s="42"/>
      <c r="BE280" s="42"/>
      <c r="BF280" s="42"/>
      <c r="BG280" s="42"/>
      <c r="BH280" s="42"/>
      <c r="BI280" s="42"/>
      <c r="BJ280" s="42"/>
      <c r="BK280" s="42"/>
      <c r="BL280" s="42"/>
      <c r="BM280" s="42"/>
    </row>
    <row r="281">
      <c r="A281" s="125"/>
      <c r="B281" s="267"/>
      <c r="C281" s="361"/>
      <c r="D281" s="42"/>
      <c r="E281" s="42"/>
      <c r="F281" s="42"/>
      <c r="G281" s="42"/>
      <c r="H281" s="42"/>
      <c r="I281" s="42"/>
      <c r="J281" s="42"/>
      <c r="K281" s="304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  <c r="BC281" s="42"/>
      <c r="BD281" s="42"/>
      <c r="BE281" s="42"/>
      <c r="BF281" s="42"/>
      <c r="BG281" s="42"/>
      <c r="BH281" s="42"/>
      <c r="BI281" s="42"/>
      <c r="BJ281" s="42"/>
      <c r="BK281" s="42"/>
      <c r="BL281" s="42"/>
      <c r="BM281" s="42"/>
    </row>
    <row r="282">
      <c r="A282" s="125"/>
      <c r="B282" s="267"/>
      <c r="C282" s="361"/>
      <c r="D282" s="42"/>
      <c r="E282" s="42"/>
      <c r="F282" s="42"/>
      <c r="G282" s="42"/>
      <c r="H282" s="42"/>
      <c r="I282" s="42"/>
      <c r="J282" s="42"/>
      <c r="K282" s="304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  <c r="BC282" s="42"/>
      <c r="BD282" s="42"/>
      <c r="BE282" s="42"/>
      <c r="BF282" s="42"/>
      <c r="BG282" s="42"/>
      <c r="BH282" s="42"/>
      <c r="BI282" s="42"/>
      <c r="BJ282" s="42"/>
      <c r="BK282" s="42"/>
      <c r="BL282" s="42"/>
      <c r="BM282" s="42"/>
    </row>
    <row r="283">
      <c r="A283" s="125"/>
      <c r="B283" s="267"/>
      <c r="C283" s="361"/>
      <c r="D283" s="42"/>
      <c r="E283" s="42"/>
      <c r="F283" s="42"/>
      <c r="G283" s="42"/>
      <c r="H283" s="42"/>
      <c r="I283" s="42"/>
      <c r="J283" s="42"/>
      <c r="K283" s="304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  <c r="BC283" s="42"/>
      <c r="BD283" s="42"/>
      <c r="BE283" s="42"/>
      <c r="BF283" s="42"/>
      <c r="BG283" s="42"/>
      <c r="BH283" s="42"/>
      <c r="BI283" s="42"/>
      <c r="BJ283" s="42"/>
      <c r="BK283" s="42"/>
      <c r="BL283" s="42"/>
      <c r="BM283" s="42"/>
    </row>
    <row r="284">
      <c r="A284" s="125"/>
      <c r="B284" s="267"/>
      <c r="C284" s="361"/>
      <c r="D284" s="42"/>
      <c r="E284" s="42"/>
      <c r="F284" s="42"/>
      <c r="G284" s="42"/>
      <c r="H284" s="42"/>
      <c r="I284" s="42"/>
      <c r="J284" s="42"/>
      <c r="K284" s="304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42"/>
      <c r="BD284" s="42"/>
      <c r="BE284" s="42"/>
      <c r="BF284" s="42"/>
      <c r="BG284" s="42"/>
      <c r="BH284" s="42"/>
      <c r="BI284" s="42"/>
      <c r="BJ284" s="42"/>
      <c r="BK284" s="42"/>
      <c r="BL284" s="42"/>
      <c r="BM284" s="42"/>
    </row>
    <row r="285">
      <c r="A285" s="125"/>
      <c r="B285" s="267"/>
      <c r="C285" s="361"/>
      <c r="D285" s="42"/>
      <c r="E285" s="42"/>
      <c r="F285" s="42"/>
      <c r="G285" s="42"/>
      <c r="H285" s="42"/>
      <c r="I285" s="42"/>
      <c r="J285" s="42"/>
      <c r="K285" s="304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  <c r="AZ285" s="42"/>
      <c r="BA285" s="42"/>
      <c r="BB285" s="42"/>
      <c r="BC285" s="42"/>
      <c r="BD285" s="42"/>
      <c r="BE285" s="42"/>
      <c r="BF285" s="42"/>
      <c r="BG285" s="42"/>
      <c r="BH285" s="42"/>
      <c r="BI285" s="42"/>
      <c r="BJ285" s="42"/>
      <c r="BK285" s="42"/>
      <c r="BL285" s="42"/>
      <c r="BM285" s="42"/>
    </row>
    <row r="286">
      <c r="A286" s="125"/>
      <c r="B286" s="267"/>
      <c r="C286" s="361"/>
      <c r="D286" s="42"/>
      <c r="E286" s="42"/>
      <c r="F286" s="42"/>
      <c r="G286" s="42"/>
      <c r="H286" s="42"/>
      <c r="I286" s="42"/>
      <c r="J286" s="42"/>
      <c r="K286" s="304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42"/>
      <c r="BD286" s="42"/>
      <c r="BE286" s="42"/>
      <c r="BF286" s="42"/>
      <c r="BG286" s="42"/>
      <c r="BH286" s="42"/>
      <c r="BI286" s="42"/>
      <c r="BJ286" s="42"/>
      <c r="BK286" s="42"/>
      <c r="BL286" s="42"/>
      <c r="BM286" s="42"/>
    </row>
    <row r="287">
      <c r="A287" s="125"/>
      <c r="B287" s="267"/>
      <c r="C287" s="361"/>
      <c r="D287" s="42"/>
      <c r="E287" s="42"/>
      <c r="F287" s="42"/>
      <c r="G287" s="42"/>
      <c r="H287" s="42"/>
      <c r="I287" s="42"/>
      <c r="J287" s="42"/>
      <c r="K287" s="304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  <c r="BC287" s="42"/>
      <c r="BD287" s="42"/>
      <c r="BE287" s="42"/>
      <c r="BF287" s="42"/>
      <c r="BG287" s="42"/>
      <c r="BH287" s="42"/>
      <c r="BI287" s="42"/>
      <c r="BJ287" s="42"/>
      <c r="BK287" s="42"/>
      <c r="BL287" s="42"/>
      <c r="BM287" s="42"/>
    </row>
    <row r="288">
      <c r="A288" s="125"/>
      <c r="B288" s="267"/>
      <c r="C288" s="361"/>
      <c r="D288" s="42"/>
      <c r="E288" s="42"/>
      <c r="F288" s="42"/>
      <c r="G288" s="42"/>
      <c r="H288" s="42"/>
      <c r="I288" s="42"/>
      <c r="J288" s="42"/>
      <c r="K288" s="304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  <c r="BC288" s="42"/>
      <c r="BD288" s="42"/>
      <c r="BE288" s="42"/>
      <c r="BF288" s="42"/>
      <c r="BG288" s="42"/>
      <c r="BH288" s="42"/>
      <c r="BI288" s="42"/>
      <c r="BJ288" s="42"/>
      <c r="BK288" s="42"/>
      <c r="BL288" s="42"/>
      <c r="BM288" s="42"/>
    </row>
    <row r="289">
      <c r="A289" s="125"/>
      <c r="B289" s="267"/>
      <c r="C289" s="361"/>
      <c r="D289" s="42"/>
      <c r="E289" s="42"/>
      <c r="F289" s="42"/>
      <c r="G289" s="42"/>
      <c r="H289" s="42"/>
      <c r="I289" s="42"/>
      <c r="J289" s="42"/>
      <c r="K289" s="304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AY289" s="42"/>
      <c r="AZ289" s="42"/>
      <c r="BA289" s="42"/>
      <c r="BB289" s="42"/>
      <c r="BC289" s="42"/>
      <c r="BD289" s="42"/>
      <c r="BE289" s="42"/>
      <c r="BF289" s="42"/>
      <c r="BG289" s="42"/>
      <c r="BH289" s="42"/>
      <c r="BI289" s="42"/>
      <c r="BJ289" s="42"/>
      <c r="BK289" s="42"/>
      <c r="BL289" s="42"/>
      <c r="BM289" s="42"/>
    </row>
    <row r="290">
      <c r="A290" s="125"/>
      <c r="B290" s="267"/>
      <c r="C290" s="361"/>
      <c r="D290" s="42"/>
      <c r="E290" s="42"/>
      <c r="F290" s="42"/>
      <c r="G290" s="42"/>
      <c r="H290" s="42"/>
      <c r="I290" s="42"/>
      <c r="J290" s="42"/>
      <c r="K290" s="304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  <c r="BC290" s="42"/>
      <c r="BD290" s="42"/>
      <c r="BE290" s="42"/>
      <c r="BF290" s="42"/>
      <c r="BG290" s="42"/>
      <c r="BH290" s="42"/>
      <c r="BI290" s="42"/>
      <c r="BJ290" s="42"/>
      <c r="BK290" s="42"/>
      <c r="BL290" s="42"/>
      <c r="BM290" s="42"/>
    </row>
    <row r="291">
      <c r="A291" s="125"/>
      <c r="B291" s="267"/>
      <c r="C291" s="361"/>
      <c r="D291" s="42"/>
      <c r="E291" s="42"/>
      <c r="F291" s="42"/>
      <c r="G291" s="42"/>
      <c r="H291" s="42"/>
      <c r="I291" s="42"/>
      <c r="J291" s="42"/>
      <c r="K291" s="304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AY291" s="42"/>
      <c r="AZ291" s="42"/>
      <c r="BA291" s="42"/>
      <c r="BB291" s="42"/>
      <c r="BC291" s="42"/>
      <c r="BD291" s="42"/>
      <c r="BE291" s="42"/>
      <c r="BF291" s="42"/>
      <c r="BG291" s="42"/>
      <c r="BH291" s="42"/>
      <c r="BI291" s="42"/>
      <c r="BJ291" s="42"/>
      <c r="BK291" s="42"/>
      <c r="BL291" s="42"/>
      <c r="BM291" s="42"/>
    </row>
    <row r="292">
      <c r="A292" s="125"/>
      <c r="B292" s="267"/>
      <c r="C292" s="361"/>
      <c r="D292" s="42"/>
      <c r="E292" s="42"/>
      <c r="F292" s="42"/>
      <c r="G292" s="42"/>
      <c r="H292" s="42"/>
      <c r="I292" s="42"/>
      <c r="J292" s="42"/>
      <c r="K292" s="304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42"/>
      <c r="BD292" s="42"/>
      <c r="BE292" s="42"/>
      <c r="BF292" s="42"/>
      <c r="BG292" s="42"/>
      <c r="BH292" s="42"/>
      <c r="BI292" s="42"/>
      <c r="BJ292" s="42"/>
      <c r="BK292" s="42"/>
      <c r="BL292" s="42"/>
      <c r="BM292" s="42"/>
    </row>
    <row r="293">
      <c r="A293" s="125"/>
      <c r="B293" s="267"/>
      <c r="C293" s="361"/>
      <c r="D293" s="42"/>
      <c r="E293" s="42"/>
      <c r="F293" s="42"/>
      <c r="G293" s="42"/>
      <c r="H293" s="42"/>
      <c r="I293" s="42"/>
      <c r="J293" s="42"/>
      <c r="K293" s="304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  <c r="AZ293" s="42"/>
      <c r="BA293" s="42"/>
      <c r="BB293" s="42"/>
      <c r="BC293" s="42"/>
      <c r="BD293" s="42"/>
      <c r="BE293" s="42"/>
      <c r="BF293" s="42"/>
      <c r="BG293" s="42"/>
      <c r="BH293" s="42"/>
      <c r="BI293" s="42"/>
      <c r="BJ293" s="42"/>
      <c r="BK293" s="42"/>
      <c r="BL293" s="42"/>
      <c r="BM293" s="42"/>
    </row>
    <row r="294">
      <c r="A294" s="125"/>
      <c r="B294" s="267"/>
      <c r="C294" s="361"/>
      <c r="D294" s="42"/>
      <c r="E294" s="42"/>
      <c r="F294" s="42"/>
      <c r="G294" s="42"/>
      <c r="H294" s="42"/>
      <c r="I294" s="42"/>
      <c r="J294" s="42"/>
      <c r="K294" s="304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</row>
    <row r="295">
      <c r="A295" s="125"/>
      <c r="B295" s="267"/>
      <c r="C295" s="361"/>
      <c r="D295" s="42"/>
      <c r="E295" s="42"/>
      <c r="F295" s="42"/>
      <c r="G295" s="42"/>
      <c r="H295" s="42"/>
      <c r="I295" s="42"/>
      <c r="J295" s="42"/>
      <c r="K295" s="304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  <c r="BC295" s="42"/>
      <c r="BD295" s="42"/>
      <c r="BE295" s="42"/>
      <c r="BF295" s="42"/>
      <c r="BG295" s="42"/>
      <c r="BH295" s="42"/>
      <c r="BI295" s="42"/>
      <c r="BJ295" s="42"/>
      <c r="BK295" s="42"/>
      <c r="BL295" s="42"/>
      <c r="BM295" s="42"/>
    </row>
    <row r="296">
      <c r="A296" s="125"/>
      <c r="B296" s="267"/>
      <c r="C296" s="361"/>
      <c r="D296" s="42"/>
      <c r="E296" s="42"/>
      <c r="F296" s="42"/>
      <c r="G296" s="42"/>
      <c r="H296" s="42"/>
      <c r="I296" s="42"/>
      <c r="J296" s="42"/>
      <c r="K296" s="304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2"/>
      <c r="BD296" s="42"/>
      <c r="BE296" s="42"/>
      <c r="BF296" s="42"/>
      <c r="BG296" s="42"/>
      <c r="BH296" s="42"/>
      <c r="BI296" s="42"/>
      <c r="BJ296" s="42"/>
      <c r="BK296" s="42"/>
      <c r="BL296" s="42"/>
      <c r="BM296" s="42"/>
    </row>
    <row r="297">
      <c r="A297" s="125"/>
      <c r="B297" s="267"/>
      <c r="C297" s="361"/>
      <c r="D297" s="42"/>
      <c r="E297" s="42"/>
      <c r="F297" s="42"/>
      <c r="G297" s="42"/>
      <c r="H297" s="42"/>
      <c r="I297" s="42"/>
      <c r="J297" s="42"/>
      <c r="K297" s="304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  <c r="BC297" s="42"/>
      <c r="BD297" s="42"/>
      <c r="BE297" s="42"/>
      <c r="BF297" s="42"/>
      <c r="BG297" s="42"/>
      <c r="BH297" s="42"/>
      <c r="BI297" s="42"/>
      <c r="BJ297" s="42"/>
      <c r="BK297" s="42"/>
      <c r="BL297" s="42"/>
      <c r="BM297" s="42"/>
    </row>
    <row r="298">
      <c r="A298" s="125"/>
      <c r="B298" s="267"/>
      <c r="C298" s="361"/>
      <c r="D298" s="42"/>
      <c r="E298" s="42"/>
      <c r="F298" s="42"/>
      <c r="G298" s="42"/>
      <c r="H298" s="42"/>
      <c r="I298" s="42"/>
      <c r="J298" s="42"/>
      <c r="K298" s="304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  <c r="BG298" s="42"/>
      <c r="BH298" s="42"/>
      <c r="BI298" s="42"/>
      <c r="BJ298" s="42"/>
      <c r="BK298" s="42"/>
      <c r="BL298" s="42"/>
      <c r="BM298" s="42"/>
    </row>
    <row r="299">
      <c r="A299" s="125"/>
      <c r="B299" s="267"/>
      <c r="C299" s="361"/>
      <c r="D299" s="42"/>
      <c r="E299" s="42"/>
      <c r="F299" s="42"/>
      <c r="G299" s="42"/>
      <c r="H299" s="42"/>
      <c r="I299" s="42"/>
      <c r="J299" s="42"/>
      <c r="K299" s="304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  <c r="BM299" s="42"/>
    </row>
    <row r="300">
      <c r="A300" s="125"/>
      <c r="B300" s="267"/>
      <c r="C300" s="361"/>
      <c r="D300" s="42"/>
      <c r="E300" s="42"/>
      <c r="F300" s="42"/>
      <c r="G300" s="42"/>
      <c r="H300" s="42"/>
      <c r="I300" s="42"/>
      <c r="J300" s="42"/>
      <c r="K300" s="304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2"/>
      <c r="BD300" s="42"/>
      <c r="BE300" s="42"/>
      <c r="BF300" s="42"/>
      <c r="BG300" s="42"/>
      <c r="BH300" s="42"/>
      <c r="BI300" s="42"/>
      <c r="BJ300" s="42"/>
      <c r="BK300" s="42"/>
      <c r="BL300" s="42"/>
      <c r="BM300" s="42"/>
    </row>
    <row r="301">
      <c r="A301" s="125"/>
      <c r="B301" s="267"/>
      <c r="C301" s="361"/>
      <c r="D301" s="42"/>
      <c r="E301" s="42"/>
      <c r="F301" s="42"/>
      <c r="G301" s="42"/>
      <c r="H301" s="42"/>
      <c r="I301" s="42"/>
      <c r="J301" s="42"/>
      <c r="K301" s="304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  <c r="BC301" s="42"/>
      <c r="BD301" s="42"/>
      <c r="BE301" s="42"/>
      <c r="BF301" s="42"/>
      <c r="BG301" s="42"/>
      <c r="BH301" s="42"/>
      <c r="BI301" s="42"/>
      <c r="BJ301" s="42"/>
      <c r="BK301" s="42"/>
      <c r="BL301" s="42"/>
      <c r="BM301" s="42"/>
    </row>
    <row r="302">
      <c r="A302" s="125"/>
      <c r="B302" s="267"/>
      <c r="C302" s="361"/>
      <c r="D302" s="42"/>
      <c r="E302" s="42"/>
      <c r="F302" s="42"/>
      <c r="G302" s="42"/>
      <c r="H302" s="42"/>
      <c r="I302" s="42"/>
      <c r="J302" s="42"/>
      <c r="K302" s="304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2"/>
      <c r="BD302" s="42"/>
      <c r="BE302" s="42"/>
      <c r="BF302" s="42"/>
      <c r="BG302" s="42"/>
      <c r="BH302" s="42"/>
      <c r="BI302" s="42"/>
      <c r="BJ302" s="42"/>
      <c r="BK302" s="42"/>
      <c r="BL302" s="42"/>
      <c r="BM302" s="42"/>
    </row>
    <row r="303">
      <c r="A303" s="125"/>
      <c r="B303" s="267"/>
      <c r="C303" s="361"/>
      <c r="D303" s="42"/>
      <c r="E303" s="42"/>
      <c r="F303" s="42"/>
      <c r="G303" s="42"/>
      <c r="H303" s="42"/>
      <c r="I303" s="42"/>
      <c r="J303" s="42"/>
      <c r="K303" s="304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  <c r="BC303" s="42"/>
      <c r="BD303" s="42"/>
      <c r="BE303" s="42"/>
      <c r="BF303" s="42"/>
      <c r="BG303" s="42"/>
      <c r="BH303" s="42"/>
      <c r="BI303" s="42"/>
      <c r="BJ303" s="42"/>
      <c r="BK303" s="42"/>
      <c r="BL303" s="42"/>
      <c r="BM303" s="42"/>
    </row>
    <row r="304">
      <c r="A304" s="125"/>
      <c r="B304" s="267"/>
      <c r="C304" s="361"/>
      <c r="D304" s="42"/>
      <c r="E304" s="42"/>
      <c r="F304" s="42"/>
      <c r="G304" s="42"/>
      <c r="H304" s="42"/>
      <c r="I304" s="42"/>
      <c r="J304" s="42"/>
      <c r="K304" s="304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2"/>
      <c r="BD304" s="42"/>
      <c r="BE304" s="42"/>
      <c r="BF304" s="42"/>
      <c r="BG304" s="42"/>
      <c r="BH304" s="42"/>
      <c r="BI304" s="42"/>
      <c r="BJ304" s="42"/>
      <c r="BK304" s="42"/>
      <c r="BL304" s="42"/>
      <c r="BM304" s="42"/>
    </row>
    <row r="305">
      <c r="A305" s="125"/>
      <c r="B305" s="267"/>
      <c r="C305" s="361"/>
      <c r="D305" s="42"/>
      <c r="E305" s="42"/>
      <c r="F305" s="42"/>
      <c r="G305" s="42"/>
      <c r="H305" s="42"/>
      <c r="I305" s="42"/>
      <c r="J305" s="42"/>
      <c r="K305" s="304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  <c r="BC305" s="42"/>
      <c r="BD305" s="42"/>
      <c r="BE305" s="42"/>
      <c r="BF305" s="42"/>
      <c r="BG305" s="42"/>
      <c r="BH305" s="42"/>
      <c r="BI305" s="42"/>
      <c r="BJ305" s="42"/>
      <c r="BK305" s="42"/>
      <c r="BL305" s="42"/>
      <c r="BM305" s="42"/>
    </row>
    <row r="306">
      <c r="A306" s="125"/>
      <c r="B306" s="267"/>
      <c r="C306" s="361"/>
      <c r="D306" s="42"/>
      <c r="E306" s="42"/>
      <c r="F306" s="42"/>
      <c r="G306" s="42"/>
      <c r="H306" s="42"/>
      <c r="I306" s="42"/>
      <c r="J306" s="42"/>
      <c r="K306" s="304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42"/>
      <c r="BD306" s="42"/>
      <c r="BE306" s="42"/>
      <c r="BF306" s="42"/>
      <c r="BG306" s="42"/>
      <c r="BH306" s="42"/>
      <c r="BI306" s="42"/>
      <c r="BJ306" s="42"/>
      <c r="BK306" s="42"/>
      <c r="BL306" s="42"/>
      <c r="BM306" s="42"/>
    </row>
    <row r="307">
      <c r="A307" s="125"/>
      <c r="B307" s="267"/>
      <c r="C307" s="361"/>
      <c r="D307" s="42"/>
      <c r="E307" s="42"/>
      <c r="F307" s="42"/>
      <c r="G307" s="42"/>
      <c r="H307" s="42"/>
      <c r="I307" s="42"/>
      <c r="J307" s="42"/>
      <c r="K307" s="304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AY307" s="42"/>
      <c r="AZ307" s="42"/>
      <c r="BA307" s="42"/>
      <c r="BB307" s="42"/>
      <c r="BC307" s="42"/>
      <c r="BD307" s="42"/>
      <c r="BE307" s="42"/>
      <c r="BF307" s="42"/>
      <c r="BG307" s="42"/>
      <c r="BH307" s="42"/>
      <c r="BI307" s="42"/>
      <c r="BJ307" s="42"/>
      <c r="BK307" s="42"/>
      <c r="BL307" s="42"/>
      <c r="BM307" s="42"/>
    </row>
    <row r="308">
      <c r="A308" s="125"/>
      <c r="B308" s="267"/>
      <c r="C308" s="361"/>
      <c r="D308" s="42"/>
      <c r="E308" s="42"/>
      <c r="F308" s="42"/>
      <c r="G308" s="42"/>
      <c r="H308" s="42"/>
      <c r="I308" s="42"/>
      <c r="J308" s="42"/>
      <c r="K308" s="304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</row>
    <row r="309">
      <c r="A309" s="125"/>
      <c r="B309" s="267"/>
      <c r="C309" s="361"/>
      <c r="D309" s="42"/>
      <c r="E309" s="42"/>
      <c r="F309" s="42"/>
      <c r="G309" s="42"/>
      <c r="H309" s="42"/>
      <c r="I309" s="42"/>
      <c r="J309" s="42"/>
      <c r="K309" s="304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42"/>
      <c r="AX309" s="42"/>
      <c r="AY309" s="42"/>
      <c r="AZ309" s="42"/>
      <c r="BA309" s="42"/>
      <c r="BB309" s="42"/>
      <c r="BC309" s="42"/>
      <c r="BD309" s="42"/>
      <c r="BE309" s="42"/>
      <c r="BF309" s="42"/>
      <c r="BG309" s="42"/>
      <c r="BH309" s="42"/>
      <c r="BI309" s="42"/>
      <c r="BJ309" s="42"/>
      <c r="BK309" s="42"/>
      <c r="BL309" s="42"/>
      <c r="BM309" s="42"/>
    </row>
    <row r="310">
      <c r="A310" s="125"/>
      <c r="B310" s="267"/>
      <c r="C310" s="361"/>
      <c r="D310" s="42"/>
      <c r="E310" s="42"/>
      <c r="F310" s="42"/>
      <c r="G310" s="42"/>
      <c r="H310" s="42"/>
      <c r="I310" s="42"/>
      <c r="J310" s="42"/>
      <c r="K310" s="304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2"/>
      <c r="BD310" s="42"/>
      <c r="BE310" s="42"/>
      <c r="BF310" s="42"/>
      <c r="BG310" s="42"/>
      <c r="BH310" s="42"/>
      <c r="BI310" s="42"/>
      <c r="BJ310" s="42"/>
      <c r="BK310" s="42"/>
      <c r="BL310" s="42"/>
      <c r="BM310" s="42"/>
    </row>
    <row r="311">
      <c r="A311" s="125"/>
      <c r="B311" s="267"/>
      <c r="C311" s="361"/>
      <c r="D311" s="42"/>
      <c r="E311" s="42"/>
      <c r="F311" s="42"/>
      <c r="G311" s="42"/>
      <c r="H311" s="42"/>
      <c r="I311" s="42"/>
      <c r="J311" s="42"/>
      <c r="K311" s="304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  <c r="BC311" s="42"/>
      <c r="BD311" s="42"/>
      <c r="BE311" s="42"/>
      <c r="BF311" s="42"/>
      <c r="BG311" s="42"/>
      <c r="BH311" s="42"/>
      <c r="BI311" s="42"/>
      <c r="BJ311" s="42"/>
      <c r="BK311" s="42"/>
      <c r="BL311" s="42"/>
      <c r="BM311" s="42"/>
    </row>
    <row r="312">
      <c r="A312" s="125"/>
      <c r="B312" s="267"/>
      <c r="C312" s="361"/>
      <c r="D312" s="42"/>
      <c r="E312" s="42"/>
      <c r="F312" s="42"/>
      <c r="G312" s="42"/>
      <c r="H312" s="42"/>
      <c r="I312" s="42"/>
      <c r="J312" s="42"/>
      <c r="K312" s="304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2"/>
      <c r="BD312" s="42"/>
      <c r="BE312" s="42"/>
      <c r="BF312" s="42"/>
      <c r="BG312" s="42"/>
      <c r="BH312" s="42"/>
      <c r="BI312" s="42"/>
      <c r="BJ312" s="42"/>
      <c r="BK312" s="42"/>
      <c r="BL312" s="42"/>
      <c r="BM312" s="42"/>
    </row>
    <row r="313">
      <c r="A313" s="125"/>
      <c r="B313" s="267"/>
      <c r="C313" s="361"/>
      <c r="D313" s="42"/>
      <c r="E313" s="42"/>
      <c r="F313" s="42"/>
      <c r="G313" s="42"/>
      <c r="H313" s="42"/>
      <c r="I313" s="42"/>
      <c r="J313" s="42"/>
      <c r="K313" s="304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</row>
    <row r="314">
      <c r="A314" s="125"/>
      <c r="B314" s="267"/>
      <c r="C314" s="361"/>
      <c r="D314" s="42"/>
      <c r="E314" s="42"/>
      <c r="F314" s="42"/>
      <c r="G314" s="42"/>
      <c r="H314" s="42"/>
      <c r="I314" s="42"/>
      <c r="J314" s="42"/>
      <c r="K314" s="304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2"/>
      <c r="BD314" s="42"/>
      <c r="BE314" s="42"/>
      <c r="BF314" s="42"/>
      <c r="BG314" s="42"/>
      <c r="BH314" s="42"/>
      <c r="BI314" s="42"/>
      <c r="BJ314" s="42"/>
      <c r="BK314" s="42"/>
      <c r="BL314" s="42"/>
      <c r="BM314" s="42"/>
    </row>
    <row r="315">
      <c r="A315" s="125"/>
      <c r="B315" s="267"/>
      <c r="C315" s="361"/>
      <c r="D315" s="42"/>
      <c r="E315" s="42"/>
      <c r="F315" s="42"/>
      <c r="G315" s="42"/>
      <c r="H315" s="42"/>
      <c r="I315" s="42"/>
      <c r="J315" s="42"/>
      <c r="K315" s="304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  <c r="BC315" s="42"/>
      <c r="BD315" s="42"/>
      <c r="BE315" s="42"/>
      <c r="BF315" s="42"/>
      <c r="BG315" s="42"/>
      <c r="BH315" s="42"/>
      <c r="BI315" s="42"/>
      <c r="BJ315" s="42"/>
      <c r="BK315" s="42"/>
      <c r="BL315" s="42"/>
      <c r="BM315" s="42"/>
    </row>
    <row r="316">
      <c r="A316" s="125"/>
      <c r="B316" s="267"/>
      <c r="C316" s="361"/>
      <c r="D316" s="42"/>
      <c r="E316" s="42"/>
      <c r="F316" s="42"/>
      <c r="G316" s="42"/>
      <c r="H316" s="42"/>
      <c r="I316" s="42"/>
      <c r="J316" s="42"/>
      <c r="K316" s="304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2"/>
      <c r="BD316" s="42"/>
      <c r="BE316" s="42"/>
      <c r="BF316" s="42"/>
      <c r="BG316" s="42"/>
      <c r="BH316" s="42"/>
      <c r="BI316" s="42"/>
      <c r="BJ316" s="42"/>
      <c r="BK316" s="42"/>
      <c r="BL316" s="42"/>
      <c r="BM316" s="42"/>
    </row>
    <row r="317">
      <c r="A317" s="125"/>
      <c r="B317" s="267"/>
      <c r="C317" s="361"/>
      <c r="D317" s="42"/>
      <c r="E317" s="42"/>
      <c r="F317" s="42"/>
      <c r="G317" s="42"/>
      <c r="H317" s="42"/>
      <c r="I317" s="42"/>
      <c r="J317" s="42"/>
      <c r="K317" s="304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  <c r="BC317" s="42"/>
      <c r="BD317" s="42"/>
      <c r="BE317" s="42"/>
      <c r="BF317" s="42"/>
      <c r="BG317" s="42"/>
      <c r="BH317" s="42"/>
      <c r="BI317" s="42"/>
      <c r="BJ317" s="42"/>
      <c r="BK317" s="42"/>
      <c r="BL317" s="42"/>
      <c r="BM317" s="42"/>
    </row>
    <row r="318">
      <c r="A318" s="125"/>
      <c r="B318" s="267"/>
      <c r="C318" s="361"/>
      <c r="D318" s="42"/>
      <c r="E318" s="42"/>
      <c r="F318" s="42"/>
      <c r="G318" s="42"/>
      <c r="H318" s="42"/>
      <c r="I318" s="42"/>
      <c r="J318" s="42"/>
      <c r="K318" s="304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2"/>
      <c r="BD318" s="42"/>
      <c r="BE318" s="42"/>
      <c r="BF318" s="42"/>
      <c r="BG318" s="42"/>
      <c r="BH318" s="42"/>
      <c r="BI318" s="42"/>
      <c r="BJ318" s="42"/>
      <c r="BK318" s="42"/>
      <c r="BL318" s="42"/>
      <c r="BM318" s="42"/>
    </row>
    <row r="319">
      <c r="A319" s="125"/>
      <c r="B319" s="267"/>
      <c r="C319" s="361"/>
      <c r="D319" s="42"/>
      <c r="E319" s="42"/>
      <c r="F319" s="42"/>
      <c r="G319" s="42"/>
      <c r="H319" s="42"/>
      <c r="I319" s="42"/>
      <c r="J319" s="42"/>
      <c r="K319" s="304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  <c r="BC319" s="42"/>
      <c r="BD319" s="42"/>
      <c r="BE319" s="42"/>
      <c r="BF319" s="42"/>
      <c r="BG319" s="42"/>
      <c r="BH319" s="42"/>
      <c r="BI319" s="42"/>
      <c r="BJ319" s="42"/>
      <c r="BK319" s="42"/>
      <c r="BL319" s="42"/>
      <c r="BM319" s="42"/>
    </row>
    <row r="320">
      <c r="A320" s="125"/>
      <c r="B320" s="267"/>
      <c r="C320" s="361"/>
      <c r="D320" s="42"/>
      <c r="E320" s="42"/>
      <c r="F320" s="42"/>
      <c r="G320" s="42"/>
      <c r="H320" s="42"/>
      <c r="I320" s="42"/>
      <c r="J320" s="42"/>
      <c r="K320" s="304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  <c r="BC320" s="42"/>
      <c r="BD320" s="42"/>
      <c r="BE320" s="42"/>
      <c r="BF320" s="42"/>
      <c r="BG320" s="42"/>
      <c r="BH320" s="42"/>
      <c r="BI320" s="42"/>
      <c r="BJ320" s="42"/>
      <c r="BK320" s="42"/>
      <c r="BL320" s="42"/>
      <c r="BM320" s="42"/>
    </row>
    <row r="321">
      <c r="A321" s="125"/>
      <c r="B321" s="267"/>
      <c r="C321" s="361"/>
      <c r="D321" s="42"/>
      <c r="E321" s="42"/>
      <c r="F321" s="42"/>
      <c r="G321" s="42"/>
      <c r="H321" s="42"/>
      <c r="I321" s="42"/>
      <c r="J321" s="42"/>
      <c r="K321" s="304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  <c r="BC321" s="42"/>
      <c r="BD321" s="42"/>
      <c r="BE321" s="42"/>
      <c r="BF321" s="42"/>
      <c r="BG321" s="42"/>
      <c r="BH321" s="42"/>
      <c r="BI321" s="42"/>
      <c r="BJ321" s="42"/>
      <c r="BK321" s="42"/>
      <c r="BL321" s="42"/>
      <c r="BM321" s="42"/>
    </row>
    <row r="322">
      <c r="A322" s="125"/>
      <c r="B322" s="267"/>
      <c r="C322" s="361"/>
      <c r="D322" s="42"/>
      <c r="E322" s="42"/>
      <c r="F322" s="42"/>
      <c r="G322" s="42"/>
      <c r="H322" s="42"/>
      <c r="I322" s="42"/>
      <c r="J322" s="42"/>
      <c r="K322" s="304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2"/>
      <c r="BD322" s="42"/>
      <c r="BE322" s="42"/>
      <c r="BF322" s="42"/>
      <c r="BG322" s="42"/>
      <c r="BH322" s="42"/>
      <c r="BI322" s="42"/>
      <c r="BJ322" s="42"/>
      <c r="BK322" s="42"/>
      <c r="BL322" s="42"/>
      <c r="BM322" s="42"/>
    </row>
    <row r="323">
      <c r="A323" s="125"/>
      <c r="B323" s="267"/>
      <c r="C323" s="361"/>
      <c r="D323" s="42"/>
      <c r="E323" s="42"/>
      <c r="F323" s="42"/>
      <c r="G323" s="42"/>
      <c r="H323" s="42"/>
      <c r="I323" s="42"/>
      <c r="J323" s="42"/>
      <c r="K323" s="304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  <c r="BC323" s="42"/>
      <c r="BD323" s="42"/>
      <c r="BE323" s="42"/>
      <c r="BF323" s="42"/>
      <c r="BG323" s="42"/>
      <c r="BH323" s="42"/>
      <c r="BI323" s="42"/>
      <c r="BJ323" s="42"/>
      <c r="BK323" s="42"/>
      <c r="BL323" s="42"/>
      <c r="BM323" s="42"/>
    </row>
    <row r="324">
      <c r="A324" s="125"/>
      <c r="B324" s="267"/>
      <c r="C324" s="361"/>
      <c r="D324" s="42"/>
      <c r="E324" s="42"/>
      <c r="F324" s="42"/>
      <c r="G324" s="42"/>
      <c r="H324" s="42"/>
      <c r="I324" s="42"/>
      <c r="J324" s="42"/>
      <c r="K324" s="304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2"/>
      <c r="BD324" s="42"/>
      <c r="BE324" s="42"/>
      <c r="BF324" s="42"/>
      <c r="BG324" s="42"/>
      <c r="BH324" s="42"/>
      <c r="BI324" s="42"/>
      <c r="BJ324" s="42"/>
      <c r="BK324" s="42"/>
      <c r="BL324" s="42"/>
      <c r="BM324" s="42"/>
    </row>
    <row r="325">
      <c r="A325" s="125"/>
      <c r="B325" s="267"/>
      <c r="C325" s="361"/>
      <c r="D325" s="42"/>
      <c r="E325" s="42"/>
      <c r="F325" s="42"/>
      <c r="G325" s="42"/>
      <c r="H325" s="42"/>
      <c r="I325" s="42"/>
      <c r="J325" s="42"/>
      <c r="K325" s="304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  <c r="BC325" s="42"/>
      <c r="BD325" s="42"/>
      <c r="BE325" s="42"/>
      <c r="BF325" s="42"/>
      <c r="BG325" s="42"/>
      <c r="BH325" s="42"/>
      <c r="BI325" s="42"/>
      <c r="BJ325" s="42"/>
      <c r="BK325" s="42"/>
      <c r="BL325" s="42"/>
      <c r="BM325" s="42"/>
    </row>
    <row r="326">
      <c r="A326" s="125"/>
      <c r="B326" s="267"/>
      <c r="C326" s="361"/>
      <c r="D326" s="42"/>
      <c r="E326" s="42"/>
      <c r="F326" s="42"/>
      <c r="G326" s="42"/>
      <c r="H326" s="42"/>
      <c r="I326" s="42"/>
      <c r="J326" s="42"/>
      <c r="K326" s="304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2"/>
      <c r="BD326" s="42"/>
      <c r="BE326" s="42"/>
      <c r="BF326" s="42"/>
      <c r="BG326" s="42"/>
      <c r="BH326" s="42"/>
      <c r="BI326" s="42"/>
      <c r="BJ326" s="42"/>
      <c r="BK326" s="42"/>
      <c r="BL326" s="42"/>
      <c r="BM326" s="42"/>
    </row>
    <row r="327">
      <c r="A327" s="125"/>
      <c r="B327" s="267"/>
      <c r="C327" s="361"/>
      <c r="D327" s="42"/>
      <c r="E327" s="42"/>
      <c r="F327" s="42"/>
      <c r="G327" s="42"/>
      <c r="H327" s="42"/>
      <c r="I327" s="42"/>
      <c r="J327" s="42"/>
      <c r="K327" s="304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  <c r="BC327" s="42"/>
      <c r="BD327" s="42"/>
      <c r="BE327" s="42"/>
      <c r="BF327" s="42"/>
      <c r="BG327" s="42"/>
      <c r="BH327" s="42"/>
      <c r="BI327" s="42"/>
      <c r="BJ327" s="42"/>
      <c r="BK327" s="42"/>
      <c r="BL327" s="42"/>
      <c r="BM327" s="42"/>
    </row>
    <row r="328">
      <c r="A328" s="125"/>
      <c r="B328" s="267"/>
      <c r="C328" s="361"/>
      <c r="D328" s="42"/>
      <c r="E328" s="42"/>
      <c r="F328" s="42"/>
      <c r="G328" s="42"/>
      <c r="H328" s="42"/>
      <c r="I328" s="42"/>
      <c r="J328" s="42"/>
      <c r="K328" s="304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2"/>
      <c r="BD328" s="42"/>
      <c r="BE328" s="42"/>
      <c r="BF328" s="42"/>
      <c r="BG328" s="42"/>
      <c r="BH328" s="42"/>
      <c r="BI328" s="42"/>
      <c r="BJ328" s="42"/>
      <c r="BK328" s="42"/>
      <c r="BL328" s="42"/>
      <c r="BM328" s="42"/>
    </row>
    <row r="329">
      <c r="A329" s="125"/>
      <c r="B329" s="267"/>
      <c r="C329" s="361"/>
      <c r="D329" s="42"/>
      <c r="E329" s="42"/>
      <c r="F329" s="42"/>
      <c r="G329" s="42"/>
      <c r="H329" s="42"/>
      <c r="I329" s="42"/>
      <c r="J329" s="42"/>
      <c r="K329" s="304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42"/>
      <c r="BD329" s="42"/>
      <c r="BE329" s="42"/>
      <c r="BF329" s="42"/>
      <c r="BG329" s="42"/>
      <c r="BH329" s="42"/>
      <c r="BI329" s="42"/>
      <c r="BJ329" s="42"/>
      <c r="BK329" s="42"/>
      <c r="BL329" s="42"/>
      <c r="BM329" s="42"/>
    </row>
    <row r="330">
      <c r="A330" s="125"/>
      <c r="B330" s="267"/>
      <c r="C330" s="361"/>
      <c r="D330" s="42"/>
      <c r="E330" s="42"/>
      <c r="F330" s="42"/>
      <c r="G330" s="42"/>
      <c r="H330" s="42"/>
      <c r="I330" s="42"/>
      <c r="J330" s="42"/>
      <c r="K330" s="304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2"/>
      <c r="BD330" s="42"/>
      <c r="BE330" s="42"/>
      <c r="BF330" s="42"/>
      <c r="BG330" s="42"/>
      <c r="BH330" s="42"/>
      <c r="BI330" s="42"/>
      <c r="BJ330" s="42"/>
      <c r="BK330" s="42"/>
      <c r="BL330" s="42"/>
      <c r="BM330" s="42"/>
    </row>
    <row r="331">
      <c r="A331" s="125"/>
      <c r="B331" s="267"/>
      <c r="C331" s="361"/>
      <c r="D331" s="42"/>
      <c r="E331" s="42"/>
      <c r="F331" s="42"/>
      <c r="G331" s="42"/>
      <c r="H331" s="42"/>
      <c r="I331" s="42"/>
      <c r="J331" s="42"/>
      <c r="K331" s="304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  <c r="BC331" s="42"/>
      <c r="BD331" s="42"/>
      <c r="BE331" s="42"/>
      <c r="BF331" s="42"/>
      <c r="BG331" s="42"/>
      <c r="BH331" s="42"/>
      <c r="BI331" s="42"/>
      <c r="BJ331" s="42"/>
      <c r="BK331" s="42"/>
      <c r="BL331" s="42"/>
      <c r="BM331" s="42"/>
    </row>
    <row r="332">
      <c r="A332" s="125"/>
      <c r="B332" s="267"/>
      <c r="C332" s="361"/>
      <c r="D332" s="42"/>
      <c r="E332" s="42"/>
      <c r="F332" s="42"/>
      <c r="G332" s="42"/>
      <c r="H332" s="42"/>
      <c r="I332" s="42"/>
      <c r="J332" s="42"/>
      <c r="K332" s="304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</row>
    <row r="333">
      <c r="A333" s="125"/>
      <c r="B333" s="267"/>
      <c r="C333" s="361"/>
      <c r="D333" s="42"/>
      <c r="E333" s="42"/>
      <c r="F333" s="42"/>
      <c r="G333" s="42"/>
      <c r="H333" s="42"/>
      <c r="I333" s="42"/>
      <c r="J333" s="42"/>
      <c r="K333" s="304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  <c r="BC333" s="42"/>
      <c r="BD333" s="42"/>
      <c r="BE333" s="42"/>
      <c r="BF333" s="42"/>
      <c r="BG333" s="42"/>
      <c r="BH333" s="42"/>
      <c r="BI333" s="42"/>
      <c r="BJ333" s="42"/>
      <c r="BK333" s="42"/>
      <c r="BL333" s="42"/>
      <c r="BM333" s="42"/>
    </row>
    <row r="334">
      <c r="A334" s="125"/>
      <c r="B334" s="267"/>
      <c r="C334" s="361"/>
      <c r="D334" s="42"/>
      <c r="E334" s="42"/>
      <c r="F334" s="42"/>
      <c r="G334" s="42"/>
      <c r="H334" s="42"/>
      <c r="I334" s="42"/>
      <c r="J334" s="42"/>
      <c r="K334" s="304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2"/>
      <c r="BD334" s="42"/>
      <c r="BE334" s="42"/>
      <c r="BF334" s="42"/>
      <c r="BG334" s="42"/>
      <c r="BH334" s="42"/>
      <c r="BI334" s="42"/>
      <c r="BJ334" s="42"/>
      <c r="BK334" s="42"/>
      <c r="BL334" s="42"/>
      <c r="BM334" s="42"/>
    </row>
    <row r="335">
      <c r="A335" s="125"/>
      <c r="B335" s="267"/>
      <c r="C335" s="361"/>
      <c r="D335" s="42"/>
      <c r="E335" s="42"/>
      <c r="F335" s="42"/>
      <c r="G335" s="42"/>
      <c r="H335" s="42"/>
      <c r="I335" s="42"/>
      <c r="J335" s="42"/>
      <c r="K335" s="304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42"/>
      <c r="AY335" s="42"/>
      <c r="AZ335" s="42"/>
      <c r="BA335" s="42"/>
      <c r="BB335" s="42"/>
      <c r="BC335" s="42"/>
      <c r="BD335" s="42"/>
      <c r="BE335" s="42"/>
      <c r="BF335" s="42"/>
      <c r="BG335" s="42"/>
      <c r="BH335" s="42"/>
      <c r="BI335" s="42"/>
      <c r="BJ335" s="42"/>
      <c r="BK335" s="42"/>
      <c r="BL335" s="42"/>
      <c r="BM335" s="42"/>
    </row>
    <row r="336">
      <c r="A336" s="125"/>
      <c r="B336" s="267"/>
      <c r="C336" s="361"/>
      <c r="D336" s="42"/>
      <c r="E336" s="42"/>
      <c r="F336" s="42"/>
      <c r="G336" s="42"/>
      <c r="H336" s="42"/>
      <c r="I336" s="42"/>
      <c r="J336" s="42"/>
      <c r="K336" s="304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42"/>
      <c r="BD336" s="42"/>
      <c r="BE336" s="42"/>
      <c r="BF336" s="42"/>
      <c r="BG336" s="42"/>
      <c r="BH336" s="42"/>
      <c r="BI336" s="42"/>
      <c r="BJ336" s="42"/>
      <c r="BK336" s="42"/>
      <c r="BL336" s="42"/>
      <c r="BM336" s="42"/>
    </row>
    <row r="337">
      <c r="A337" s="125"/>
      <c r="B337" s="267"/>
      <c r="C337" s="361"/>
      <c r="D337" s="42"/>
      <c r="E337" s="42"/>
      <c r="F337" s="42"/>
      <c r="G337" s="42"/>
      <c r="H337" s="42"/>
      <c r="I337" s="42"/>
      <c r="J337" s="42"/>
      <c r="K337" s="304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42"/>
      <c r="AY337" s="42"/>
      <c r="AZ337" s="42"/>
      <c r="BA337" s="42"/>
      <c r="BB337" s="42"/>
      <c r="BC337" s="42"/>
      <c r="BD337" s="42"/>
      <c r="BE337" s="42"/>
      <c r="BF337" s="42"/>
      <c r="BG337" s="42"/>
      <c r="BH337" s="42"/>
      <c r="BI337" s="42"/>
      <c r="BJ337" s="42"/>
      <c r="BK337" s="42"/>
      <c r="BL337" s="42"/>
      <c r="BM337" s="42"/>
    </row>
    <row r="338">
      <c r="A338" s="125"/>
      <c r="B338" s="267"/>
      <c r="C338" s="361"/>
      <c r="D338" s="42"/>
      <c r="E338" s="42"/>
      <c r="F338" s="42"/>
      <c r="G338" s="42"/>
      <c r="H338" s="42"/>
      <c r="I338" s="42"/>
      <c r="J338" s="42"/>
      <c r="K338" s="304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2"/>
      <c r="BD338" s="42"/>
      <c r="BE338" s="42"/>
      <c r="BF338" s="42"/>
      <c r="BG338" s="42"/>
      <c r="BH338" s="42"/>
      <c r="BI338" s="42"/>
      <c r="BJ338" s="42"/>
      <c r="BK338" s="42"/>
      <c r="BL338" s="42"/>
      <c r="BM338" s="42"/>
    </row>
    <row r="339">
      <c r="A339" s="125"/>
      <c r="B339" s="267"/>
      <c r="C339" s="361"/>
      <c r="D339" s="42"/>
      <c r="E339" s="42"/>
      <c r="F339" s="42"/>
      <c r="G339" s="42"/>
      <c r="H339" s="42"/>
      <c r="I339" s="42"/>
      <c r="J339" s="42"/>
      <c r="K339" s="304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  <c r="AW339" s="42"/>
      <c r="AX339" s="42"/>
      <c r="AY339" s="42"/>
      <c r="AZ339" s="42"/>
      <c r="BA339" s="42"/>
      <c r="BB339" s="42"/>
      <c r="BC339" s="42"/>
      <c r="BD339" s="42"/>
      <c r="BE339" s="42"/>
      <c r="BF339" s="42"/>
      <c r="BG339" s="42"/>
      <c r="BH339" s="42"/>
      <c r="BI339" s="42"/>
      <c r="BJ339" s="42"/>
      <c r="BK339" s="42"/>
      <c r="BL339" s="42"/>
      <c r="BM339" s="42"/>
    </row>
    <row r="340">
      <c r="A340" s="125"/>
      <c r="B340" s="267"/>
      <c r="C340" s="361"/>
      <c r="D340" s="42"/>
      <c r="E340" s="42"/>
      <c r="F340" s="42"/>
      <c r="G340" s="42"/>
      <c r="H340" s="42"/>
      <c r="I340" s="42"/>
      <c r="J340" s="42"/>
      <c r="K340" s="304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2"/>
      <c r="BD340" s="42"/>
      <c r="BE340" s="42"/>
      <c r="BF340" s="42"/>
      <c r="BG340" s="42"/>
      <c r="BH340" s="42"/>
      <c r="BI340" s="42"/>
      <c r="BJ340" s="42"/>
      <c r="BK340" s="42"/>
      <c r="BL340" s="42"/>
      <c r="BM340" s="42"/>
    </row>
    <row r="341">
      <c r="A341" s="125"/>
      <c r="B341" s="267"/>
      <c r="C341" s="361"/>
      <c r="D341" s="42"/>
      <c r="E341" s="42"/>
      <c r="F341" s="42"/>
      <c r="G341" s="42"/>
      <c r="H341" s="42"/>
      <c r="I341" s="42"/>
      <c r="J341" s="42"/>
      <c r="K341" s="304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  <c r="AW341" s="42"/>
      <c r="AX341" s="42"/>
      <c r="AY341" s="42"/>
      <c r="AZ341" s="42"/>
      <c r="BA341" s="42"/>
      <c r="BB341" s="42"/>
      <c r="BC341" s="42"/>
      <c r="BD341" s="42"/>
      <c r="BE341" s="42"/>
      <c r="BF341" s="42"/>
      <c r="BG341" s="42"/>
      <c r="BH341" s="42"/>
      <c r="BI341" s="42"/>
      <c r="BJ341" s="42"/>
      <c r="BK341" s="42"/>
      <c r="BL341" s="42"/>
      <c r="BM341" s="42"/>
    </row>
    <row r="342">
      <c r="A342" s="125"/>
      <c r="B342" s="267"/>
      <c r="C342" s="361"/>
      <c r="D342" s="42"/>
      <c r="E342" s="42"/>
      <c r="F342" s="42"/>
      <c r="G342" s="42"/>
      <c r="H342" s="42"/>
      <c r="I342" s="42"/>
      <c r="J342" s="42"/>
      <c r="K342" s="304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2"/>
      <c r="BD342" s="42"/>
      <c r="BE342" s="42"/>
      <c r="BF342" s="42"/>
      <c r="BG342" s="42"/>
      <c r="BH342" s="42"/>
      <c r="BI342" s="42"/>
      <c r="BJ342" s="42"/>
      <c r="BK342" s="42"/>
      <c r="BL342" s="42"/>
      <c r="BM342" s="42"/>
    </row>
    <row r="343">
      <c r="A343" s="125"/>
      <c r="B343" s="267"/>
      <c r="C343" s="361"/>
      <c r="D343" s="42"/>
      <c r="E343" s="42"/>
      <c r="F343" s="42"/>
      <c r="G343" s="42"/>
      <c r="H343" s="42"/>
      <c r="I343" s="42"/>
      <c r="J343" s="42"/>
      <c r="K343" s="304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  <c r="AW343" s="42"/>
      <c r="AX343" s="42"/>
      <c r="AY343" s="42"/>
      <c r="AZ343" s="42"/>
      <c r="BA343" s="42"/>
      <c r="BB343" s="42"/>
      <c r="BC343" s="42"/>
      <c r="BD343" s="42"/>
      <c r="BE343" s="42"/>
      <c r="BF343" s="42"/>
      <c r="BG343" s="42"/>
      <c r="BH343" s="42"/>
      <c r="BI343" s="42"/>
      <c r="BJ343" s="42"/>
      <c r="BK343" s="42"/>
      <c r="BL343" s="42"/>
      <c r="BM343" s="42"/>
    </row>
    <row r="344">
      <c r="A344" s="125"/>
      <c r="B344" s="267"/>
      <c r="C344" s="361"/>
      <c r="D344" s="42"/>
      <c r="E344" s="42"/>
      <c r="F344" s="42"/>
      <c r="G344" s="42"/>
      <c r="H344" s="42"/>
      <c r="I344" s="42"/>
      <c r="J344" s="42"/>
      <c r="K344" s="304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2"/>
      <c r="BD344" s="42"/>
      <c r="BE344" s="42"/>
      <c r="BF344" s="42"/>
      <c r="BG344" s="42"/>
      <c r="BH344" s="42"/>
      <c r="BI344" s="42"/>
      <c r="BJ344" s="42"/>
      <c r="BK344" s="42"/>
      <c r="BL344" s="42"/>
      <c r="BM344" s="42"/>
    </row>
    <row r="345">
      <c r="A345" s="125"/>
      <c r="B345" s="267"/>
      <c r="C345" s="361"/>
      <c r="D345" s="42"/>
      <c r="E345" s="42"/>
      <c r="F345" s="42"/>
      <c r="G345" s="42"/>
      <c r="H345" s="42"/>
      <c r="I345" s="42"/>
      <c r="J345" s="42"/>
      <c r="K345" s="304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  <c r="AW345" s="42"/>
      <c r="AX345" s="42"/>
      <c r="AY345" s="42"/>
      <c r="AZ345" s="42"/>
      <c r="BA345" s="42"/>
      <c r="BB345" s="42"/>
      <c r="BC345" s="42"/>
      <c r="BD345" s="42"/>
      <c r="BE345" s="42"/>
      <c r="BF345" s="42"/>
      <c r="BG345" s="42"/>
      <c r="BH345" s="42"/>
      <c r="BI345" s="42"/>
      <c r="BJ345" s="42"/>
      <c r="BK345" s="42"/>
      <c r="BL345" s="42"/>
      <c r="BM345" s="42"/>
    </row>
    <row r="346">
      <c r="A346" s="125"/>
      <c r="B346" s="267"/>
      <c r="C346" s="361"/>
      <c r="D346" s="42"/>
      <c r="E346" s="42"/>
      <c r="F346" s="42"/>
      <c r="G346" s="42"/>
      <c r="H346" s="42"/>
      <c r="I346" s="42"/>
      <c r="J346" s="42"/>
      <c r="K346" s="304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42"/>
      <c r="BD346" s="42"/>
      <c r="BE346" s="42"/>
      <c r="BF346" s="42"/>
      <c r="BG346" s="42"/>
      <c r="BH346" s="42"/>
      <c r="BI346" s="42"/>
      <c r="BJ346" s="42"/>
      <c r="BK346" s="42"/>
      <c r="BL346" s="42"/>
      <c r="BM346" s="42"/>
    </row>
    <row r="347">
      <c r="A347" s="125"/>
      <c r="B347" s="267"/>
      <c r="C347" s="361"/>
      <c r="D347" s="42"/>
      <c r="E347" s="42"/>
      <c r="F347" s="42"/>
      <c r="G347" s="42"/>
      <c r="H347" s="42"/>
      <c r="I347" s="42"/>
      <c r="J347" s="42"/>
      <c r="K347" s="304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  <c r="AW347" s="42"/>
      <c r="AX347" s="42"/>
      <c r="AY347" s="42"/>
      <c r="AZ347" s="42"/>
      <c r="BA347" s="42"/>
      <c r="BB347" s="42"/>
      <c r="BC347" s="42"/>
      <c r="BD347" s="42"/>
      <c r="BE347" s="42"/>
      <c r="BF347" s="42"/>
      <c r="BG347" s="42"/>
      <c r="BH347" s="42"/>
      <c r="BI347" s="42"/>
      <c r="BJ347" s="42"/>
      <c r="BK347" s="42"/>
      <c r="BL347" s="42"/>
      <c r="BM347" s="42"/>
    </row>
    <row r="348">
      <c r="A348" s="125"/>
      <c r="B348" s="267"/>
      <c r="C348" s="361"/>
      <c r="D348" s="42"/>
      <c r="E348" s="42"/>
      <c r="F348" s="42"/>
      <c r="G348" s="42"/>
      <c r="H348" s="42"/>
      <c r="I348" s="42"/>
      <c r="J348" s="42"/>
      <c r="K348" s="304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</row>
    <row r="349">
      <c r="A349" s="125"/>
      <c r="B349" s="267"/>
      <c r="C349" s="361"/>
      <c r="D349" s="42"/>
      <c r="E349" s="42"/>
      <c r="F349" s="42"/>
      <c r="G349" s="42"/>
      <c r="H349" s="42"/>
      <c r="I349" s="42"/>
      <c r="J349" s="42"/>
      <c r="K349" s="304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  <c r="BC349" s="42"/>
      <c r="BD349" s="42"/>
      <c r="BE349" s="42"/>
      <c r="BF349" s="42"/>
      <c r="BG349" s="42"/>
      <c r="BH349" s="42"/>
      <c r="BI349" s="42"/>
      <c r="BJ349" s="42"/>
      <c r="BK349" s="42"/>
      <c r="BL349" s="42"/>
      <c r="BM349" s="42"/>
    </row>
    <row r="350">
      <c r="A350" s="125"/>
      <c r="B350" s="267"/>
      <c r="C350" s="361"/>
      <c r="D350" s="42"/>
      <c r="E350" s="42"/>
      <c r="F350" s="42"/>
      <c r="G350" s="42"/>
      <c r="H350" s="42"/>
      <c r="I350" s="42"/>
      <c r="J350" s="42"/>
      <c r="K350" s="304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2"/>
      <c r="BD350" s="42"/>
      <c r="BE350" s="42"/>
      <c r="BF350" s="42"/>
      <c r="BG350" s="42"/>
      <c r="BH350" s="42"/>
      <c r="BI350" s="42"/>
      <c r="BJ350" s="42"/>
      <c r="BK350" s="42"/>
      <c r="BL350" s="42"/>
      <c r="BM350" s="42"/>
    </row>
    <row r="351">
      <c r="A351" s="125"/>
      <c r="B351" s="267"/>
      <c r="C351" s="361"/>
      <c r="D351" s="42"/>
      <c r="E351" s="42"/>
      <c r="F351" s="42"/>
      <c r="G351" s="42"/>
      <c r="H351" s="42"/>
      <c r="I351" s="42"/>
      <c r="J351" s="42"/>
      <c r="K351" s="304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  <c r="BC351" s="42"/>
      <c r="BD351" s="42"/>
      <c r="BE351" s="42"/>
      <c r="BF351" s="42"/>
      <c r="BG351" s="42"/>
      <c r="BH351" s="42"/>
      <c r="BI351" s="42"/>
      <c r="BJ351" s="42"/>
      <c r="BK351" s="42"/>
      <c r="BL351" s="42"/>
      <c r="BM351" s="42"/>
    </row>
    <row r="352">
      <c r="A352" s="125"/>
      <c r="B352" s="267"/>
      <c r="C352" s="361"/>
      <c r="D352" s="42"/>
      <c r="E352" s="42"/>
      <c r="F352" s="42"/>
      <c r="G352" s="42"/>
      <c r="H352" s="42"/>
      <c r="I352" s="42"/>
      <c r="J352" s="42"/>
      <c r="K352" s="304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2"/>
      <c r="BD352" s="42"/>
      <c r="BE352" s="42"/>
      <c r="BF352" s="42"/>
      <c r="BG352" s="42"/>
      <c r="BH352" s="42"/>
      <c r="BI352" s="42"/>
      <c r="BJ352" s="42"/>
      <c r="BK352" s="42"/>
      <c r="BL352" s="42"/>
      <c r="BM352" s="42"/>
    </row>
    <row r="353">
      <c r="A353" s="125"/>
      <c r="B353" s="267"/>
      <c r="C353" s="361"/>
      <c r="D353" s="42"/>
      <c r="E353" s="42"/>
      <c r="F353" s="42"/>
      <c r="G353" s="42"/>
      <c r="H353" s="42"/>
      <c r="I353" s="42"/>
      <c r="J353" s="42"/>
      <c r="K353" s="304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/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</row>
    <row r="354">
      <c r="A354" s="125"/>
      <c r="B354" s="267"/>
      <c r="C354" s="361"/>
      <c r="D354" s="42"/>
      <c r="E354" s="42"/>
      <c r="F354" s="42"/>
      <c r="G354" s="42"/>
      <c r="H354" s="42"/>
      <c r="I354" s="42"/>
      <c r="J354" s="42"/>
      <c r="K354" s="304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42"/>
      <c r="BD354" s="42"/>
      <c r="BE354" s="42"/>
      <c r="BF354" s="42"/>
      <c r="BG354" s="42"/>
      <c r="BH354" s="42"/>
      <c r="BI354" s="42"/>
      <c r="BJ354" s="42"/>
      <c r="BK354" s="42"/>
      <c r="BL354" s="42"/>
      <c r="BM354" s="42"/>
    </row>
    <row r="355">
      <c r="A355" s="125"/>
      <c r="B355" s="267"/>
      <c r="C355" s="361"/>
      <c r="D355" s="42"/>
      <c r="E355" s="42"/>
      <c r="F355" s="42"/>
      <c r="G355" s="42"/>
      <c r="H355" s="42"/>
      <c r="I355" s="42"/>
      <c r="J355" s="42"/>
      <c r="K355" s="304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  <c r="BC355" s="42"/>
      <c r="BD355" s="42"/>
      <c r="BE355" s="42"/>
      <c r="BF355" s="42"/>
      <c r="BG355" s="42"/>
      <c r="BH355" s="42"/>
      <c r="BI355" s="42"/>
      <c r="BJ355" s="42"/>
      <c r="BK355" s="42"/>
      <c r="BL355" s="42"/>
      <c r="BM355" s="42"/>
    </row>
    <row r="356">
      <c r="A356" s="125"/>
      <c r="B356" s="267"/>
      <c r="C356" s="361"/>
      <c r="D356" s="42"/>
      <c r="E356" s="42"/>
      <c r="F356" s="42"/>
      <c r="G356" s="42"/>
      <c r="H356" s="42"/>
      <c r="I356" s="42"/>
      <c r="J356" s="42"/>
      <c r="K356" s="304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2"/>
      <c r="BD356" s="42"/>
      <c r="BE356" s="42"/>
      <c r="BF356" s="42"/>
      <c r="BG356" s="42"/>
      <c r="BH356" s="42"/>
      <c r="BI356" s="42"/>
      <c r="BJ356" s="42"/>
      <c r="BK356" s="42"/>
      <c r="BL356" s="42"/>
      <c r="BM356" s="42"/>
    </row>
    <row r="357">
      <c r="A357" s="125"/>
      <c r="B357" s="267"/>
      <c r="C357" s="361"/>
      <c r="D357" s="42"/>
      <c r="E357" s="42"/>
      <c r="F357" s="42"/>
      <c r="G357" s="42"/>
      <c r="H357" s="42"/>
      <c r="I357" s="42"/>
      <c r="J357" s="42"/>
      <c r="K357" s="304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  <c r="AW357" s="42"/>
      <c r="AX357" s="42"/>
      <c r="AY357" s="42"/>
      <c r="AZ357" s="42"/>
      <c r="BA357" s="42"/>
      <c r="BB357" s="42"/>
      <c r="BC357" s="42"/>
      <c r="BD357" s="42"/>
      <c r="BE357" s="42"/>
      <c r="BF357" s="42"/>
      <c r="BG357" s="42"/>
      <c r="BH357" s="42"/>
      <c r="BI357" s="42"/>
      <c r="BJ357" s="42"/>
      <c r="BK357" s="42"/>
      <c r="BL357" s="42"/>
      <c r="BM357" s="42"/>
    </row>
    <row r="358">
      <c r="A358" s="125"/>
      <c r="B358" s="267"/>
      <c r="C358" s="361"/>
      <c r="D358" s="42"/>
      <c r="E358" s="42"/>
      <c r="F358" s="42"/>
      <c r="G358" s="42"/>
      <c r="H358" s="42"/>
      <c r="I358" s="42"/>
      <c r="J358" s="42"/>
      <c r="K358" s="304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2"/>
      <c r="BD358" s="42"/>
      <c r="BE358" s="42"/>
      <c r="BF358" s="42"/>
      <c r="BG358" s="42"/>
      <c r="BH358" s="42"/>
      <c r="BI358" s="42"/>
      <c r="BJ358" s="42"/>
      <c r="BK358" s="42"/>
      <c r="BL358" s="42"/>
      <c r="BM358" s="42"/>
    </row>
    <row r="359">
      <c r="A359" s="125"/>
      <c r="B359" s="267"/>
      <c r="C359" s="361"/>
      <c r="D359" s="42"/>
      <c r="E359" s="42"/>
      <c r="F359" s="42"/>
      <c r="G359" s="42"/>
      <c r="H359" s="42"/>
      <c r="I359" s="42"/>
      <c r="J359" s="42"/>
      <c r="K359" s="304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  <c r="BC359" s="42"/>
      <c r="BD359" s="42"/>
      <c r="BE359" s="42"/>
      <c r="BF359" s="42"/>
      <c r="BG359" s="42"/>
      <c r="BH359" s="42"/>
      <c r="BI359" s="42"/>
      <c r="BJ359" s="42"/>
      <c r="BK359" s="42"/>
      <c r="BL359" s="42"/>
      <c r="BM359" s="42"/>
    </row>
    <row r="360">
      <c r="A360" s="125"/>
      <c r="B360" s="267"/>
      <c r="C360" s="361"/>
      <c r="D360" s="42"/>
      <c r="E360" s="42"/>
      <c r="F360" s="42"/>
      <c r="G360" s="42"/>
      <c r="H360" s="42"/>
      <c r="I360" s="42"/>
      <c r="J360" s="42"/>
      <c r="K360" s="304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42"/>
      <c r="BD360" s="42"/>
      <c r="BE360" s="42"/>
      <c r="BF360" s="42"/>
      <c r="BG360" s="42"/>
      <c r="BH360" s="42"/>
      <c r="BI360" s="42"/>
      <c r="BJ360" s="42"/>
      <c r="BK360" s="42"/>
      <c r="BL360" s="42"/>
      <c r="BM360" s="42"/>
    </row>
    <row r="361">
      <c r="A361" s="125"/>
      <c r="B361" s="267"/>
      <c r="C361" s="361"/>
      <c r="D361" s="42"/>
      <c r="E361" s="42"/>
      <c r="F361" s="42"/>
      <c r="G361" s="42"/>
      <c r="H361" s="42"/>
      <c r="I361" s="42"/>
      <c r="J361" s="42"/>
      <c r="K361" s="304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  <c r="AW361" s="42"/>
      <c r="AX361" s="42"/>
      <c r="AY361" s="42"/>
      <c r="AZ361" s="42"/>
      <c r="BA361" s="42"/>
      <c r="BB361" s="42"/>
      <c r="BC361" s="42"/>
      <c r="BD361" s="42"/>
      <c r="BE361" s="42"/>
      <c r="BF361" s="42"/>
      <c r="BG361" s="42"/>
      <c r="BH361" s="42"/>
      <c r="BI361" s="42"/>
      <c r="BJ361" s="42"/>
      <c r="BK361" s="42"/>
      <c r="BL361" s="42"/>
      <c r="BM361" s="42"/>
    </row>
    <row r="362">
      <c r="A362" s="125"/>
      <c r="B362" s="267"/>
      <c r="C362" s="361"/>
      <c r="D362" s="42"/>
      <c r="E362" s="42"/>
      <c r="F362" s="42"/>
      <c r="G362" s="42"/>
      <c r="H362" s="42"/>
      <c r="I362" s="42"/>
      <c r="J362" s="42"/>
      <c r="K362" s="304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2"/>
      <c r="BD362" s="42"/>
      <c r="BE362" s="42"/>
      <c r="BF362" s="42"/>
      <c r="BG362" s="42"/>
      <c r="BH362" s="42"/>
      <c r="BI362" s="42"/>
      <c r="BJ362" s="42"/>
      <c r="BK362" s="42"/>
      <c r="BL362" s="42"/>
      <c r="BM362" s="42"/>
    </row>
    <row r="363">
      <c r="A363" s="125"/>
      <c r="B363" s="267"/>
      <c r="C363" s="361"/>
      <c r="D363" s="42"/>
      <c r="E363" s="42"/>
      <c r="F363" s="42"/>
      <c r="G363" s="42"/>
      <c r="H363" s="42"/>
      <c r="I363" s="42"/>
      <c r="J363" s="42"/>
      <c r="K363" s="304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  <c r="AX363" s="42"/>
      <c r="AY363" s="42"/>
      <c r="AZ363" s="42"/>
      <c r="BA363" s="42"/>
      <c r="BB363" s="42"/>
      <c r="BC363" s="42"/>
      <c r="BD363" s="42"/>
      <c r="BE363" s="42"/>
      <c r="BF363" s="42"/>
      <c r="BG363" s="42"/>
      <c r="BH363" s="42"/>
      <c r="BI363" s="42"/>
      <c r="BJ363" s="42"/>
      <c r="BK363" s="42"/>
      <c r="BL363" s="42"/>
      <c r="BM363" s="42"/>
    </row>
    <row r="364">
      <c r="A364" s="125"/>
      <c r="B364" s="267"/>
      <c r="C364" s="361"/>
      <c r="D364" s="42"/>
      <c r="E364" s="42"/>
      <c r="F364" s="42"/>
      <c r="G364" s="42"/>
      <c r="H364" s="42"/>
      <c r="I364" s="42"/>
      <c r="J364" s="42"/>
      <c r="K364" s="304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2"/>
      <c r="BD364" s="42"/>
      <c r="BE364" s="42"/>
      <c r="BF364" s="42"/>
      <c r="BG364" s="42"/>
      <c r="BH364" s="42"/>
      <c r="BI364" s="42"/>
      <c r="BJ364" s="42"/>
      <c r="BK364" s="42"/>
      <c r="BL364" s="42"/>
      <c r="BM364" s="42"/>
    </row>
    <row r="365">
      <c r="A365" s="125"/>
      <c r="B365" s="267"/>
      <c r="C365" s="361"/>
      <c r="D365" s="42"/>
      <c r="E365" s="42"/>
      <c r="F365" s="42"/>
      <c r="G365" s="42"/>
      <c r="H365" s="42"/>
      <c r="I365" s="42"/>
      <c r="J365" s="42"/>
      <c r="K365" s="304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42"/>
      <c r="AY365" s="42"/>
      <c r="AZ365" s="42"/>
      <c r="BA365" s="42"/>
      <c r="BB365" s="42"/>
      <c r="BC365" s="42"/>
      <c r="BD365" s="42"/>
      <c r="BE365" s="42"/>
      <c r="BF365" s="42"/>
      <c r="BG365" s="42"/>
      <c r="BH365" s="42"/>
      <c r="BI365" s="42"/>
      <c r="BJ365" s="42"/>
      <c r="BK365" s="42"/>
      <c r="BL365" s="42"/>
      <c r="BM365" s="42"/>
    </row>
    <row r="366">
      <c r="A366" s="125"/>
      <c r="B366" s="267"/>
      <c r="C366" s="361"/>
      <c r="D366" s="42"/>
      <c r="E366" s="42"/>
      <c r="F366" s="42"/>
      <c r="G366" s="42"/>
      <c r="H366" s="42"/>
      <c r="I366" s="42"/>
      <c r="J366" s="42"/>
      <c r="K366" s="304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2"/>
      <c r="BD366" s="42"/>
      <c r="BE366" s="42"/>
      <c r="BF366" s="42"/>
      <c r="BG366" s="42"/>
      <c r="BH366" s="42"/>
      <c r="BI366" s="42"/>
      <c r="BJ366" s="42"/>
      <c r="BK366" s="42"/>
      <c r="BL366" s="42"/>
      <c r="BM366" s="42"/>
    </row>
    <row r="367">
      <c r="A367" s="125"/>
      <c r="B367" s="267"/>
      <c r="C367" s="361"/>
      <c r="D367" s="42"/>
      <c r="E367" s="42"/>
      <c r="F367" s="42"/>
      <c r="G367" s="42"/>
      <c r="H367" s="42"/>
      <c r="I367" s="42"/>
      <c r="J367" s="42"/>
      <c r="K367" s="304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42"/>
      <c r="AY367" s="42"/>
      <c r="AZ367" s="42"/>
      <c r="BA367" s="42"/>
      <c r="BB367" s="42"/>
      <c r="BC367" s="42"/>
      <c r="BD367" s="42"/>
      <c r="BE367" s="42"/>
      <c r="BF367" s="42"/>
      <c r="BG367" s="42"/>
      <c r="BH367" s="42"/>
      <c r="BI367" s="42"/>
      <c r="BJ367" s="42"/>
      <c r="BK367" s="42"/>
      <c r="BL367" s="42"/>
      <c r="BM367" s="42"/>
    </row>
    <row r="368">
      <c r="A368" s="125"/>
      <c r="B368" s="267"/>
      <c r="C368" s="361"/>
      <c r="D368" s="42"/>
      <c r="E368" s="42"/>
      <c r="F368" s="42"/>
      <c r="G368" s="42"/>
      <c r="H368" s="42"/>
      <c r="I368" s="42"/>
      <c r="J368" s="42"/>
      <c r="K368" s="304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42"/>
      <c r="BG368" s="42"/>
      <c r="BH368" s="42"/>
      <c r="BI368" s="42"/>
      <c r="BJ368" s="42"/>
      <c r="BK368" s="42"/>
      <c r="BL368" s="42"/>
      <c r="BM368" s="42"/>
    </row>
    <row r="369">
      <c r="A369" s="125"/>
      <c r="B369" s="267"/>
      <c r="C369" s="361"/>
      <c r="D369" s="42"/>
      <c r="E369" s="42"/>
      <c r="F369" s="42"/>
      <c r="G369" s="42"/>
      <c r="H369" s="42"/>
      <c r="I369" s="42"/>
      <c r="J369" s="42"/>
      <c r="K369" s="304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  <c r="BC369" s="42"/>
      <c r="BD369" s="42"/>
      <c r="BE369" s="42"/>
      <c r="BF369" s="42"/>
      <c r="BG369" s="42"/>
      <c r="BH369" s="42"/>
      <c r="BI369" s="42"/>
      <c r="BJ369" s="42"/>
      <c r="BK369" s="42"/>
      <c r="BL369" s="42"/>
      <c r="BM369" s="42"/>
    </row>
    <row r="370">
      <c r="A370" s="125"/>
      <c r="B370" s="267"/>
      <c r="C370" s="361"/>
      <c r="D370" s="42"/>
      <c r="E370" s="42"/>
      <c r="F370" s="42"/>
      <c r="G370" s="42"/>
      <c r="H370" s="42"/>
      <c r="I370" s="42"/>
      <c r="J370" s="42"/>
      <c r="K370" s="304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</row>
    <row r="371">
      <c r="A371" s="125"/>
      <c r="B371" s="267"/>
      <c r="C371" s="361"/>
      <c r="D371" s="42"/>
      <c r="E371" s="42"/>
      <c r="F371" s="42"/>
      <c r="G371" s="42"/>
      <c r="H371" s="42"/>
      <c r="I371" s="42"/>
      <c r="J371" s="42"/>
      <c r="K371" s="304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  <c r="BC371" s="42"/>
      <c r="BD371" s="42"/>
      <c r="BE371" s="42"/>
      <c r="BF371" s="42"/>
      <c r="BG371" s="42"/>
      <c r="BH371" s="42"/>
      <c r="BI371" s="42"/>
      <c r="BJ371" s="42"/>
      <c r="BK371" s="42"/>
      <c r="BL371" s="42"/>
      <c r="BM371" s="42"/>
    </row>
    <row r="372">
      <c r="A372" s="125"/>
      <c r="B372" s="267"/>
      <c r="C372" s="361"/>
      <c r="D372" s="42"/>
      <c r="E372" s="42"/>
      <c r="F372" s="42"/>
      <c r="G372" s="42"/>
      <c r="H372" s="42"/>
      <c r="I372" s="42"/>
      <c r="J372" s="42"/>
      <c r="K372" s="304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42"/>
      <c r="BE372" s="42"/>
      <c r="BF372" s="42"/>
      <c r="BG372" s="42"/>
      <c r="BH372" s="42"/>
      <c r="BI372" s="42"/>
      <c r="BJ372" s="42"/>
      <c r="BK372" s="42"/>
      <c r="BL372" s="42"/>
      <c r="BM372" s="42"/>
    </row>
    <row r="373">
      <c r="A373" s="125"/>
      <c r="B373" s="267"/>
      <c r="C373" s="361"/>
      <c r="D373" s="42"/>
      <c r="E373" s="42"/>
      <c r="F373" s="42"/>
      <c r="G373" s="42"/>
      <c r="H373" s="42"/>
      <c r="I373" s="42"/>
      <c r="J373" s="42"/>
      <c r="K373" s="304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42"/>
      <c r="AY373" s="42"/>
      <c r="AZ373" s="42"/>
      <c r="BA373" s="42"/>
      <c r="BB373" s="42"/>
      <c r="BC373" s="42"/>
      <c r="BD373" s="42"/>
      <c r="BE373" s="42"/>
      <c r="BF373" s="42"/>
      <c r="BG373" s="42"/>
      <c r="BH373" s="42"/>
      <c r="BI373" s="42"/>
      <c r="BJ373" s="42"/>
      <c r="BK373" s="42"/>
      <c r="BL373" s="42"/>
      <c r="BM373" s="42"/>
    </row>
    <row r="374">
      <c r="A374" s="125"/>
      <c r="B374" s="267"/>
      <c r="C374" s="361"/>
      <c r="D374" s="42"/>
      <c r="E374" s="42"/>
      <c r="F374" s="42"/>
      <c r="G374" s="42"/>
      <c r="H374" s="42"/>
      <c r="I374" s="42"/>
      <c r="J374" s="42"/>
      <c r="K374" s="304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42"/>
      <c r="BG374" s="42"/>
      <c r="BH374" s="42"/>
      <c r="BI374" s="42"/>
      <c r="BJ374" s="42"/>
      <c r="BK374" s="42"/>
      <c r="BL374" s="42"/>
      <c r="BM374" s="42"/>
    </row>
    <row r="375">
      <c r="A375" s="125"/>
      <c r="B375" s="267"/>
      <c r="C375" s="361"/>
      <c r="D375" s="42"/>
      <c r="E375" s="42"/>
      <c r="F375" s="42"/>
      <c r="G375" s="42"/>
      <c r="H375" s="42"/>
      <c r="I375" s="42"/>
      <c r="J375" s="42"/>
      <c r="K375" s="304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42"/>
      <c r="AY375" s="42"/>
      <c r="AZ375" s="42"/>
      <c r="BA375" s="42"/>
      <c r="BB375" s="42"/>
      <c r="BC375" s="42"/>
      <c r="BD375" s="42"/>
      <c r="BE375" s="42"/>
      <c r="BF375" s="42"/>
      <c r="BG375" s="42"/>
      <c r="BH375" s="42"/>
      <c r="BI375" s="42"/>
      <c r="BJ375" s="42"/>
      <c r="BK375" s="42"/>
      <c r="BL375" s="42"/>
      <c r="BM375" s="42"/>
    </row>
    <row r="376">
      <c r="A376" s="125"/>
      <c r="B376" s="267"/>
      <c r="C376" s="361"/>
      <c r="D376" s="42"/>
      <c r="E376" s="42"/>
      <c r="F376" s="42"/>
      <c r="G376" s="42"/>
      <c r="H376" s="42"/>
      <c r="I376" s="42"/>
      <c r="J376" s="42"/>
      <c r="K376" s="304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2"/>
      <c r="BD376" s="42"/>
      <c r="BE376" s="42"/>
      <c r="BF376" s="42"/>
      <c r="BG376" s="42"/>
      <c r="BH376" s="42"/>
      <c r="BI376" s="42"/>
      <c r="BJ376" s="42"/>
      <c r="BK376" s="42"/>
      <c r="BL376" s="42"/>
      <c r="BM376" s="42"/>
    </row>
    <row r="377">
      <c r="A377" s="125"/>
      <c r="B377" s="267"/>
      <c r="C377" s="361"/>
      <c r="D377" s="42"/>
      <c r="E377" s="42"/>
      <c r="F377" s="42"/>
      <c r="G377" s="42"/>
      <c r="H377" s="42"/>
      <c r="I377" s="42"/>
      <c r="J377" s="42"/>
      <c r="K377" s="304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  <c r="AW377" s="42"/>
      <c r="AX377" s="42"/>
      <c r="AY377" s="42"/>
      <c r="AZ377" s="42"/>
      <c r="BA377" s="42"/>
      <c r="BB377" s="42"/>
      <c r="BC377" s="42"/>
      <c r="BD377" s="42"/>
      <c r="BE377" s="42"/>
      <c r="BF377" s="42"/>
      <c r="BG377" s="42"/>
      <c r="BH377" s="42"/>
      <c r="BI377" s="42"/>
      <c r="BJ377" s="42"/>
      <c r="BK377" s="42"/>
      <c r="BL377" s="42"/>
      <c r="BM377" s="42"/>
    </row>
    <row r="378">
      <c r="A378" s="125"/>
      <c r="B378" s="267"/>
      <c r="C378" s="361"/>
      <c r="D378" s="42"/>
      <c r="E378" s="42"/>
      <c r="F378" s="42"/>
      <c r="G378" s="42"/>
      <c r="H378" s="42"/>
      <c r="I378" s="42"/>
      <c r="J378" s="42"/>
      <c r="K378" s="304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2"/>
      <c r="BD378" s="42"/>
      <c r="BE378" s="42"/>
      <c r="BF378" s="42"/>
      <c r="BG378" s="42"/>
      <c r="BH378" s="42"/>
      <c r="BI378" s="42"/>
      <c r="BJ378" s="42"/>
      <c r="BK378" s="42"/>
      <c r="BL378" s="42"/>
      <c r="BM378" s="42"/>
    </row>
    <row r="379">
      <c r="A379" s="125"/>
      <c r="B379" s="267"/>
      <c r="C379" s="361"/>
      <c r="D379" s="42"/>
      <c r="E379" s="42"/>
      <c r="F379" s="42"/>
      <c r="G379" s="42"/>
      <c r="H379" s="42"/>
      <c r="I379" s="42"/>
      <c r="J379" s="42"/>
      <c r="K379" s="304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  <c r="AW379" s="42"/>
      <c r="AX379" s="42"/>
      <c r="AY379" s="42"/>
      <c r="AZ379" s="42"/>
      <c r="BA379" s="42"/>
      <c r="BB379" s="42"/>
      <c r="BC379" s="42"/>
      <c r="BD379" s="42"/>
      <c r="BE379" s="42"/>
      <c r="BF379" s="42"/>
      <c r="BG379" s="42"/>
      <c r="BH379" s="42"/>
      <c r="BI379" s="42"/>
      <c r="BJ379" s="42"/>
      <c r="BK379" s="42"/>
      <c r="BL379" s="42"/>
      <c r="BM379" s="42"/>
    </row>
    <row r="380">
      <c r="A380" s="125"/>
      <c r="B380" s="267"/>
      <c r="C380" s="361"/>
      <c r="D380" s="42"/>
      <c r="E380" s="42"/>
      <c r="F380" s="42"/>
      <c r="G380" s="42"/>
      <c r="H380" s="42"/>
      <c r="I380" s="42"/>
      <c r="J380" s="42"/>
      <c r="K380" s="304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42"/>
      <c r="BG380" s="42"/>
      <c r="BH380" s="42"/>
      <c r="BI380" s="42"/>
      <c r="BJ380" s="42"/>
      <c r="BK380" s="42"/>
      <c r="BL380" s="42"/>
      <c r="BM380" s="42"/>
    </row>
    <row r="381">
      <c r="A381" s="125"/>
      <c r="B381" s="267"/>
      <c r="C381" s="361"/>
      <c r="D381" s="42"/>
      <c r="E381" s="42"/>
      <c r="F381" s="42"/>
      <c r="G381" s="42"/>
      <c r="H381" s="42"/>
      <c r="I381" s="42"/>
      <c r="J381" s="42"/>
      <c r="K381" s="304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  <c r="BC381" s="42"/>
      <c r="BD381" s="42"/>
      <c r="BE381" s="42"/>
      <c r="BF381" s="42"/>
      <c r="BG381" s="42"/>
      <c r="BH381" s="42"/>
      <c r="BI381" s="42"/>
      <c r="BJ381" s="42"/>
      <c r="BK381" s="42"/>
      <c r="BL381" s="42"/>
      <c r="BM381" s="42"/>
    </row>
    <row r="382">
      <c r="A382" s="125"/>
      <c r="B382" s="267"/>
      <c r="C382" s="361"/>
      <c r="D382" s="42"/>
      <c r="E382" s="42"/>
      <c r="F382" s="42"/>
      <c r="G382" s="42"/>
      <c r="H382" s="42"/>
      <c r="I382" s="42"/>
      <c r="J382" s="42"/>
      <c r="K382" s="304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2"/>
      <c r="BD382" s="42"/>
      <c r="BE382" s="42"/>
      <c r="BF382" s="42"/>
      <c r="BG382" s="42"/>
      <c r="BH382" s="42"/>
      <c r="BI382" s="42"/>
      <c r="BJ382" s="42"/>
      <c r="BK382" s="42"/>
      <c r="BL382" s="42"/>
      <c r="BM382" s="42"/>
    </row>
    <row r="383">
      <c r="A383" s="125"/>
      <c r="B383" s="267"/>
      <c r="C383" s="361"/>
      <c r="D383" s="42"/>
      <c r="E383" s="42"/>
      <c r="F383" s="42"/>
      <c r="G383" s="42"/>
      <c r="H383" s="42"/>
      <c r="I383" s="42"/>
      <c r="J383" s="42"/>
      <c r="K383" s="304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  <c r="AW383" s="42"/>
      <c r="AX383" s="42"/>
      <c r="AY383" s="42"/>
      <c r="AZ383" s="42"/>
      <c r="BA383" s="42"/>
      <c r="BB383" s="42"/>
      <c r="BC383" s="42"/>
      <c r="BD383" s="42"/>
      <c r="BE383" s="42"/>
      <c r="BF383" s="42"/>
      <c r="BG383" s="42"/>
      <c r="BH383" s="42"/>
      <c r="BI383" s="42"/>
      <c r="BJ383" s="42"/>
      <c r="BK383" s="42"/>
      <c r="BL383" s="42"/>
      <c r="BM383" s="42"/>
    </row>
    <row r="384">
      <c r="A384" s="125"/>
      <c r="B384" s="267"/>
      <c r="C384" s="361"/>
      <c r="D384" s="42"/>
      <c r="E384" s="42"/>
      <c r="F384" s="42"/>
      <c r="G384" s="42"/>
      <c r="H384" s="42"/>
      <c r="I384" s="42"/>
      <c r="J384" s="42"/>
      <c r="K384" s="304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42"/>
      <c r="BG384" s="42"/>
      <c r="BH384" s="42"/>
      <c r="BI384" s="42"/>
      <c r="BJ384" s="42"/>
      <c r="BK384" s="42"/>
      <c r="BL384" s="42"/>
      <c r="BM384" s="42"/>
    </row>
    <row r="385">
      <c r="A385" s="125"/>
      <c r="B385" s="267"/>
      <c r="C385" s="361"/>
      <c r="D385" s="42"/>
      <c r="E385" s="42"/>
      <c r="F385" s="42"/>
      <c r="G385" s="42"/>
      <c r="H385" s="42"/>
      <c r="I385" s="42"/>
      <c r="J385" s="42"/>
      <c r="K385" s="304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  <c r="AW385" s="42"/>
      <c r="AX385" s="42"/>
      <c r="AY385" s="42"/>
      <c r="AZ385" s="42"/>
      <c r="BA385" s="42"/>
      <c r="BB385" s="42"/>
      <c r="BC385" s="42"/>
      <c r="BD385" s="42"/>
      <c r="BE385" s="42"/>
      <c r="BF385" s="42"/>
      <c r="BG385" s="42"/>
      <c r="BH385" s="42"/>
      <c r="BI385" s="42"/>
      <c r="BJ385" s="42"/>
      <c r="BK385" s="42"/>
      <c r="BL385" s="42"/>
      <c r="BM385" s="42"/>
    </row>
    <row r="386">
      <c r="A386" s="125"/>
      <c r="B386" s="267"/>
      <c r="C386" s="361"/>
      <c r="D386" s="42"/>
      <c r="E386" s="42"/>
      <c r="F386" s="42"/>
      <c r="G386" s="42"/>
      <c r="H386" s="42"/>
      <c r="I386" s="42"/>
      <c r="J386" s="42"/>
      <c r="K386" s="304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42"/>
      <c r="BG386" s="42"/>
      <c r="BH386" s="42"/>
      <c r="BI386" s="42"/>
      <c r="BJ386" s="42"/>
      <c r="BK386" s="42"/>
      <c r="BL386" s="42"/>
      <c r="BM386" s="42"/>
    </row>
    <row r="387">
      <c r="A387" s="125"/>
      <c r="B387" s="267"/>
      <c r="C387" s="361"/>
      <c r="D387" s="42"/>
      <c r="E387" s="42"/>
      <c r="F387" s="42"/>
      <c r="G387" s="42"/>
      <c r="H387" s="42"/>
      <c r="I387" s="42"/>
      <c r="J387" s="42"/>
      <c r="K387" s="304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  <c r="BC387" s="42"/>
      <c r="BD387" s="42"/>
      <c r="BE387" s="42"/>
      <c r="BF387" s="42"/>
      <c r="BG387" s="42"/>
      <c r="BH387" s="42"/>
      <c r="BI387" s="42"/>
      <c r="BJ387" s="42"/>
      <c r="BK387" s="42"/>
      <c r="BL387" s="42"/>
      <c r="BM387" s="42"/>
    </row>
    <row r="388">
      <c r="A388" s="125"/>
      <c r="B388" s="267"/>
      <c r="C388" s="361"/>
      <c r="D388" s="42"/>
      <c r="E388" s="42"/>
      <c r="F388" s="42"/>
      <c r="G388" s="42"/>
      <c r="H388" s="42"/>
      <c r="I388" s="42"/>
      <c r="J388" s="42"/>
      <c r="K388" s="304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</row>
    <row r="389">
      <c r="A389" s="125"/>
      <c r="B389" s="267"/>
      <c r="C389" s="361"/>
      <c r="D389" s="42"/>
      <c r="E389" s="42"/>
      <c r="F389" s="42"/>
      <c r="G389" s="42"/>
      <c r="H389" s="42"/>
      <c r="I389" s="42"/>
      <c r="J389" s="42"/>
      <c r="K389" s="304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  <c r="BC389" s="42"/>
      <c r="BD389" s="42"/>
      <c r="BE389" s="42"/>
      <c r="BF389" s="42"/>
      <c r="BG389" s="42"/>
      <c r="BH389" s="42"/>
      <c r="BI389" s="42"/>
      <c r="BJ389" s="42"/>
      <c r="BK389" s="42"/>
      <c r="BL389" s="42"/>
      <c r="BM389" s="42"/>
    </row>
    <row r="390">
      <c r="A390" s="125"/>
      <c r="B390" s="267"/>
      <c r="C390" s="361"/>
      <c r="D390" s="42"/>
      <c r="E390" s="42"/>
      <c r="F390" s="42"/>
      <c r="G390" s="42"/>
      <c r="H390" s="42"/>
      <c r="I390" s="42"/>
      <c r="J390" s="42"/>
      <c r="K390" s="304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2"/>
      <c r="BD390" s="42"/>
      <c r="BE390" s="42"/>
      <c r="BF390" s="42"/>
      <c r="BG390" s="42"/>
      <c r="BH390" s="42"/>
      <c r="BI390" s="42"/>
      <c r="BJ390" s="42"/>
      <c r="BK390" s="42"/>
      <c r="BL390" s="42"/>
      <c r="BM390" s="42"/>
    </row>
    <row r="391">
      <c r="A391" s="125"/>
      <c r="B391" s="267"/>
      <c r="C391" s="361"/>
      <c r="D391" s="42"/>
      <c r="E391" s="42"/>
      <c r="F391" s="42"/>
      <c r="G391" s="42"/>
      <c r="H391" s="42"/>
      <c r="I391" s="42"/>
      <c r="J391" s="42"/>
      <c r="K391" s="304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  <c r="AW391" s="42"/>
      <c r="AX391" s="42"/>
      <c r="AY391" s="42"/>
      <c r="AZ391" s="42"/>
      <c r="BA391" s="42"/>
      <c r="BB391" s="42"/>
      <c r="BC391" s="42"/>
      <c r="BD391" s="42"/>
      <c r="BE391" s="42"/>
      <c r="BF391" s="42"/>
      <c r="BG391" s="42"/>
      <c r="BH391" s="42"/>
      <c r="BI391" s="42"/>
      <c r="BJ391" s="42"/>
      <c r="BK391" s="42"/>
      <c r="BL391" s="42"/>
      <c r="BM391" s="42"/>
    </row>
    <row r="392">
      <c r="A392" s="125"/>
      <c r="B392" s="267"/>
      <c r="C392" s="361"/>
      <c r="D392" s="42"/>
      <c r="E392" s="42"/>
      <c r="F392" s="42"/>
      <c r="G392" s="42"/>
      <c r="H392" s="42"/>
      <c r="I392" s="42"/>
      <c r="J392" s="42"/>
      <c r="K392" s="304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2"/>
      <c r="BD392" s="42"/>
      <c r="BE392" s="42"/>
      <c r="BF392" s="42"/>
      <c r="BG392" s="42"/>
      <c r="BH392" s="42"/>
      <c r="BI392" s="42"/>
      <c r="BJ392" s="42"/>
      <c r="BK392" s="42"/>
      <c r="BL392" s="42"/>
      <c r="BM392" s="42"/>
    </row>
    <row r="393">
      <c r="A393" s="125"/>
      <c r="B393" s="267"/>
      <c r="C393" s="361"/>
      <c r="D393" s="42"/>
      <c r="E393" s="42"/>
      <c r="F393" s="42"/>
      <c r="G393" s="42"/>
      <c r="H393" s="42"/>
      <c r="I393" s="42"/>
      <c r="J393" s="42"/>
      <c r="K393" s="304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</row>
    <row r="394">
      <c r="A394" s="125"/>
      <c r="B394" s="267"/>
      <c r="C394" s="361"/>
      <c r="D394" s="42"/>
      <c r="E394" s="42"/>
      <c r="F394" s="42"/>
      <c r="G394" s="42"/>
      <c r="H394" s="42"/>
      <c r="I394" s="42"/>
      <c r="J394" s="42"/>
      <c r="K394" s="304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2"/>
      <c r="BD394" s="42"/>
      <c r="BE394" s="42"/>
      <c r="BF394" s="42"/>
      <c r="BG394" s="42"/>
      <c r="BH394" s="42"/>
      <c r="BI394" s="42"/>
      <c r="BJ394" s="42"/>
      <c r="BK394" s="42"/>
      <c r="BL394" s="42"/>
      <c r="BM394" s="42"/>
    </row>
    <row r="395">
      <c r="A395" s="125"/>
      <c r="B395" s="267"/>
      <c r="C395" s="361"/>
      <c r="D395" s="42"/>
      <c r="E395" s="42"/>
      <c r="F395" s="42"/>
      <c r="G395" s="42"/>
      <c r="H395" s="42"/>
      <c r="I395" s="42"/>
      <c r="J395" s="42"/>
      <c r="K395" s="304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  <c r="AW395" s="42"/>
      <c r="AX395" s="42"/>
      <c r="AY395" s="42"/>
      <c r="AZ395" s="42"/>
      <c r="BA395" s="42"/>
      <c r="BB395" s="42"/>
      <c r="BC395" s="42"/>
      <c r="BD395" s="42"/>
      <c r="BE395" s="42"/>
      <c r="BF395" s="42"/>
      <c r="BG395" s="42"/>
      <c r="BH395" s="42"/>
      <c r="BI395" s="42"/>
      <c r="BJ395" s="42"/>
      <c r="BK395" s="42"/>
      <c r="BL395" s="42"/>
      <c r="BM395" s="42"/>
    </row>
    <row r="396">
      <c r="A396" s="125"/>
      <c r="B396" s="267"/>
      <c r="C396" s="361"/>
      <c r="D396" s="42"/>
      <c r="E396" s="42"/>
      <c r="F396" s="42"/>
      <c r="G396" s="42"/>
      <c r="H396" s="42"/>
      <c r="I396" s="42"/>
      <c r="J396" s="42"/>
      <c r="K396" s="304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42"/>
      <c r="BG396" s="42"/>
      <c r="BH396" s="42"/>
      <c r="BI396" s="42"/>
      <c r="BJ396" s="42"/>
      <c r="BK396" s="42"/>
      <c r="BL396" s="42"/>
      <c r="BM396" s="42"/>
    </row>
    <row r="397">
      <c r="A397" s="125"/>
      <c r="B397" s="267"/>
      <c r="C397" s="361"/>
      <c r="D397" s="42"/>
      <c r="E397" s="42"/>
      <c r="F397" s="42"/>
      <c r="G397" s="42"/>
      <c r="H397" s="42"/>
      <c r="I397" s="42"/>
      <c r="J397" s="42"/>
      <c r="K397" s="304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42"/>
      <c r="AY397" s="42"/>
      <c r="AZ397" s="42"/>
      <c r="BA397" s="42"/>
      <c r="BB397" s="42"/>
      <c r="BC397" s="42"/>
      <c r="BD397" s="42"/>
      <c r="BE397" s="42"/>
      <c r="BF397" s="42"/>
      <c r="BG397" s="42"/>
      <c r="BH397" s="42"/>
      <c r="BI397" s="42"/>
      <c r="BJ397" s="42"/>
      <c r="BK397" s="42"/>
      <c r="BL397" s="42"/>
      <c r="BM397" s="42"/>
    </row>
    <row r="398">
      <c r="A398" s="125"/>
      <c r="B398" s="267"/>
      <c r="C398" s="361"/>
      <c r="D398" s="42"/>
      <c r="E398" s="42"/>
      <c r="F398" s="42"/>
      <c r="G398" s="42"/>
      <c r="H398" s="42"/>
      <c r="I398" s="42"/>
      <c r="J398" s="42"/>
      <c r="K398" s="304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2"/>
      <c r="BD398" s="42"/>
      <c r="BE398" s="42"/>
      <c r="BF398" s="42"/>
      <c r="BG398" s="42"/>
      <c r="BH398" s="42"/>
      <c r="BI398" s="42"/>
      <c r="BJ398" s="42"/>
      <c r="BK398" s="42"/>
      <c r="BL398" s="42"/>
      <c r="BM398" s="42"/>
    </row>
    <row r="399">
      <c r="A399" s="125"/>
      <c r="B399" s="267"/>
      <c r="C399" s="361"/>
      <c r="D399" s="42"/>
      <c r="E399" s="42"/>
      <c r="F399" s="42"/>
      <c r="G399" s="42"/>
      <c r="H399" s="42"/>
      <c r="I399" s="42"/>
      <c r="J399" s="42"/>
      <c r="K399" s="304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  <c r="BC399" s="42"/>
      <c r="BD399" s="42"/>
      <c r="BE399" s="42"/>
      <c r="BF399" s="42"/>
      <c r="BG399" s="42"/>
      <c r="BH399" s="42"/>
      <c r="BI399" s="42"/>
      <c r="BJ399" s="42"/>
      <c r="BK399" s="42"/>
      <c r="BL399" s="42"/>
      <c r="BM399" s="42"/>
    </row>
    <row r="400">
      <c r="A400" s="125"/>
      <c r="B400" s="267"/>
      <c r="C400" s="361"/>
      <c r="D400" s="42"/>
      <c r="E400" s="42"/>
      <c r="F400" s="42"/>
      <c r="G400" s="42"/>
      <c r="H400" s="42"/>
      <c r="I400" s="42"/>
      <c r="J400" s="42"/>
      <c r="K400" s="304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42"/>
      <c r="BG400" s="42"/>
      <c r="BH400" s="42"/>
      <c r="BI400" s="42"/>
      <c r="BJ400" s="42"/>
      <c r="BK400" s="42"/>
      <c r="BL400" s="42"/>
      <c r="BM400" s="42"/>
    </row>
    <row r="401">
      <c r="A401" s="125"/>
      <c r="B401" s="267"/>
      <c r="C401" s="361"/>
      <c r="D401" s="42"/>
      <c r="E401" s="42"/>
      <c r="F401" s="42"/>
      <c r="G401" s="42"/>
      <c r="H401" s="42"/>
      <c r="I401" s="42"/>
      <c r="J401" s="42"/>
      <c r="K401" s="304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  <c r="BC401" s="42"/>
      <c r="BD401" s="42"/>
      <c r="BE401" s="42"/>
      <c r="BF401" s="42"/>
      <c r="BG401" s="42"/>
      <c r="BH401" s="42"/>
      <c r="BI401" s="42"/>
      <c r="BJ401" s="42"/>
      <c r="BK401" s="42"/>
      <c r="BL401" s="42"/>
      <c r="BM401" s="42"/>
    </row>
    <row r="402">
      <c r="A402" s="125"/>
      <c r="B402" s="267"/>
      <c r="C402" s="361"/>
      <c r="D402" s="42"/>
      <c r="E402" s="42"/>
      <c r="F402" s="42"/>
      <c r="G402" s="42"/>
      <c r="H402" s="42"/>
      <c r="I402" s="42"/>
      <c r="J402" s="42"/>
      <c r="K402" s="304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2"/>
      <c r="BD402" s="42"/>
      <c r="BE402" s="42"/>
      <c r="BF402" s="42"/>
      <c r="BG402" s="42"/>
      <c r="BH402" s="42"/>
      <c r="BI402" s="42"/>
      <c r="BJ402" s="42"/>
      <c r="BK402" s="42"/>
      <c r="BL402" s="42"/>
      <c r="BM402" s="42"/>
    </row>
    <row r="403">
      <c r="A403" s="125"/>
      <c r="B403" s="267"/>
      <c r="C403" s="361"/>
      <c r="D403" s="42"/>
      <c r="E403" s="42"/>
      <c r="F403" s="42"/>
      <c r="G403" s="42"/>
      <c r="H403" s="42"/>
      <c r="I403" s="42"/>
      <c r="J403" s="42"/>
      <c r="K403" s="304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  <c r="AW403" s="42"/>
      <c r="AX403" s="42"/>
      <c r="AY403" s="42"/>
      <c r="AZ403" s="42"/>
      <c r="BA403" s="42"/>
      <c r="BB403" s="42"/>
      <c r="BC403" s="42"/>
      <c r="BD403" s="42"/>
      <c r="BE403" s="42"/>
      <c r="BF403" s="42"/>
      <c r="BG403" s="42"/>
      <c r="BH403" s="42"/>
      <c r="BI403" s="42"/>
      <c r="BJ403" s="42"/>
      <c r="BK403" s="42"/>
      <c r="BL403" s="42"/>
      <c r="BM403" s="42"/>
    </row>
    <row r="404">
      <c r="A404" s="125"/>
      <c r="B404" s="267"/>
      <c r="C404" s="361"/>
      <c r="D404" s="42"/>
      <c r="E404" s="42"/>
      <c r="F404" s="42"/>
      <c r="G404" s="42"/>
      <c r="H404" s="42"/>
      <c r="I404" s="42"/>
      <c r="J404" s="42"/>
      <c r="K404" s="304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42"/>
      <c r="BG404" s="42"/>
      <c r="BH404" s="42"/>
      <c r="BI404" s="42"/>
      <c r="BJ404" s="42"/>
      <c r="BK404" s="42"/>
      <c r="BL404" s="42"/>
      <c r="BM404" s="42"/>
    </row>
    <row r="405">
      <c r="A405" s="125"/>
      <c r="B405" s="267"/>
      <c r="C405" s="361"/>
      <c r="D405" s="42"/>
      <c r="E405" s="42"/>
      <c r="F405" s="42"/>
      <c r="G405" s="42"/>
      <c r="H405" s="42"/>
      <c r="I405" s="42"/>
      <c r="J405" s="42"/>
      <c r="K405" s="304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  <c r="BC405" s="42"/>
      <c r="BD405" s="42"/>
      <c r="BE405" s="42"/>
      <c r="BF405" s="42"/>
      <c r="BG405" s="42"/>
      <c r="BH405" s="42"/>
      <c r="BI405" s="42"/>
      <c r="BJ405" s="42"/>
      <c r="BK405" s="42"/>
      <c r="BL405" s="42"/>
      <c r="BM405" s="42"/>
    </row>
    <row r="406">
      <c r="A406" s="125"/>
      <c r="B406" s="267"/>
      <c r="C406" s="361"/>
      <c r="D406" s="42"/>
      <c r="E406" s="42"/>
      <c r="F406" s="42"/>
      <c r="G406" s="42"/>
      <c r="H406" s="42"/>
      <c r="I406" s="42"/>
      <c r="J406" s="42"/>
      <c r="K406" s="304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42"/>
      <c r="BG406" s="42"/>
      <c r="BH406" s="42"/>
      <c r="BI406" s="42"/>
      <c r="BJ406" s="42"/>
      <c r="BK406" s="42"/>
      <c r="BL406" s="42"/>
      <c r="BM406" s="42"/>
    </row>
    <row r="407">
      <c r="A407" s="125"/>
      <c r="B407" s="267"/>
      <c r="C407" s="361"/>
      <c r="D407" s="42"/>
      <c r="E407" s="42"/>
      <c r="F407" s="42"/>
      <c r="G407" s="42"/>
      <c r="H407" s="42"/>
      <c r="I407" s="42"/>
      <c r="J407" s="42"/>
      <c r="K407" s="304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  <c r="BC407" s="42"/>
      <c r="BD407" s="42"/>
      <c r="BE407" s="42"/>
      <c r="BF407" s="42"/>
      <c r="BG407" s="42"/>
      <c r="BH407" s="42"/>
      <c r="BI407" s="42"/>
      <c r="BJ407" s="42"/>
      <c r="BK407" s="42"/>
      <c r="BL407" s="42"/>
      <c r="BM407" s="42"/>
    </row>
    <row r="408">
      <c r="A408" s="125"/>
      <c r="B408" s="267"/>
      <c r="C408" s="361"/>
      <c r="D408" s="42"/>
      <c r="E408" s="42"/>
      <c r="F408" s="42"/>
      <c r="G408" s="42"/>
      <c r="H408" s="42"/>
      <c r="I408" s="42"/>
      <c r="J408" s="42"/>
      <c r="K408" s="304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</row>
    <row r="409">
      <c r="A409" s="125"/>
      <c r="B409" s="267"/>
      <c r="C409" s="361"/>
      <c r="D409" s="42"/>
      <c r="E409" s="42"/>
      <c r="F409" s="42"/>
      <c r="G409" s="42"/>
      <c r="H409" s="42"/>
      <c r="I409" s="42"/>
      <c r="J409" s="42"/>
      <c r="K409" s="304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  <c r="BC409" s="42"/>
      <c r="BD409" s="42"/>
      <c r="BE409" s="42"/>
      <c r="BF409" s="42"/>
      <c r="BG409" s="42"/>
      <c r="BH409" s="42"/>
      <c r="BI409" s="42"/>
      <c r="BJ409" s="42"/>
      <c r="BK409" s="42"/>
      <c r="BL409" s="42"/>
      <c r="BM409" s="42"/>
    </row>
    <row r="410">
      <c r="A410" s="125"/>
      <c r="B410" s="267"/>
      <c r="C410" s="361"/>
      <c r="D410" s="42"/>
      <c r="E410" s="42"/>
      <c r="F410" s="42"/>
      <c r="G410" s="42"/>
      <c r="H410" s="42"/>
      <c r="I410" s="42"/>
      <c r="J410" s="42"/>
      <c r="K410" s="304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42"/>
      <c r="BG410" s="42"/>
      <c r="BH410" s="42"/>
      <c r="BI410" s="42"/>
      <c r="BJ410" s="42"/>
      <c r="BK410" s="42"/>
      <c r="BL410" s="42"/>
      <c r="BM410" s="42"/>
    </row>
    <row r="411">
      <c r="A411" s="125"/>
      <c r="B411" s="267"/>
      <c r="C411" s="361"/>
      <c r="D411" s="42"/>
      <c r="E411" s="42"/>
      <c r="F411" s="42"/>
      <c r="G411" s="42"/>
      <c r="H411" s="42"/>
      <c r="I411" s="42"/>
      <c r="J411" s="42"/>
      <c r="K411" s="304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  <c r="BC411" s="42"/>
      <c r="BD411" s="42"/>
      <c r="BE411" s="42"/>
      <c r="BF411" s="42"/>
      <c r="BG411" s="42"/>
      <c r="BH411" s="42"/>
      <c r="BI411" s="42"/>
      <c r="BJ411" s="42"/>
      <c r="BK411" s="42"/>
      <c r="BL411" s="42"/>
      <c r="BM411" s="42"/>
    </row>
    <row r="412">
      <c r="A412" s="125"/>
      <c r="B412" s="267"/>
      <c r="C412" s="361"/>
      <c r="D412" s="42"/>
      <c r="E412" s="42"/>
      <c r="F412" s="42"/>
      <c r="G412" s="42"/>
      <c r="H412" s="42"/>
      <c r="I412" s="42"/>
      <c r="J412" s="42"/>
      <c r="K412" s="304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2"/>
      <c r="BE412" s="42"/>
      <c r="BF412" s="42"/>
      <c r="BG412" s="42"/>
      <c r="BH412" s="42"/>
      <c r="BI412" s="42"/>
      <c r="BJ412" s="42"/>
      <c r="BK412" s="42"/>
      <c r="BL412" s="42"/>
      <c r="BM412" s="42"/>
    </row>
    <row r="413">
      <c r="A413" s="125"/>
      <c r="B413" s="267"/>
      <c r="C413" s="361"/>
      <c r="D413" s="42"/>
      <c r="E413" s="42"/>
      <c r="F413" s="42"/>
      <c r="G413" s="42"/>
      <c r="H413" s="42"/>
      <c r="I413" s="42"/>
      <c r="J413" s="42"/>
      <c r="K413" s="304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  <c r="BC413" s="42"/>
      <c r="BD413" s="42"/>
      <c r="BE413" s="42"/>
      <c r="BF413" s="42"/>
      <c r="BG413" s="42"/>
      <c r="BH413" s="42"/>
      <c r="BI413" s="42"/>
      <c r="BJ413" s="42"/>
      <c r="BK413" s="42"/>
      <c r="BL413" s="42"/>
      <c r="BM413" s="42"/>
    </row>
    <row r="414">
      <c r="A414" s="125"/>
      <c r="B414" s="267"/>
      <c r="C414" s="361"/>
      <c r="D414" s="42"/>
      <c r="E414" s="42"/>
      <c r="F414" s="42"/>
      <c r="G414" s="42"/>
      <c r="H414" s="42"/>
      <c r="I414" s="42"/>
      <c r="J414" s="42"/>
      <c r="K414" s="304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2"/>
      <c r="BE414" s="42"/>
      <c r="BF414" s="42"/>
      <c r="BG414" s="42"/>
      <c r="BH414" s="42"/>
      <c r="BI414" s="42"/>
      <c r="BJ414" s="42"/>
      <c r="BK414" s="42"/>
      <c r="BL414" s="42"/>
      <c r="BM414" s="42"/>
    </row>
    <row r="415">
      <c r="A415" s="125"/>
      <c r="B415" s="267"/>
      <c r="C415" s="361"/>
      <c r="D415" s="42"/>
      <c r="E415" s="42"/>
      <c r="F415" s="42"/>
      <c r="G415" s="42"/>
      <c r="H415" s="42"/>
      <c r="I415" s="42"/>
      <c r="J415" s="42"/>
      <c r="K415" s="304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  <c r="BC415" s="42"/>
      <c r="BD415" s="42"/>
      <c r="BE415" s="42"/>
      <c r="BF415" s="42"/>
      <c r="BG415" s="42"/>
      <c r="BH415" s="42"/>
      <c r="BI415" s="42"/>
      <c r="BJ415" s="42"/>
      <c r="BK415" s="42"/>
      <c r="BL415" s="42"/>
      <c r="BM415" s="42"/>
    </row>
    <row r="416">
      <c r="A416" s="125"/>
      <c r="B416" s="267"/>
      <c r="C416" s="361"/>
      <c r="D416" s="42"/>
      <c r="E416" s="42"/>
      <c r="F416" s="42"/>
      <c r="G416" s="42"/>
      <c r="H416" s="42"/>
      <c r="I416" s="42"/>
      <c r="J416" s="42"/>
      <c r="K416" s="304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42"/>
      <c r="BG416" s="42"/>
      <c r="BH416" s="42"/>
      <c r="BI416" s="42"/>
      <c r="BJ416" s="42"/>
      <c r="BK416" s="42"/>
      <c r="BL416" s="42"/>
      <c r="BM416" s="42"/>
    </row>
    <row r="417">
      <c r="A417" s="125"/>
      <c r="B417" s="267"/>
      <c r="C417" s="361"/>
      <c r="D417" s="42"/>
      <c r="E417" s="42"/>
      <c r="F417" s="42"/>
      <c r="G417" s="42"/>
      <c r="H417" s="42"/>
      <c r="I417" s="42"/>
      <c r="J417" s="42"/>
      <c r="K417" s="304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  <c r="BC417" s="42"/>
      <c r="BD417" s="42"/>
      <c r="BE417" s="42"/>
      <c r="BF417" s="42"/>
      <c r="BG417" s="42"/>
      <c r="BH417" s="42"/>
      <c r="BI417" s="42"/>
      <c r="BJ417" s="42"/>
      <c r="BK417" s="42"/>
      <c r="BL417" s="42"/>
      <c r="BM417" s="42"/>
    </row>
    <row r="418">
      <c r="A418" s="125"/>
      <c r="B418" s="267"/>
      <c r="C418" s="361"/>
      <c r="D418" s="42"/>
      <c r="E418" s="42"/>
      <c r="F418" s="42"/>
      <c r="G418" s="42"/>
      <c r="H418" s="42"/>
      <c r="I418" s="42"/>
      <c r="J418" s="42"/>
      <c r="K418" s="304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2"/>
      <c r="BE418" s="42"/>
      <c r="BF418" s="42"/>
      <c r="BG418" s="42"/>
      <c r="BH418" s="42"/>
      <c r="BI418" s="42"/>
      <c r="BJ418" s="42"/>
      <c r="BK418" s="42"/>
      <c r="BL418" s="42"/>
      <c r="BM418" s="42"/>
    </row>
    <row r="419">
      <c r="A419" s="125"/>
      <c r="B419" s="267"/>
      <c r="C419" s="361"/>
      <c r="D419" s="42"/>
      <c r="E419" s="42"/>
      <c r="F419" s="42"/>
      <c r="G419" s="42"/>
      <c r="H419" s="42"/>
      <c r="I419" s="42"/>
      <c r="J419" s="42"/>
      <c r="K419" s="304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  <c r="BC419" s="42"/>
      <c r="BD419" s="42"/>
      <c r="BE419" s="42"/>
      <c r="BF419" s="42"/>
      <c r="BG419" s="42"/>
      <c r="BH419" s="42"/>
      <c r="BI419" s="42"/>
      <c r="BJ419" s="42"/>
      <c r="BK419" s="42"/>
      <c r="BL419" s="42"/>
      <c r="BM419" s="42"/>
    </row>
    <row r="420">
      <c r="A420" s="125"/>
      <c r="B420" s="267"/>
      <c r="C420" s="361"/>
      <c r="D420" s="42"/>
      <c r="E420" s="42"/>
      <c r="F420" s="42"/>
      <c r="G420" s="42"/>
      <c r="H420" s="42"/>
      <c r="I420" s="42"/>
      <c r="J420" s="42"/>
      <c r="K420" s="304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2"/>
      <c r="BE420" s="42"/>
      <c r="BF420" s="42"/>
      <c r="BG420" s="42"/>
      <c r="BH420" s="42"/>
      <c r="BI420" s="42"/>
      <c r="BJ420" s="42"/>
      <c r="BK420" s="42"/>
      <c r="BL420" s="42"/>
      <c r="BM420" s="42"/>
    </row>
    <row r="421">
      <c r="A421" s="125"/>
      <c r="B421" s="267"/>
      <c r="C421" s="361"/>
      <c r="D421" s="42"/>
      <c r="E421" s="42"/>
      <c r="F421" s="42"/>
      <c r="G421" s="42"/>
      <c r="H421" s="42"/>
      <c r="I421" s="42"/>
      <c r="J421" s="42"/>
      <c r="K421" s="304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  <c r="BC421" s="42"/>
      <c r="BD421" s="42"/>
      <c r="BE421" s="42"/>
      <c r="BF421" s="42"/>
      <c r="BG421" s="42"/>
      <c r="BH421" s="42"/>
      <c r="BI421" s="42"/>
      <c r="BJ421" s="42"/>
      <c r="BK421" s="42"/>
      <c r="BL421" s="42"/>
      <c r="BM421" s="42"/>
    </row>
    <row r="422">
      <c r="A422" s="125"/>
      <c r="B422" s="267"/>
      <c r="C422" s="361"/>
      <c r="D422" s="42"/>
      <c r="E422" s="42"/>
      <c r="F422" s="42"/>
      <c r="G422" s="42"/>
      <c r="H422" s="42"/>
      <c r="I422" s="42"/>
      <c r="J422" s="42"/>
      <c r="K422" s="304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2"/>
      <c r="BE422" s="42"/>
      <c r="BF422" s="42"/>
      <c r="BG422" s="42"/>
      <c r="BH422" s="42"/>
      <c r="BI422" s="42"/>
      <c r="BJ422" s="42"/>
      <c r="BK422" s="42"/>
      <c r="BL422" s="42"/>
      <c r="BM422" s="42"/>
    </row>
    <row r="423">
      <c r="A423" s="125"/>
      <c r="B423" s="267"/>
      <c r="C423" s="361"/>
      <c r="D423" s="42"/>
      <c r="E423" s="42"/>
      <c r="F423" s="42"/>
      <c r="G423" s="42"/>
      <c r="H423" s="42"/>
      <c r="I423" s="42"/>
      <c r="J423" s="42"/>
      <c r="K423" s="304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  <c r="BC423" s="42"/>
      <c r="BD423" s="42"/>
      <c r="BE423" s="42"/>
      <c r="BF423" s="42"/>
      <c r="BG423" s="42"/>
      <c r="BH423" s="42"/>
      <c r="BI423" s="42"/>
      <c r="BJ423" s="42"/>
      <c r="BK423" s="42"/>
      <c r="BL423" s="42"/>
      <c r="BM423" s="42"/>
    </row>
    <row r="424">
      <c r="A424" s="125"/>
      <c r="B424" s="267"/>
      <c r="C424" s="361"/>
      <c r="D424" s="42"/>
      <c r="E424" s="42"/>
      <c r="F424" s="42"/>
      <c r="G424" s="42"/>
      <c r="H424" s="42"/>
      <c r="I424" s="42"/>
      <c r="J424" s="42"/>
      <c r="K424" s="304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2"/>
      <c r="BE424" s="42"/>
      <c r="BF424" s="42"/>
      <c r="BG424" s="42"/>
      <c r="BH424" s="42"/>
      <c r="BI424" s="42"/>
      <c r="BJ424" s="42"/>
      <c r="BK424" s="42"/>
      <c r="BL424" s="42"/>
      <c r="BM424" s="42"/>
    </row>
    <row r="425">
      <c r="A425" s="125"/>
      <c r="B425" s="267"/>
      <c r="C425" s="361"/>
      <c r="D425" s="42"/>
      <c r="E425" s="42"/>
      <c r="F425" s="42"/>
      <c r="G425" s="42"/>
      <c r="H425" s="42"/>
      <c r="I425" s="42"/>
      <c r="J425" s="42"/>
      <c r="K425" s="304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  <c r="BC425" s="42"/>
      <c r="BD425" s="42"/>
      <c r="BE425" s="42"/>
      <c r="BF425" s="42"/>
      <c r="BG425" s="42"/>
      <c r="BH425" s="42"/>
      <c r="BI425" s="42"/>
      <c r="BJ425" s="42"/>
      <c r="BK425" s="42"/>
      <c r="BL425" s="42"/>
      <c r="BM425" s="42"/>
    </row>
    <row r="426">
      <c r="A426" s="125"/>
      <c r="B426" s="267"/>
      <c r="C426" s="361"/>
      <c r="D426" s="42"/>
      <c r="E426" s="42"/>
      <c r="F426" s="42"/>
      <c r="G426" s="42"/>
      <c r="H426" s="42"/>
      <c r="I426" s="42"/>
      <c r="J426" s="42"/>
      <c r="K426" s="304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2"/>
      <c r="BE426" s="42"/>
      <c r="BF426" s="42"/>
      <c r="BG426" s="42"/>
      <c r="BH426" s="42"/>
      <c r="BI426" s="42"/>
      <c r="BJ426" s="42"/>
      <c r="BK426" s="42"/>
      <c r="BL426" s="42"/>
      <c r="BM426" s="42"/>
    </row>
    <row r="427">
      <c r="A427" s="125"/>
      <c r="B427" s="267"/>
      <c r="C427" s="361"/>
      <c r="D427" s="42"/>
      <c r="E427" s="42"/>
      <c r="F427" s="42"/>
      <c r="G427" s="42"/>
      <c r="H427" s="42"/>
      <c r="I427" s="42"/>
      <c r="J427" s="42"/>
      <c r="K427" s="304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  <c r="BC427" s="42"/>
      <c r="BD427" s="42"/>
      <c r="BE427" s="42"/>
      <c r="BF427" s="42"/>
      <c r="BG427" s="42"/>
      <c r="BH427" s="42"/>
      <c r="BI427" s="42"/>
      <c r="BJ427" s="42"/>
      <c r="BK427" s="42"/>
      <c r="BL427" s="42"/>
      <c r="BM427" s="42"/>
    </row>
    <row r="428">
      <c r="A428" s="125"/>
      <c r="B428" s="267"/>
      <c r="C428" s="361"/>
      <c r="D428" s="42"/>
      <c r="E428" s="42"/>
      <c r="F428" s="42"/>
      <c r="G428" s="42"/>
      <c r="H428" s="42"/>
      <c r="I428" s="42"/>
      <c r="J428" s="42"/>
      <c r="K428" s="304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</row>
    <row r="429">
      <c r="A429" s="125"/>
      <c r="B429" s="267"/>
      <c r="C429" s="361"/>
      <c r="D429" s="42"/>
      <c r="E429" s="42"/>
      <c r="F429" s="42"/>
      <c r="G429" s="42"/>
      <c r="H429" s="42"/>
      <c r="I429" s="42"/>
      <c r="J429" s="42"/>
      <c r="K429" s="304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  <c r="BC429" s="42"/>
      <c r="BD429" s="42"/>
      <c r="BE429" s="42"/>
      <c r="BF429" s="42"/>
      <c r="BG429" s="42"/>
      <c r="BH429" s="42"/>
      <c r="BI429" s="42"/>
      <c r="BJ429" s="42"/>
      <c r="BK429" s="42"/>
      <c r="BL429" s="42"/>
      <c r="BM429" s="42"/>
    </row>
    <row r="430">
      <c r="A430" s="125"/>
      <c r="B430" s="267"/>
      <c r="C430" s="361"/>
      <c r="D430" s="42"/>
      <c r="E430" s="42"/>
      <c r="F430" s="42"/>
      <c r="G430" s="42"/>
      <c r="H430" s="42"/>
      <c r="I430" s="42"/>
      <c r="J430" s="42"/>
      <c r="K430" s="304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42"/>
      <c r="BG430" s="42"/>
      <c r="BH430" s="42"/>
      <c r="BI430" s="42"/>
      <c r="BJ430" s="42"/>
      <c r="BK430" s="42"/>
      <c r="BL430" s="42"/>
      <c r="BM430" s="42"/>
    </row>
    <row r="431">
      <c r="A431" s="125"/>
      <c r="B431" s="267"/>
      <c r="C431" s="361"/>
      <c r="D431" s="42"/>
      <c r="E431" s="42"/>
      <c r="F431" s="42"/>
      <c r="G431" s="42"/>
      <c r="H431" s="42"/>
      <c r="I431" s="42"/>
      <c r="J431" s="42"/>
      <c r="K431" s="304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  <c r="BC431" s="42"/>
      <c r="BD431" s="42"/>
      <c r="BE431" s="42"/>
      <c r="BF431" s="42"/>
      <c r="BG431" s="42"/>
      <c r="BH431" s="42"/>
      <c r="BI431" s="42"/>
      <c r="BJ431" s="42"/>
      <c r="BK431" s="42"/>
      <c r="BL431" s="42"/>
      <c r="BM431" s="42"/>
    </row>
    <row r="432">
      <c r="A432" s="125"/>
      <c r="B432" s="267"/>
      <c r="C432" s="361"/>
      <c r="D432" s="42"/>
      <c r="E432" s="42"/>
      <c r="F432" s="42"/>
      <c r="G432" s="42"/>
      <c r="H432" s="42"/>
      <c r="I432" s="42"/>
      <c r="J432" s="42"/>
      <c r="K432" s="304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42"/>
      <c r="BG432" s="42"/>
      <c r="BH432" s="42"/>
      <c r="BI432" s="42"/>
      <c r="BJ432" s="42"/>
      <c r="BK432" s="42"/>
      <c r="BL432" s="42"/>
      <c r="BM432" s="42"/>
    </row>
    <row r="433">
      <c r="A433" s="125"/>
      <c r="B433" s="267"/>
      <c r="C433" s="361"/>
      <c r="D433" s="42"/>
      <c r="E433" s="42"/>
      <c r="F433" s="42"/>
      <c r="G433" s="42"/>
      <c r="H433" s="42"/>
      <c r="I433" s="42"/>
      <c r="J433" s="42"/>
      <c r="K433" s="304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</row>
    <row r="434">
      <c r="A434" s="125"/>
      <c r="B434" s="267"/>
      <c r="C434" s="361"/>
      <c r="D434" s="42"/>
      <c r="E434" s="42"/>
      <c r="F434" s="42"/>
      <c r="G434" s="42"/>
      <c r="H434" s="42"/>
      <c r="I434" s="42"/>
      <c r="J434" s="42"/>
      <c r="K434" s="304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  <c r="BG434" s="42"/>
      <c r="BH434" s="42"/>
      <c r="BI434" s="42"/>
      <c r="BJ434" s="42"/>
      <c r="BK434" s="42"/>
      <c r="BL434" s="42"/>
      <c r="BM434" s="42"/>
    </row>
    <row r="435">
      <c r="A435" s="125"/>
      <c r="B435" s="267"/>
      <c r="C435" s="361"/>
      <c r="D435" s="42"/>
      <c r="E435" s="42"/>
      <c r="F435" s="42"/>
      <c r="G435" s="42"/>
      <c r="H435" s="42"/>
      <c r="I435" s="42"/>
      <c r="J435" s="42"/>
      <c r="K435" s="304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/>
      <c r="BB435" s="42"/>
      <c r="BC435" s="42"/>
      <c r="BD435" s="42"/>
      <c r="BE435" s="42"/>
      <c r="BF435" s="42"/>
      <c r="BG435" s="42"/>
      <c r="BH435" s="42"/>
      <c r="BI435" s="42"/>
      <c r="BJ435" s="42"/>
      <c r="BK435" s="42"/>
      <c r="BL435" s="42"/>
      <c r="BM435" s="42"/>
    </row>
    <row r="436">
      <c r="A436" s="125"/>
      <c r="B436" s="267"/>
      <c r="C436" s="361"/>
      <c r="D436" s="42"/>
      <c r="E436" s="42"/>
      <c r="F436" s="42"/>
      <c r="G436" s="42"/>
      <c r="H436" s="42"/>
      <c r="I436" s="42"/>
      <c r="J436" s="42"/>
      <c r="K436" s="304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42"/>
      <c r="BG436" s="42"/>
      <c r="BH436" s="42"/>
      <c r="BI436" s="42"/>
      <c r="BJ436" s="42"/>
      <c r="BK436" s="42"/>
      <c r="BL436" s="42"/>
      <c r="BM436" s="42"/>
    </row>
    <row r="437">
      <c r="A437" s="125"/>
      <c r="B437" s="267"/>
      <c r="C437" s="361"/>
      <c r="D437" s="42"/>
      <c r="E437" s="42"/>
      <c r="F437" s="42"/>
      <c r="G437" s="42"/>
      <c r="H437" s="42"/>
      <c r="I437" s="42"/>
      <c r="J437" s="42"/>
      <c r="K437" s="304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  <c r="BC437" s="42"/>
      <c r="BD437" s="42"/>
      <c r="BE437" s="42"/>
      <c r="BF437" s="42"/>
      <c r="BG437" s="42"/>
      <c r="BH437" s="42"/>
      <c r="BI437" s="42"/>
      <c r="BJ437" s="42"/>
      <c r="BK437" s="42"/>
      <c r="BL437" s="42"/>
      <c r="BM437" s="42"/>
    </row>
    <row r="438">
      <c r="A438" s="125"/>
      <c r="B438" s="267"/>
      <c r="C438" s="361"/>
      <c r="D438" s="42"/>
      <c r="E438" s="42"/>
      <c r="F438" s="42"/>
      <c r="G438" s="42"/>
      <c r="H438" s="42"/>
      <c r="I438" s="42"/>
      <c r="J438" s="42"/>
      <c r="K438" s="304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  <c r="BG438" s="42"/>
      <c r="BH438" s="42"/>
      <c r="BI438" s="42"/>
      <c r="BJ438" s="42"/>
      <c r="BK438" s="42"/>
      <c r="BL438" s="42"/>
      <c r="BM438" s="42"/>
    </row>
    <row r="439">
      <c r="A439" s="125"/>
      <c r="B439" s="267"/>
      <c r="C439" s="361"/>
      <c r="D439" s="42"/>
      <c r="E439" s="42"/>
      <c r="F439" s="42"/>
      <c r="G439" s="42"/>
      <c r="H439" s="42"/>
      <c r="I439" s="42"/>
      <c r="J439" s="42"/>
      <c r="K439" s="304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  <c r="BC439" s="42"/>
      <c r="BD439" s="42"/>
      <c r="BE439" s="42"/>
      <c r="BF439" s="42"/>
      <c r="BG439" s="42"/>
      <c r="BH439" s="42"/>
      <c r="BI439" s="42"/>
      <c r="BJ439" s="42"/>
      <c r="BK439" s="42"/>
      <c r="BL439" s="42"/>
      <c r="BM439" s="42"/>
    </row>
    <row r="440">
      <c r="A440" s="125"/>
      <c r="B440" s="267"/>
      <c r="C440" s="361"/>
      <c r="D440" s="42"/>
      <c r="E440" s="42"/>
      <c r="F440" s="42"/>
      <c r="G440" s="42"/>
      <c r="H440" s="42"/>
      <c r="I440" s="42"/>
      <c r="J440" s="42"/>
      <c r="K440" s="304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2"/>
      <c r="BG440" s="42"/>
      <c r="BH440" s="42"/>
      <c r="BI440" s="42"/>
      <c r="BJ440" s="42"/>
      <c r="BK440" s="42"/>
      <c r="BL440" s="42"/>
      <c r="BM440" s="42"/>
    </row>
    <row r="441">
      <c r="A441" s="125"/>
      <c r="B441" s="267"/>
      <c r="C441" s="361"/>
      <c r="D441" s="42"/>
      <c r="E441" s="42"/>
      <c r="F441" s="42"/>
      <c r="G441" s="42"/>
      <c r="H441" s="42"/>
      <c r="I441" s="42"/>
      <c r="J441" s="42"/>
      <c r="K441" s="304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  <c r="BC441" s="42"/>
      <c r="BD441" s="42"/>
      <c r="BE441" s="42"/>
      <c r="BF441" s="42"/>
      <c r="BG441" s="42"/>
      <c r="BH441" s="42"/>
      <c r="BI441" s="42"/>
      <c r="BJ441" s="42"/>
      <c r="BK441" s="42"/>
      <c r="BL441" s="42"/>
      <c r="BM441" s="42"/>
    </row>
    <row r="442">
      <c r="A442" s="125"/>
      <c r="B442" s="267"/>
      <c r="C442" s="361"/>
      <c r="D442" s="42"/>
      <c r="E442" s="42"/>
      <c r="F442" s="42"/>
      <c r="G442" s="42"/>
      <c r="H442" s="42"/>
      <c r="I442" s="42"/>
      <c r="J442" s="42"/>
      <c r="K442" s="304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  <c r="BG442" s="42"/>
      <c r="BH442" s="42"/>
      <c r="BI442" s="42"/>
      <c r="BJ442" s="42"/>
      <c r="BK442" s="42"/>
      <c r="BL442" s="42"/>
      <c r="BM442" s="42"/>
    </row>
    <row r="443">
      <c r="A443" s="125"/>
      <c r="B443" s="267"/>
      <c r="C443" s="361"/>
      <c r="D443" s="42"/>
      <c r="E443" s="42"/>
      <c r="F443" s="42"/>
      <c r="G443" s="42"/>
      <c r="H443" s="42"/>
      <c r="I443" s="42"/>
      <c r="J443" s="42"/>
      <c r="K443" s="304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  <c r="BC443" s="42"/>
      <c r="BD443" s="42"/>
      <c r="BE443" s="42"/>
      <c r="BF443" s="42"/>
      <c r="BG443" s="42"/>
      <c r="BH443" s="42"/>
      <c r="BI443" s="42"/>
      <c r="BJ443" s="42"/>
      <c r="BK443" s="42"/>
      <c r="BL443" s="42"/>
      <c r="BM443" s="42"/>
    </row>
    <row r="444">
      <c r="A444" s="125"/>
      <c r="B444" s="267"/>
      <c r="C444" s="361"/>
      <c r="D444" s="42"/>
      <c r="E444" s="42"/>
      <c r="F444" s="42"/>
      <c r="G444" s="42"/>
      <c r="H444" s="42"/>
      <c r="I444" s="42"/>
      <c r="J444" s="42"/>
      <c r="K444" s="304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42"/>
      <c r="BG444" s="42"/>
      <c r="BH444" s="42"/>
      <c r="BI444" s="42"/>
      <c r="BJ444" s="42"/>
      <c r="BK444" s="42"/>
      <c r="BL444" s="42"/>
      <c r="BM444" s="42"/>
    </row>
    <row r="445">
      <c r="A445" s="125"/>
      <c r="B445" s="267"/>
      <c r="C445" s="361"/>
      <c r="D445" s="42"/>
      <c r="E445" s="42"/>
      <c r="F445" s="42"/>
      <c r="G445" s="42"/>
      <c r="H445" s="42"/>
      <c r="I445" s="42"/>
      <c r="J445" s="42"/>
      <c r="K445" s="304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  <c r="BC445" s="42"/>
      <c r="BD445" s="42"/>
      <c r="BE445" s="42"/>
      <c r="BF445" s="42"/>
      <c r="BG445" s="42"/>
      <c r="BH445" s="42"/>
      <c r="BI445" s="42"/>
      <c r="BJ445" s="42"/>
      <c r="BK445" s="42"/>
      <c r="BL445" s="42"/>
      <c r="BM445" s="42"/>
    </row>
    <row r="446">
      <c r="A446" s="125"/>
      <c r="B446" s="267"/>
      <c r="C446" s="361"/>
      <c r="D446" s="42"/>
      <c r="E446" s="42"/>
      <c r="F446" s="42"/>
      <c r="G446" s="42"/>
      <c r="H446" s="42"/>
      <c r="I446" s="42"/>
      <c r="J446" s="42"/>
      <c r="K446" s="304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</row>
    <row r="447">
      <c r="A447" s="125"/>
      <c r="B447" s="267"/>
      <c r="C447" s="361"/>
      <c r="D447" s="42"/>
      <c r="E447" s="42"/>
      <c r="F447" s="42"/>
      <c r="G447" s="42"/>
      <c r="H447" s="42"/>
      <c r="I447" s="42"/>
      <c r="J447" s="42"/>
      <c r="K447" s="304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  <c r="AW447" s="42"/>
      <c r="AX447" s="42"/>
      <c r="AY447" s="42"/>
      <c r="AZ447" s="42"/>
      <c r="BA447" s="42"/>
      <c r="BB447" s="42"/>
      <c r="BC447" s="42"/>
      <c r="BD447" s="42"/>
      <c r="BE447" s="42"/>
      <c r="BF447" s="42"/>
      <c r="BG447" s="42"/>
      <c r="BH447" s="42"/>
      <c r="BI447" s="42"/>
      <c r="BJ447" s="42"/>
      <c r="BK447" s="42"/>
      <c r="BL447" s="42"/>
      <c r="BM447" s="42"/>
    </row>
    <row r="448">
      <c r="A448" s="125"/>
      <c r="B448" s="267"/>
      <c r="C448" s="361"/>
      <c r="D448" s="42"/>
      <c r="E448" s="42"/>
      <c r="F448" s="42"/>
      <c r="G448" s="42"/>
      <c r="H448" s="42"/>
      <c r="I448" s="42"/>
      <c r="J448" s="42"/>
      <c r="K448" s="304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2"/>
      <c r="AW448" s="42"/>
      <c r="AX448" s="42"/>
      <c r="AY448" s="42"/>
      <c r="AZ448" s="42"/>
      <c r="BA448" s="42"/>
      <c r="BB448" s="42"/>
      <c r="BC448" s="42"/>
      <c r="BD448" s="42"/>
      <c r="BE448" s="42"/>
      <c r="BF448" s="42"/>
      <c r="BG448" s="42"/>
      <c r="BH448" s="42"/>
      <c r="BI448" s="42"/>
      <c r="BJ448" s="42"/>
      <c r="BK448" s="42"/>
      <c r="BL448" s="42"/>
      <c r="BM448" s="42"/>
    </row>
    <row r="449">
      <c r="A449" s="125"/>
      <c r="B449" s="267"/>
      <c r="C449" s="361"/>
      <c r="D449" s="42"/>
      <c r="E449" s="42"/>
      <c r="F449" s="42"/>
      <c r="G449" s="42"/>
      <c r="H449" s="42"/>
      <c r="I449" s="42"/>
      <c r="J449" s="42"/>
      <c r="K449" s="304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/>
      <c r="BA449" s="42"/>
      <c r="BB449" s="42"/>
      <c r="BC449" s="42"/>
      <c r="BD449" s="42"/>
      <c r="BE449" s="42"/>
      <c r="BF449" s="42"/>
      <c r="BG449" s="42"/>
      <c r="BH449" s="42"/>
      <c r="BI449" s="42"/>
      <c r="BJ449" s="42"/>
      <c r="BK449" s="42"/>
      <c r="BL449" s="42"/>
      <c r="BM449" s="42"/>
    </row>
    <row r="450">
      <c r="A450" s="125"/>
      <c r="B450" s="267"/>
      <c r="C450" s="361"/>
      <c r="D450" s="42"/>
      <c r="E450" s="42"/>
      <c r="F450" s="42"/>
      <c r="G450" s="42"/>
      <c r="H450" s="42"/>
      <c r="I450" s="42"/>
      <c r="J450" s="42"/>
      <c r="K450" s="304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  <c r="AW450" s="42"/>
      <c r="AX450" s="42"/>
      <c r="AY450" s="42"/>
      <c r="AZ450" s="42"/>
      <c r="BA450" s="42"/>
      <c r="BB450" s="42"/>
      <c r="BC450" s="42"/>
      <c r="BD450" s="42"/>
      <c r="BE450" s="42"/>
      <c r="BF450" s="42"/>
      <c r="BG450" s="42"/>
      <c r="BH450" s="42"/>
      <c r="BI450" s="42"/>
      <c r="BJ450" s="42"/>
      <c r="BK450" s="42"/>
      <c r="BL450" s="42"/>
      <c r="BM450" s="42"/>
    </row>
    <row r="451">
      <c r="A451" s="125"/>
      <c r="B451" s="267"/>
      <c r="C451" s="361"/>
      <c r="D451" s="42"/>
      <c r="E451" s="42"/>
      <c r="F451" s="42"/>
      <c r="G451" s="42"/>
      <c r="H451" s="42"/>
      <c r="I451" s="42"/>
      <c r="J451" s="42"/>
      <c r="K451" s="304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42"/>
      <c r="AY451" s="42"/>
      <c r="AZ451" s="42"/>
      <c r="BA451" s="42"/>
      <c r="BB451" s="42"/>
      <c r="BC451" s="42"/>
      <c r="BD451" s="42"/>
      <c r="BE451" s="42"/>
      <c r="BF451" s="42"/>
      <c r="BG451" s="42"/>
      <c r="BH451" s="42"/>
      <c r="BI451" s="42"/>
      <c r="BJ451" s="42"/>
      <c r="BK451" s="42"/>
      <c r="BL451" s="42"/>
      <c r="BM451" s="42"/>
    </row>
    <row r="452">
      <c r="A452" s="125"/>
      <c r="B452" s="267"/>
      <c r="C452" s="361"/>
      <c r="D452" s="42"/>
      <c r="E452" s="42"/>
      <c r="F452" s="42"/>
      <c r="G452" s="42"/>
      <c r="H452" s="42"/>
      <c r="I452" s="42"/>
      <c r="J452" s="42"/>
      <c r="K452" s="304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42"/>
      <c r="AY452" s="42"/>
      <c r="AZ452" s="42"/>
      <c r="BA452" s="42"/>
      <c r="BB452" s="42"/>
      <c r="BC452" s="42"/>
      <c r="BD452" s="42"/>
      <c r="BE452" s="42"/>
      <c r="BF452" s="42"/>
      <c r="BG452" s="42"/>
      <c r="BH452" s="42"/>
      <c r="BI452" s="42"/>
      <c r="BJ452" s="42"/>
      <c r="BK452" s="42"/>
      <c r="BL452" s="42"/>
      <c r="BM452" s="42"/>
    </row>
    <row r="453">
      <c r="A453" s="125"/>
      <c r="B453" s="267"/>
      <c r="C453" s="361"/>
      <c r="D453" s="42"/>
      <c r="E453" s="42"/>
      <c r="F453" s="42"/>
      <c r="G453" s="42"/>
      <c r="H453" s="42"/>
      <c r="I453" s="42"/>
      <c r="J453" s="42"/>
      <c r="K453" s="304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  <c r="AW453" s="42"/>
      <c r="AX453" s="42"/>
      <c r="AY453" s="42"/>
      <c r="AZ453" s="42"/>
      <c r="BA453" s="42"/>
      <c r="BB453" s="42"/>
      <c r="BC453" s="42"/>
      <c r="BD453" s="42"/>
      <c r="BE453" s="42"/>
      <c r="BF453" s="42"/>
      <c r="BG453" s="42"/>
      <c r="BH453" s="42"/>
      <c r="BI453" s="42"/>
      <c r="BJ453" s="42"/>
      <c r="BK453" s="42"/>
      <c r="BL453" s="42"/>
      <c r="BM453" s="42"/>
    </row>
    <row r="454">
      <c r="A454" s="125"/>
      <c r="B454" s="267"/>
      <c r="C454" s="361"/>
      <c r="D454" s="42"/>
      <c r="E454" s="42"/>
      <c r="F454" s="42"/>
      <c r="G454" s="42"/>
      <c r="H454" s="42"/>
      <c r="I454" s="42"/>
      <c r="J454" s="42"/>
      <c r="K454" s="304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2"/>
      <c r="AW454" s="42"/>
      <c r="AX454" s="42"/>
      <c r="AY454" s="42"/>
      <c r="AZ454" s="42"/>
      <c r="BA454" s="42"/>
      <c r="BB454" s="42"/>
      <c r="BC454" s="42"/>
      <c r="BD454" s="42"/>
      <c r="BE454" s="42"/>
      <c r="BF454" s="42"/>
      <c r="BG454" s="42"/>
      <c r="BH454" s="42"/>
      <c r="BI454" s="42"/>
      <c r="BJ454" s="42"/>
      <c r="BK454" s="42"/>
      <c r="BL454" s="42"/>
      <c r="BM454" s="42"/>
    </row>
    <row r="455">
      <c r="A455" s="125"/>
      <c r="B455" s="267"/>
      <c r="C455" s="361"/>
      <c r="D455" s="42"/>
      <c r="E455" s="42"/>
      <c r="F455" s="42"/>
      <c r="G455" s="42"/>
      <c r="H455" s="42"/>
      <c r="I455" s="42"/>
      <c r="J455" s="42"/>
      <c r="K455" s="304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  <c r="AW455" s="42"/>
      <c r="AX455" s="42"/>
      <c r="AY455" s="42"/>
      <c r="AZ455" s="42"/>
      <c r="BA455" s="42"/>
      <c r="BB455" s="42"/>
      <c r="BC455" s="42"/>
      <c r="BD455" s="42"/>
      <c r="BE455" s="42"/>
      <c r="BF455" s="42"/>
      <c r="BG455" s="42"/>
      <c r="BH455" s="42"/>
      <c r="BI455" s="42"/>
      <c r="BJ455" s="42"/>
      <c r="BK455" s="42"/>
      <c r="BL455" s="42"/>
      <c r="BM455" s="42"/>
    </row>
    <row r="456">
      <c r="A456" s="125"/>
      <c r="B456" s="267"/>
      <c r="C456" s="361"/>
      <c r="D456" s="42"/>
      <c r="E456" s="42"/>
      <c r="F456" s="42"/>
      <c r="G456" s="42"/>
      <c r="H456" s="42"/>
      <c r="I456" s="42"/>
      <c r="J456" s="42"/>
      <c r="K456" s="304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2"/>
      <c r="AW456" s="42"/>
      <c r="AX456" s="42"/>
      <c r="AY456" s="42"/>
      <c r="AZ456" s="42"/>
      <c r="BA456" s="42"/>
      <c r="BB456" s="42"/>
      <c r="BC456" s="42"/>
      <c r="BD456" s="42"/>
      <c r="BE456" s="42"/>
      <c r="BF456" s="42"/>
      <c r="BG456" s="42"/>
      <c r="BH456" s="42"/>
      <c r="BI456" s="42"/>
      <c r="BJ456" s="42"/>
      <c r="BK456" s="42"/>
      <c r="BL456" s="42"/>
      <c r="BM456" s="42"/>
    </row>
    <row r="457">
      <c r="A457" s="125"/>
      <c r="B457" s="267"/>
      <c r="C457" s="361"/>
      <c r="D457" s="42"/>
      <c r="E457" s="42"/>
      <c r="F457" s="42"/>
      <c r="G457" s="42"/>
      <c r="H457" s="42"/>
      <c r="I457" s="42"/>
      <c r="J457" s="42"/>
      <c r="K457" s="304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  <c r="AW457" s="42"/>
      <c r="AX457" s="42"/>
      <c r="AY457" s="42"/>
      <c r="AZ457" s="42"/>
      <c r="BA457" s="42"/>
      <c r="BB457" s="42"/>
      <c r="BC457" s="42"/>
      <c r="BD457" s="42"/>
      <c r="BE457" s="42"/>
      <c r="BF457" s="42"/>
      <c r="BG457" s="42"/>
      <c r="BH457" s="42"/>
      <c r="BI457" s="42"/>
      <c r="BJ457" s="42"/>
      <c r="BK457" s="42"/>
      <c r="BL457" s="42"/>
      <c r="BM457" s="42"/>
    </row>
    <row r="458">
      <c r="A458" s="125"/>
      <c r="B458" s="267"/>
      <c r="C458" s="361"/>
      <c r="D458" s="42"/>
      <c r="E458" s="42"/>
      <c r="F458" s="42"/>
      <c r="G458" s="42"/>
      <c r="H458" s="42"/>
      <c r="I458" s="42"/>
      <c r="J458" s="42"/>
      <c r="K458" s="304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2"/>
      <c r="AW458" s="42"/>
      <c r="AX458" s="42"/>
      <c r="AY458" s="42"/>
      <c r="AZ458" s="42"/>
      <c r="BA458" s="42"/>
      <c r="BB458" s="42"/>
      <c r="BC458" s="42"/>
      <c r="BD458" s="42"/>
      <c r="BE458" s="42"/>
      <c r="BF458" s="42"/>
      <c r="BG458" s="42"/>
      <c r="BH458" s="42"/>
      <c r="BI458" s="42"/>
      <c r="BJ458" s="42"/>
      <c r="BK458" s="42"/>
      <c r="BL458" s="42"/>
      <c r="BM458" s="42"/>
    </row>
    <row r="459">
      <c r="A459" s="125"/>
      <c r="B459" s="267"/>
      <c r="C459" s="361"/>
      <c r="D459" s="42"/>
      <c r="E459" s="42"/>
      <c r="F459" s="42"/>
      <c r="G459" s="42"/>
      <c r="H459" s="42"/>
      <c r="I459" s="42"/>
      <c r="J459" s="42"/>
      <c r="K459" s="304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  <c r="AW459" s="42"/>
      <c r="AX459" s="42"/>
      <c r="AY459" s="42"/>
      <c r="AZ459" s="42"/>
      <c r="BA459" s="42"/>
      <c r="BB459" s="42"/>
      <c r="BC459" s="42"/>
      <c r="BD459" s="42"/>
      <c r="BE459" s="42"/>
      <c r="BF459" s="42"/>
      <c r="BG459" s="42"/>
      <c r="BH459" s="42"/>
      <c r="BI459" s="42"/>
      <c r="BJ459" s="42"/>
      <c r="BK459" s="42"/>
      <c r="BL459" s="42"/>
      <c r="BM459" s="42"/>
    </row>
    <row r="460">
      <c r="A460" s="125"/>
      <c r="B460" s="267"/>
      <c r="C460" s="361"/>
      <c r="D460" s="42"/>
      <c r="E460" s="42"/>
      <c r="F460" s="42"/>
      <c r="G460" s="42"/>
      <c r="H460" s="42"/>
      <c r="I460" s="42"/>
      <c r="J460" s="42"/>
      <c r="K460" s="304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2"/>
      <c r="AW460" s="42"/>
      <c r="AX460" s="42"/>
      <c r="AY460" s="42"/>
      <c r="AZ460" s="42"/>
      <c r="BA460" s="42"/>
      <c r="BB460" s="42"/>
      <c r="BC460" s="42"/>
      <c r="BD460" s="42"/>
      <c r="BE460" s="42"/>
      <c r="BF460" s="42"/>
      <c r="BG460" s="42"/>
      <c r="BH460" s="42"/>
      <c r="BI460" s="42"/>
      <c r="BJ460" s="42"/>
      <c r="BK460" s="42"/>
      <c r="BL460" s="42"/>
      <c r="BM460" s="42"/>
    </row>
    <row r="461">
      <c r="A461" s="125"/>
      <c r="B461" s="267"/>
      <c r="C461" s="361"/>
      <c r="D461" s="42"/>
      <c r="E461" s="42"/>
      <c r="F461" s="42"/>
      <c r="G461" s="42"/>
      <c r="H461" s="42"/>
      <c r="I461" s="42"/>
      <c r="J461" s="42"/>
      <c r="K461" s="304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  <c r="BC461" s="42"/>
      <c r="BD461" s="42"/>
      <c r="BE461" s="42"/>
      <c r="BF461" s="42"/>
      <c r="BG461" s="42"/>
      <c r="BH461" s="42"/>
      <c r="BI461" s="42"/>
      <c r="BJ461" s="42"/>
      <c r="BK461" s="42"/>
      <c r="BL461" s="42"/>
      <c r="BM461" s="42"/>
    </row>
    <row r="462">
      <c r="A462" s="125"/>
      <c r="B462" s="267"/>
      <c r="C462" s="361"/>
      <c r="D462" s="42"/>
      <c r="E462" s="42"/>
      <c r="F462" s="42"/>
      <c r="G462" s="42"/>
      <c r="H462" s="42"/>
      <c r="I462" s="42"/>
      <c r="J462" s="42"/>
      <c r="K462" s="304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  <c r="BC462" s="42"/>
      <c r="BD462" s="42"/>
      <c r="BE462" s="42"/>
      <c r="BF462" s="42"/>
      <c r="BG462" s="42"/>
      <c r="BH462" s="42"/>
      <c r="BI462" s="42"/>
      <c r="BJ462" s="42"/>
      <c r="BK462" s="42"/>
      <c r="BL462" s="42"/>
      <c r="BM462" s="42"/>
    </row>
    <row r="463">
      <c r="A463" s="125"/>
      <c r="B463" s="267"/>
      <c r="C463" s="361"/>
      <c r="D463" s="42"/>
      <c r="E463" s="42"/>
      <c r="F463" s="42"/>
      <c r="G463" s="42"/>
      <c r="H463" s="42"/>
      <c r="I463" s="42"/>
      <c r="J463" s="42"/>
      <c r="K463" s="304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  <c r="BC463" s="42"/>
      <c r="BD463" s="42"/>
      <c r="BE463" s="42"/>
      <c r="BF463" s="42"/>
      <c r="BG463" s="42"/>
      <c r="BH463" s="42"/>
      <c r="BI463" s="42"/>
      <c r="BJ463" s="42"/>
      <c r="BK463" s="42"/>
      <c r="BL463" s="42"/>
      <c r="BM463" s="42"/>
    </row>
    <row r="464">
      <c r="A464" s="125"/>
      <c r="B464" s="267"/>
      <c r="C464" s="361"/>
      <c r="D464" s="42"/>
      <c r="E464" s="42"/>
      <c r="F464" s="42"/>
      <c r="G464" s="42"/>
      <c r="H464" s="42"/>
      <c r="I464" s="42"/>
      <c r="J464" s="42"/>
      <c r="K464" s="304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  <c r="AW464" s="42"/>
      <c r="AX464" s="42"/>
      <c r="AY464" s="42"/>
      <c r="AZ464" s="42"/>
      <c r="BA464" s="42"/>
      <c r="BB464" s="42"/>
      <c r="BC464" s="42"/>
      <c r="BD464" s="42"/>
      <c r="BE464" s="42"/>
      <c r="BF464" s="42"/>
      <c r="BG464" s="42"/>
      <c r="BH464" s="42"/>
      <c r="BI464" s="42"/>
      <c r="BJ464" s="42"/>
      <c r="BK464" s="42"/>
      <c r="BL464" s="42"/>
      <c r="BM464" s="42"/>
    </row>
    <row r="465">
      <c r="A465" s="125"/>
      <c r="B465" s="267"/>
      <c r="C465" s="361"/>
      <c r="D465" s="42"/>
      <c r="E465" s="42"/>
      <c r="F465" s="42"/>
      <c r="G465" s="42"/>
      <c r="H465" s="42"/>
      <c r="I465" s="42"/>
      <c r="J465" s="42"/>
      <c r="K465" s="304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2"/>
      <c r="AW465" s="42"/>
      <c r="AX465" s="42"/>
      <c r="AY465" s="42"/>
      <c r="AZ465" s="42"/>
      <c r="BA465" s="42"/>
      <c r="BB465" s="42"/>
      <c r="BC465" s="42"/>
      <c r="BD465" s="42"/>
      <c r="BE465" s="42"/>
      <c r="BF465" s="42"/>
      <c r="BG465" s="42"/>
      <c r="BH465" s="42"/>
      <c r="BI465" s="42"/>
      <c r="BJ465" s="42"/>
      <c r="BK465" s="42"/>
      <c r="BL465" s="42"/>
      <c r="BM465" s="42"/>
    </row>
    <row r="466">
      <c r="A466" s="125"/>
      <c r="B466" s="267"/>
      <c r="C466" s="361"/>
      <c r="D466" s="42"/>
      <c r="E466" s="42"/>
      <c r="F466" s="42"/>
      <c r="G466" s="42"/>
      <c r="H466" s="42"/>
      <c r="I466" s="42"/>
      <c r="J466" s="42"/>
      <c r="K466" s="304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  <c r="BC466" s="42"/>
      <c r="BD466" s="42"/>
      <c r="BE466" s="42"/>
      <c r="BF466" s="42"/>
      <c r="BG466" s="42"/>
      <c r="BH466" s="42"/>
      <c r="BI466" s="42"/>
      <c r="BJ466" s="42"/>
      <c r="BK466" s="42"/>
      <c r="BL466" s="42"/>
      <c r="BM466" s="42"/>
    </row>
    <row r="467">
      <c r="A467" s="125"/>
      <c r="B467" s="267"/>
      <c r="C467" s="361"/>
      <c r="D467" s="42"/>
      <c r="E467" s="42"/>
      <c r="F467" s="42"/>
      <c r="G467" s="42"/>
      <c r="H467" s="42"/>
      <c r="I467" s="42"/>
      <c r="J467" s="42"/>
      <c r="K467" s="304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  <c r="BC467" s="42"/>
      <c r="BD467" s="42"/>
      <c r="BE467" s="42"/>
      <c r="BF467" s="42"/>
      <c r="BG467" s="42"/>
      <c r="BH467" s="42"/>
      <c r="BI467" s="42"/>
      <c r="BJ467" s="42"/>
      <c r="BK467" s="42"/>
      <c r="BL467" s="42"/>
      <c r="BM467" s="42"/>
    </row>
    <row r="468">
      <c r="A468" s="125"/>
      <c r="B468" s="267"/>
      <c r="C468" s="361"/>
      <c r="D468" s="42"/>
      <c r="E468" s="42"/>
      <c r="F468" s="42"/>
      <c r="G468" s="42"/>
      <c r="H468" s="42"/>
      <c r="I468" s="42"/>
      <c r="J468" s="42"/>
      <c r="K468" s="304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/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</row>
    <row r="469">
      <c r="A469" s="125"/>
      <c r="B469" s="267"/>
      <c r="C469" s="361"/>
      <c r="D469" s="42"/>
      <c r="E469" s="42"/>
      <c r="F469" s="42"/>
      <c r="G469" s="42"/>
      <c r="H469" s="42"/>
      <c r="I469" s="42"/>
      <c r="J469" s="42"/>
      <c r="K469" s="304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  <c r="BC469" s="42"/>
      <c r="BD469" s="42"/>
      <c r="BE469" s="42"/>
      <c r="BF469" s="42"/>
      <c r="BG469" s="42"/>
      <c r="BH469" s="42"/>
      <c r="BI469" s="42"/>
      <c r="BJ469" s="42"/>
      <c r="BK469" s="42"/>
      <c r="BL469" s="42"/>
      <c r="BM469" s="42"/>
    </row>
    <row r="470">
      <c r="A470" s="125"/>
      <c r="B470" s="267"/>
      <c r="C470" s="361"/>
      <c r="D470" s="42"/>
      <c r="E470" s="42"/>
      <c r="F470" s="42"/>
      <c r="G470" s="42"/>
      <c r="H470" s="42"/>
      <c r="I470" s="42"/>
      <c r="J470" s="42"/>
      <c r="K470" s="304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  <c r="BC470" s="42"/>
      <c r="BD470" s="42"/>
      <c r="BE470" s="42"/>
      <c r="BF470" s="42"/>
      <c r="BG470" s="42"/>
      <c r="BH470" s="42"/>
      <c r="BI470" s="42"/>
      <c r="BJ470" s="42"/>
      <c r="BK470" s="42"/>
      <c r="BL470" s="42"/>
      <c r="BM470" s="42"/>
    </row>
    <row r="471">
      <c r="A471" s="125"/>
      <c r="B471" s="267"/>
      <c r="C471" s="361"/>
      <c r="D471" s="42"/>
      <c r="E471" s="42"/>
      <c r="F471" s="42"/>
      <c r="G471" s="42"/>
      <c r="H471" s="42"/>
      <c r="I471" s="42"/>
      <c r="J471" s="42"/>
      <c r="K471" s="304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/>
      <c r="AW471" s="42"/>
      <c r="AX471" s="42"/>
      <c r="AY471" s="42"/>
      <c r="AZ471" s="42"/>
      <c r="BA471" s="42"/>
      <c r="BB471" s="42"/>
      <c r="BC471" s="42"/>
      <c r="BD471" s="42"/>
      <c r="BE471" s="42"/>
      <c r="BF471" s="42"/>
      <c r="BG471" s="42"/>
      <c r="BH471" s="42"/>
      <c r="BI471" s="42"/>
      <c r="BJ471" s="42"/>
      <c r="BK471" s="42"/>
      <c r="BL471" s="42"/>
      <c r="BM471" s="42"/>
    </row>
    <row r="472">
      <c r="A472" s="125"/>
      <c r="B472" s="267"/>
      <c r="C472" s="361"/>
      <c r="D472" s="42"/>
      <c r="E472" s="42"/>
      <c r="F472" s="42"/>
      <c r="G472" s="42"/>
      <c r="H472" s="42"/>
      <c r="I472" s="42"/>
      <c r="J472" s="42"/>
      <c r="K472" s="304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/>
      <c r="AW472" s="42"/>
      <c r="AX472" s="42"/>
      <c r="AY472" s="42"/>
      <c r="AZ472" s="42"/>
      <c r="BA472" s="42"/>
      <c r="BB472" s="42"/>
      <c r="BC472" s="42"/>
      <c r="BD472" s="42"/>
      <c r="BE472" s="42"/>
      <c r="BF472" s="42"/>
      <c r="BG472" s="42"/>
      <c r="BH472" s="42"/>
      <c r="BI472" s="42"/>
      <c r="BJ472" s="42"/>
      <c r="BK472" s="42"/>
      <c r="BL472" s="42"/>
      <c r="BM472" s="42"/>
    </row>
    <row r="473">
      <c r="A473" s="125"/>
      <c r="B473" s="267"/>
      <c r="C473" s="361"/>
      <c r="D473" s="42"/>
      <c r="E473" s="42"/>
      <c r="F473" s="42"/>
      <c r="G473" s="42"/>
      <c r="H473" s="42"/>
      <c r="I473" s="42"/>
      <c r="J473" s="42"/>
      <c r="K473" s="304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/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</row>
    <row r="474">
      <c r="A474" s="125"/>
      <c r="B474" s="267"/>
      <c r="C474" s="361"/>
      <c r="D474" s="42"/>
      <c r="E474" s="42"/>
      <c r="F474" s="42"/>
      <c r="G474" s="42"/>
      <c r="H474" s="42"/>
      <c r="I474" s="42"/>
      <c r="J474" s="42"/>
      <c r="K474" s="304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/>
      <c r="AW474" s="42"/>
      <c r="AX474" s="42"/>
      <c r="AY474" s="42"/>
      <c r="AZ474" s="42"/>
      <c r="BA474" s="42"/>
      <c r="BB474" s="42"/>
      <c r="BC474" s="42"/>
      <c r="BD474" s="42"/>
      <c r="BE474" s="42"/>
      <c r="BF474" s="42"/>
      <c r="BG474" s="42"/>
      <c r="BH474" s="42"/>
      <c r="BI474" s="42"/>
      <c r="BJ474" s="42"/>
      <c r="BK474" s="42"/>
      <c r="BL474" s="42"/>
      <c r="BM474" s="42"/>
    </row>
    <row r="475">
      <c r="A475" s="125"/>
      <c r="B475" s="267"/>
      <c r="C475" s="361"/>
      <c r="D475" s="42"/>
      <c r="E475" s="42"/>
      <c r="F475" s="42"/>
      <c r="G475" s="42"/>
      <c r="H475" s="42"/>
      <c r="I475" s="42"/>
      <c r="J475" s="42"/>
      <c r="K475" s="304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/>
      <c r="AW475" s="42"/>
      <c r="AX475" s="42"/>
      <c r="AY475" s="42"/>
      <c r="AZ475" s="42"/>
      <c r="BA475" s="42"/>
      <c r="BB475" s="42"/>
      <c r="BC475" s="42"/>
      <c r="BD475" s="42"/>
      <c r="BE475" s="42"/>
      <c r="BF475" s="42"/>
      <c r="BG475" s="42"/>
      <c r="BH475" s="42"/>
      <c r="BI475" s="42"/>
      <c r="BJ475" s="42"/>
      <c r="BK475" s="42"/>
      <c r="BL475" s="42"/>
      <c r="BM475" s="42"/>
    </row>
    <row r="476">
      <c r="A476" s="125"/>
      <c r="B476" s="267"/>
      <c r="C476" s="361"/>
      <c r="D476" s="42"/>
      <c r="E476" s="42"/>
      <c r="F476" s="42"/>
      <c r="G476" s="42"/>
      <c r="H476" s="42"/>
      <c r="I476" s="42"/>
      <c r="J476" s="42"/>
      <c r="K476" s="304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  <c r="BC476" s="42"/>
      <c r="BD476" s="42"/>
      <c r="BE476" s="42"/>
      <c r="BF476" s="42"/>
      <c r="BG476" s="42"/>
      <c r="BH476" s="42"/>
      <c r="BI476" s="42"/>
      <c r="BJ476" s="42"/>
      <c r="BK476" s="42"/>
      <c r="BL476" s="42"/>
      <c r="BM476" s="42"/>
    </row>
    <row r="477">
      <c r="A477" s="125"/>
      <c r="B477" s="267"/>
      <c r="C477" s="361"/>
      <c r="D477" s="42"/>
      <c r="E477" s="42"/>
      <c r="F477" s="42"/>
      <c r="G477" s="42"/>
      <c r="H477" s="42"/>
      <c r="I477" s="42"/>
      <c r="J477" s="42"/>
      <c r="K477" s="304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  <c r="BC477" s="42"/>
      <c r="BD477" s="42"/>
      <c r="BE477" s="42"/>
      <c r="BF477" s="42"/>
      <c r="BG477" s="42"/>
      <c r="BH477" s="42"/>
      <c r="BI477" s="42"/>
      <c r="BJ477" s="42"/>
      <c r="BK477" s="42"/>
      <c r="BL477" s="42"/>
      <c r="BM477" s="42"/>
    </row>
    <row r="478">
      <c r="A478" s="125"/>
      <c r="B478" s="267"/>
      <c r="C478" s="361"/>
      <c r="D478" s="42"/>
      <c r="E478" s="42"/>
      <c r="F478" s="42"/>
      <c r="G478" s="42"/>
      <c r="H478" s="42"/>
      <c r="I478" s="42"/>
      <c r="J478" s="42"/>
      <c r="K478" s="304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  <c r="AW478" s="42"/>
      <c r="AX478" s="42"/>
      <c r="AY478" s="42"/>
      <c r="AZ478" s="42"/>
      <c r="BA478" s="42"/>
      <c r="BB478" s="42"/>
      <c r="BC478" s="42"/>
      <c r="BD478" s="42"/>
      <c r="BE478" s="42"/>
      <c r="BF478" s="42"/>
      <c r="BG478" s="42"/>
      <c r="BH478" s="42"/>
      <c r="BI478" s="42"/>
      <c r="BJ478" s="42"/>
      <c r="BK478" s="42"/>
      <c r="BL478" s="42"/>
      <c r="BM478" s="42"/>
    </row>
    <row r="479">
      <c r="A479" s="125"/>
      <c r="B479" s="267"/>
      <c r="C479" s="361"/>
      <c r="D479" s="42"/>
      <c r="E479" s="42"/>
      <c r="F479" s="42"/>
      <c r="G479" s="42"/>
      <c r="H479" s="42"/>
      <c r="I479" s="42"/>
      <c r="J479" s="42"/>
      <c r="K479" s="304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  <c r="BC479" s="42"/>
      <c r="BD479" s="42"/>
      <c r="BE479" s="42"/>
      <c r="BF479" s="42"/>
      <c r="BG479" s="42"/>
      <c r="BH479" s="42"/>
      <c r="BI479" s="42"/>
      <c r="BJ479" s="42"/>
      <c r="BK479" s="42"/>
      <c r="BL479" s="42"/>
      <c r="BM479" s="42"/>
    </row>
    <row r="480">
      <c r="A480" s="125"/>
      <c r="B480" s="267"/>
      <c r="C480" s="361"/>
      <c r="D480" s="42"/>
      <c r="E480" s="42"/>
      <c r="F480" s="42"/>
      <c r="G480" s="42"/>
      <c r="H480" s="42"/>
      <c r="I480" s="42"/>
      <c r="J480" s="42"/>
      <c r="K480" s="304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  <c r="BC480" s="42"/>
      <c r="BD480" s="42"/>
      <c r="BE480" s="42"/>
      <c r="BF480" s="42"/>
      <c r="BG480" s="42"/>
      <c r="BH480" s="42"/>
      <c r="BI480" s="42"/>
      <c r="BJ480" s="42"/>
      <c r="BK480" s="42"/>
      <c r="BL480" s="42"/>
      <c r="BM480" s="42"/>
    </row>
    <row r="481">
      <c r="A481" s="125"/>
      <c r="B481" s="267"/>
      <c r="C481" s="361"/>
      <c r="D481" s="42"/>
      <c r="E481" s="42"/>
      <c r="F481" s="42"/>
      <c r="G481" s="42"/>
      <c r="H481" s="42"/>
      <c r="I481" s="42"/>
      <c r="J481" s="42"/>
      <c r="K481" s="304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  <c r="BC481" s="42"/>
      <c r="BD481" s="42"/>
      <c r="BE481" s="42"/>
      <c r="BF481" s="42"/>
      <c r="BG481" s="42"/>
      <c r="BH481" s="42"/>
      <c r="BI481" s="42"/>
      <c r="BJ481" s="42"/>
      <c r="BK481" s="42"/>
      <c r="BL481" s="42"/>
      <c r="BM481" s="42"/>
    </row>
    <row r="482">
      <c r="A482" s="125"/>
      <c r="B482" s="267"/>
      <c r="C482" s="361"/>
      <c r="D482" s="42"/>
      <c r="E482" s="42"/>
      <c r="F482" s="42"/>
      <c r="G482" s="42"/>
      <c r="H482" s="42"/>
      <c r="I482" s="42"/>
      <c r="J482" s="42"/>
      <c r="K482" s="304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  <c r="BC482" s="42"/>
      <c r="BD482" s="42"/>
      <c r="BE482" s="42"/>
      <c r="BF482" s="42"/>
      <c r="BG482" s="42"/>
      <c r="BH482" s="42"/>
      <c r="BI482" s="42"/>
      <c r="BJ482" s="42"/>
      <c r="BK482" s="42"/>
      <c r="BL482" s="42"/>
      <c r="BM482" s="42"/>
    </row>
    <row r="483">
      <c r="A483" s="125"/>
      <c r="B483" s="267"/>
      <c r="C483" s="361"/>
      <c r="D483" s="42"/>
      <c r="E483" s="42"/>
      <c r="F483" s="42"/>
      <c r="G483" s="42"/>
      <c r="H483" s="42"/>
      <c r="I483" s="42"/>
      <c r="J483" s="42"/>
      <c r="K483" s="304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  <c r="BC483" s="42"/>
      <c r="BD483" s="42"/>
      <c r="BE483" s="42"/>
      <c r="BF483" s="42"/>
      <c r="BG483" s="42"/>
      <c r="BH483" s="42"/>
      <c r="BI483" s="42"/>
      <c r="BJ483" s="42"/>
      <c r="BK483" s="42"/>
      <c r="BL483" s="42"/>
      <c r="BM483" s="42"/>
    </row>
    <row r="484">
      <c r="A484" s="125"/>
      <c r="B484" s="267"/>
      <c r="C484" s="361"/>
      <c r="D484" s="42"/>
      <c r="E484" s="42"/>
      <c r="F484" s="42"/>
      <c r="G484" s="42"/>
      <c r="H484" s="42"/>
      <c r="I484" s="42"/>
      <c r="J484" s="42"/>
      <c r="K484" s="304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</row>
    <row r="485">
      <c r="A485" s="125"/>
      <c r="B485" s="267"/>
      <c r="C485" s="361"/>
      <c r="D485" s="42"/>
      <c r="E485" s="42"/>
      <c r="F485" s="42"/>
      <c r="G485" s="42"/>
      <c r="H485" s="42"/>
      <c r="I485" s="42"/>
      <c r="J485" s="42"/>
      <c r="K485" s="304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  <c r="BC485" s="42"/>
      <c r="BD485" s="42"/>
      <c r="BE485" s="42"/>
      <c r="BF485" s="42"/>
      <c r="BG485" s="42"/>
      <c r="BH485" s="42"/>
      <c r="BI485" s="42"/>
      <c r="BJ485" s="42"/>
      <c r="BK485" s="42"/>
      <c r="BL485" s="42"/>
      <c r="BM485" s="42"/>
    </row>
    <row r="486">
      <c r="A486" s="125"/>
      <c r="B486" s="267"/>
      <c r="C486" s="361"/>
      <c r="D486" s="42"/>
      <c r="E486" s="42"/>
      <c r="F486" s="42"/>
      <c r="G486" s="42"/>
      <c r="H486" s="42"/>
      <c r="I486" s="42"/>
      <c r="J486" s="42"/>
      <c r="K486" s="304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  <c r="BC486" s="42"/>
      <c r="BD486" s="42"/>
      <c r="BE486" s="42"/>
      <c r="BF486" s="42"/>
      <c r="BG486" s="42"/>
      <c r="BH486" s="42"/>
      <c r="BI486" s="42"/>
      <c r="BJ486" s="42"/>
      <c r="BK486" s="42"/>
      <c r="BL486" s="42"/>
      <c r="BM486" s="42"/>
    </row>
    <row r="487">
      <c r="A487" s="125"/>
      <c r="B487" s="267"/>
      <c r="C487" s="361"/>
      <c r="D487" s="42"/>
      <c r="E487" s="42"/>
      <c r="F487" s="42"/>
      <c r="G487" s="42"/>
      <c r="H487" s="42"/>
      <c r="I487" s="42"/>
      <c r="J487" s="42"/>
      <c r="K487" s="304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  <c r="AW487" s="42"/>
      <c r="AX487" s="42"/>
      <c r="AY487" s="42"/>
      <c r="AZ487" s="42"/>
      <c r="BA487" s="42"/>
      <c r="BB487" s="42"/>
      <c r="BC487" s="42"/>
      <c r="BD487" s="42"/>
      <c r="BE487" s="42"/>
      <c r="BF487" s="42"/>
      <c r="BG487" s="42"/>
      <c r="BH487" s="42"/>
      <c r="BI487" s="42"/>
      <c r="BJ487" s="42"/>
      <c r="BK487" s="42"/>
      <c r="BL487" s="42"/>
      <c r="BM487" s="42"/>
    </row>
    <row r="488">
      <c r="A488" s="125"/>
      <c r="B488" s="267"/>
      <c r="C488" s="361"/>
      <c r="D488" s="42"/>
      <c r="E488" s="42"/>
      <c r="F488" s="42"/>
      <c r="G488" s="42"/>
      <c r="H488" s="42"/>
      <c r="I488" s="42"/>
      <c r="J488" s="42"/>
      <c r="K488" s="304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  <c r="AW488" s="42"/>
      <c r="AX488" s="42"/>
      <c r="AY488" s="42"/>
      <c r="AZ488" s="42"/>
      <c r="BA488" s="42"/>
      <c r="BB488" s="42"/>
      <c r="BC488" s="42"/>
      <c r="BD488" s="42"/>
      <c r="BE488" s="42"/>
      <c r="BF488" s="42"/>
      <c r="BG488" s="42"/>
      <c r="BH488" s="42"/>
      <c r="BI488" s="42"/>
      <c r="BJ488" s="42"/>
      <c r="BK488" s="42"/>
      <c r="BL488" s="42"/>
      <c r="BM488" s="42"/>
    </row>
    <row r="489">
      <c r="A489" s="125"/>
      <c r="B489" s="267"/>
      <c r="C489" s="361"/>
      <c r="D489" s="42"/>
      <c r="E489" s="42"/>
      <c r="F489" s="42"/>
      <c r="G489" s="42"/>
      <c r="H489" s="42"/>
      <c r="I489" s="42"/>
      <c r="J489" s="42"/>
      <c r="K489" s="304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  <c r="BC489" s="42"/>
      <c r="BD489" s="42"/>
      <c r="BE489" s="42"/>
      <c r="BF489" s="42"/>
      <c r="BG489" s="42"/>
      <c r="BH489" s="42"/>
      <c r="BI489" s="42"/>
      <c r="BJ489" s="42"/>
      <c r="BK489" s="42"/>
      <c r="BL489" s="42"/>
      <c r="BM489" s="42"/>
    </row>
    <row r="490">
      <c r="A490" s="125"/>
      <c r="B490" s="267"/>
      <c r="C490" s="361"/>
      <c r="D490" s="42"/>
      <c r="E490" s="42"/>
      <c r="F490" s="42"/>
      <c r="G490" s="42"/>
      <c r="H490" s="42"/>
      <c r="I490" s="42"/>
      <c r="J490" s="42"/>
      <c r="K490" s="304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  <c r="AW490" s="42"/>
      <c r="AX490" s="42"/>
      <c r="AY490" s="42"/>
      <c r="AZ490" s="42"/>
      <c r="BA490" s="42"/>
      <c r="BB490" s="42"/>
      <c r="BC490" s="42"/>
      <c r="BD490" s="42"/>
      <c r="BE490" s="42"/>
      <c r="BF490" s="42"/>
      <c r="BG490" s="42"/>
      <c r="BH490" s="42"/>
      <c r="BI490" s="42"/>
      <c r="BJ490" s="42"/>
      <c r="BK490" s="42"/>
      <c r="BL490" s="42"/>
      <c r="BM490" s="42"/>
    </row>
    <row r="491">
      <c r="A491" s="125"/>
      <c r="B491" s="267"/>
      <c r="C491" s="361"/>
      <c r="D491" s="42"/>
      <c r="E491" s="42"/>
      <c r="F491" s="42"/>
      <c r="G491" s="42"/>
      <c r="H491" s="42"/>
      <c r="I491" s="42"/>
      <c r="J491" s="42"/>
      <c r="K491" s="304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  <c r="AW491" s="42"/>
      <c r="AX491" s="42"/>
      <c r="AY491" s="42"/>
      <c r="AZ491" s="42"/>
      <c r="BA491" s="42"/>
      <c r="BB491" s="42"/>
      <c r="BC491" s="42"/>
      <c r="BD491" s="42"/>
      <c r="BE491" s="42"/>
      <c r="BF491" s="42"/>
      <c r="BG491" s="42"/>
      <c r="BH491" s="42"/>
      <c r="BI491" s="42"/>
      <c r="BJ491" s="42"/>
      <c r="BK491" s="42"/>
      <c r="BL491" s="42"/>
      <c r="BM491" s="42"/>
    </row>
    <row r="492">
      <c r="A492" s="125"/>
      <c r="B492" s="267"/>
      <c r="C492" s="361"/>
      <c r="D492" s="42"/>
      <c r="E492" s="42"/>
      <c r="F492" s="42"/>
      <c r="G492" s="42"/>
      <c r="H492" s="42"/>
      <c r="I492" s="42"/>
      <c r="J492" s="42"/>
      <c r="K492" s="304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2"/>
      <c r="AW492" s="42"/>
      <c r="AX492" s="42"/>
      <c r="AY492" s="42"/>
      <c r="AZ492" s="42"/>
      <c r="BA492" s="42"/>
      <c r="BB492" s="42"/>
      <c r="BC492" s="42"/>
      <c r="BD492" s="42"/>
      <c r="BE492" s="42"/>
      <c r="BF492" s="42"/>
      <c r="BG492" s="42"/>
      <c r="BH492" s="42"/>
      <c r="BI492" s="42"/>
      <c r="BJ492" s="42"/>
      <c r="BK492" s="42"/>
      <c r="BL492" s="42"/>
      <c r="BM492" s="42"/>
    </row>
    <row r="493">
      <c r="A493" s="125"/>
      <c r="B493" s="267"/>
      <c r="C493" s="361"/>
      <c r="D493" s="42"/>
      <c r="E493" s="42"/>
      <c r="F493" s="42"/>
      <c r="G493" s="42"/>
      <c r="H493" s="42"/>
      <c r="I493" s="42"/>
      <c r="J493" s="42"/>
      <c r="K493" s="304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2"/>
      <c r="AW493" s="42"/>
      <c r="AX493" s="42"/>
      <c r="AY493" s="42"/>
      <c r="AZ493" s="42"/>
      <c r="BA493" s="42"/>
      <c r="BB493" s="42"/>
      <c r="BC493" s="42"/>
      <c r="BD493" s="42"/>
      <c r="BE493" s="42"/>
      <c r="BF493" s="42"/>
      <c r="BG493" s="42"/>
      <c r="BH493" s="42"/>
      <c r="BI493" s="42"/>
      <c r="BJ493" s="42"/>
      <c r="BK493" s="42"/>
      <c r="BL493" s="42"/>
      <c r="BM493" s="42"/>
    </row>
    <row r="494">
      <c r="A494" s="125"/>
      <c r="B494" s="267"/>
      <c r="C494" s="361"/>
      <c r="D494" s="42"/>
      <c r="E494" s="42"/>
      <c r="F494" s="42"/>
      <c r="G494" s="42"/>
      <c r="H494" s="42"/>
      <c r="I494" s="42"/>
      <c r="J494" s="42"/>
      <c r="K494" s="304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  <c r="BC494" s="42"/>
      <c r="BD494" s="42"/>
      <c r="BE494" s="42"/>
      <c r="BF494" s="42"/>
      <c r="BG494" s="42"/>
      <c r="BH494" s="42"/>
      <c r="BI494" s="42"/>
      <c r="BJ494" s="42"/>
      <c r="BK494" s="42"/>
      <c r="BL494" s="42"/>
      <c r="BM494" s="42"/>
    </row>
    <row r="495">
      <c r="A495" s="125"/>
      <c r="B495" s="267"/>
      <c r="C495" s="361"/>
      <c r="D495" s="42"/>
      <c r="E495" s="42"/>
      <c r="F495" s="42"/>
      <c r="G495" s="42"/>
      <c r="H495" s="42"/>
      <c r="I495" s="42"/>
      <c r="J495" s="42"/>
      <c r="K495" s="304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2"/>
      <c r="AW495" s="42"/>
      <c r="AX495" s="42"/>
      <c r="AY495" s="42"/>
      <c r="AZ495" s="42"/>
      <c r="BA495" s="42"/>
      <c r="BB495" s="42"/>
      <c r="BC495" s="42"/>
      <c r="BD495" s="42"/>
      <c r="BE495" s="42"/>
      <c r="BF495" s="42"/>
      <c r="BG495" s="42"/>
      <c r="BH495" s="42"/>
      <c r="BI495" s="42"/>
      <c r="BJ495" s="42"/>
      <c r="BK495" s="42"/>
      <c r="BL495" s="42"/>
      <c r="BM495" s="42"/>
    </row>
    <row r="496">
      <c r="A496" s="125"/>
      <c r="B496" s="267"/>
      <c r="C496" s="361"/>
      <c r="D496" s="42"/>
      <c r="E496" s="42"/>
      <c r="F496" s="42"/>
      <c r="G496" s="42"/>
      <c r="H496" s="42"/>
      <c r="I496" s="42"/>
      <c r="J496" s="42"/>
      <c r="K496" s="304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  <c r="BC496" s="42"/>
      <c r="BD496" s="42"/>
      <c r="BE496" s="42"/>
      <c r="BF496" s="42"/>
      <c r="BG496" s="42"/>
      <c r="BH496" s="42"/>
      <c r="BI496" s="42"/>
      <c r="BJ496" s="42"/>
      <c r="BK496" s="42"/>
      <c r="BL496" s="42"/>
      <c r="BM496" s="42"/>
    </row>
    <row r="497">
      <c r="A497" s="125"/>
      <c r="B497" s="267"/>
      <c r="C497" s="361"/>
      <c r="D497" s="42"/>
      <c r="E497" s="42"/>
      <c r="F497" s="42"/>
      <c r="G497" s="42"/>
      <c r="H497" s="42"/>
      <c r="I497" s="42"/>
      <c r="J497" s="42"/>
      <c r="K497" s="304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2"/>
      <c r="AW497" s="42"/>
      <c r="AX497" s="42"/>
      <c r="AY497" s="42"/>
      <c r="AZ497" s="42"/>
      <c r="BA497" s="42"/>
      <c r="BB497" s="42"/>
      <c r="BC497" s="42"/>
      <c r="BD497" s="42"/>
      <c r="BE497" s="42"/>
      <c r="BF497" s="42"/>
      <c r="BG497" s="42"/>
      <c r="BH497" s="42"/>
      <c r="BI497" s="42"/>
      <c r="BJ497" s="42"/>
      <c r="BK497" s="42"/>
      <c r="BL497" s="42"/>
      <c r="BM497" s="42"/>
    </row>
    <row r="498">
      <c r="A498" s="125"/>
      <c r="B498" s="267"/>
      <c r="C498" s="361"/>
      <c r="D498" s="42"/>
      <c r="E498" s="42"/>
      <c r="F498" s="42"/>
      <c r="G498" s="42"/>
      <c r="H498" s="42"/>
      <c r="I498" s="42"/>
      <c r="J498" s="42"/>
      <c r="K498" s="304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  <c r="AU498" s="42"/>
      <c r="AV498" s="42"/>
      <c r="AW498" s="42"/>
      <c r="AX498" s="42"/>
      <c r="AY498" s="42"/>
      <c r="AZ498" s="42"/>
      <c r="BA498" s="42"/>
      <c r="BB498" s="42"/>
      <c r="BC498" s="42"/>
      <c r="BD498" s="42"/>
      <c r="BE498" s="42"/>
      <c r="BF498" s="42"/>
      <c r="BG498" s="42"/>
      <c r="BH498" s="42"/>
      <c r="BI498" s="42"/>
      <c r="BJ498" s="42"/>
      <c r="BK498" s="42"/>
      <c r="BL498" s="42"/>
      <c r="BM498" s="42"/>
    </row>
    <row r="499">
      <c r="A499" s="125"/>
      <c r="B499" s="267"/>
      <c r="C499" s="361"/>
      <c r="D499" s="42"/>
      <c r="E499" s="42"/>
      <c r="F499" s="42"/>
      <c r="G499" s="42"/>
      <c r="H499" s="42"/>
      <c r="I499" s="42"/>
      <c r="J499" s="42"/>
      <c r="K499" s="304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42"/>
      <c r="BC499" s="42"/>
      <c r="BD499" s="42"/>
      <c r="BE499" s="42"/>
      <c r="BF499" s="42"/>
      <c r="BG499" s="42"/>
      <c r="BH499" s="42"/>
      <c r="BI499" s="42"/>
      <c r="BJ499" s="42"/>
      <c r="BK499" s="42"/>
      <c r="BL499" s="42"/>
      <c r="BM499" s="42"/>
    </row>
    <row r="500">
      <c r="A500" s="125"/>
      <c r="B500" s="267"/>
      <c r="C500" s="361"/>
      <c r="D500" s="42"/>
      <c r="E500" s="42"/>
      <c r="F500" s="42"/>
      <c r="G500" s="42"/>
      <c r="H500" s="42"/>
      <c r="I500" s="42"/>
      <c r="J500" s="42"/>
      <c r="K500" s="304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  <c r="BC500" s="42"/>
      <c r="BD500" s="42"/>
      <c r="BE500" s="42"/>
      <c r="BF500" s="42"/>
      <c r="BG500" s="42"/>
      <c r="BH500" s="42"/>
      <c r="BI500" s="42"/>
      <c r="BJ500" s="42"/>
      <c r="BK500" s="42"/>
      <c r="BL500" s="42"/>
      <c r="BM500" s="42"/>
    </row>
    <row r="501">
      <c r="A501" s="125"/>
      <c r="B501" s="267"/>
      <c r="C501" s="361"/>
      <c r="D501" s="42"/>
      <c r="E501" s="42"/>
      <c r="F501" s="42"/>
      <c r="G501" s="42"/>
      <c r="H501" s="42"/>
      <c r="I501" s="42"/>
      <c r="J501" s="42"/>
      <c r="K501" s="304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  <c r="AU501" s="42"/>
      <c r="AV501" s="42"/>
      <c r="AW501" s="42"/>
      <c r="AX501" s="42"/>
      <c r="AY501" s="42"/>
      <c r="AZ501" s="42"/>
      <c r="BA501" s="42"/>
      <c r="BB501" s="42"/>
      <c r="BC501" s="42"/>
      <c r="BD501" s="42"/>
      <c r="BE501" s="42"/>
      <c r="BF501" s="42"/>
      <c r="BG501" s="42"/>
      <c r="BH501" s="42"/>
      <c r="BI501" s="42"/>
      <c r="BJ501" s="42"/>
      <c r="BK501" s="42"/>
      <c r="BL501" s="42"/>
      <c r="BM501" s="42"/>
    </row>
    <row r="502">
      <c r="A502" s="125"/>
      <c r="B502" s="267"/>
      <c r="C502" s="361"/>
      <c r="D502" s="42"/>
      <c r="E502" s="42"/>
      <c r="F502" s="42"/>
      <c r="G502" s="42"/>
      <c r="H502" s="42"/>
      <c r="I502" s="42"/>
      <c r="J502" s="42"/>
      <c r="K502" s="304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2"/>
      <c r="AW502" s="42"/>
      <c r="AX502" s="42"/>
      <c r="AY502" s="42"/>
      <c r="AZ502" s="42"/>
      <c r="BA502" s="42"/>
      <c r="BB502" s="42"/>
      <c r="BC502" s="42"/>
      <c r="BD502" s="42"/>
      <c r="BE502" s="42"/>
      <c r="BF502" s="42"/>
      <c r="BG502" s="42"/>
      <c r="BH502" s="42"/>
      <c r="BI502" s="42"/>
      <c r="BJ502" s="42"/>
      <c r="BK502" s="42"/>
      <c r="BL502" s="42"/>
      <c r="BM502" s="42"/>
    </row>
    <row r="503">
      <c r="A503" s="125"/>
      <c r="B503" s="267"/>
      <c r="C503" s="361"/>
      <c r="D503" s="42"/>
      <c r="E503" s="42"/>
      <c r="F503" s="42"/>
      <c r="G503" s="42"/>
      <c r="H503" s="42"/>
      <c r="I503" s="42"/>
      <c r="J503" s="42"/>
      <c r="K503" s="304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  <c r="AT503" s="42"/>
      <c r="AU503" s="42"/>
      <c r="AV503" s="42"/>
      <c r="AW503" s="42"/>
      <c r="AX503" s="42"/>
      <c r="AY503" s="42"/>
      <c r="AZ503" s="42"/>
      <c r="BA503" s="42"/>
      <c r="BB503" s="42"/>
      <c r="BC503" s="42"/>
      <c r="BD503" s="42"/>
      <c r="BE503" s="42"/>
      <c r="BF503" s="42"/>
      <c r="BG503" s="42"/>
      <c r="BH503" s="42"/>
      <c r="BI503" s="42"/>
      <c r="BJ503" s="42"/>
      <c r="BK503" s="42"/>
      <c r="BL503" s="42"/>
      <c r="BM503" s="42"/>
    </row>
    <row r="504">
      <c r="A504" s="125"/>
      <c r="B504" s="267"/>
      <c r="C504" s="361"/>
      <c r="D504" s="42"/>
      <c r="E504" s="42"/>
      <c r="F504" s="42"/>
      <c r="G504" s="42"/>
      <c r="H504" s="42"/>
      <c r="I504" s="42"/>
      <c r="J504" s="42"/>
      <c r="K504" s="304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2"/>
      <c r="AW504" s="42"/>
      <c r="AX504" s="42"/>
      <c r="AY504" s="42"/>
      <c r="AZ504" s="42"/>
      <c r="BA504" s="42"/>
      <c r="BB504" s="42"/>
      <c r="BC504" s="42"/>
      <c r="BD504" s="42"/>
      <c r="BE504" s="42"/>
      <c r="BF504" s="42"/>
      <c r="BG504" s="42"/>
      <c r="BH504" s="42"/>
      <c r="BI504" s="42"/>
      <c r="BJ504" s="42"/>
      <c r="BK504" s="42"/>
      <c r="BL504" s="42"/>
      <c r="BM504" s="42"/>
    </row>
    <row r="505">
      <c r="A505" s="125"/>
      <c r="B505" s="267"/>
      <c r="C505" s="361"/>
      <c r="D505" s="42"/>
      <c r="E505" s="42"/>
      <c r="F505" s="42"/>
      <c r="G505" s="42"/>
      <c r="H505" s="42"/>
      <c r="I505" s="42"/>
      <c r="J505" s="42"/>
      <c r="K505" s="304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  <c r="AT505" s="42"/>
      <c r="AU505" s="42"/>
      <c r="AV505" s="42"/>
      <c r="AW505" s="42"/>
      <c r="AX505" s="42"/>
      <c r="AY505" s="42"/>
      <c r="AZ505" s="42"/>
      <c r="BA505" s="42"/>
      <c r="BB505" s="42"/>
      <c r="BC505" s="42"/>
      <c r="BD505" s="42"/>
      <c r="BE505" s="42"/>
      <c r="BF505" s="42"/>
      <c r="BG505" s="42"/>
      <c r="BH505" s="42"/>
      <c r="BI505" s="42"/>
      <c r="BJ505" s="42"/>
      <c r="BK505" s="42"/>
      <c r="BL505" s="42"/>
      <c r="BM505" s="42"/>
    </row>
    <row r="506">
      <c r="A506" s="125"/>
      <c r="B506" s="267"/>
      <c r="C506" s="361"/>
      <c r="D506" s="42"/>
      <c r="E506" s="42"/>
      <c r="F506" s="42"/>
      <c r="G506" s="42"/>
      <c r="H506" s="42"/>
      <c r="I506" s="42"/>
      <c r="J506" s="42"/>
      <c r="K506" s="304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  <c r="AT506" s="42"/>
      <c r="AU506" s="42"/>
      <c r="AV506" s="42"/>
      <c r="AW506" s="42"/>
      <c r="AX506" s="42"/>
      <c r="AY506" s="42"/>
      <c r="AZ506" s="42"/>
      <c r="BA506" s="42"/>
      <c r="BB506" s="42"/>
      <c r="BC506" s="42"/>
      <c r="BD506" s="42"/>
      <c r="BE506" s="42"/>
      <c r="BF506" s="42"/>
      <c r="BG506" s="42"/>
      <c r="BH506" s="42"/>
      <c r="BI506" s="42"/>
      <c r="BJ506" s="42"/>
      <c r="BK506" s="42"/>
      <c r="BL506" s="42"/>
      <c r="BM506" s="42"/>
    </row>
    <row r="507">
      <c r="A507" s="125"/>
      <c r="B507" s="267"/>
      <c r="C507" s="361"/>
      <c r="D507" s="42"/>
      <c r="E507" s="42"/>
      <c r="F507" s="42"/>
      <c r="G507" s="42"/>
      <c r="H507" s="42"/>
      <c r="I507" s="42"/>
      <c r="J507" s="42"/>
      <c r="K507" s="304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  <c r="AU507" s="42"/>
      <c r="AV507" s="42"/>
      <c r="AW507" s="42"/>
      <c r="AX507" s="42"/>
      <c r="AY507" s="42"/>
      <c r="AZ507" s="42"/>
      <c r="BA507" s="42"/>
      <c r="BB507" s="42"/>
      <c r="BC507" s="42"/>
      <c r="BD507" s="42"/>
      <c r="BE507" s="42"/>
      <c r="BF507" s="42"/>
      <c r="BG507" s="42"/>
      <c r="BH507" s="42"/>
      <c r="BI507" s="42"/>
      <c r="BJ507" s="42"/>
      <c r="BK507" s="42"/>
      <c r="BL507" s="42"/>
      <c r="BM507" s="42"/>
    </row>
    <row r="508">
      <c r="A508" s="125"/>
      <c r="B508" s="267"/>
      <c r="C508" s="361"/>
      <c r="D508" s="42"/>
      <c r="E508" s="42"/>
      <c r="F508" s="42"/>
      <c r="G508" s="42"/>
      <c r="H508" s="42"/>
      <c r="I508" s="42"/>
      <c r="J508" s="42"/>
      <c r="K508" s="304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</row>
    <row r="509">
      <c r="A509" s="125"/>
      <c r="B509" s="267"/>
      <c r="C509" s="361"/>
      <c r="D509" s="42"/>
      <c r="E509" s="42"/>
      <c r="F509" s="42"/>
      <c r="G509" s="42"/>
      <c r="H509" s="42"/>
      <c r="I509" s="42"/>
      <c r="J509" s="42"/>
      <c r="K509" s="304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  <c r="AW509" s="42"/>
      <c r="AX509" s="42"/>
      <c r="AY509" s="42"/>
      <c r="AZ509" s="42"/>
      <c r="BA509" s="42"/>
      <c r="BB509" s="42"/>
      <c r="BC509" s="42"/>
      <c r="BD509" s="42"/>
      <c r="BE509" s="42"/>
      <c r="BF509" s="42"/>
      <c r="BG509" s="42"/>
      <c r="BH509" s="42"/>
      <c r="BI509" s="42"/>
      <c r="BJ509" s="42"/>
      <c r="BK509" s="42"/>
      <c r="BL509" s="42"/>
      <c r="BM509" s="42"/>
    </row>
    <row r="510">
      <c r="A510" s="125"/>
      <c r="B510" s="267"/>
      <c r="C510" s="361"/>
      <c r="D510" s="42"/>
      <c r="E510" s="42"/>
      <c r="F510" s="42"/>
      <c r="G510" s="42"/>
      <c r="H510" s="42"/>
      <c r="I510" s="42"/>
      <c r="J510" s="42"/>
      <c r="K510" s="304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2"/>
      <c r="AW510" s="42"/>
      <c r="AX510" s="42"/>
      <c r="AY510" s="42"/>
      <c r="AZ510" s="42"/>
      <c r="BA510" s="42"/>
      <c r="BB510" s="42"/>
      <c r="BC510" s="42"/>
      <c r="BD510" s="42"/>
      <c r="BE510" s="42"/>
      <c r="BF510" s="42"/>
      <c r="BG510" s="42"/>
      <c r="BH510" s="42"/>
      <c r="BI510" s="42"/>
      <c r="BJ510" s="42"/>
      <c r="BK510" s="42"/>
      <c r="BL510" s="42"/>
      <c r="BM510" s="42"/>
    </row>
    <row r="511">
      <c r="A511" s="125"/>
      <c r="B511" s="267"/>
      <c r="C511" s="361"/>
      <c r="D511" s="42"/>
      <c r="E511" s="42"/>
      <c r="F511" s="42"/>
      <c r="G511" s="42"/>
      <c r="H511" s="42"/>
      <c r="I511" s="42"/>
      <c r="J511" s="42"/>
      <c r="K511" s="304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2"/>
      <c r="AW511" s="42"/>
      <c r="AX511" s="42"/>
      <c r="AY511" s="42"/>
      <c r="AZ511" s="42"/>
      <c r="BA511" s="42"/>
      <c r="BB511" s="42"/>
      <c r="BC511" s="42"/>
      <c r="BD511" s="42"/>
      <c r="BE511" s="42"/>
      <c r="BF511" s="42"/>
      <c r="BG511" s="42"/>
      <c r="BH511" s="42"/>
      <c r="BI511" s="42"/>
      <c r="BJ511" s="42"/>
      <c r="BK511" s="42"/>
      <c r="BL511" s="42"/>
      <c r="BM511" s="42"/>
    </row>
    <row r="512">
      <c r="A512" s="125"/>
      <c r="B512" s="267"/>
      <c r="C512" s="361"/>
      <c r="D512" s="42"/>
      <c r="E512" s="42"/>
      <c r="F512" s="42"/>
      <c r="G512" s="42"/>
      <c r="H512" s="42"/>
      <c r="I512" s="42"/>
      <c r="J512" s="42"/>
      <c r="K512" s="304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  <c r="AW512" s="42"/>
      <c r="AX512" s="42"/>
      <c r="AY512" s="42"/>
      <c r="AZ512" s="42"/>
      <c r="BA512" s="42"/>
      <c r="BB512" s="42"/>
      <c r="BC512" s="42"/>
      <c r="BD512" s="42"/>
      <c r="BE512" s="42"/>
      <c r="BF512" s="42"/>
      <c r="BG512" s="42"/>
      <c r="BH512" s="42"/>
      <c r="BI512" s="42"/>
      <c r="BJ512" s="42"/>
      <c r="BK512" s="42"/>
      <c r="BL512" s="42"/>
      <c r="BM512" s="42"/>
    </row>
    <row r="513">
      <c r="A513" s="125"/>
      <c r="B513" s="267"/>
      <c r="C513" s="361"/>
      <c r="D513" s="42"/>
      <c r="E513" s="42"/>
      <c r="F513" s="42"/>
      <c r="G513" s="42"/>
      <c r="H513" s="42"/>
      <c r="I513" s="42"/>
      <c r="J513" s="42"/>
      <c r="K513" s="304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/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</row>
    <row r="514">
      <c r="A514" s="125"/>
      <c r="B514" s="267"/>
      <c r="C514" s="361"/>
      <c r="D514" s="42"/>
      <c r="E514" s="42"/>
      <c r="F514" s="42"/>
      <c r="G514" s="42"/>
      <c r="H514" s="42"/>
      <c r="I514" s="42"/>
      <c r="J514" s="42"/>
      <c r="K514" s="304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  <c r="AU514" s="42"/>
      <c r="AV514" s="42"/>
      <c r="AW514" s="42"/>
      <c r="AX514" s="42"/>
      <c r="AY514" s="42"/>
      <c r="AZ514" s="42"/>
      <c r="BA514" s="42"/>
      <c r="BB514" s="42"/>
      <c r="BC514" s="42"/>
      <c r="BD514" s="42"/>
      <c r="BE514" s="42"/>
      <c r="BF514" s="42"/>
      <c r="BG514" s="42"/>
      <c r="BH514" s="42"/>
      <c r="BI514" s="42"/>
      <c r="BJ514" s="42"/>
      <c r="BK514" s="42"/>
      <c r="BL514" s="42"/>
      <c r="BM514" s="42"/>
    </row>
    <row r="515">
      <c r="A515" s="125"/>
      <c r="B515" s="267"/>
      <c r="C515" s="361"/>
      <c r="D515" s="42"/>
      <c r="E515" s="42"/>
      <c r="F515" s="42"/>
      <c r="G515" s="42"/>
      <c r="H515" s="42"/>
      <c r="I515" s="42"/>
      <c r="J515" s="42"/>
      <c r="K515" s="304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  <c r="BC515" s="42"/>
      <c r="BD515" s="42"/>
      <c r="BE515" s="42"/>
      <c r="BF515" s="42"/>
      <c r="BG515" s="42"/>
      <c r="BH515" s="42"/>
      <c r="BI515" s="42"/>
      <c r="BJ515" s="42"/>
      <c r="BK515" s="42"/>
      <c r="BL515" s="42"/>
      <c r="BM515" s="42"/>
    </row>
    <row r="516">
      <c r="A516" s="125"/>
      <c r="B516" s="267"/>
      <c r="C516" s="361"/>
      <c r="D516" s="42"/>
      <c r="E516" s="42"/>
      <c r="F516" s="42"/>
      <c r="G516" s="42"/>
      <c r="H516" s="42"/>
      <c r="I516" s="42"/>
      <c r="J516" s="42"/>
      <c r="K516" s="304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  <c r="AU516" s="42"/>
      <c r="AV516" s="42"/>
      <c r="AW516" s="42"/>
      <c r="AX516" s="42"/>
      <c r="AY516" s="42"/>
      <c r="AZ516" s="42"/>
      <c r="BA516" s="42"/>
      <c r="BB516" s="42"/>
      <c r="BC516" s="42"/>
      <c r="BD516" s="42"/>
      <c r="BE516" s="42"/>
      <c r="BF516" s="42"/>
      <c r="BG516" s="42"/>
      <c r="BH516" s="42"/>
      <c r="BI516" s="42"/>
      <c r="BJ516" s="42"/>
      <c r="BK516" s="42"/>
      <c r="BL516" s="42"/>
      <c r="BM516" s="42"/>
    </row>
    <row r="517">
      <c r="A517" s="125"/>
      <c r="B517" s="267"/>
      <c r="C517" s="361"/>
      <c r="D517" s="42"/>
      <c r="E517" s="42"/>
      <c r="F517" s="42"/>
      <c r="G517" s="42"/>
      <c r="H517" s="42"/>
      <c r="I517" s="42"/>
      <c r="J517" s="42"/>
      <c r="K517" s="304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42"/>
      <c r="AY517" s="42"/>
      <c r="AZ517" s="42"/>
      <c r="BA517" s="42"/>
      <c r="BB517" s="42"/>
      <c r="BC517" s="42"/>
      <c r="BD517" s="42"/>
      <c r="BE517" s="42"/>
      <c r="BF517" s="42"/>
      <c r="BG517" s="42"/>
      <c r="BH517" s="42"/>
      <c r="BI517" s="42"/>
      <c r="BJ517" s="42"/>
      <c r="BK517" s="42"/>
      <c r="BL517" s="42"/>
      <c r="BM517" s="42"/>
    </row>
    <row r="518">
      <c r="A518" s="125"/>
      <c r="B518" s="267"/>
      <c r="C518" s="361"/>
      <c r="D518" s="42"/>
      <c r="E518" s="42"/>
      <c r="F518" s="42"/>
      <c r="G518" s="42"/>
      <c r="H518" s="42"/>
      <c r="I518" s="42"/>
      <c r="J518" s="42"/>
      <c r="K518" s="304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42"/>
      <c r="BB518" s="42"/>
      <c r="BC518" s="42"/>
      <c r="BD518" s="42"/>
      <c r="BE518" s="42"/>
      <c r="BF518" s="42"/>
      <c r="BG518" s="42"/>
      <c r="BH518" s="42"/>
      <c r="BI518" s="42"/>
      <c r="BJ518" s="42"/>
      <c r="BK518" s="42"/>
      <c r="BL518" s="42"/>
      <c r="BM518" s="42"/>
    </row>
    <row r="519">
      <c r="A519" s="125"/>
      <c r="B519" s="267"/>
      <c r="C519" s="361"/>
      <c r="D519" s="42"/>
      <c r="E519" s="42"/>
      <c r="F519" s="42"/>
      <c r="G519" s="42"/>
      <c r="H519" s="42"/>
      <c r="I519" s="42"/>
      <c r="J519" s="42"/>
      <c r="K519" s="304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  <c r="AW519" s="42"/>
      <c r="AX519" s="42"/>
      <c r="AY519" s="42"/>
      <c r="AZ519" s="42"/>
      <c r="BA519" s="42"/>
      <c r="BB519" s="42"/>
      <c r="BC519" s="42"/>
      <c r="BD519" s="42"/>
      <c r="BE519" s="42"/>
      <c r="BF519" s="42"/>
      <c r="BG519" s="42"/>
      <c r="BH519" s="42"/>
      <c r="BI519" s="42"/>
      <c r="BJ519" s="42"/>
      <c r="BK519" s="42"/>
      <c r="BL519" s="42"/>
      <c r="BM519" s="42"/>
    </row>
    <row r="520">
      <c r="A520" s="125"/>
      <c r="B520" s="267"/>
      <c r="C520" s="361"/>
      <c r="D520" s="42"/>
      <c r="E520" s="42"/>
      <c r="F520" s="42"/>
      <c r="G520" s="42"/>
      <c r="H520" s="42"/>
      <c r="I520" s="42"/>
      <c r="J520" s="42"/>
      <c r="K520" s="304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  <c r="AW520" s="42"/>
      <c r="AX520" s="42"/>
      <c r="AY520" s="42"/>
      <c r="AZ520" s="42"/>
      <c r="BA520" s="42"/>
      <c r="BB520" s="42"/>
      <c r="BC520" s="42"/>
      <c r="BD520" s="42"/>
      <c r="BE520" s="42"/>
      <c r="BF520" s="42"/>
      <c r="BG520" s="42"/>
      <c r="BH520" s="42"/>
      <c r="BI520" s="42"/>
      <c r="BJ520" s="42"/>
      <c r="BK520" s="42"/>
      <c r="BL520" s="42"/>
      <c r="BM520" s="42"/>
    </row>
    <row r="521">
      <c r="A521" s="125"/>
      <c r="B521" s="267"/>
      <c r="C521" s="361"/>
      <c r="D521" s="42"/>
      <c r="E521" s="42"/>
      <c r="F521" s="42"/>
      <c r="G521" s="42"/>
      <c r="H521" s="42"/>
      <c r="I521" s="42"/>
      <c r="J521" s="42"/>
      <c r="K521" s="304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  <c r="AW521" s="42"/>
      <c r="AX521" s="42"/>
      <c r="AY521" s="42"/>
      <c r="AZ521" s="42"/>
      <c r="BA521" s="42"/>
      <c r="BB521" s="42"/>
      <c r="BC521" s="42"/>
      <c r="BD521" s="42"/>
      <c r="BE521" s="42"/>
      <c r="BF521" s="42"/>
      <c r="BG521" s="42"/>
      <c r="BH521" s="42"/>
      <c r="BI521" s="42"/>
      <c r="BJ521" s="42"/>
      <c r="BK521" s="42"/>
      <c r="BL521" s="42"/>
      <c r="BM521" s="42"/>
    </row>
    <row r="522">
      <c r="A522" s="125"/>
      <c r="B522" s="267"/>
      <c r="C522" s="361"/>
      <c r="D522" s="42"/>
      <c r="E522" s="42"/>
      <c r="F522" s="42"/>
      <c r="G522" s="42"/>
      <c r="H522" s="42"/>
      <c r="I522" s="42"/>
      <c r="J522" s="42"/>
      <c r="K522" s="304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/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</row>
    <row r="523">
      <c r="A523" s="125"/>
      <c r="B523" s="267"/>
      <c r="C523" s="361"/>
      <c r="D523" s="42"/>
      <c r="E523" s="42"/>
      <c r="F523" s="42"/>
      <c r="G523" s="42"/>
      <c r="H523" s="42"/>
      <c r="I523" s="42"/>
      <c r="J523" s="42"/>
      <c r="K523" s="304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  <c r="AT523" s="42"/>
      <c r="AU523" s="42"/>
      <c r="AV523" s="42"/>
      <c r="AW523" s="42"/>
      <c r="AX523" s="42"/>
      <c r="AY523" s="42"/>
      <c r="AZ523" s="42"/>
      <c r="BA523" s="42"/>
      <c r="BB523" s="42"/>
      <c r="BC523" s="42"/>
      <c r="BD523" s="42"/>
      <c r="BE523" s="42"/>
      <c r="BF523" s="42"/>
      <c r="BG523" s="42"/>
      <c r="BH523" s="42"/>
      <c r="BI523" s="42"/>
      <c r="BJ523" s="42"/>
      <c r="BK523" s="42"/>
      <c r="BL523" s="42"/>
      <c r="BM523" s="42"/>
    </row>
    <row r="524">
      <c r="A524" s="125"/>
      <c r="B524" s="267"/>
      <c r="C524" s="361"/>
      <c r="D524" s="42"/>
      <c r="E524" s="42"/>
      <c r="F524" s="42"/>
      <c r="G524" s="42"/>
      <c r="H524" s="42"/>
      <c r="I524" s="42"/>
      <c r="J524" s="42"/>
      <c r="K524" s="304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  <c r="AU524" s="42"/>
      <c r="AV524" s="42"/>
      <c r="AW524" s="42"/>
      <c r="AX524" s="42"/>
      <c r="AY524" s="42"/>
      <c r="AZ524" s="42"/>
      <c r="BA524" s="42"/>
      <c r="BB524" s="42"/>
      <c r="BC524" s="42"/>
      <c r="BD524" s="42"/>
      <c r="BE524" s="42"/>
      <c r="BF524" s="42"/>
      <c r="BG524" s="42"/>
      <c r="BH524" s="42"/>
      <c r="BI524" s="42"/>
      <c r="BJ524" s="42"/>
      <c r="BK524" s="42"/>
      <c r="BL524" s="42"/>
      <c r="BM524" s="42"/>
    </row>
    <row r="525">
      <c r="A525" s="125"/>
      <c r="B525" s="267"/>
      <c r="C525" s="361"/>
      <c r="D525" s="42"/>
      <c r="E525" s="42"/>
      <c r="F525" s="42"/>
      <c r="G525" s="42"/>
      <c r="H525" s="42"/>
      <c r="I525" s="42"/>
      <c r="J525" s="42"/>
      <c r="K525" s="304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  <c r="AU525" s="42"/>
      <c r="AV525" s="42"/>
      <c r="AW525" s="42"/>
      <c r="AX525" s="42"/>
      <c r="AY525" s="42"/>
      <c r="AZ525" s="42"/>
      <c r="BA525" s="42"/>
      <c r="BB525" s="42"/>
      <c r="BC525" s="42"/>
      <c r="BD525" s="42"/>
      <c r="BE525" s="42"/>
      <c r="BF525" s="42"/>
      <c r="BG525" s="42"/>
      <c r="BH525" s="42"/>
      <c r="BI525" s="42"/>
      <c r="BJ525" s="42"/>
      <c r="BK525" s="42"/>
      <c r="BL525" s="42"/>
      <c r="BM525" s="42"/>
    </row>
    <row r="526">
      <c r="A526" s="125"/>
      <c r="B526" s="267"/>
      <c r="C526" s="361"/>
      <c r="D526" s="42"/>
      <c r="E526" s="42"/>
      <c r="F526" s="42"/>
      <c r="G526" s="42"/>
      <c r="H526" s="42"/>
      <c r="I526" s="42"/>
      <c r="J526" s="42"/>
      <c r="K526" s="304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  <c r="AU526" s="42"/>
      <c r="AV526" s="42"/>
      <c r="AW526" s="42"/>
      <c r="AX526" s="42"/>
      <c r="AY526" s="42"/>
      <c r="AZ526" s="42"/>
      <c r="BA526" s="42"/>
      <c r="BB526" s="42"/>
      <c r="BC526" s="42"/>
      <c r="BD526" s="42"/>
      <c r="BE526" s="42"/>
      <c r="BF526" s="42"/>
      <c r="BG526" s="42"/>
      <c r="BH526" s="42"/>
      <c r="BI526" s="42"/>
      <c r="BJ526" s="42"/>
      <c r="BK526" s="42"/>
      <c r="BL526" s="42"/>
      <c r="BM526" s="42"/>
    </row>
    <row r="527">
      <c r="A527" s="125"/>
      <c r="B527" s="267"/>
      <c r="C527" s="361"/>
      <c r="D527" s="42"/>
      <c r="E527" s="42"/>
      <c r="F527" s="42"/>
      <c r="G527" s="42"/>
      <c r="H527" s="42"/>
      <c r="I527" s="42"/>
      <c r="J527" s="42"/>
      <c r="K527" s="304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  <c r="AW527" s="42"/>
      <c r="AX527" s="42"/>
      <c r="AY527" s="42"/>
      <c r="AZ527" s="42"/>
      <c r="BA527" s="42"/>
      <c r="BB527" s="42"/>
      <c r="BC527" s="42"/>
      <c r="BD527" s="42"/>
      <c r="BE527" s="42"/>
      <c r="BF527" s="42"/>
      <c r="BG527" s="42"/>
      <c r="BH527" s="42"/>
      <c r="BI527" s="42"/>
      <c r="BJ527" s="42"/>
      <c r="BK527" s="42"/>
      <c r="BL527" s="42"/>
      <c r="BM527" s="42"/>
    </row>
    <row r="528">
      <c r="A528" s="125"/>
      <c r="B528" s="267"/>
      <c r="C528" s="361"/>
      <c r="D528" s="42"/>
      <c r="E528" s="42"/>
      <c r="F528" s="42"/>
      <c r="G528" s="42"/>
      <c r="H528" s="42"/>
      <c r="I528" s="42"/>
      <c r="J528" s="42"/>
      <c r="K528" s="304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42"/>
      <c r="AY528" s="42"/>
      <c r="AZ528" s="42"/>
      <c r="BA528" s="42"/>
      <c r="BB528" s="42"/>
      <c r="BC528" s="42"/>
      <c r="BD528" s="42"/>
      <c r="BE528" s="42"/>
      <c r="BF528" s="42"/>
      <c r="BG528" s="42"/>
      <c r="BH528" s="42"/>
      <c r="BI528" s="42"/>
      <c r="BJ528" s="42"/>
      <c r="BK528" s="42"/>
      <c r="BL528" s="42"/>
      <c r="BM528" s="42"/>
    </row>
    <row r="529">
      <c r="A529" s="125"/>
      <c r="B529" s="267"/>
      <c r="C529" s="361"/>
      <c r="D529" s="42"/>
      <c r="E529" s="42"/>
      <c r="F529" s="42"/>
      <c r="G529" s="42"/>
      <c r="H529" s="42"/>
      <c r="I529" s="42"/>
      <c r="J529" s="42"/>
      <c r="K529" s="304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  <c r="AU529" s="42"/>
      <c r="AV529" s="42"/>
      <c r="AW529" s="42"/>
      <c r="AX529" s="42"/>
      <c r="AY529" s="42"/>
      <c r="AZ529" s="42"/>
      <c r="BA529" s="42"/>
      <c r="BB529" s="42"/>
      <c r="BC529" s="42"/>
      <c r="BD529" s="42"/>
      <c r="BE529" s="42"/>
      <c r="BF529" s="42"/>
      <c r="BG529" s="42"/>
      <c r="BH529" s="42"/>
      <c r="BI529" s="42"/>
      <c r="BJ529" s="42"/>
      <c r="BK529" s="42"/>
      <c r="BL529" s="42"/>
      <c r="BM529" s="42"/>
    </row>
    <row r="530">
      <c r="A530" s="125"/>
      <c r="B530" s="267"/>
      <c r="C530" s="361"/>
      <c r="D530" s="42"/>
      <c r="E530" s="42"/>
      <c r="F530" s="42"/>
      <c r="G530" s="42"/>
      <c r="H530" s="42"/>
      <c r="I530" s="42"/>
      <c r="J530" s="42"/>
      <c r="K530" s="304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  <c r="AW530" s="42"/>
      <c r="AX530" s="42"/>
      <c r="AY530" s="42"/>
      <c r="AZ530" s="42"/>
      <c r="BA530" s="42"/>
      <c r="BB530" s="42"/>
      <c r="BC530" s="42"/>
      <c r="BD530" s="42"/>
      <c r="BE530" s="42"/>
      <c r="BF530" s="42"/>
      <c r="BG530" s="42"/>
      <c r="BH530" s="42"/>
      <c r="BI530" s="42"/>
      <c r="BJ530" s="42"/>
      <c r="BK530" s="42"/>
      <c r="BL530" s="42"/>
      <c r="BM530" s="42"/>
    </row>
    <row r="531">
      <c r="A531" s="125"/>
      <c r="B531" s="267"/>
      <c r="C531" s="361"/>
      <c r="D531" s="42"/>
      <c r="E531" s="42"/>
      <c r="F531" s="42"/>
      <c r="G531" s="42"/>
      <c r="H531" s="42"/>
      <c r="I531" s="42"/>
      <c r="J531" s="42"/>
      <c r="K531" s="304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  <c r="AU531" s="42"/>
      <c r="AV531" s="42"/>
      <c r="AW531" s="42"/>
      <c r="AX531" s="42"/>
      <c r="AY531" s="42"/>
      <c r="AZ531" s="42"/>
      <c r="BA531" s="42"/>
      <c r="BB531" s="42"/>
      <c r="BC531" s="42"/>
      <c r="BD531" s="42"/>
      <c r="BE531" s="42"/>
      <c r="BF531" s="42"/>
      <c r="BG531" s="42"/>
      <c r="BH531" s="42"/>
      <c r="BI531" s="42"/>
      <c r="BJ531" s="42"/>
      <c r="BK531" s="42"/>
      <c r="BL531" s="42"/>
      <c r="BM531" s="42"/>
    </row>
    <row r="532">
      <c r="A532" s="125"/>
      <c r="B532" s="267"/>
      <c r="C532" s="361"/>
      <c r="D532" s="42"/>
      <c r="E532" s="42"/>
      <c r="F532" s="42"/>
      <c r="G532" s="42"/>
      <c r="H532" s="42"/>
      <c r="I532" s="42"/>
      <c r="J532" s="42"/>
      <c r="K532" s="304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  <c r="AU532" s="42"/>
      <c r="AV532" s="42"/>
      <c r="AW532" s="42"/>
      <c r="AX532" s="42"/>
      <c r="AY532" s="42"/>
      <c r="AZ532" s="42"/>
      <c r="BA532" s="42"/>
      <c r="BB532" s="42"/>
      <c r="BC532" s="42"/>
      <c r="BD532" s="42"/>
      <c r="BE532" s="42"/>
      <c r="BF532" s="42"/>
      <c r="BG532" s="42"/>
      <c r="BH532" s="42"/>
      <c r="BI532" s="42"/>
      <c r="BJ532" s="42"/>
      <c r="BK532" s="42"/>
      <c r="BL532" s="42"/>
      <c r="BM532" s="42"/>
    </row>
    <row r="533">
      <c r="A533" s="125"/>
      <c r="B533" s="267"/>
      <c r="C533" s="361"/>
      <c r="D533" s="42"/>
      <c r="E533" s="42"/>
      <c r="F533" s="42"/>
      <c r="G533" s="42"/>
      <c r="H533" s="42"/>
      <c r="I533" s="42"/>
      <c r="J533" s="42"/>
      <c r="K533" s="304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  <c r="AU533" s="42"/>
      <c r="AV533" s="42"/>
      <c r="AW533" s="42"/>
      <c r="AX533" s="42"/>
      <c r="AY533" s="42"/>
      <c r="AZ533" s="42"/>
      <c r="BA533" s="42"/>
      <c r="BB533" s="42"/>
      <c r="BC533" s="42"/>
      <c r="BD533" s="42"/>
      <c r="BE533" s="42"/>
      <c r="BF533" s="42"/>
      <c r="BG533" s="42"/>
      <c r="BH533" s="42"/>
      <c r="BI533" s="42"/>
      <c r="BJ533" s="42"/>
      <c r="BK533" s="42"/>
      <c r="BL533" s="42"/>
      <c r="BM533" s="42"/>
    </row>
    <row r="534">
      <c r="A534" s="125"/>
      <c r="B534" s="267"/>
      <c r="C534" s="361"/>
      <c r="D534" s="42"/>
      <c r="E534" s="42"/>
      <c r="F534" s="42"/>
      <c r="G534" s="42"/>
      <c r="H534" s="42"/>
      <c r="I534" s="42"/>
      <c r="J534" s="42"/>
      <c r="K534" s="304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  <c r="AW534" s="42"/>
      <c r="AX534" s="42"/>
      <c r="AY534" s="42"/>
      <c r="AZ534" s="42"/>
      <c r="BA534" s="42"/>
      <c r="BB534" s="42"/>
      <c r="BC534" s="42"/>
      <c r="BD534" s="42"/>
      <c r="BE534" s="42"/>
      <c r="BF534" s="42"/>
      <c r="BG534" s="42"/>
      <c r="BH534" s="42"/>
      <c r="BI534" s="42"/>
      <c r="BJ534" s="42"/>
      <c r="BK534" s="42"/>
      <c r="BL534" s="42"/>
      <c r="BM534" s="42"/>
    </row>
    <row r="535">
      <c r="A535" s="125"/>
      <c r="B535" s="267"/>
      <c r="C535" s="361"/>
      <c r="D535" s="42"/>
      <c r="E535" s="42"/>
      <c r="F535" s="42"/>
      <c r="G535" s="42"/>
      <c r="H535" s="42"/>
      <c r="I535" s="42"/>
      <c r="J535" s="42"/>
      <c r="K535" s="304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  <c r="AT535" s="42"/>
      <c r="AU535" s="42"/>
      <c r="AV535" s="42"/>
      <c r="AW535" s="42"/>
      <c r="AX535" s="42"/>
      <c r="AY535" s="42"/>
      <c r="AZ535" s="42"/>
      <c r="BA535" s="42"/>
      <c r="BB535" s="42"/>
      <c r="BC535" s="42"/>
      <c r="BD535" s="42"/>
      <c r="BE535" s="42"/>
      <c r="BF535" s="42"/>
      <c r="BG535" s="42"/>
      <c r="BH535" s="42"/>
      <c r="BI535" s="42"/>
      <c r="BJ535" s="42"/>
      <c r="BK535" s="42"/>
      <c r="BL535" s="42"/>
      <c r="BM535" s="42"/>
    </row>
    <row r="536">
      <c r="A536" s="125"/>
      <c r="B536" s="267"/>
      <c r="C536" s="361"/>
      <c r="D536" s="42"/>
      <c r="E536" s="42"/>
      <c r="F536" s="42"/>
      <c r="G536" s="42"/>
      <c r="H536" s="42"/>
      <c r="I536" s="42"/>
      <c r="J536" s="42"/>
      <c r="K536" s="304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  <c r="AT536" s="42"/>
      <c r="AU536" s="42"/>
      <c r="AV536" s="42"/>
      <c r="AW536" s="42"/>
      <c r="AX536" s="42"/>
      <c r="AY536" s="42"/>
      <c r="AZ536" s="42"/>
      <c r="BA536" s="42"/>
      <c r="BB536" s="42"/>
      <c r="BC536" s="42"/>
      <c r="BD536" s="42"/>
      <c r="BE536" s="42"/>
      <c r="BF536" s="42"/>
      <c r="BG536" s="42"/>
      <c r="BH536" s="42"/>
      <c r="BI536" s="42"/>
      <c r="BJ536" s="42"/>
      <c r="BK536" s="42"/>
      <c r="BL536" s="42"/>
      <c r="BM536" s="42"/>
    </row>
    <row r="537">
      <c r="A537" s="125"/>
      <c r="B537" s="267"/>
      <c r="C537" s="361"/>
      <c r="D537" s="42"/>
      <c r="E537" s="42"/>
      <c r="F537" s="42"/>
      <c r="G537" s="42"/>
      <c r="H537" s="42"/>
      <c r="I537" s="42"/>
      <c r="J537" s="42"/>
      <c r="K537" s="304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  <c r="AU537" s="42"/>
      <c r="AV537" s="42"/>
      <c r="AW537" s="42"/>
      <c r="AX537" s="42"/>
      <c r="AY537" s="42"/>
      <c r="AZ537" s="42"/>
      <c r="BA537" s="42"/>
      <c r="BB537" s="42"/>
      <c r="BC537" s="42"/>
      <c r="BD537" s="42"/>
      <c r="BE537" s="42"/>
      <c r="BF537" s="42"/>
      <c r="BG537" s="42"/>
      <c r="BH537" s="42"/>
      <c r="BI537" s="42"/>
      <c r="BJ537" s="42"/>
      <c r="BK537" s="42"/>
      <c r="BL537" s="42"/>
      <c r="BM537" s="42"/>
    </row>
    <row r="538">
      <c r="A538" s="125"/>
      <c r="B538" s="267"/>
      <c r="C538" s="361"/>
      <c r="D538" s="42"/>
      <c r="E538" s="42"/>
      <c r="F538" s="42"/>
      <c r="G538" s="42"/>
      <c r="H538" s="42"/>
      <c r="I538" s="42"/>
      <c r="J538" s="42"/>
      <c r="K538" s="304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  <c r="AR538" s="42"/>
      <c r="AS538" s="42"/>
      <c r="AT538" s="42"/>
      <c r="AU538" s="42"/>
      <c r="AV538" s="42"/>
      <c r="AW538" s="42"/>
      <c r="AX538" s="42"/>
      <c r="AY538" s="42"/>
      <c r="AZ538" s="42"/>
      <c r="BA538" s="42"/>
      <c r="BB538" s="42"/>
      <c r="BC538" s="42"/>
      <c r="BD538" s="42"/>
      <c r="BE538" s="42"/>
      <c r="BF538" s="42"/>
      <c r="BG538" s="42"/>
      <c r="BH538" s="42"/>
      <c r="BI538" s="42"/>
      <c r="BJ538" s="42"/>
      <c r="BK538" s="42"/>
      <c r="BL538" s="42"/>
      <c r="BM538" s="42"/>
    </row>
    <row r="539">
      <c r="A539" s="125"/>
      <c r="B539" s="267"/>
      <c r="C539" s="361"/>
      <c r="D539" s="42"/>
      <c r="E539" s="42"/>
      <c r="F539" s="42"/>
      <c r="G539" s="42"/>
      <c r="H539" s="42"/>
      <c r="I539" s="42"/>
      <c r="J539" s="42"/>
      <c r="K539" s="304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  <c r="AM539" s="42"/>
      <c r="AN539" s="42"/>
      <c r="AO539" s="42"/>
      <c r="AP539" s="42"/>
      <c r="AQ539" s="42"/>
      <c r="AR539" s="42"/>
      <c r="AS539" s="42"/>
      <c r="AT539" s="42"/>
      <c r="AU539" s="42"/>
      <c r="AV539" s="42"/>
      <c r="AW539" s="42"/>
      <c r="AX539" s="42"/>
      <c r="AY539" s="42"/>
      <c r="AZ539" s="42"/>
      <c r="BA539" s="42"/>
      <c r="BB539" s="42"/>
      <c r="BC539" s="42"/>
      <c r="BD539" s="42"/>
      <c r="BE539" s="42"/>
      <c r="BF539" s="42"/>
      <c r="BG539" s="42"/>
      <c r="BH539" s="42"/>
      <c r="BI539" s="42"/>
      <c r="BJ539" s="42"/>
      <c r="BK539" s="42"/>
      <c r="BL539" s="42"/>
      <c r="BM539" s="42"/>
    </row>
    <row r="540">
      <c r="A540" s="125"/>
      <c r="B540" s="267"/>
      <c r="C540" s="361"/>
      <c r="D540" s="42"/>
      <c r="E540" s="42"/>
      <c r="F540" s="42"/>
      <c r="G540" s="42"/>
      <c r="H540" s="42"/>
      <c r="I540" s="42"/>
      <c r="J540" s="42"/>
      <c r="K540" s="304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  <c r="AM540" s="42"/>
      <c r="AN540" s="42"/>
      <c r="AO540" s="42"/>
      <c r="AP540" s="42"/>
      <c r="AQ540" s="42"/>
      <c r="AR540" s="42"/>
      <c r="AS540" s="42"/>
      <c r="AT540" s="42"/>
      <c r="AU540" s="42"/>
      <c r="AV540" s="42"/>
      <c r="AW540" s="42"/>
      <c r="AX540" s="42"/>
      <c r="AY540" s="42"/>
      <c r="AZ540" s="42"/>
      <c r="BA540" s="42"/>
      <c r="BB540" s="42"/>
      <c r="BC540" s="42"/>
      <c r="BD540" s="42"/>
      <c r="BE540" s="42"/>
      <c r="BF540" s="42"/>
      <c r="BG540" s="42"/>
      <c r="BH540" s="42"/>
      <c r="BI540" s="42"/>
      <c r="BJ540" s="42"/>
      <c r="BK540" s="42"/>
      <c r="BL540" s="42"/>
      <c r="BM540" s="42"/>
    </row>
    <row r="541">
      <c r="A541" s="125"/>
      <c r="B541" s="267"/>
      <c r="C541" s="361"/>
      <c r="D541" s="42"/>
      <c r="E541" s="42"/>
      <c r="F541" s="42"/>
      <c r="G541" s="42"/>
      <c r="H541" s="42"/>
      <c r="I541" s="42"/>
      <c r="J541" s="42"/>
      <c r="K541" s="304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  <c r="AM541" s="42"/>
      <c r="AN541" s="42"/>
      <c r="AO541" s="42"/>
      <c r="AP541" s="42"/>
      <c r="AQ541" s="42"/>
      <c r="AR541" s="42"/>
      <c r="AS541" s="42"/>
      <c r="AT541" s="42"/>
      <c r="AU541" s="42"/>
      <c r="AV541" s="42"/>
      <c r="AW541" s="42"/>
      <c r="AX541" s="42"/>
      <c r="AY541" s="42"/>
      <c r="AZ541" s="42"/>
      <c r="BA541" s="42"/>
      <c r="BB541" s="42"/>
      <c r="BC541" s="42"/>
      <c r="BD541" s="42"/>
      <c r="BE541" s="42"/>
      <c r="BF541" s="42"/>
      <c r="BG541" s="42"/>
      <c r="BH541" s="42"/>
      <c r="BI541" s="42"/>
      <c r="BJ541" s="42"/>
      <c r="BK541" s="42"/>
      <c r="BL541" s="42"/>
      <c r="BM541" s="42"/>
    </row>
    <row r="542">
      <c r="A542" s="125"/>
      <c r="B542" s="267"/>
      <c r="C542" s="361"/>
      <c r="D542" s="42"/>
      <c r="E542" s="42"/>
      <c r="F542" s="42"/>
      <c r="G542" s="42"/>
      <c r="H542" s="42"/>
      <c r="I542" s="42"/>
      <c r="J542" s="42"/>
      <c r="K542" s="304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  <c r="AM542" s="42"/>
      <c r="AN542" s="42"/>
      <c r="AO542" s="42"/>
      <c r="AP542" s="42"/>
      <c r="AQ542" s="42"/>
      <c r="AR542" s="42"/>
      <c r="AS542" s="42"/>
      <c r="AT542" s="42"/>
      <c r="AU542" s="42"/>
      <c r="AV542" s="42"/>
      <c r="AW542" s="42"/>
      <c r="AX542" s="42"/>
      <c r="AY542" s="42"/>
      <c r="AZ542" s="42"/>
      <c r="BA542" s="42"/>
      <c r="BB542" s="42"/>
      <c r="BC542" s="42"/>
      <c r="BD542" s="42"/>
      <c r="BE542" s="42"/>
      <c r="BF542" s="42"/>
      <c r="BG542" s="42"/>
      <c r="BH542" s="42"/>
      <c r="BI542" s="42"/>
      <c r="BJ542" s="42"/>
      <c r="BK542" s="42"/>
      <c r="BL542" s="42"/>
      <c r="BM542" s="42"/>
    </row>
    <row r="543">
      <c r="A543" s="125"/>
      <c r="B543" s="267"/>
      <c r="C543" s="361"/>
      <c r="D543" s="42"/>
      <c r="E543" s="42"/>
      <c r="F543" s="42"/>
      <c r="G543" s="42"/>
      <c r="H543" s="42"/>
      <c r="I543" s="42"/>
      <c r="J543" s="42"/>
      <c r="K543" s="304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  <c r="AM543" s="42"/>
      <c r="AN543" s="42"/>
      <c r="AO543" s="42"/>
      <c r="AP543" s="42"/>
      <c r="AQ543" s="42"/>
      <c r="AR543" s="42"/>
      <c r="AS543" s="42"/>
      <c r="AT543" s="42"/>
      <c r="AU543" s="42"/>
      <c r="AV543" s="42"/>
      <c r="AW543" s="42"/>
      <c r="AX543" s="42"/>
      <c r="AY543" s="42"/>
      <c r="AZ543" s="42"/>
      <c r="BA543" s="42"/>
      <c r="BB543" s="42"/>
      <c r="BC543" s="42"/>
      <c r="BD543" s="42"/>
      <c r="BE543" s="42"/>
      <c r="BF543" s="42"/>
      <c r="BG543" s="42"/>
      <c r="BH543" s="42"/>
      <c r="BI543" s="42"/>
      <c r="BJ543" s="42"/>
      <c r="BK543" s="42"/>
      <c r="BL543" s="42"/>
      <c r="BM543" s="42"/>
    </row>
    <row r="544">
      <c r="A544" s="125"/>
      <c r="B544" s="267"/>
      <c r="C544" s="361"/>
      <c r="D544" s="42"/>
      <c r="E544" s="42"/>
      <c r="F544" s="42"/>
      <c r="G544" s="42"/>
      <c r="H544" s="42"/>
      <c r="I544" s="42"/>
      <c r="J544" s="42"/>
      <c r="K544" s="304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  <c r="AM544" s="42"/>
      <c r="AN544" s="42"/>
      <c r="AO544" s="42"/>
      <c r="AP544" s="42"/>
      <c r="AQ544" s="42"/>
      <c r="AR544" s="42"/>
      <c r="AS544" s="42"/>
      <c r="AT544" s="42"/>
      <c r="AU544" s="42"/>
      <c r="AV544" s="42"/>
      <c r="AW544" s="42"/>
      <c r="AX544" s="42"/>
      <c r="AY544" s="42"/>
      <c r="AZ544" s="42"/>
      <c r="BA544" s="42"/>
      <c r="BB544" s="42"/>
      <c r="BC544" s="42"/>
      <c r="BD544" s="42"/>
      <c r="BE544" s="42"/>
      <c r="BF544" s="42"/>
      <c r="BG544" s="42"/>
      <c r="BH544" s="42"/>
      <c r="BI544" s="42"/>
      <c r="BJ544" s="42"/>
      <c r="BK544" s="42"/>
      <c r="BL544" s="42"/>
      <c r="BM544" s="42"/>
    </row>
    <row r="545">
      <c r="A545" s="125"/>
      <c r="B545" s="267"/>
      <c r="C545" s="361"/>
      <c r="D545" s="42"/>
      <c r="E545" s="42"/>
      <c r="F545" s="42"/>
      <c r="G545" s="42"/>
      <c r="H545" s="42"/>
      <c r="I545" s="42"/>
      <c r="J545" s="42"/>
      <c r="K545" s="304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  <c r="AM545" s="42"/>
      <c r="AN545" s="42"/>
      <c r="AO545" s="42"/>
      <c r="AP545" s="42"/>
      <c r="AQ545" s="42"/>
      <c r="AR545" s="42"/>
      <c r="AS545" s="42"/>
      <c r="AT545" s="42"/>
      <c r="AU545" s="42"/>
      <c r="AV545" s="42"/>
      <c r="AW545" s="42"/>
      <c r="AX545" s="42"/>
      <c r="AY545" s="42"/>
      <c r="AZ545" s="42"/>
      <c r="BA545" s="42"/>
      <c r="BB545" s="42"/>
      <c r="BC545" s="42"/>
      <c r="BD545" s="42"/>
      <c r="BE545" s="42"/>
      <c r="BF545" s="42"/>
      <c r="BG545" s="42"/>
      <c r="BH545" s="42"/>
      <c r="BI545" s="42"/>
      <c r="BJ545" s="42"/>
      <c r="BK545" s="42"/>
      <c r="BL545" s="42"/>
      <c r="BM545" s="42"/>
    </row>
    <row r="546">
      <c r="A546" s="125"/>
      <c r="B546" s="267"/>
      <c r="C546" s="361"/>
      <c r="D546" s="42"/>
      <c r="E546" s="42"/>
      <c r="F546" s="42"/>
      <c r="G546" s="42"/>
      <c r="H546" s="42"/>
      <c r="I546" s="42"/>
      <c r="J546" s="42"/>
      <c r="K546" s="304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42"/>
      <c r="AN546" s="42"/>
      <c r="AO546" s="42"/>
      <c r="AP546" s="42"/>
      <c r="AQ546" s="42"/>
      <c r="AR546" s="42"/>
      <c r="AS546" s="42"/>
      <c r="AT546" s="42"/>
      <c r="AU546" s="42"/>
      <c r="AV546" s="42"/>
      <c r="AW546" s="42"/>
      <c r="AX546" s="42"/>
      <c r="AY546" s="42"/>
      <c r="AZ546" s="42"/>
      <c r="BA546" s="42"/>
      <c r="BB546" s="42"/>
      <c r="BC546" s="42"/>
      <c r="BD546" s="42"/>
      <c r="BE546" s="42"/>
      <c r="BF546" s="42"/>
      <c r="BG546" s="42"/>
      <c r="BH546" s="42"/>
      <c r="BI546" s="42"/>
      <c r="BJ546" s="42"/>
      <c r="BK546" s="42"/>
      <c r="BL546" s="42"/>
      <c r="BM546" s="42"/>
    </row>
    <row r="547">
      <c r="A547" s="125"/>
      <c r="B547" s="267"/>
      <c r="C547" s="361"/>
      <c r="D547" s="42"/>
      <c r="E547" s="42"/>
      <c r="F547" s="42"/>
      <c r="G547" s="42"/>
      <c r="H547" s="42"/>
      <c r="I547" s="42"/>
      <c r="J547" s="42"/>
      <c r="K547" s="304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  <c r="AM547" s="42"/>
      <c r="AN547" s="42"/>
      <c r="AO547" s="42"/>
      <c r="AP547" s="42"/>
      <c r="AQ547" s="42"/>
      <c r="AR547" s="42"/>
      <c r="AS547" s="42"/>
      <c r="AT547" s="42"/>
      <c r="AU547" s="42"/>
      <c r="AV547" s="42"/>
      <c r="AW547" s="42"/>
      <c r="AX547" s="42"/>
      <c r="AY547" s="42"/>
      <c r="AZ547" s="42"/>
      <c r="BA547" s="42"/>
      <c r="BB547" s="42"/>
      <c r="BC547" s="42"/>
      <c r="BD547" s="42"/>
      <c r="BE547" s="42"/>
      <c r="BF547" s="42"/>
      <c r="BG547" s="42"/>
      <c r="BH547" s="42"/>
      <c r="BI547" s="42"/>
      <c r="BJ547" s="42"/>
      <c r="BK547" s="42"/>
      <c r="BL547" s="42"/>
      <c r="BM547" s="42"/>
    </row>
    <row r="548">
      <c r="A548" s="125"/>
      <c r="B548" s="267"/>
      <c r="C548" s="361"/>
      <c r="D548" s="42"/>
      <c r="E548" s="42"/>
      <c r="F548" s="42"/>
      <c r="G548" s="42"/>
      <c r="H548" s="42"/>
      <c r="I548" s="42"/>
      <c r="J548" s="42"/>
      <c r="K548" s="304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/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</row>
    <row r="549">
      <c r="A549" s="125"/>
      <c r="B549" s="267"/>
      <c r="C549" s="361"/>
      <c r="D549" s="42"/>
      <c r="E549" s="42"/>
      <c r="F549" s="42"/>
      <c r="G549" s="42"/>
      <c r="H549" s="42"/>
      <c r="I549" s="42"/>
      <c r="J549" s="42"/>
      <c r="K549" s="304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  <c r="AM549" s="42"/>
      <c r="AN549" s="42"/>
      <c r="AO549" s="42"/>
      <c r="AP549" s="42"/>
      <c r="AQ549" s="42"/>
      <c r="AR549" s="42"/>
      <c r="AS549" s="42"/>
      <c r="AT549" s="42"/>
      <c r="AU549" s="42"/>
      <c r="AV549" s="42"/>
      <c r="AW549" s="42"/>
      <c r="AX549" s="42"/>
      <c r="AY549" s="42"/>
      <c r="AZ549" s="42"/>
      <c r="BA549" s="42"/>
      <c r="BB549" s="42"/>
      <c r="BC549" s="42"/>
      <c r="BD549" s="42"/>
      <c r="BE549" s="42"/>
      <c r="BF549" s="42"/>
      <c r="BG549" s="42"/>
      <c r="BH549" s="42"/>
      <c r="BI549" s="42"/>
      <c r="BJ549" s="42"/>
      <c r="BK549" s="42"/>
      <c r="BL549" s="42"/>
      <c r="BM549" s="42"/>
    </row>
    <row r="550">
      <c r="A550" s="125"/>
      <c r="B550" s="267"/>
      <c r="C550" s="361"/>
      <c r="D550" s="42"/>
      <c r="E550" s="42"/>
      <c r="F550" s="42"/>
      <c r="G550" s="42"/>
      <c r="H550" s="42"/>
      <c r="I550" s="42"/>
      <c r="J550" s="42"/>
      <c r="K550" s="304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  <c r="AT550" s="42"/>
      <c r="AU550" s="42"/>
      <c r="AV550" s="42"/>
      <c r="AW550" s="42"/>
      <c r="AX550" s="42"/>
      <c r="AY550" s="42"/>
      <c r="AZ550" s="42"/>
      <c r="BA550" s="42"/>
      <c r="BB550" s="42"/>
      <c r="BC550" s="42"/>
      <c r="BD550" s="42"/>
      <c r="BE550" s="42"/>
      <c r="BF550" s="42"/>
      <c r="BG550" s="42"/>
      <c r="BH550" s="42"/>
      <c r="BI550" s="42"/>
      <c r="BJ550" s="42"/>
      <c r="BK550" s="42"/>
      <c r="BL550" s="42"/>
      <c r="BM550" s="42"/>
    </row>
    <row r="551">
      <c r="A551" s="125"/>
      <c r="B551" s="267"/>
      <c r="C551" s="361"/>
      <c r="D551" s="42"/>
      <c r="E551" s="42"/>
      <c r="F551" s="42"/>
      <c r="G551" s="42"/>
      <c r="H551" s="42"/>
      <c r="I551" s="42"/>
      <c r="J551" s="42"/>
      <c r="K551" s="304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  <c r="AM551" s="42"/>
      <c r="AN551" s="42"/>
      <c r="AO551" s="42"/>
      <c r="AP551" s="42"/>
      <c r="AQ551" s="42"/>
      <c r="AR551" s="42"/>
      <c r="AS551" s="42"/>
      <c r="AT551" s="42"/>
      <c r="AU551" s="42"/>
      <c r="AV551" s="42"/>
      <c r="AW551" s="42"/>
      <c r="AX551" s="42"/>
      <c r="AY551" s="42"/>
      <c r="AZ551" s="42"/>
      <c r="BA551" s="42"/>
      <c r="BB551" s="42"/>
      <c r="BC551" s="42"/>
      <c r="BD551" s="42"/>
      <c r="BE551" s="42"/>
      <c r="BF551" s="42"/>
      <c r="BG551" s="42"/>
      <c r="BH551" s="42"/>
      <c r="BI551" s="42"/>
      <c r="BJ551" s="42"/>
      <c r="BK551" s="42"/>
      <c r="BL551" s="42"/>
      <c r="BM551" s="42"/>
    </row>
    <row r="552">
      <c r="A552" s="125"/>
      <c r="B552" s="267"/>
      <c r="C552" s="361"/>
      <c r="D552" s="42"/>
      <c r="E552" s="42"/>
      <c r="F552" s="42"/>
      <c r="G552" s="42"/>
      <c r="H552" s="42"/>
      <c r="I552" s="42"/>
      <c r="J552" s="42"/>
      <c r="K552" s="304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  <c r="AQ552" s="42"/>
      <c r="AR552" s="42"/>
      <c r="AS552" s="42"/>
      <c r="AT552" s="42"/>
      <c r="AU552" s="42"/>
      <c r="AV552" s="42"/>
      <c r="AW552" s="42"/>
      <c r="AX552" s="42"/>
      <c r="AY552" s="42"/>
      <c r="AZ552" s="42"/>
      <c r="BA552" s="42"/>
      <c r="BB552" s="42"/>
      <c r="BC552" s="42"/>
      <c r="BD552" s="42"/>
      <c r="BE552" s="42"/>
      <c r="BF552" s="42"/>
      <c r="BG552" s="42"/>
      <c r="BH552" s="42"/>
      <c r="BI552" s="42"/>
      <c r="BJ552" s="42"/>
      <c r="BK552" s="42"/>
      <c r="BL552" s="42"/>
      <c r="BM552" s="42"/>
    </row>
    <row r="553">
      <c r="A553" s="125"/>
      <c r="B553" s="267"/>
      <c r="C553" s="361"/>
      <c r="D553" s="42"/>
      <c r="E553" s="42"/>
      <c r="F553" s="42"/>
      <c r="G553" s="42"/>
      <c r="H553" s="42"/>
      <c r="I553" s="42"/>
      <c r="J553" s="42"/>
      <c r="K553" s="304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/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/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  <c r="BM553" s="42"/>
    </row>
    <row r="554">
      <c r="A554" s="125"/>
      <c r="B554" s="267"/>
      <c r="C554" s="361"/>
      <c r="D554" s="42"/>
      <c r="E554" s="42"/>
      <c r="F554" s="42"/>
      <c r="G554" s="42"/>
      <c r="H554" s="42"/>
      <c r="I554" s="42"/>
      <c r="J554" s="42"/>
      <c r="K554" s="304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  <c r="AR554" s="42"/>
      <c r="AS554" s="42"/>
      <c r="AT554" s="42"/>
      <c r="AU554" s="42"/>
      <c r="AV554" s="42"/>
      <c r="AW554" s="42"/>
      <c r="AX554" s="42"/>
      <c r="AY554" s="42"/>
      <c r="AZ554" s="42"/>
      <c r="BA554" s="42"/>
      <c r="BB554" s="42"/>
      <c r="BC554" s="42"/>
      <c r="BD554" s="42"/>
      <c r="BE554" s="42"/>
      <c r="BF554" s="42"/>
      <c r="BG554" s="42"/>
      <c r="BH554" s="42"/>
      <c r="BI554" s="42"/>
      <c r="BJ554" s="42"/>
      <c r="BK554" s="42"/>
      <c r="BL554" s="42"/>
      <c r="BM554" s="42"/>
    </row>
    <row r="555">
      <c r="A555" s="125"/>
      <c r="B555" s="267"/>
      <c r="C555" s="361"/>
      <c r="D555" s="42"/>
      <c r="E555" s="42"/>
      <c r="F555" s="42"/>
      <c r="G555" s="42"/>
      <c r="H555" s="42"/>
      <c r="I555" s="42"/>
      <c r="J555" s="42"/>
      <c r="K555" s="304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  <c r="AM555" s="42"/>
      <c r="AN555" s="42"/>
      <c r="AO555" s="42"/>
      <c r="AP555" s="42"/>
      <c r="AQ555" s="42"/>
      <c r="AR555" s="42"/>
      <c r="AS555" s="42"/>
      <c r="AT555" s="42"/>
      <c r="AU555" s="42"/>
      <c r="AV555" s="42"/>
      <c r="AW555" s="42"/>
      <c r="AX555" s="42"/>
      <c r="AY555" s="42"/>
      <c r="AZ555" s="42"/>
      <c r="BA555" s="42"/>
      <c r="BB555" s="42"/>
      <c r="BC555" s="42"/>
      <c r="BD555" s="42"/>
      <c r="BE555" s="42"/>
      <c r="BF555" s="42"/>
      <c r="BG555" s="42"/>
      <c r="BH555" s="42"/>
      <c r="BI555" s="42"/>
      <c r="BJ555" s="42"/>
      <c r="BK555" s="42"/>
      <c r="BL555" s="42"/>
      <c r="BM555" s="42"/>
    </row>
    <row r="556">
      <c r="A556" s="125"/>
      <c r="B556" s="267"/>
      <c r="C556" s="361"/>
      <c r="D556" s="42"/>
      <c r="E556" s="42"/>
      <c r="F556" s="42"/>
      <c r="G556" s="42"/>
      <c r="H556" s="42"/>
      <c r="I556" s="42"/>
      <c r="J556" s="42"/>
      <c r="K556" s="304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  <c r="AM556" s="42"/>
      <c r="AN556" s="42"/>
      <c r="AO556" s="42"/>
      <c r="AP556" s="42"/>
      <c r="AQ556" s="42"/>
      <c r="AR556" s="42"/>
      <c r="AS556" s="42"/>
      <c r="AT556" s="42"/>
      <c r="AU556" s="42"/>
      <c r="AV556" s="42"/>
      <c r="AW556" s="42"/>
      <c r="AX556" s="42"/>
      <c r="AY556" s="42"/>
      <c r="AZ556" s="42"/>
      <c r="BA556" s="42"/>
      <c r="BB556" s="42"/>
      <c r="BC556" s="42"/>
      <c r="BD556" s="42"/>
      <c r="BE556" s="42"/>
      <c r="BF556" s="42"/>
      <c r="BG556" s="42"/>
      <c r="BH556" s="42"/>
      <c r="BI556" s="42"/>
      <c r="BJ556" s="42"/>
      <c r="BK556" s="42"/>
      <c r="BL556" s="42"/>
      <c r="BM556" s="42"/>
    </row>
    <row r="557">
      <c r="A557" s="125"/>
      <c r="B557" s="267"/>
      <c r="C557" s="361"/>
      <c r="D557" s="42"/>
      <c r="E557" s="42"/>
      <c r="F557" s="42"/>
      <c r="G557" s="42"/>
      <c r="H557" s="42"/>
      <c r="I557" s="42"/>
      <c r="J557" s="42"/>
      <c r="K557" s="304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  <c r="AM557" s="42"/>
      <c r="AN557" s="42"/>
      <c r="AO557" s="42"/>
      <c r="AP557" s="42"/>
      <c r="AQ557" s="42"/>
      <c r="AR557" s="42"/>
      <c r="AS557" s="42"/>
      <c r="AT557" s="42"/>
      <c r="AU557" s="42"/>
      <c r="AV557" s="42"/>
      <c r="AW557" s="42"/>
      <c r="AX557" s="42"/>
      <c r="AY557" s="42"/>
      <c r="AZ557" s="42"/>
      <c r="BA557" s="42"/>
      <c r="BB557" s="42"/>
      <c r="BC557" s="42"/>
      <c r="BD557" s="42"/>
      <c r="BE557" s="42"/>
      <c r="BF557" s="42"/>
      <c r="BG557" s="42"/>
      <c r="BH557" s="42"/>
      <c r="BI557" s="42"/>
      <c r="BJ557" s="42"/>
      <c r="BK557" s="42"/>
      <c r="BL557" s="42"/>
      <c r="BM557" s="42"/>
    </row>
    <row r="558">
      <c r="A558" s="125"/>
      <c r="B558" s="267"/>
      <c r="C558" s="361"/>
      <c r="D558" s="42"/>
      <c r="E558" s="42"/>
      <c r="F558" s="42"/>
      <c r="G558" s="42"/>
      <c r="H558" s="42"/>
      <c r="I558" s="42"/>
      <c r="J558" s="42"/>
      <c r="K558" s="304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  <c r="AM558" s="42"/>
      <c r="AN558" s="42"/>
      <c r="AO558" s="42"/>
      <c r="AP558" s="42"/>
      <c r="AQ558" s="42"/>
      <c r="AR558" s="42"/>
      <c r="AS558" s="42"/>
      <c r="AT558" s="42"/>
      <c r="AU558" s="42"/>
      <c r="AV558" s="42"/>
      <c r="AW558" s="42"/>
      <c r="AX558" s="42"/>
      <c r="AY558" s="42"/>
      <c r="AZ558" s="42"/>
      <c r="BA558" s="42"/>
      <c r="BB558" s="42"/>
      <c r="BC558" s="42"/>
      <c r="BD558" s="42"/>
      <c r="BE558" s="42"/>
      <c r="BF558" s="42"/>
      <c r="BG558" s="42"/>
      <c r="BH558" s="42"/>
      <c r="BI558" s="42"/>
      <c r="BJ558" s="42"/>
      <c r="BK558" s="42"/>
      <c r="BL558" s="42"/>
      <c r="BM558" s="42"/>
    </row>
    <row r="559">
      <c r="A559" s="125"/>
      <c r="B559" s="267"/>
      <c r="C559" s="361"/>
      <c r="D559" s="42"/>
      <c r="E559" s="42"/>
      <c r="F559" s="42"/>
      <c r="G559" s="42"/>
      <c r="H559" s="42"/>
      <c r="I559" s="42"/>
      <c r="J559" s="42"/>
      <c r="K559" s="304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  <c r="AM559" s="42"/>
      <c r="AN559" s="42"/>
      <c r="AO559" s="42"/>
      <c r="AP559" s="42"/>
      <c r="AQ559" s="42"/>
      <c r="AR559" s="42"/>
      <c r="AS559" s="42"/>
      <c r="AT559" s="42"/>
      <c r="AU559" s="42"/>
      <c r="AV559" s="42"/>
      <c r="AW559" s="42"/>
      <c r="AX559" s="42"/>
      <c r="AY559" s="42"/>
      <c r="AZ559" s="42"/>
      <c r="BA559" s="42"/>
      <c r="BB559" s="42"/>
      <c r="BC559" s="42"/>
      <c r="BD559" s="42"/>
      <c r="BE559" s="42"/>
      <c r="BF559" s="42"/>
      <c r="BG559" s="42"/>
      <c r="BH559" s="42"/>
      <c r="BI559" s="42"/>
      <c r="BJ559" s="42"/>
      <c r="BK559" s="42"/>
      <c r="BL559" s="42"/>
      <c r="BM559" s="42"/>
    </row>
    <row r="560">
      <c r="A560" s="125"/>
      <c r="B560" s="267"/>
      <c r="C560" s="361"/>
      <c r="D560" s="42"/>
      <c r="E560" s="42"/>
      <c r="F560" s="42"/>
      <c r="G560" s="42"/>
      <c r="H560" s="42"/>
      <c r="I560" s="42"/>
      <c r="J560" s="42"/>
      <c r="K560" s="304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/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/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</row>
    <row r="561">
      <c r="A561" s="125"/>
      <c r="B561" s="267"/>
      <c r="C561" s="361"/>
      <c r="D561" s="42"/>
      <c r="E561" s="42"/>
      <c r="F561" s="42"/>
      <c r="G561" s="42"/>
      <c r="H561" s="42"/>
      <c r="I561" s="42"/>
      <c r="J561" s="42"/>
      <c r="K561" s="304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  <c r="AM561" s="42"/>
      <c r="AN561" s="42"/>
      <c r="AO561" s="42"/>
      <c r="AP561" s="42"/>
      <c r="AQ561" s="42"/>
      <c r="AR561" s="42"/>
      <c r="AS561" s="42"/>
      <c r="AT561" s="42"/>
      <c r="AU561" s="42"/>
      <c r="AV561" s="42"/>
      <c r="AW561" s="42"/>
      <c r="AX561" s="42"/>
      <c r="AY561" s="42"/>
      <c r="AZ561" s="42"/>
      <c r="BA561" s="42"/>
      <c r="BB561" s="42"/>
      <c r="BC561" s="42"/>
      <c r="BD561" s="42"/>
      <c r="BE561" s="42"/>
      <c r="BF561" s="42"/>
      <c r="BG561" s="42"/>
      <c r="BH561" s="42"/>
      <c r="BI561" s="42"/>
      <c r="BJ561" s="42"/>
      <c r="BK561" s="42"/>
      <c r="BL561" s="42"/>
      <c r="BM561" s="42"/>
    </row>
    <row r="562">
      <c r="A562" s="125"/>
      <c r="B562" s="267"/>
      <c r="C562" s="361"/>
      <c r="D562" s="42"/>
      <c r="E562" s="42"/>
      <c r="F562" s="42"/>
      <c r="G562" s="42"/>
      <c r="H562" s="42"/>
      <c r="I562" s="42"/>
      <c r="J562" s="42"/>
      <c r="K562" s="304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42"/>
      <c r="AO562" s="42"/>
      <c r="AP562" s="42"/>
      <c r="AQ562" s="42"/>
      <c r="AR562" s="42"/>
      <c r="AS562" s="42"/>
      <c r="AT562" s="42"/>
      <c r="AU562" s="42"/>
      <c r="AV562" s="42"/>
      <c r="AW562" s="42"/>
      <c r="AX562" s="42"/>
      <c r="AY562" s="42"/>
      <c r="AZ562" s="42"/>
      <c r="BA562" s="42"/>
      <c r="BB562" s="42"/>
      <c r="BC562" s="42"/>
      <c r="BD562" s="42"/>
      <c r="BE562" s="42"/>
      <c r="BF562" s="42"/>
      <c r="BG562" s="42"/>
      <c r="BH562" s="42"/>
      <c r="BI562" s="42"/>
      <c r="BJ562" s="42"/>
      <c r="BK562" s="42"/>
      <c r="BL562" s="42"/>
      <c r="BM562" s="42"/>
    </row>
    <row r="563">
      <c r="A563" s="125"/>
      <c r="B563" s="267"/>
      <c r="C563" s="361"/>
      <c r="D563" s="42"/>
      <c r="E563" s="42"/>
      <c r="F563" s="42"/>
      <c r="G563" s="42"/>
      <c r="H563" s="42"/>
      <c r="I563" s="42"/>
      <c r="J563" s="42"/>
      <c r="K563" s="304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  <c r="AM563" s="42"/>
      <c r="AN563" s="42"/>
      <c r="AO563" s="42"/>
      <c r="AP563" s="42"/>
      <c r="AQ563" s="42"/>
      <c r="AR563" s="42"/>
      <c r="AS563" s="42"/>
      <c r="AT563" s="42"/>
      <c r="AU563" s="42"/>
      <c r="AV563" s="42"/>
      <c r="AW563" s="42"/>
      <c r="AX563" s="42"/>
      <c r="AY563" s="42"/>
      <c r="AZ563" s="42"/>
      <c r="BA563" s="42"/>
      <c r="BB563" s="42"/>
      <c r="BC563" s="42"/>
      <c r="BD563" s="42"/>
      <c r="BE563" s="42"/>
      <c r="BF563" s="42"/>
      <c r="BG563" s="42"/>
      <c r="BH563" s="42"/>
      <c r="BI563" s="42"/>
      <c r="BJ563" s="42"/>
      <c r="BK563" s="42"/>
      <c r="BL563" s="42"/>
      <c r="BM563" s="42"/>
    </row>
    <row r="564">
      <c r="A564" s="125"/>
      <c r="B564" s="267"/>
      <c r="C564" s="361"/>
      <c r="D564" s="42"/>
      <c r="E564" s="42"/>
      <c r="F564" s="42"/>
      <c r="G564" s="42"/>
      <c r="H564" s="42"/>
      <c r="I564" s="42"/>
      <c r="J564" s="42"/>
      <c r="K564" s="304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  <c r="AM564" s="42"/>
      <c r="AN564" s="42"/>
      <c r="AO564" s="42"/>
      <c r="AP564" s="42"/>
      <c r="AQ564" s="42"/>
      <c r="AR564" s="42"/>
      <c r="AS564" s="42"/>
      <c r="AT564" s="42"/>
      <c r="AU564" s="42"/>
      <c r="AV564" s="42"/>
      <c r="AW564" s="42"/>
      <c r="AX564" s="42"/>
      <c r="AY564" s="42"/>
      <c r="AZ564" s="42"/>
      <c r="BA564" s="42"/>
      <c r="BB564" s="42"/>
      <c r="BC564" s="42"/>
      <c r="BD564" s="42"/>
      <c r="BE564" s="42"/>
      <c r="BF564" s="42"/>
      <c r="BG564" s="42"/>
      <c r="BH564" s="42"/>
      <c r="BI564" s="42"/>
      <c r="BJ564" s="42"/>
      <c r="BK564" s="42"/>
      <c r="BL564" s="42"/>
      <c r="BM564" s="42"/>
    </row>
    <row r="565">
      <c r="A565" s="125"/>
      <c r="B565" s="267"/>
      <c r="C565" s="361"/>
      <c r="D565" s="42"/>
      <c r="E565" s="42"/>
      <c r="F565" s="42"/>
      <c r="G565" s="42"/>
      <c r="H565" s="42"/>
      <c r="I565" s="42"/>
      <c r="J565" s="42"/>
      <c r="K565" s="304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  <c r="AM565" s="42"/>
      <c r="AN565" s="42"/>
      <c r="AO565" s="42"/>
      <c r="AP565" s="42"/>
      <c r="AQ565" s="42"/>
      <c r="AR565" s="42"/>
      <c r="AS565" s="42"/>
      <c r="AT565" s="42"/>
      <c r="AU565" s="42"/>
      <c r="AV565" s="42"/>
      <c r="AW565" s="42"/>
      <c r="AX565" s="42"/>
      <c r="AY565" s="42"/>
      <c r="AZ565" s="42"/>
      <c r="BA565" s="42"/>
      <c r="BB565" s="42"/>
      <c r="BC565" s="42"/>
      <c r="BD565" s="42"/>
      <c r="BE565" s="42"/>
      <c r="BF565" s="42"/>
      <c r="BG565" s="42"/>
      <c r="BH565" s="42"/>
      <c r="BI565" s="42"/>
      <c r="BJ565" s="42"/>
      <c r="BK565" s="42"/>
      <c r="BL565" s="42"/>
      <c r="BM565" s="42"/>
    </row>
    <row r="566">
      <c r="A566" s="125"/>
      <c r="B566" s="267"/>
      <c r="C566" s="361"/>
      <c r="D566" s="42"/>
      <c r="E566" s="42"/>
      <c r="F566" s="42"/>
      <c r="G566" s="42"/>
      <c r="H566" s="42"/>
      <c r="I566" s="42"/>
      <c r="J566" s="42"/>
      <c r="K566" s="304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  <c r="AR566" s="42"/>
      <c r="AS566" s="42"/>
      <c r="AT566" s="42"/>
      <c r="AU566" s="42"/>
      <c r="AV566" s="42"/>
      <c r="AW566" s="42"/>
      <c r="AX566" s="42"/>
      <c r="AY566" s="42"/>
      <c r="AZ566" s="42"/>
      <c r="BA566" s="42"/>
      <c r="BB566" s="42"/>
      <c r="BC566" s="42"/>
      <c r="BD566" s="42"/>
      <c r="BE566" s="42"/>
      <c r="BF566" s="42"/>
      <c r="BG566" s="42"/>
      <c r="BH566" s="42"/>
      <c r="BI566" s="42"/>
      <c r="BJ566" s="42"/>
      <c r="BK566" s="42"/>
      <c r="BL566" s="42"/>
      <c r="BM566" s="42"/>
    </row>
    <row r="567">
      <c r="A567" s="125"/>
      <c r="B567" s="267"/>
      <c r="C567" s="361"/>
      <c r="D567" s="42"/>
      <c r="E567" s="42"/>
      <c r="F567" s="42"/>
      <c r="G567" s="42"/>
      <c r="H567" s="42"/>
      <c r="I567" s="42"/>
      <c r="J567" s="42"/>
      <c r="K567" s="304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  <c r="AU567" s="42"/>
      <c r="AV567" s="42"/>
      <c r="AW567" s="42"/>
      <c r="AX567" s="42"/>
      <c r="AY567" s="42"/>
      <c r="AZ567" s="42"/>
      <c r="BA567" s="42"/>
      <c r="BB567" s="42"/>
      <c r="BC567" s="42"/>
      <c r="BD567" s="42"/>
      <c r="BE567" s="42"/>
      <c r="BF567" s="42"/>
      <c r="BG567" s="42"/>
      <c r="BH567" s="42"/>
      <c r="BI567" s="42"/>
      <c r="BJ567" s="42"/>
      <c r="BK567" s="42"/>
      <c r="BL567" s="42"/>
      <c r="BM567" s="42"/>
    </row>
    <row r="568">
      <c r="A568" s="125"/>
      <c r="B568" s="267"/>
      <c r="C568" s="361"/>
      <c r="D568" s="42"/>
      <c r="E568" s="42"/>
      <c r="F568" s="42"/>
      <c r="G568" s="42"/>
      <c r="H568" s="42"/>
      <c r="I568" s="42"/>
      <c r="J568" s="42"/>
      <c r="K568" s="304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  <c r="AM568" s="42"/>
      <c r="AN568" s="42"/>
      <c r="AO568" s="42"/>
      <c r="AP568" s="42"/>
      <c r="AQ568" s="42"/>
      <c r="AR568" s="42"/>
      <c r="AS568" s="42"/>
      <c r="AT568" s="42"/>
      <c r="AU568" s="42"/>
      <c r="AV568" s="42"/>
      <c r="AW568" s="42"/>
      <c r="AX568" s="42"/>
      <c r="AY568" s="42"/>
      <c r="AZ568" s="42"/>
      <c r="BA568" s="42"/>
      <c r="BB568" s="42"/>
      <c r="BC568" s="42"/>
      <c r="BD568" s="42"/>
      <c r="BE568" s="42"/>
      <c r="BF568" s="42"/>
      <c r="BG568" s="42"/>
      <c r="BH568" s="42"/>
      <c r="BI568" s="42"/>
      <c r="BJ568" s="42"/>
      <c r="BK568" s="42"/>
      <c r="BL568" s="42"/>
      <c r="BM568" s="42"/>
    </row>
    <row r="569">
      <c r="A569" s="125"/>
      <c r="B569" s="267"/>
      <c r="C569" s="361"/>
      <c r="D569" s="42"/>
      <c r="E569" s="42"/>
      <c r="F569" s="42"/>
      <c r="G569" s="42"/>
      <c r="H569" s="42"/>
      <c r="I569" s="42"/>
      <c r="J569" s="42"/>
      <c r="K569" s="304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/>
      <c r="AR569" s="42"/>
      <c r="AS569" s="42"/>
      <c r="AT569" s="42"/>
      <c r="AU569" s="42"/>
      <c r="AV569" s="42"/>
      <c r="AW569" s="42"/>
      <c r="AX569" s="42"/>
      <c r="AY569" s="42"/>
      <c r="AZ569" s="42"/>
      <c r="BA569" s="42"/>
      <c r="BB569" s="42"/>
      <c r="BC569" s="42"/>
      <c r="BD569" s="42"/>
      <c r="BE569" s="42"/>
      <c r="BF569" s="42"/>
      <c r="BG569" s="42"/>
      <c r="BH569" s="42"/>
      <c r="BI569" s="42"/>
      <c r="BJ569" s="42"/>
      <c r="BK569" s="42"/>
      <c r="BL569" s="42"/>
      <c r="BM569" s="42"/>
    </row>
    <row r="570">
      <c r="A570" s="125"/>
      <c r="B570" s="267"/>
      <c r="C570" s="361"/>
      <c r="D570" s="42"/>
      <c r="E570" s="42"/>
      <c r="F570" s="42"/>
      <c r="G570" s="42"/>
      <c r="H570" s="42"/>
      <c r="I570" s="42"/>
      <c r="J570" s="42"/>
      <c r="K570" s="304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  <c r="AM570" s="42"/>
      <c r="AN570" s="42"/>
      <c r="AO570" s="42"/>
      <c r="AP570" s="42"/>
      <c r="AQ570" s="42"/>
      <c r="AR570" s="42"/>
      <c r="AS570" s="42"/>
      <c r="AT570" s="42"/>
      <c r="AU570" s="42"/>
      <c r="AV570" s="42"/>
      <c r="AW570" s="42"/>
      <c r="AX570" s="42"/>
      <c r="AY570" s="42"/>
      <c r="AZ570" s="42"/>
      <c r="BA570" s="42"/>
      <c r="BB570" s="42"/>
      <c r="BC570" s="42"/>
      <c r="BD570" s="42"/>
      <c r="BE570" s="42"/>
      <c r="BF570" s="42"/>
      <c r="BG570" s="42"/>
      <c r="BH570" s="42"/>
      <c r="BI570" s="42"/>
      <c r="BJ570" s="42"/>
      <c r="BK570" s="42"/>
      <c r="BL570" s="42"/>
      <c r="BM570" s="42"/>
    </row>
    <row r="571">
      <c r="A571" s="125"/>
      <c r="B571" s="267"/>
      <c r="C571" s="361"/>
      <c r="D571" s="42"/>
      <c r="E571" s="42"/>
      <c r="F571" s="42"/>
      <c r="G571" s="42"/>
      <c r="H571" s="42"/>
      <c r="I571" s="42"/>
      <c r="J571" s="42"/>
      <c r="K571" s="304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  <c r="AM571" s="42"/>
      <c r="AN571" s="42"/>
      <c r="AO571" s="42"/>
      <c r="AP571" s="42"/>
      <c r="AQ571" s="42"/>
      <c r="AR571" s="42"/>
      <c r="AS571" s="42"/>
      <c r="AT571" s="42"/>
      <c r="AU571" s="42"/>
      <c r="AV571" s="42"/>
      <c r="AW571" s="42"/>
      <c r="AX571" s="42"/>
      <c r="AY571" s="42"/>
      <c r="AZ571" s="42"/>
      <c r="BA571" s="42"/>
      <c r="BB571" s="42"/>
      <c r="BC571" s="42"/>
      <c r="BD571" s="42"/>
      <c r="BE571" s="42"/>
      <c r="BF571" s="42"/>
      <c r="BG571" s="42"/>
      <c r="BH571" s="42"/>
      <c r="BI571" s="42"/>
      <c r="BJ571" s="42"/>
      <c r="BK571" s="42"/>
      <c r="BL571" s="42"/>
      <c r="BM571" s="42"/>
    </row>
    <row r="572">
      <c r="A572" s="125"/>
      <c r="B572" s="267"/>
      <c r="C572" s="361"/>
      <c r="D572" s="42"/>
      <c r="E572" s="42"/>
      <c r="F572" s="42"/>
      <c r="G572" s="42"/>
      <c r="H572" s="42"/>
      <c r="I572" s="42"/>
      <c r="J572" s="42"/>
      <c r="K572" s="304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  <c r="AM572" s="42"/>
      <c r="AN572" s="42"/>
      <c r="AO572" s="42"/>
      <c r="AP572" s="42"/>
      <c r="AQ572" s="42"/>
      <c r="AR572" s="42"/>
      <c r="AS572" s="42"/>
      <c r="AT572" s="42"/>
      <c r="AU572" s="42"/>
      <c r="AV572" s="42"/>
      <c r="AW572" s="42"/>
      <c r="AX572" s="42"/>
      <c r="AY572" s="42"/>
      <c r="AZ572" s="42"/>
      <c r="BA572" s="42"/>
      <c r="BB572" s="42"/>
      <c r="BC572" s="42"/>
      <c r="BD572" s="42"/>
      <c r="BE572" s="42"/>
      <c r="BF572" s="42"/>
      <c r="BG572" s="42"/>
      <c r="BH572" s="42"/>
      <c r="BI572" s="42"/>
      <c r="BJ572" s="42"/>
      <c r="BK572" s="42"/>
      <c r="BL572" s="42"/>
      <c r="BM572" s="42"/>
    </row>
    <row r="573">
      <c r="A573" s="125"/>
      <c r="B573" s="267"/>
      <c r="C573" s="361"/>
      <c r="D573" s="42"/>
      <c r="E573" s="42"/>
      <c r="F573" s="42"/>
      <c r="G573" s="42"/>
      <c r="H573" s="42"/>
      <c r="I573" s="42"/>
      <c r="J573" s="42"/>
      <c r="K573" s="304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  <c r="AR573" s="42"/>
      <c r="AS573" s="42"/>
      <c r="AT573" s="42"/>
      <c r="AU573" s="42"/>
      <c r="AV573" s="42"/>
      <c r="AW573" s="42"/>
      <c r="AX573" s="42"/>
      <c r="AY573" s="42"/>
      <c r="AZ573" s="42"/>
      <c r="BA573" s="42"/>
      <c r="BB573" s="42"/>
      <c r="BC573" s="42"/>
      <c r="BD573" s="42"/>
      <c r="BE573" s="42"/>
      <c r="BF573" s="42"/>
      <c r="BG573" s="42"/>
      <c r="BH573" s="42"/>
      <c r="BI573" s="42"/>
      <c r="BJ573" s="42"/>
      <c r="BK573" s="42"/>
      <c r="BL573" s="42"/>
      <c r="BM573" s="42"/>
    </row>
    <row r="574">
      <c r="A574" s="125"/>
      <c r="B574" s="267"/>
      <c r="C574" s="361"/>
      <c r="D574" s="42"/>
      <c r="E574" s="42"/>
      <c r="F574" s="42"/>
      <c r="G574" s="42"/>
      <c r="H574" s="42"/>
      <c r="I574" s="42"/>
      <c r="J574" s="42"/>
      <c r="K574" s="304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  <c r="AM574" s="42"/>
      <c r="AN574" s="42"/>
      <c r="AO574" s="42"/>
      <c r="AP574" s="42"/>
      <c r="AQ574" s="42"/>
      <c r="AR574" s="42"/>
      <c r="AS574" s="42"/>
      <c r="AT574" s="42"/>
      <c r="AU574" s="42"/>
      <c r="AV574" s="42"/>
      <c r="AW574" s="42"/>
      <c r="AX574" s="42"/>
      <c r="AY574" s="42"/>
      <c r="AZ574" s="42"/>
      <c r="BA574" s="42"/>
      <c r="BB574" s="42"/>
      <c r="BC574" s="42"/>
      <c r="BD574" s="42"/>
      <c r="BE574" s="42"/>
      <c r="BF574" s="42"/>
      <c r="BG574" s="42"/>
      <c r="BH574" s="42"/>
      <c r="BI574" s="42"/>
      <c r="BJ574" s="42"/>
      <c r="BK574" s="42"/>
      <c r="BL574" s="42"/>
      <c r="BM574" s="42"/>
    </row>
    <row r="575">
      <c r="A575" s="125"/>
      <c r="B575" s="267"/>
      <c r="C575" s="361"/>
      <c r="D575" s="42"/>
      <c r="E575" s="42"/>
      <c r="F575" s="42"/>
      <c r="G575" s="42"/>
      <c r="H575" s="42"/>
      <c r="I575" s="42"/>
      <c r="J575" s="42"/>
      <c r="K575" s="304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/>
      <c r="AW575" s="42"/>
      <c r="AX575" s="42"/>
      <c r="AY575" s="42"/>
      <c r="AZ575" s="42"/>
      <c r="BA575" s="42"/>
      <c r="BB575" s="42"/>
      <c r="BC575" s="42"/>
      <c r="BD575" s="42"/>
      <c r="BE575" s="42"/>
      <c r="BF575" s="42"/>
      <c r="BG575" s="42"/>
      <c r="BH575" s="42"/>
      <c r="BI575" s="42"/>
      <c r="BJ575" s="42"/>
      <c r="BK575" s="42"/>
      <c r="BL575" s="42"/>
      <c r="BM575" s="42"/>
    </row>
    <row r="576">
      <c r="A576" s="125"/>
      <c r="B576" s="267"/>
      <c r="C576" s="361"/>
      <c r="D576" s="42"/>
      <c r="E576" s="42"/>
      <c r="F576" s="42"/>
      <c r="G576" s="42"/>
      <c r="H576" s="42"/>
      <c r="I576" s="42"/>
      <c r="J576" s="42"/>
      <c r="K576" s="304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  <c r="AM576" s="42"/>
      <c r="AN576" s="42"/>
      <c r="AO576" s="42"/>
      <c r="AP576" s="42"/>
      <c r="AQ576" s="42"/>
      <c r="AR576" s="42"/>
      <c r="AS576" s="42"/>
      <c r="AT576" s="42"/>
      <c r="AU576" s="42"/>
      <c r="AV576" s="42"/>
      <c r="AW576" s="42"/>
      <c r="AX576" s="42"/>
      <c r="AY576" s="42"/>
      <c r="AZ576" s="42"/>
      <c r="BA576" s="42"/>
      <c r="BB576" s="42"/>
      <c r="BC576" s="42"/>
      <c r="BD576" s="42"/>
      <c r="BE576" s="42"/>
      <c r="BF576" s="42"/>
      <c r="BG576" s="42"/>
      <c r="BH576" s="42"/>
      <c r="BI576" s="42"/>
      <c r="BJ576" s="42"/>
      <c r="BK576" s="42"/>
      <c r="BL576" s="42"/>
      <c r="BM576" s="42"/>
    </row>
    <row r="577">
      <c r="A577" s="125"/>
      <c r="B577" s="267"/>
      <c r="C577" s="361"/>
      <c r="D577" s="42"/>
      <c r="E577" s="42"/>
      <c r="F577" s="42"/>
      <c r="G577" s="42"/>
      <c r="H577" s="42"/>
      <c r="I577" s="42"/>
      <c r="J577" s="42"/>
      <c r="K577" s="304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  <c r="AM577" s="42"/>
      <c r="AN577" s="42"/>
      <c r="AO577" s="42"/>
      <c r="AP577" s="42"/>
      <c r="AQ577" s="42"/>
      <c r="AR577" s="42"/>
      <c r="AS577" s="42"/>
      <c r="AT577" s="42"/>
      <c r="AU577" s="42"/>
      <c r="AV577" s="42"/>
      <c r="AW577" s="42"/>
      <c r="AX577" s="42"/>
      <c r="AY577" s="42"/>
      <c r="AZ577" s="42"/>
      <c r="BA577" s="42"/>
      <c r="BB577" s="42"/>
      <c r="BC577" s="42"/>
      <c r="BD577" s="42"/>
      <c r="BE577" s="42"/>
      <c r="BF577" s="42"/>
      <c r="BG577" s="42"/>
      <c r="BH577" s="42"/>
      <c r="BI577" s="42"/>
      <c r="BJ577" s="42"/>
      <c r="BK577" s="42"/>
      <c r="BL577" s="42"/>
      <c r="BM577" s="42"/>
    </row>
    <row r="578">
      <c r="A578" s="125"/>
      <c r="B578" s="267"/>
      <c r="C578" s="361"/>
      <c r="D578" s="42"/>
      <c r="E578" s="42"/>
      <c r="F578" s="42"/>
      <c r="G578" s="42"/>
      <c r="H578" s="42"/>
      <c r="I578" s="42"/>
      <c r="J578" s="42"/>
      <c r="K578" s="304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  <c r="AM578" s="42"/>
      <c r="AN578" s="42"/>
      <c r="AO578" s="42"/>
      <c r="AP578" s="42"/>
      <c r="AQ578" s="42"/>
      <c r="AR578" s="42"/>
      <c r="AS578" s="42"/>
      <c r="AT578" s="42"/>
      <c r="AU578" s="42"/>
      <c r="AV578" s="42"/>
      <c r="AW578" s="42"/>
      <c r="AX578" s="42"/>
      <c r="AY578" s="42"/>
      <c r="AZ578" s="42"/>
      <c r="BA578" s="42"/>
      <c r="BB578" s="42"/>
      <c r="BC578" s="42"/>
      <c r="BD578" s="42"/>
      <c r="BE578" s="42"/>
      <c r="BF578" s="42"/>
      <c r="BG578" s="42"/>
      <c r="BH578" s="42"/>
      <c r="BI578" s="42"/>
      <c r="BJ578" s="42"/>
      <c r="BK578" s="42"/>
      <c r="BL578" s="42"/>
      <c r="BM578" s="42"/>
    </row>
    <row r="579">
      <c r="A579" s="125"/>
      <c r="B579" s="267"/>
      <c r="C579" s="361"/>
      <c r="D579" s="42"/>
      <c r="E579" s="42"/>
      <c r="F579" s="42"/>
      <c r="G579" s="42"/>
      <c r="H579" s="42"/>
      <c r="I579" s="42"/>
      <c r="J579" s="42"/>
      <c r="K579" s="304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  <c r="AM579" s="42"/>
      <c r="AN579" s="42"/>
      <c r="AO579" s="42"/>
      <c r="AP579" s="42"/>
      <c r="AQ579" s="42"/>
      <c r="AR579" s="42"/>
      <c r="AS579" s="42"/>
      <c r="AT579" s="42"/>
      <c r="AU579" s="42"/>
      <c r="AV579" s="42"/>
      <c r="AW579" s="42"/>
      <c r="AX579" s="42"/>
      <c r="AY579" s="42"/>
      <c r="AZ579" s="42"/>
      <c r="BA579" s="42"/>
      <c r="BB579" s="42"/>
      <c r="BC579" s="42"/>
      <c r="BD579" s="42"/>
      <c r="BE579" s="42"/>
      <c r="BF579" s="42"/>
      <c r="BG579" s="42"/>
      <c r="BH579" s="42"/>
      <c r="BI579" s="42"/>
      <c r="BJ579" s="42"/>
      <c r="BK579" s="42"/>
      <c r="BL579" s="42"/>
      <c r="BM579" s="42"/>
    </row>
    <row r="580">
      <c r="A580" s="125"/>
      <c r="B580" s="267"/>
      <c r="C580" s="361"/>
      <c r="D580" s="42"/>
      <c r="E580" s="42"/>
      <c r="F580" s="42"/>
      <c r="G580" s="42"/>
      <c r="H580" s="42"/>
      <c r="I580" s="42"/>
      <c r="J580" s="42"/>
      <c r="K580" s="304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  <c r="AM580" s="42"/>
      <c r="AN580" s="42"/>
      <c r="AO580" s="42"/>
      <c r="AP580" s="42"/>
      <c r="AQ580" s="42"/>
      <c r="AR580" s="42"/>
      <c r="AS580" s="42"/>
      <c r="AT580" s="42"/>
      <c r="AU580" s="42"/>
      <c r="AV580" s="42"/>
      <c r="AW580" s="42"/>
      <c r="AX580" s="42"/>
      <c r="AY580" s="42"/>
      <c r="AZ580" s="42"/>
      <c r="BA580" s="42"/>
      <c r="BB580" s="42"/>
      <c r="BC580" s="42"/>
      <c r="BD580" s="42"/>
      <c r="BE580" s="42"/>
      <c r="BF580" s="42"/>
      <c r="BG580" s="42"/>
      <c r="BH580" s="42"/>
      <c r="BI580" s="42"/>
      <c r="BJ580" s="42"/>
      <c r="BK580" s="42"/>
      <c r="BL580" s="42"/>
      <c r="BM580" s="42"/>
    </row>
    <row r="581">
      <c r="A581" s="125"/>
      <c r="B581" s="267"/>
      <c r="C581" s="361"/>
      <c r="D581" s="42"/>
      <c r="E581" s="42"/>
      <c r="F581" s="42"/>
      <c r="G581" s="42"/>
      <c r="H581" s="42"/>
      <c r="I581" s="42"/>
      <c r="J581" s="42"/>
      <c r="K581" s="304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  <c r="AM581" s="42"/>
      <c r="AN581" s="42"/>
      <c r="AO581" s="42"/>
      <c r="AP581" s="42"/>
      <c r="AQ581" s="42"/>
      <c r="AR581" s="42"/>
      <c r="AS581" s="42"/>
      <c r="AT581" s="42"/>
      <c r="AU581" s="42"/>
      <c r="AV581" s="42"/>
      <c r="AW581" s="42"/>
      <c r="AX581" s="42"/>
      <c r="AY581" s="42"/>
      <c r="AZ581" s="42"/>
      <c r="BA581" s="42"/>
      <c r="BB581" s="42"/>
      <c r="BC581" s="42"/>
      <c r="BD581" s="42"/>
      <c r="BE581" s="42"/>
      <c r="BF581" s="42"/>
      <c r="BG581" s="42"/>
      <c r="BH581" s="42"/>
      <c r="BI581" s="42"/>
      <c r="BJ581" s="42"/>
      <c r="BK581" s="42"/>
      <c r="BL581" s="42"/>
      <c r="BM581" s="42"/>
    </row>
    <row r="582">
      <c r="A582" s="125"/>
      <c r="B582" s="267"/>
      <c r="C582" s="361"/>
      <c r="D582" s="42"/>
      <c r="E582" s="42"/>
      <c r="F582" s="42"/>
      <c r="G582" s="42"/>
      <c r="H582" s="42"/>
      <c r="I582" s="42"/>
      <c r="J582" s="42"/>
      <c r="K582" s="304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  <c r="AM582" s="42"/>
      <c r="AN582" s="42"/>
      <c r="AO582" s="42"/>
      <c r="AP582" s="42"/>
      <c r="AQ582" s="42"/>
      <c r="AR582" s="42"/>
      <c r="AS582" s="42"/>
      <c r="AT582" s="42"/>
      <c r="AU582" s="42"/>
      <c r="AV582" s="42"/>
      <c r="AW582" s="42"/>
      <c r="AX582" s="42"/>
      <c r="AY582" s="42"/>
      <c r="AZ582" s="42"/>
      <c r="BA582" s="42"/>
      <c r="BB582" s="42"/>
      <c r="BC582" s="42"/>
      <c r="BD582" s="42"/>
      <c r="BE582" s="42"/>
      <c r="BF582" s="42"/>
      <c r="BG582" s="42"/>
      <c r="BH582" s="42"/>
      <c r="BI582" s="42"/>
      <c r="BJ582" s="42"/>
      <c r="BK582" s="42"/>
      <c r="BL582" s="42"/>
      <c r="BM582" s="42"/>
    </row>
    <row r="583">
      <c r="A583" s="125"/>
      <c r="B583" s="267"/>
      <c r="C583" s="361"/>
      <c r="D583" s="42"/>
      <c r="E583" s="42"/>
      <c r="F583" s="42"/>
      <c r="G583" s="42"/>
      <c r="H583" s="42"/>
      <c r="I583" s="42"/>
      <c r="J583" s="42"/>
      <c r="K583" s="304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  <c r="AM583" s="42"/>
      <c r="AN583" s="42"/>
      <c r="AO583" s="42"/>
      <c r="AP583" s="42"/>
      <c r="AQ583" s="42"/>
      <c r="AR583" s="42"/>
      <c r="AS583" s="42"/>
      <c r="AT583" s="42"/>
      <c r="AU583" s="42"/>
      <c r="AV583" s="42"/>
      <c r="AW583" s="42"/>
      <c r="AX583" s="42"/>
      <c r="AY583" s="42"/>
      <c r="AZ583" s="42"/>
      <c r="BA583" s="42"/>
      <c r="BB583" s="42"/>
      <c r="BC583" s="42"/>
      <c r="BD583" s="42"/>
      <c r="BE583" s="42"/>
      <c r="BF583" s="42"/>
      <c r="BG583" s="42"/>
      <c r="BH583" s="42"/>
      <c r="BI583" s="42"/>
      <c r="BJ583" s="42"/>
      <c r="BK583" s="42"/>
      <c r="BL583" s="42"/>
      <c r="BM583" s="42"/>
    </row>
    <row r="584">
      <c r="A584" s="125"/>
      <c r="B584" s="267"/>
      <c r="C584" s="361"/>
      <c r="D584" s="42"/>
      <c r="E584" s="42"/>
      <c r="F584" s="42"/>
      <c r="G584" s="42"/>
      <c r="H584" s="42"/>
      <c r="I584" s="42"/>
      <c r="J584" s="42"/>
      <c r="K584" s="304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  <c r="AM584" s="42"/>
      <c r="AN584" s="42"/>
      <c r="AO584" s="42"/>
      <c r="AP584" s="42"/>
      <c r="AQ584" s="42"/>
      <c r="AR584" s="42"/>
      <c r="AS584" s="42"/>
      <c r="AT584" s="42"/>
      <c r="AU584" s="42"/>
      <c r="AV584" s="42"/>
      <c r="AW584" s="42"/>
      <c r="AX584" s="42"/>
      <c r="AY584" s="42"/>
      <c r="AZ584" s="42"/>
      <c r="BA584" s="42"/>
      <c r="BB584" s="42"/>
      <c r="BC584" s="42"/>
      <c r="BD584" s="42"/>
      <c r="BE584" s="42"/>
      <c r="BF584" s="42"/>
      <c r="BG584" s="42"/>
      <c r="BH584" s="42"/>
      <c r="BI584" s="42"/>
      <c r="BJ584" s="42"/>
      <c r="BK584" s="42"/>
      <c r="BL584" s="42"/>
      <c r="BM584" s="42"/>
    </row>
    <row r="585">
      <c r="A585" s="125"/>
      <c r="B585" s="267"/>
      <c r="C585" s="361"/>
      <c r="D585" s="42"/>
      <c r="E585" s="42"/>
      <c r="F585" s="42"/>
      <c r="G585" s="42"/>
      <c r="H585" s="42"/>
      <c r="I585" s="42"/>
      <c r="J585" s="42"/>
      <c r="K585" s="304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  <c r="AM585" s="42"/>
      <c r="AN585" s="42"/>
      <c r="AO585" s="42"/>
      <c r="AP585" s="42"/>
      <c r="AQ585" s="42"/>
      <c r="AR585" s="42"/>
      <c r="AS585" s="42"/>
      <c r="AT585" s="42"/>
      <c r="AU585" s="42"/>
      <c r="AV585" s="42"/>
      <c r="AW585" s="42"/>
      <c r="AX585" s="42"/>
      <c r="AY585" s="42"/>
      <c r="AZ585" s="42"/>
      <c r="BA585" s="42"/>
      <c r="BB585" s="42"/>
      <c r="BC585" s="42"/>
      <c r="BD585" s="42"/>
      <c r="BE585" s="42"/>
      <c r="BF585" s="42"/>
      <c r="BG585" s="42"/>
      <c r="BH585" s="42"/>
      <c r="BI585" s="42"/>
      <c r="BJ585" s="42"/>
      <c r="BK585" s="42"/>
      <c r="BL585" s="42"/>
      <c r="BM585" s="42"/>
    </row>
    <row r="586">
      <c r="A586" s="125"/>
      <c r="B586" s="267"/>
      <c r="C586" s="361"/>
      <c r="D586" s="42"/>
      <c r="E586" s="42"/>
      <c r="F586" s="42"/>
      <c r="G586" s="42"/>
      <c r="H586" s="42"/>
      <c r="I586" s="42"/>
      <c r="J586" s="42"/>
      <c r="K586" s="304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  <c r="AM586" s="42"/>
      <c r="AN586" s="42"/>
      <c r="AO586" s="42"/>
      <c r="AP586" s="42"/>
      <c r="AQ586" s="42"/>
      <c r="AR586" s="42"/>
      <c r="AS586" s="42"/>
      <c r="AT586" s="42"/>
      <c r="AU586" s="42"/>
      <c r="AV586" s="42"/>
      <c r="AW586" s="42"/>
      <c r="AX586" s="42"/>
      <c r="AY586" s="42"/>
      <c r="AZ586" s="42"/>
      <c r="BA586" s="42"/>
      <c r="BB586" s="42"/>
      <c r="BC586" s="42"/>
      <c r="BD586" s="42"/>
      <c r="BE586" s="42"/>
      <c r="BF586" s="42"/>
      <c r="BG586" s="42"/>
      <c r="BH586" s="42"/>
      <c r="BI586" s="42"/>
      <c r="BJ586" s="42"/>
      <c r="BK586" s="42"/>
      <c r="BL586" s="42"/>
      <c r="BM586" s="42"/>
    </row>
    <row r="587">
      <c r="A587" s="125"/>
      <c r="B587" s="267"/>
      <c r="C587" s="361"/>
      <c r="D587" s="42"/>
      <c r="E587" s="42"/>
      <c r="F587" s="42"/>
      <c r="G587" s="42"/>
      <c r="H587" s="42"/>
      <c r="I587" s="42"/>
      <c r="J587" s="42"/>
      <c r="K587" s="304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  <c r="AM587" s="42"/>
      <c r="AN587" s="42"/>
      <c r="AO587" s="42"/>
      <c r="AP587" s="42"/>
      <c r="AQ587" s="42"/>
      <c r="AR587" s="42"/>
      <c r="AS587" s="42"/>
      <c r="AT587" s="42"/>
      <c r="AU587" s="42"/>
      <c r="AV587" s="42"/>
      <c r="AW587" s="42"/>
      <c r="AX587" s="42"/>
      <c r="AY587" s="42"/>
      <c r="AZ587" s="42"/>
      <c r="BA587" s="42"/>
      <c r="BB587" s="42"/>
      <c r="BC587" s="42"/>
      <c r="BD587" s="42"/>
      <c r="BE587" s="42"/>
      <c r="BF587" s="42"/>
      <c r="BG587" s="42"/>
      <c r="BH587" s="42"/>
      <c r="BI587" s="42"/>
      <c r="BJ587" s="42"/>
      <c r="BK587" s="42"/>
      <c r="BL587" s="42"/>
      <c r="BM587" s="42"/>
    </row>
    <row r="588">
      <c r="A588" s="125"/>
      <c r="B588" s="267"/>
      <c r="C588" s="361"/>
      <c r="D588" s="42"/>
      <c r="E588" s="42"/>
      <c r="F588" s="42"/>
      <c r="G588" s="42"/>
      <c r="H588" s="42"/>
      <c r="I588" s="42"/>
      <c r="J588" s="42"/>
      <c r="K588" s="304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/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/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</row>
    <row r="589">
      <c r="A589" s="125"/>
      <c r="B589" s="267"/>
      <c r="C589" s="361"/>
      <c r="D589" s="42"/>
      <c r="E589" s="42"/>
      <c r="F589" s="42"/>
      <c r="G589" s="42"/>
      <c r="H589" s="42"/>
      <c r="I589" s="42"/>
      <c r="J589" s="42"/>
      <c r="K589" s="304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  <c r="AM589" s="42"/>
      <c r="AN589" s="42"/>
      <c r="AO589" s="42"/>
      <c r="AP589" s="42"/>
      <c r="AQ589" s="42"/>
      <c r="AR589" s="42"/>
      <c r="AS589" s="42"/>
      <c r="AT589" s="42"/>
      <c r="AU589" s="42"/>
      <c r="AV589" s="42"/>
      <c r="AW589" s="42"/>
      <c r="AX589" s="42"/>
      <c r="AY589" s="42"/>
      <c r="AZ589" s="42"/>
      <c r="BA589" s="42"/>
      <c r="BB589" s="42"/>
      <c r="BC589" s="42"/>
      <c r="BD589" s="42"/>
      <c r="BE589" s="42"/>
      <c r="BF589" s="42"/>
      <c r="BG589" s="42"/>
      <c r="BH589" s="42"/>
      <c r="BI589" s="42"/>
      <c r="BJ589" s="42"/>
      <c r="BK589" s="42"/>
      <c r="BL589" s="42"/>
      <c r="BM589" s="42"/>
    </row>
    <row r="590">
      <c r="A590" s="125"/>
      <c r="B590" s="267"/>
      <c r="C590" s="361"/>
      <c r="D590" s="42"/>
      <c r="E590" s="42"/>
      <c r="F590" s="42"/>
      <c r="G590" s="42"/>
      <c r="H590" s="42"/>
      <c r="I590" s="42"/>
      <c r="J590" s="42"/>
      <c r="K590" s="304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  <c r="AM590" s="42"/>
      <c r="AN590" s="42"/>
      <c r="AO590" s="42"/>
      <c r="AP590" s="42"/>
      <c r="AQ590" s="42"/>
      <c r="AR590" s="42"/>
      <c r="AS590" s="42"/>
      <c r="AT590" s="42"/>
      <c r="AU590" s="42"/>
      <c r="AV590" s="42"/>
      <c r="AW590" s="42"/>
      <c r="AX590" s="42"/>
      <c r="AY590" s="42"/>
      <c r="AZ590" s="42"/>
      <c r="BA590" s="42"/>
      <c r="BB590" s="42"/>
      <c r="BC590" s="42"/>
      <c r="BD590" s="42"/>
      <c r="BE590" s="42"/>
      <c r="BF590" s="42"/>
      <c r="BG590" s="42"/>
      <c r="BH590" s="42"/>
      <c r="BI590" s="42"/>
      <c r="BJ590" s="42"/>
      <c r="BK590" s="42"/>
      <c r="BL590" s="42"/>
      <c r="BM590" s="42"/>
    </row>
    <row r="591">
      <c r="A591" s="125"/>
      <c r="B591" s="267"/>
      <c r="C591" s="361"/>
      <c r="D591" s="42"/>
      <c r="E591" s="42"/>
      <c r="F591" s="42"/>
      <c r="G591" s="42"/>
      <c r="H591" s="42"/>
      <c r="I591" s="42"/>
      <c r="J591" s="42"/>
      <c r="K591" s="304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  <c r="AM591" s="42"/>
      <c r="AN591" s="42"/>
      <c r="AO591" s="42"/>
      <c r="AP591" s="42"/>
      <c r="AQ591" s="42"/>
      <c r="AR591" s="42"/>
      <c r="AS591" s="42"/>
      <c r="AT591" s="42"/>
      <c r="AU591" s="42"/>
      <c r="AV591" s="42"/>
      <c r="AW591" s="42"/>
      <c r="AX591" s="42"/>
      <c r="AY591" s="42"/>
      <c r="AZ591" s="42"/>
      <c r="BA591" s="42"/>
      <c r="BB591" s="42"/>
      <c r="BC591" s="42"/>
      <c r="BD591" s="42"/>
      <c r="BE591" s="42"/>
      <c r="BF591" s="42"/>
      <c r="BG591" s="42"/>
      <c r="BH591" s="42"/>
      <c r="BI591" s="42"/>
      <c r="BJ591" s="42"/>
      <c r="BK591" s="42"/>
      <c r="BL591" s="42"/>
      <c r="BM591" s="42"/>
    </row>
    <row r="592">
      <c r="A592" s="125"/>
      <c r="B592" s="267"/>
      <c r="C592" s="361"/>
      <c r="D592" s="42"/>
      <c r="E592" s="42"/>
      <c r="F592" s="42"/>
      <c r="G592" s="42"/>
      <c r="H592" s="42"/>
      <c r="I592" s="42"/>
      <c r="J592" s="42"/>
      <c r="K592" s="304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  <c r="AM592" s="42"/>
      <c r="AN592" s="42"/>
      <c r="AO592" s="42"/>
      <c r="AP592" s="42"/>
      <c r="AQ592" s="42"/>
      <c r="AR592" s="42"/>
      <c r="AS592" s="42"/>
      <c r="AT592" s="42"/>
      <c r="AU592" s="42"/>
      <c r="AV592" s="42"/>
      <c r="AW592" s="42"/>
      <c r="AX592" s="42"/>
      <c r="AY592" s="42"/>
      <c r="AZ592" s="42"/>
      <c r="BA592" s="42"/>
      <c r="BB592" s="42"/>
      <c r="BC592" s="42"/>
      <c r="BD592" s="42"/>
      <c r="BE592" s="42"/>
      <c r="BF592" s="42"/>
      <c r="BG592" s="42"/>
      <c r="BH592" s="42"/>
      <c r="BI592" s="42"/>
      <c r="BJ592" s="42"/>
      <c r="BK592" s="42"/>
      <c r="BL592" s="42"/>
      <c r="BM592" s="42"/>
    </row>
    <row r="593">
      <c r="A593" s="125"/>
      <c r="B593" s="267"/>
      <c r="C593" s="361"/>
      <c r="D593" s="42"/>
      <c r="E593" s="42"/>
      <c r="F593" s="42"/>
      <c r="G593" s="42"/>
      <c r="H593" s="42"/>
      <c r="I593" s="42"/>
      <c r="J593" s="42"/>
      <c r="K593" s="304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/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/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  <c r="BM593" s="42"/>
    </row>
    <row r="594">
      <c r="A594" s="125"/>
      <c r="B594" s="267"/>
      <c r="C594" s="361"/>
      <c r="D594" s="42"/>
      <c r="E594" s="42"/>
      <c r="F594" s="42"/>
      <c r="G594" s="42"/>
      <c r="H594" s="42"/>
      <c r="I594" s="42"/>
      <c r="J594" s="42"/>
      <c r="K594" s="304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  <c r="AM594" s="42"/>
      <c r="AN594" s="42"/>
      <c r="AO594" s="42"/>
      <c r="AP594" s="42"/>
      <c r="AQ594" s="42"/>
      <c r="AR594" s="42"/>
      <c r="AS594" s="42"/>
      <c r="AT594" s="42"/>
      <c r="AU594" s="42"/>
      <c r="AV594" s="42"/>
      <c r="AW594" s="42"/>
      <c r="AX594" s="42"/>
      <c r="AY594" s="42"/>
      <c r="AZ594" s="42"/>
      <c r="BA594" s="42"/>
      <c r="BB594" s="42"/>
      <c r="BC594" s="42"/>
      <c r="BD594" s="42"/>
      <c r="BE594" s="42"/>
      <c r="BF594" s="42"/>
      <c r="BG594" s="42"/>
      <c r="BH594" s="42"/>
      <c r="BI594" s="42"/>
      <c r="BJ594" s="42"/>
      <c r="BK594" s="42"/>
      <c r="BL594" s="42"/>
      <c r="BM594" s="42"/>
    </row>
    <row r="595">
      <c r="A595" s="125"/>
      <c r="B595" s="267"/>
      <c r="C595" s="361"/>
      <c r="D595" s="42"/>
      <c r="E595" s="42"/>
      <c r="F595" s="42"/>
      <c r="G595" s="42"/>
      <c r="H595" s="42"/>
      <c r="I595" s="42"/>
      <c r="J595" s="42"/>
      <c r="K595" s="304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  <c r="AM595" s="42"/>
      <c r="AN595" s="42"/>
      <c r="AO595" s="42"/>
      <c r="AP595" s="42"/>
      <c r="AQ595" s="42"/>
      <c r="AR595" s="42"/>
      <c r="AS595" s="42"/>
      <c r="AT595" s="42"/>
      <c r="AU595" s="42"/>
      <c r="AV595" s="42"/>
      <c r="AW595" s="42"/>
      <c r="AX595" s="42"/>
      <c r="AY595" s="42"/>
      <c r="AZ595" s="42"/>
      <c r="BA595" s="42"/>
      <c r="BB595" s="42"/>
      <c r="BC595" s="42"/>
      <c r="BD595" s="42"/>
      <c r="BE595" s="42"/>
      <c r="BF595" s="42"/>
      <c r="BG595" s="42"/>
      <c r="BH595" s="42"/>
      <c r="BI595" s="42"/>
      <c r="BJ595" s="42"/>
      <c r="BK595" s="42"/>
      <c r="BL595" s="42"/>
      <c r="BM595" s="42"/>
    </row>
    <row r="596">
      <c r="A596" s="125"/>
      <c r="B596" s="267"/>
      <c r="C596" s="361"/>
      <c r="D596" s="42"/>
      <c r="E596" s="42"/>
      <c r="F596" s="42"/>
      <c r="G596" s="42"/>
      <c r="H596" s="42"/>
      <c r="I596" s="42"/>
      <c r="J596" s="42"/>
      <c r="K596" s="304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  <c r="AM596" s="42"/>
      <c r="AN596" s="42"/>
      <c r="AO596" s="42"/>
      <c r="AP596" s="42"/>
      <c r="AQ596" s="42"/>
      <c r="AR596" s="42"/>
      <c r="AS596" s="42"/>
      <c r="AT596" s="42"/>
      <c r="AU596" s="42"/>
      <c r="AV596" s="42"/>
      <c r="AW596" s="42"/>
      <c r="AX596" s="42"/>
      <c r="AY596" s="42"/>
      <c r="AZ596" s="42"/>
      <c r="BA596" s="42"/>
      <c r="BB596" s="42"/>
      <c r="BC596" s="42"/>
      <c r="BD596" s="42"/>
      <c r="BE596" s="42"/>
      <c r="BF596" s="42"/>
      <c r="BG596" s="42"/>
      <c r="BH596" s="42"/>
      <c r="BI596" s="42"/>
      <c r="BJ596" s="42"/>
      <c r="BK596" s="42"/>
      <c r="BL596" s="42"/>
      <c r="BM596" s="42"/>
    </row>
    <row r="597">
      <c r="A597" s="125"/>
      <c r="B597" s="267"/>
      <c r="C597" s="361"/>
      <c r="D597" s="42"/>
      <c r="E597" s="42"/>
      <c r="F597" s="42"/>
      <c r="G597" s="42"/>
      <c r="H597" s="42"/>
      <c r="I597" s="42"/>
      <c r="J597" s="42"/>
      <c r="K597" s="304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  <c r="AM597" s="42"/>
      <c r="AN597" s="42"/>
      <c r="AO597" s="42"/>
      <c r="AP597" s="42"/>
      <c r="AQ597" s="42"/>
      <c r="AR597" s="42"/>
      <c r="AS597" s="42"/>
      <c r="AT597" s="42"/>
      <c r="AU597" s="42"/>
      <c r="AV597" s="42"/>
      <c r="AW597" s="42"/>
      <c r="AX597" s="42"/>
      <c r="AY597" s="42"/>
      <c r="AZ597" s="42"/>
      <c r="BA597" s="42"/>
      <c r="BB597" s="42"/>
      <c r="BC597" s="42"/>
      <c r="BD597" s="42"/>
      <c r="BE597" s="42"/>
      <c r="BF597" s="42"/>
      <c r="BG597" s="42"/>
      <c r="BH597" s="42"/>
      <c r="BI597" s="42"/>
      <c r="BJ597" s="42"/>
      <c r="BK597" s="42"/>
      <c r="BL597" s="42"/>
      <c r="BM597" s="42"/>
    </row>
    <row r="598">
      <c r="A598" s="125"/>
      <c r="B598" s="267"/>
      <c r="C598" s="361"/>
      <c r="D598" s="42"/>
      <c r="E598" s="42"/>
      <c r="F598" s="42"/>
      <c r="G598" s="42"/>
      <c r="H598" s="42"/>
      <c r="I598" s="42"/>
      <c r="J598" s="42"/>
      <c r="K598" s="304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/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/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</row>
    <row r="599">
      <c r="A599" s="125"/>
      <c r="B599" s="267"/>
      <c r="C599" s="361"/>
      <c r="D599" s="42"/>
      <c r="E599" s="42"/>
      <c r="F599" s="42"/>
      <c r="G599" s="42"/>
      <c r="H599" s="42"/>
      <c r="I599" s="42"/>
      <c r="J599" s="42"/>
      <c r="K599" s="304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  <c r="AM599" s="42"/>
      <c r="AN599" s="42"/>
      <c r="AO599" s="42"/>
      <c r="AP599" s="42"/>
      <c r="AQ599" s="42"/>
      <c r="AR599" s="42"/>
      <c r="AS599" s="42"/>
      <c r="AT599" s="42"/>
      <c r="AU599" s="42"/>
      <c r="AV599" s="42"/>
      <c r="AW599" s="42"/>
      <c r="AX599" s="42"/>
      <c r="AY599" s="42"/>
      <c r="AZ599" s="42"/>
      <c r="BA599" s="42"/>
      <c r="BB599" s="42"/>
      <c r="BC599" s="42"/>
      <c r="BD599" s="42"/>
      <c r="BE599" s="42"/>
      <c r="BF599" s="42"/>
      <c r="BG599" s="42"/>
      <c r="BH599" s="42"/>
      <c r="BI599" s="42"/>
      <c r="BJ599" s="42"/>
      <c r="BK599" s="42"/>
      <c r="BL599" s="42"/>
      <c r="BM599" s="42"/>
    </row>
    <row r="600">
      <c r="A600" s="125"/>
      <c r="B600" s="267"/>
      <c r="C600" s="361"/>
      <c r="D600" s="42"/>
      <c r="E600" s="42"/>
      <c r="F600" s="42"/>
      <c r="G600" s="42"/>
      <c r="H600" s="42"/>
      <c r="I600" s="42"/>
      <c r="J600" s="42"/>
      <c r="K600" s="304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  <c r="AM600" s="42"/>
      <c r="AN600" s="42"/>
      <c r="AO600" s="42"/>
      <c r="AP600" s="42"/>
      <c r="AQ600" s="42"/>
      <c r="AR600" s="42"/>
      <c r="AS600" s="42"/>
      <c r="AT600" s="42"/>
      <c r="AU600" s="42"/>
      <c r="AV600" s="42"/>
      <c r="AW600" s="42"/>
      <c r="AX600" s="42"/>
      <c r="AY600" s="42"/>
      <c r="AZ600" s="42"/>
      <c r="BA600" s="42"/>
      <c r="BB600" s="42"/>
      <c r="BC600" s="42"/>
      <c r="BD600" s="42"/>
      <c r="BE600" s="42"/>
      <c r="BF600" s="42"/>
      <c r="BG600" s="42"/>
      <c r="BH600" s="42"/>
      <c r="BI600" s="42"/>
      <c r="BJ600" s="42"/>
      <c r="BK600" s="42"/>
      <c r="BL600" s="42"/>
      <c r="BM600" s="42"/>
    </row>
    <row r="601">
      <c r="A601" s="125"/>
      <c r="B601" s="267"/>
      <c r="C601" s="361"/>
      <c r="D601" s="42"/>
      <c r="E601" s="42"/>
      <c r="F601" s="42"/>
      <c r="G601" s="42"/>
      <c r="H601" s="42"/>
      <c r="I601" s="42"/>
      <c r="J601" s="42"/>
      <c r="K601" s="304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  <c r="AM601" s="42"/>
      <c r="AN601" s="42"/>
      <c r="AO601" s="42"/>
      <c r="AP601" s="42"/>
      <c r="AQ601" s="42"/>
      <c r="AR601" s="42"/>
      <c r="AS601" s="42"/>
      <c r="AT601" s="42"/>
      <c r="AU601" s="42"/>
      <c r="AV601" s="42"/>
      <c r="AW601" s="42"/>
      <c r="AX601" s="42"/>
      <c r="AY601" s="42"/>
      <c r="AZ601" s="42"/>
      <c r="BA601" s="42"/>
      <c r="BB601" s="42"/>
      <c r="BC601" s="42"/>
      <c r="BD601" s="42"/>
      <c r="BE601" s="42"/>
      <c r="BF601" s="42"/>
      <c r="BG601" s="42"/>
      <c r="BH601" s="42"/>
      <c r="BI601" s="42"/>
      <c r="BJ601" s="42"/>
      <c r="BK601" s="42"/>
      <c r="BL601" s="42"/>
      <c r="BM601" s="42"/>
    </row>
    <row r="602">
      <c r="A602" s="125"/>
      <c r="B602" s="267"/>
      <c r="C602" s="361"/>
      <c r="D602" s="42"/>
      <c r="E602" s="42"/>
      <c r="F602" s="42"/>
      <c r="G602" s="42"/>
      <c r="H602" s="42"/>
      <c r="I602" s="42"/>
      <c r="J602" s="42"/>
      <c r="K602" s="304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  <c r="AM602" s="42"/>
      <c r="AN602" s="42"/>
      <c r="AO602" s="42"/>
      <c r="AP602" s="42"/>
      <c r="AQ602" s="42"/>
      <c r="AR602" s="42"/>
      <c r="AS602" s="42"/>
      <c r="AT602" s="42"/>
      <c r="AU602" s="42"/>
      <c r="AV602" s="42"/>
      <c r="AW602" s="42"/>
      <c r="AX602" s="42"/>
      <c r="AY602" s="42"/>
      <c r="AZ602" s="42"/>
      <c r="BA602" s="42"/>
      <c r="BB602" s="42"/>
      <c r="BC602" s="42"/>
      <c r="BD602" s="42"/>
      <c r="BE602" s="42"/>
      <c r="BF602" s="42"/>
      <c r="BG602" s="42"/>
      <c r="BH602" s="42"/>
      <c r="BI602" s="42"/>
      <c r="BJ602" s="42"/>
      <c r="BK602" s="42"/>
      <c r="BL602" s="42"/>
      <c r="BM602" s="42"/>
    </row>
    <row r="603">
      <c r="A603" s="125"/>
      <c r="B603" s="267"/>
      <c r="C603" s="361"/>
      <c r="D603" s="42"/>
      <c r="E603" s="42"/>
      <c r="F603" s="42"/>
      <c r="G603" s="42"/>
      <c r="H603" s="42"/>
      <c r="I603" s="42"/>
      <c r="J603" s="42"/>
      <c r="K603" s="304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  <c r="AM603" s="42"/>
      <c r="AN603" s="42"/>
      <c r="AO603" s="42"/>
      <c r="AP603" s="42"/>
      <c r="AQ603" s="42"/>
      <c r="AR603" s="42"/>
      <c r="AS603" s="42"/>
      <c r="AT603" s="42"/>
      <c r="AU603" s="42"/>
      <c r="AV603" s="42"/>
      <c r="AW603" s="42"/>
      <c r="AX603" s="42"/>
      <c r="AY603" s="42"/>
      <c r="AZ603" s="42"/>
      <c r="BA603" s="42"/>
      <c r="BB603" s="42"/>
      <c r="BC603" s="42"/>
      <c r="BD603" s="42"/>
      <c r="BE603" s="42"/>
      <c r="BF603" s="42"/>
      <c r="BG603" s="42"/>
      <c r="BH603" s="42"/>
      <c r="BI603" s="42"/>
      <c r="BJ603" s="42"/>
      <c r="BK603" s="42"/>
      <c r="BL603" s="42"/>
      <c r="BM603" s="42"/>
    </row>
    <row r="604">
      <c r="A604" s="125"/>
      <c r="B604" s="267"/>
      <c r="C604" s="361"/>
      <c r="D604" s="42"/>
      <c r="E604" s="42"/>
      <c r="F604" s="42"/>
      <c r="G604" s="42"/>
      <c r="H604" s="42"/>
      <c r="I604" s="42"/>
      <c r="J604" s="42"/>
      <c r="K604" s="304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  <c r="AM604" s="42"/>
      <c r="AN604" s="42"/>
      <c r="AO604" s="42"/>
      <c r="AP604" s="42"/>
      <c r="AQ604" s="42"/>
      <c r="AR604" s="42"/>
      <c r="AS604" s="42"/>
      <c r="AT604" s="42"/>
      <c r="AU604" s="42"/>
      <c r="AV604" s="42"/>
      <c r="AW604" s="42"/>
      <c r="AX604" s="42"/>
      <c r="AY604" s="42"/>
      <c r="AZ604" s="42"/>
      <c r="BA604" s="42"/>
      <c r="BB604" s="42"/>
      <c r="BC604" s="42"/>
      <c r="BD604" s="42"/>
      <c r="BE604" s="42"/>
      <c r="BF604" s="42"/>
      <c r="BG604" s="42"/>
      <c r="BH604" s="42"/>
      <c r="BI604" s="42"/>
      <c r="BJ604" s="42"/>
      <c r="BK604" s="42"/>
      <c r="BL604" s="42"/>
      <c r="BM604" s="42"/>
    </row>
    <row r="605">
      <c r="A605" s="125"/>
      <c r="B605" s="267"/>
      <c r="C605" s="361"/>
      <c r="D605" s="42"/>
      <c r="E605" s="42"/>
      <c r="F605" s="42"/>
      <c r="G605" s="42"/>
      <c r="H605" s="42"/>
      <c r="I605" s="42"/>
      <c r="J605" s="42"/>
      <c r="K605" s="304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  <c r="AM605" s="42"/>
      <c r="AN605" s="42"/>
      <c r="AO605" s="42"/>
      <c r="AP605" s="42"/>
      <c r="AQ605" s="42"/>
      <c r="AR605" s="42"/>
      <c r="AS605" s="42"/>
      <c r="AT605" s="42"/>
      <c r="AU605" s="42"/>
      <c r="AV605" s="42"/>
      <c r="AW605" s="42"/>
      <c r="AX605" s="42"/>
      <c r="AY605" s="42"/>
      <c r="AZ605" s="42"/>
      <c r="BA605" s="42"/>
      <c r="BB605" s="42"/>
      <c r="BC605" s="42"/>
      <c r="BD605" s="42"/>
      <c r="BE605" s="42"/>
      <c r="BF605" s="42"/>
      <c r="BG605" s="42"/>
      <c r="BH605" s="42"/>
      <c r="BI605" s="42"/>
      <c r="BJ605" s="42"/>
      <c r="BK605" s="42"/>
      <c r="BL605" s="42"/>
      <c r="BM605" s="42"/>
    </row>
    <row r="606">
      <c r="A606" s="125"/>
      <c r="B606" s="267"/>
      <c r="C606" s="361"/>
      <c r="D606" s="42"/>
      <c r="E606" s="42"/>
      <c r="F606" s="42"/>
      <c r="G606" s="42"/>
      <c r="H606" s="42"/>
      <c r="I606" s="42"/>
      <c r="J606" s="42"/>
      <c r="K606" s="304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  <c r="AM606" s="42"/>
      <c r="AN606" s="42"/>
      <c r="AO606" s="42"/>
      <c r="AP606" s="42"/>
      <c r="AQ606" s="42"/>
      <c r="AR606" s="42"/>
      <c r="AS606" s="42"/>
      <c r="AT606" s="42"/>
      <c r="AU606" s="42"/>
      <c r="AV606" s="42"/>
      <c r="AW606" s="42"/>
      <c r="AX606" s="42"/>
      <c r="AY606" s="42"/>
      <c r="AZ606" s="42"/>
      <c r="BA606" s="42"/>
      <c r="BB606" s="42"/>
      <c r="BC606" s="42"/>
      <c r="BD606" s="42"/>
      <c r="BE606" s="42"/>
      <c r="BF606" s="42"/>
      <c r="BG606" s="42"/>
      <c r="BH606" s="42"/>
      <c r="BI606" s="42"/>
      <c r="BJ606" s="42"/>
      <c r="BK606" s="42"/>
      <c r="BL606" s="42"/>
      <c r="BM606" s="42"/>
    </row>
    <row r="607">
      <c r="A607" s="125"/>
      <c r="B607" s="267"/>
      <c r="C607" s="361"/>
      <c r="D607" s="42"/>
      <c r="E607" s="42"/>
      <c r="F607" s="42"/>
      <c r="G607" s="42"/>
      <c r="H607" s="42"/>
      <c r="I607" s="42"/>
      <c r="J607" s="42"/>
      <c r="K607" s="304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  <c r="AM607" s="42"/>
      <c r="AN607" s="42"/>
      <c r="AO607" s="42"/>
      <c r="AP607" s="42"/>
      <c r="AQ607" s="42"/>
      <c r="AR607" s="42"/>
      <c r="AS607" s="42"/>
      <c r="AT607" s="42"/>
      <c r="AU607" s="42"/>
      <c r="AV607" s="42"/>
      <c r="AW607" s="42"/>
      <c r="AX607" s="42"/>
      <c r="AY607" s="42"/>
      <c r="AZ607" s="42"/>
      <c r="BA607" s="42"/>
      <c r="BB607" s="42"/>
      <c r="BC607" s="42"/>
      <c r="BD607" s="42"/>
      <c r="BE607" s="42"/>
      <c r="BF607" s="42"/>
      <c r="BG607" s="42"/>
      <c r="BH607" s="42"/>
      <c r="BI607" s="42"/>
      <c r="BJ607" s="42"/>
      <c r="BK607" s="42"/>
      <c r="BL607" s="42"/>
      <c r="BM607" s="42"/>
    </row>
    <row r="608">
      <c r="A608" s="125"/>
      <c r="B608" s="267"/>
      <c r="C608" s="361"/>
      <c r="D608" s="42"/>
      <c r="E608" s="42"/>
      <c r="F608" s="42"/>
      <c r="G608" s="42"/>
      <c r="H608" s="42"/>
      <c r="I608" s="42"/>
      <c r="J608" s="42"/>
      <c r="K608" s="304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  <c r="AM608" s="42"/>
      <c r="AN608" s="42"/>
      <c r="AO608" s="42"/>
      <c r="AP608" s="42"/>
      <c r="AQ608" s="42"/>
      <c r="AR608" s="42"/>
      <c r="AS608" s="42"/>
      <c r="AT608" s="42"/>
      <c r="AU608" s="42"/>
      <c r="AV608" s="42"/>
      <c r="AW608" s="42"/>
      <c r="AX608" s="42"/>
      <c r="AY608" s="42"/>
      <c r="AZ608" s="42"/>
      <c r="BA608" s="42"/>
      <c r="BB608" s="42"/>
      <c r="BC608" s="42"/>
      <c r="BD608" s="42"/>
      <c r="BE608" s="42"/>
      <c r="BF608" s="42"/>
      <c r="BG608" s="42"/>
      <c r="BH608" s="42"/>
      <c r="BI608" s="42"/>
      <c r="BJ608" s="42"/>
      <c r="BK608" s="42"/>
      <c r="BL608" s="42"/>
      <c r="BM608" s="42"/>
    </row>
    <row r="609">
      <c r="A609" s="125"/>
      <c r="B609" s="267"/>
      <c r="C609" s="361"/>
      <c r="D609" s="42"/>
      <c r="E609" s="42"/>
      <c r="F609" s="42"/>
      <c r="G609" s="42"/>
      <c r="H609" s="42"/>
      <c r="I609" s="42"/>
      <c r="J609" s="42"/>
      <c r="K609" s="304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/>
      <c r="AW609" s="42"/>
      <c r="AX609" s="42"/>
      <c r="AY609" s="42"/>
      <c r="AZ609" s="42"/>
      <c r="BA609" s="42"/>
      <c r="BB609" s="42"/>
      <c r="BC609" s="42"/>
      <c r="BD609" s="42"/>
      <c r="BE609" s="42"/>
      <c r="BF609" s="42"/>
      <c r="BG609" s="42"/>
      <c r="BH609" s="42"/>
      <c r="BI609" s="42"/>
      <c r="BJ609" s="42"/>
      <c r="BK609" s="42"/>
      <c r="BL609" s="42"/>
      <c r="BM609" s="42"/>
    </row>
    <row r="610">
      <c r="A610" s="125"/>
      <c r="B610" s="267"/>
      <c r="C610" s="361"/>
      <c r="D610" s="42"/>
      <c r="E610" s="42"/>
      <c r="F610" s="42"/>
      <c r="G610" s="42"/>
      <c r="H610" s="42"/>
      <c r="I610" s="42"/>
      <c r="J610" s="42"/>
      <c r="K610" s="304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  <c r="AM610" s="42"/>
      <c r="AN610" s="42"/>
      <c r="AO610" s="42"/>
      <c r="AP610" s="42"/>
      <c r="AQ610" s="42"/>
      <c r="AR610" s="42"/>
      <c r="AS610" s="42"/>
      <c r="AT610" s="42"/>
      <c r="AU610" s="42"/>
      <c r="AV610" s="42"/>
      <c r="AW610" s="42"/>
      <c r="AX610" s="42"/>
      <c r="AY610" s="42"/>
      <c r="AZ610" s="42"/>
      <c r="BA610" s="42"/>
      <c r="BB610" s="42"/>
      <c r="BC610" s="42"/>
      <c r="BD610" s="42"/>
      <c r="BE610" s="42"/>
      <c r="BF610" s="42"/>
      <c r="BG610" s="42"/>
      <c r="BH610" s="42"/>
      <c r="BI610" s="42"/>
      <c r="BJ610" s="42"/>
      <c r="BK610" s="42"/>
      <c r="BL610" s="42"/>
      <c r="BM610" s="42"/>
    </row>
    <row r="611">
      <c r="A611" s="125"/>
      <c r="B611" s="267"/>
      <c r="C611" s="361"/>
      <c r="D611" s="42"/>
      <c r="E611" s="42"/>
      <c r="F611" s="42"/>
      <c r="G611" s="42"/>
      <c r="H611" s="42"/>
      <c r="I611" s="42"/>
      <c r="J611" s="42"/>
      <c r="K611" s="304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  <c r="AM611" s="42"/>
      <c r="AN611" s="42"/>
      <c r="AO611" s="42"/>
      <c r="AP611" s="42"/>
      <c r="AQ611" s="42"/>
      <c r="AR611" s="42"/>
      <c r="AS611" s="42"/>
      <c r="AT611" s="42"/>
      <c r="AU611" s="42"/>
      <c r="AV611" s="42"/>
      <c r="AW611" s="42"/>
      <c r="AX611" s="42"/>
      <c r="AY611" s="42"/>
      <c r="AZ611" s="42"/>
      <c r="BA611" s="42"/>
      <c r="BB611" s="42"/>
      <c r="BC611" s="42"/>
      <c r="BD611" s="42"/>
      <c r="BE611" s="42"/>
      <c r="BF611" s="42"/>
      <c r="BG611" s="42"/>
      <c r="BH611" s="42"/>
      <c r="BI611" s="42"/>
      <c r="BJ611" s="42"/>
      <c r="BK611" s="42"/>
      <c r="BL611" s="42"/>
      <c r="BM611" s="42"/>
    </row>
    <row r="612">
      <c r="A612" s="125"/>
      <c r="B612" s="267"/>
      <c r="C612" s="361"/>
      <c r="D612" s="42"/>
      <c r="E612" s="42"/>
      <c r="F612" s="42"/>
      <c r="G612" s="42"/>
      <c r="H612" s="42"/>
      <c r="I612" s="42"/>
      <c r="J612" s="42"/>
      <c r="K612" s="304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  <c r="AM612" s="42"/>
      <c r="AN612" s="42"/>
      <c r="AO612" s="42"/>
      <c r="AP612" s="42"/>
      <c r="AQ612" s="42"/>
      <c r="AR612" s="42"/>
      <c r="AS612" s="42"/>
      <c r="AT612" s="42"/>
      <c r="AU612" s="42"/>
      <c r="AV612" s="42"/>
      <c r="AW612" s="42"/>
      <c r="AX612" s="42"/>
      <c r="AY612" s="42"/>
      <c r="AZ612" s="42"/>
      <c r="BA612" s="42"/>
      <c r="BB612" s="42"/>
      <c r="BC612" s="42"/>
      <c r="BD612" s="42"/>
      <c r="BE612" s="42"/>
      <c r="BF612" s="42"/>
      <c r="BG612" s="42"/>
      <c r="BH612" s="42"/>
      <c r="BI612" s="42"/>
      <c r="BJ612" s="42"/>
      <c r="BK612" s="42"/>
      <c r="BL612" s="42"/>
      <c r="BM612" s="42"/>
    </row>
    <row r="613">
      <c r="A613" s="125"/>
      <c r="B613" s="267"/>
      <c r="C613" s="361"/>
      <c r="D613" s="42"/>
      <c r="E613" s="42"/>
      <c r="F613" s="42"/>
      <c r="G613" s="42"/>
      <c r="H613" s="42"/>
      <c r="I613" s="42"/>
      <c r="J613" s="42"/>
      <c r="K613" s="304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  <c r="AM613" s="42"/>
      <c r="AN613" s="42"/>
      <c r="AO613" s="42"/>
      <c r="AP613" s="42"/>
      <c r="AQ613" s="42"/>
      <c r="AR613" s="42"/>
      <c r="AS613" s="42"/>
      <c r="AT613" s="42"/>
      <c r="AU613" s="42"/>
      <c r="AV613" s="42"/>
      <c r="AW613" s="42"/>
      <c r="AX613" s="42"/>
      <c r="AY613" s="42"/>
      <c r="AZ613" s="42"/>
      <c r="BA613" s="42"/>
      <c r="BB613" s="42"/>
      <c r="BC613" s="42"/>
      <c r="BD613" s="42"/>
      <c r="BE613" s="42"/>
      <c r="BF613" s="42"/>
      <c r="BG613" s="42"/>
      <c r="BH613" s="42"/>
      <c r="BI613" s="42"/>
      <c r="BJ613" s="42"/>
      <c r="BK613" s="42"/>
      <c r="BL613" s="42"/>
      <c r="BM613" s="42"/>
    </row>
    <row r="614">
      <c r="A614" s="125"/>
      <c r="B614" s="267"/>
      <c r="C614" s="361"/>
      <c r="D614" s="42"/>
      <c r="E614" s="42"/>
      <c r="F614" s="42"/>
      <c r="G614" s="42"/>
      <c r="H614" s="42"/>
      <c r="I614" s="42"/>
      <c r="J614" s="42"/>
      <c r="K614" s="304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  <c r="AM614" s="42"/>
      <c r="AN614" s="42"/>
      <c r="AO614" s="42"/>
      <c r="AP614" s="42"/>
      <c r="AQ614" s="42"/>
      <c r="AR614" s="42"/>
      <c r="AS614" s="42"/>
      <c r="AT614" s="42"/>
      <c r="AU614" s="42"/>
      <c r="AV614" s="42"/>
      <c r="AW614" s="42"/>
      <c r="AX614" s="42"/>
      <c r="AY614" s="42"/>
      <c r="AZ614" s="42"/>
      <c r="BA614" s="42"/>
      <c r="BB614" s="42"/>
      <c r="BC614" s="42"/>
      <c r="BD614" s="42"/>
      <c r="BE614" s="42"/>
      <c r="BF614" s="42"/>
      <c r="BG614" s="42"/>
      <c r="BH614" s="42"/>
      <c r="BI614" s="42"/>
      <c r="BJ614" s="42"/>
      <c r="BK614" s="42"/>
      <c r="BL614" s="42"/>
      <c r="BM614" s="42"/>
    </row>
    <row r="615">
      <c r="A615" s="125"/>
      <c r="B615" s="267"/>
      <c r="C615" s="361"/>
      <c r="D615" s="42"/>
      <c r="E615" s="42"/>
      <c r="F615" s="42"/>
      <c r="G615" s="42"/>
      <c r="H615" s="42"/>
      <c r="I615" s="42"/>
      <c r="J615" s="42"/>
      <c r="K615" s="304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  <c r="AM615" s="42"/>
      <c r="AN615" s="42"/>
      <c r="AO615" s="42"/>
      <c r="AP615" s="42"/>
      <c r="AQ615" s="42"/>
      <c r="AR615" s="42"/>
      <c r="AS615" s="42"/>
      <c r="AT615" s="42"/>
      <c r="AU615" s="42"/>
      <c r="AV615" s="42"/>
      <c r="AW615" s="42"/>
      <c r="AX615" s="42"/>
      <c r="AY615" s="42"/>
      <c r="AZ615" s="42"/>
      <c r="BA615" s="42"/>
      <c r="BB615" s="42"/>
      <c r="BC615" s="42"/>
      <c r="BD615" s="42"/>
      <c r="BE615" s="42"/>
      <c r="BF615" s="42"/>
      <c r="BG615" s="42"/>
      <c r="BH615" s="42"/>
      <c r="BI615" s="42"/>
      <c r="BJ615" s="42"/>
      <c r="BK615" s="42"/>
      <c r="BL615" s="42"/>
      <c r="BM615" s="42"/>
    </row>
    <row r="616">
      <c r="A616" s="125"/>
      <c r="B616" s="267"/>
      <c r="C616" s="361"/>
      <c r="D616" s="42"/>
      <c r="E616" s="42"/>
      <c r="F616" s="42"/>
      <c r="G616" s="42"/>
      <c r="H616" s="42"/>
      <c r="I616" s="42"/>
      <c r="J616" s="42"/>
      <c r="K616" s="304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  <c r="AN616" s="42"/>
      <c r="AO616" s="42"/>
      <c r="AP616" s="42"/>
      <c r="AQ616" s="42"/>
      <c r="AR616" s="42"/>
      <c r="AS616" s="42"/>
      <c r="AT616" s="42"/>
      <c r="AU616" s="42"/>
      <c r="AV616" s="42"/>
      <c r="AW616" s="42"/>
      <c r="AX616" s="42"/>
      <c r="AY616" s="42"/>
      <c r="AZ616" s="42"/>
      <c r="BA616" s="42"/>
      <c r="BB616" s="42"/>
      <c r="BC616" s="42"/>
      <c r="BD616" s="42"/>
      <c r="BE616" s="42"/>
      <c r="BF616" s="42"/>
      <c r="BG616" s="42"/>
      <c r="BH616" s="42"/>
      <c r="BI616" s="42"/>
      <c r="BJ616" s="42"/>
      <c r="BK616" s="42"/>
      <c r="BL616" s="42"/>
      <c r="BM616" s="42"/>
    </row>
    <row r="617">
      <c r="A617" s="125"/>
      <c r="B617" s="267"/>
      <c r="C617" s="361"/>
      <c r="D617" s="42"/>
      <c r="E617" s="42"/>
      <c r="F617" s="42"/>
      <c r="G617" s="42"/>
      <c r="H617" s="42"/>
      <c r="I617" s="42"/>
      <c r="J617" s="42"/>
      <c r="K617" s="304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  <c r="AM617" s="42"/>
      <c r="AN617" s="42"/>
      <c r="AO617" s="42"/>
      <c r="AP617" s="42"/>
      <c r="AQ617" s="42"/>
      <c r="AR617" s="42"/>
      <c r="AS617" s="42"/>
      <c r="AT617" s="42"/>
      <c r="AU617" s="42"/>
      <c r="AV617" s="42"/>
      <c r="AW617" s="42"/>
      <c r="AX617" s="42"/>
      <c r="AY617" s="42"/>
      <c r="AZ617" s="42"/>
      <c r="BA617" s="42"/>
      <c r="BB617" s="42"/>
      <c r="BC617" s="42"/>
      <c r="BD617" s="42"/>
      <c r="BE617" s="42"/>
      <c r="BF617" s="42"/>
      <c r="BG617" s="42"/>
      <c r="BH617" s="42"/>
      <c r="BI617" s="42"/>
      <c r="BJ617" s="42"/>
      <c r="BK617" s="42"/>
      <c r="BL617" s="42"/>
      <c r="BM617" s="42"/>
    </row>
    <row r="618">
      <c r="A618" s="125"/>
      <c r="B618" s="267"/>
      <c r="C618" s="361"/>
      <c r="D618" s="42"/>
      <c r="E618" s="42"/>
      <c r="F618" s="42"/>
      <c r="G618" s="42"/>
      <c r="H618" s="42"/>
      <c r="I618" s="42"/>
      <c r="J618" s="42"/>
      <c r="K618" s="304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  <c r="AM618" s="42"/>
      <c r="AN618" s="42"/>
      <c r="AO618" s="42"/>
      <c r="AP618" s="42"/>
      <c r="AQ618" s="42"/>
      <c r="AR618" s="42"/>
      <c r="AS618" s="42"/>
      <c r="AT618" s="42"/>
      <c r="AU618" s="42"/>
      <c r="AV618" s="42"/>
      <c r="AW618" s="42"/>
      <c r="AX618" s="42"/>
      <c r="AY618" s="42"/>
      <c r="AZ618" s="42"/>
      <c r="BA618" s="42"/>
      <c r="BB618" s="42"/>
      <c r="BC618" s="42"/>
      <c r="BD618" s="42"/>
      <c r="BE618" s="42"/>
      <c r="BF618" s="42"/>
      <c r="BG618" s="42"/>
      <c r="BH618" s="42"/>
      <c r="BI618" s="42"/>
      <c r="BJ618" s="42"/>
      <c r="BK618" s="42"/>
      <c r="BL618" s="42"/>
      <c r="BM618" s="42"/>
    </row>
    <row r="619">
      <c r="A619" s="125"/>
      <c r="B619" s="267"/>
      <c r="C619" s="361"/>
      <c r="D619" s="42"/>
      <c r="E619" s="42"/>
      <c r="F619" s="42"/>
      <c r="G619" s="42"/>
      <c r="H619" s="42"/>
      <c r="I619" s="42"/>
      <c r="J619" s="42"/>
      <c r="K619" s="304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  <c r="AM619" s="42"/>
      <c r="AN619" s="42"/>
      <c r="AO619" s="42"/>
      <c r="AP619" s="42"/>
      <c r="AQ619" s="42"/>
      <c r="AR619" s="42"/>
      <c r="AS619" s="42"/>
      <c r="AT619" s="42"/>
      <c r="AU619" s="42"/>
      <c r="AV619" s="42"/>
      <c r="AW619" s="42"/>
      <c r="AX619" s="42"/>
      <c r="AY619" s="42"/>
      <c r="AZ619" s="42"/>
      <c r="BA619" s="42"/>
      <c r="BB619" s="42"/>
      <c r="BC619" s="42"/>
      <c r="BD619" s="42"/>
      <c r="BE619" s="42"/>
      <c r="BF619" s="42"/>
      <c r="BG619" s="42"/>
      <c r="BH619" s="42"/>
      <c r="BI619" s="42"/>
      <c r="BJ619" s="42"/>
      <c r="BK619" s="42"/>
      <c r="BL619" s="42"/>
      <c r="BM619" s="42"/>
    </row>
    <row r="620">
      <c r="A620" s="125"/>
      <c r="B620" s="267"/>
      <c r="C620" s="361"/>
      <c r="D620" s="42"/>
      <c r="E620" s="42"/>
      <c r="F620" s="42"/>
      <c r="G620" s="42"/>
      <c r="H620" s="42"/>
      <c r="I620" s="42"/>
      <c r="J620" s="42"/>
      <c r="K620" s="304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  <c r="AM620" s="42"/>
      <c r="AN620" s="42"/>
      <c r="AO620" s="42"/>
      <c r="AP620" s="42"/>
      <c r="AQ620" s="42"/>
      <c r="AR620" s="42"/>
      <c r="AS620" s="42"/>
      <c r="AT620" s="42"/>
      <c r="AU620" s="42"/>
      <c r="AV620" s="42"/>
      <c r="AW620" s="42"/>
      <c r="AX620" s="42"/>
      <c r="AY620" s="42"/>
      <c r="AZ620" s="42"/>
      <c r="BA620" s="42"/>
      <c r="BB620" s="42"/>
      <c r="BC620" s="42"/>
      <c r="BD620" s="42"/>
      <c r="BE620" s="42"/>
      <c r="BF620" s="42"/>
      <c r="BG620" s="42"/>
      <c r="BH620" s="42"/>
      <c r="BI620" s="42"/>
      <c r="BJ620" s="42"/>
      <c r="BK620" s="42"/>
      <c r="BL620" s="42"/>
      <c r="BM620" s="42"/>
    </row>
    <row r="621">
      <c r="A621" s="125"/>
      <c r="B621" s="267"/>
      <c r="C621" s="361"/>
      <c r="D621" s="42"/>
      <c r="E621" s="42"/>
      <c r="F621" s="42"/>
      <c r="G621" s="42"/>
      <c r="H621" s="42"/>
      <c r="I621" s="42"/>
      <c r="J621" s="42"/>
      <c r="K621" s="304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  <c r="AM621" s="42"/>
      <c r="AN621" s="42"/>
      <c r="AO621" s="42"/>
      <c r="AP621" s="42"/>
      <c r="AQ621" s="42"/>
      <c r="AR621" s="42"/>
      <c r="AS621" s="42"/>
      <c r="AT621" s="42"/>
      <c r="AU621" s="42"/>
      <c r="AV621" s="42"/>
      <c r="AW621" s="42"/>
      <c r="AX621" s="42"/>
      <c r="AY621" s="42"/>
      <c r="AZ621" s="42"/>
      <c r="BA621" s="42"/>
      <c r="BB621" s="42"/>
      <c r="BC621" s="42"/>
      <c r="BD621" s="42"/>
      <c r="BE621" s="42"/>
      <c r="BF621" s="42"/>
      <c r="BG621" s="42"/>
      <c r="BH621" s="42"/>
      <c r="BI621" s="42"/>
      <c r="BJ621" s="42"/>
      <c r="BK621" s="42"/>
      <c r="BL621" s="42"/>
      <c r="BM621" s="42"/>
    </row>
    <row r="622">
      <c r="A622" s="125"/>
      <c r="B622" s="267"/>
      <c r="C622" s="361"/>
      <c r="D622" s="42"/>
      <c r="E622" s="42"/>
      <c r="F622" s="42"/>
      <c r="G622" s="42"/>
      <c r="H622" s="42"/>
      <c r="I622" s="42"/>
      <c r="J622" s="42"/>
      <c r="K622" s="304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  <c r="AM622" s="42"/>
      <c r="AN622" s="42"/>
      <c r="AO622" s="42"/>
      <c r="AP622" s="42"/>
      <c r="AQ622" s="42"/>
      <c r="AR622" s="42"/>
      <c r="AS622" s="42"/>
      <c r="AT622" s="42"/>
      <c r="AU622" s="42"/>
      <c r="AV622" s="42"/>
      <c r="AW622" s="42"/>
      <c r="AX622" s="42"/>
      <c r="AY622" s="42"/>
      <c r="AZ622" s="42"/>
      <c r="BA622" s="42"/>
      <c r="BB622" s="42"/>
      <c r="BC622" s="42"/>
      <c r="BD622" s="42"/>
      <c r="BE622" s="42"/>
      <c r="BF622" s="42"/>
      <c r="BG622" s="42"/>
      <c r="BH622" s="42"/>
      <c r="BI622" s="42"/>
      <c r="BJ622" s="42"/>
      <c r="BK622" s="42"/>
      <c r="BL622" s="42"/>
      <c r="BM622" s="42"/>
    </row>
    <row r="623">
      <c r="A623" s="125"/>
      <c r="B623" s="267"/>
      <c r="C623" s="361"/>
      <c r="D623" s="42"/>
      <c r="E623" s="42"/>
      <c r="F623" s="42"/>
      <c r="G623" s="42"/>
      <c r="H623" s="42"/>
      <c r="I623" s="42"/>
      <c r="J623" s="42"/>
      <c r="K623" s="304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  <c r="AM623" s="42"/>
      <c r="AN623" s="42"/>
      <c r="AO623" s="42"/>
      <c r="AP623" s="42"/>
      <c r="AQ623" s="42"/>
      <c r="AR623" s="42"/>
      <c r="AS623" s="42"/>
      <c r="AT623" s="42"/>
      <c r="AU623" s="42"/>
      <c r="AV623" s="42"/>
      <c r="AW623" s="42"/>
      <c r="AX623" s="42"/>
      <c r="AY623" s="42"/>
      <c r="AZ623" s="42"/>
      <c r="BA623" s="42"/>
      <c r="BB623" s="42"/>
      <c r="BC623" s="42"/>
      <c r="BD623" s="42"/>
      <c r="BE623" s="42"/>
      <c r="BF623" s="42"/>
      <c r="BG623" s="42"/>
      <c r="BH623" s="42"/>
      <c r="BI623" s="42"/>
      <c r="BJ623" s="42"/>
      <c r="BK623" s="42"/>
      <c r="BL623" s="42"/>
      <c r="BM623" s="42"/>
    </row>
    <row r="624">
      <c r="A624" s="125"/>
      <c r="B624" s="267"/>
      <c r="C624" s="361"/>
      <c r="D624" s="42"/>
      <c r="E624" s="42"/>
      <c r="F624" s="42"/>
      <c r="G624" s="42"/>
      <c r="H624" s="42"/>
      <c r="I624" s="42"/>
      <c r="J624" s="42"/>
      <c r="K624" s="304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  <c r="AM624" s="42"/>
      <c r="AN624" s="42"/>
      <c r="AO624" s="42"/>
      <c r="AP624" s="42"/>
      <c r="AQ624" s="42"/>
      <c r="AR624" s="42"/>
      <c r="AS624" s="42"/>
      <c r="AT624" s="42"/>
      <c r="AU624" s="42"/>
      <c r="AV624" s="42"/>
      <c r="AW624" s="42"/>
      <c r="AX624" s="42"/>
      <c r="AY624" s="42"/>
      <c r="AZ624" s="42"/>
      <c r="BA624" s="42"/>
      <c r="BB624" s="42"/>
      <c r="BC624" s="42"/>
      <c r="BD624" s="42"/>
      <c r="BE624" s="42"/>
      <c r="BF624" s="42"/>
      <c r="BG624" s="42"/>
      <c r="BH624" s="42"/>
      <c r="BI624" s="42"/>
      <c r="BJ624" s="42"/>
      <c r="BK624" s="42"/>
      <c r="BL624" s="42"/>
      <c r="BM624" s="42"/>
    </row>
    <row r="625">
      <c r="A625" s="125"/>
      <c r="B625" s="267"/>
      <c r="C625" s="361"/>
      <c r="D625" s="42"/>
      <c r="E625" s="42"/>
      <c r="F625" s="42"/>
      <c r="G625" s="42"/>
      <c r="H625" s="42"/>
      <c r="I625" s="42"/>
      <c r="J625" s="42"/>
      <c r="K625" s="304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  <c r="AM625" s="42"/>
      <c r="AN625" s="42"/>
      <c r="AO625" s="42"/>
      <c r="AP625" s="42"/>
      <c r="AQ625" s="42"/>
      <c r="AR625" s="42"/>
      <c r="AS625" s="42"/>
      <c r="AT625" s="42"/>
      <c r="AU625" s="42"/>
      <c r="AV625" s="42"/>
      <c r="AW625" s="42"/>
      <c r="AX625" s="42"/>
      <c r="AY625" s="42"/>
      <c r="AZ625" s="42"/>
      <c r="BA625" s="42"/>
      <c r="BB625" s="42"/>
      <c r="BC625" s="42"/>
      <c r="BD625" s="42"/>
      <c r="BE625" s="42"/>
      <c r="BF625" s="42"/>
      <c r="BG625" s="42"/>
      <c r="BH625" s="42"/>
      <c r="BI625" s="42"/>
      <c r="BJ625" s="42"/>
      <c r="BK625" s="42"/>
      <c r="BL625" s="42"/>
      <c r="BM625" s="42"/>
    </row>
    <row r="626">
      <c r="A626" s="125"/>
      <c r="B626" s="267"/>
      <c r="C626" s="361"/>
      <c r="D626" s="42"/>
      <c r="E626" s="42"/>
      <c r="F626" s="42"/>
      <c r="G626" s="42"/>
      <c r="H626" s="42"/>
      <c r="I626" s="42"/>
      <c r="J626" s="42"/>
      <c r="K626" s="304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  <c r="AM626" s="42"/>
      <c r="AN626" s="42"/>
      <c r="AO626" s="42"/>
      <c r="AP626" s="42"/>
      <c r="AQ626" s="42"/>
      <c r="AR626" s="42"/>
      <c r="AS626" s="42"/>
      <c r="AT626" s="42"/>
      <c r="AU626" s="42"/>
      <c r="AV626" s="42"/>
      <c r="AW626" s="42"/>
      <c r="AX626" s="42"/>
      <c r="AY626" s="42"/>
      <c r="AZ626" s="42"/>
      <c r="BA626" s="42"/>
      <c r="BB626" s="42"/>
      <c r="BC626" s="42"/>
      <c r="BD626" s="42"/>
      <c r="BE626" s="42"/>
      <c r="BF626" s="42"/>
      <c r="BG626" s="42"/>
      <c r="BH626" s="42"/>
      <c r="BI626" s="42"/>
      <c r="BJ626" s="42"/>
      <c r="BK626" s="42"/>
      <c r="BL626" s="42"/>
      <c r="BM626" s="42"/>
    </row>
    <row r="627">
      <c r="A627" s="125"/>
      <c r="B627" s="267"/>
      <c r="C627" s="361"/>
      <c r="D627" s="42"/>
      <c r="E627" s="42"/>
      <c r="F627" s="42"/>
      <c r="G627" s="42"/>
      <c r="H627" s="42"/>
      <c r="I627" s="42"/>
      <c r="J627" s="42"/>
      <c r="K627" s="304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  <c r="AR627" s="42"/>
      <c r="AS627" s="42"/>
      <c r="AT627" s="42"/>
      <c r="AU627" s="42"/>
      <c r="AV627" s="42"/>
      <c r="AW627" s="42"/>
      <c r="AX627" s="42"/>
      <c r="AY627" s="42"/>
      <c r="AZ627" s="42"/>
      <c r="BA627" s="42"/>
      <c r="BB627" s="42"/>
      <c r="BC627" s="42"/>
      <c r="BD627" s="42"/>
      <c r="BE627" s="42"/>
      <c r="BF627" s="42"/>
      <c r="BG627" s="42"/>
      <c r="BH627" s="42"/>
      <c r="BI627" s="42"/>
      <c r="BJ627" s="42"/>
      <c r="BK627" s="42"/>
      <c r="BL627" s="42"/>
      <c r="BM627" s="42"/>
    </row>
    <row r="628">
      <c r="A628" s="125"/>
      <c r="B628" s="267"/>
      <c r="C628" s="361"/>
      <c r="D628" s="42"/>
      <c r="E628" s="42"/>
      <c r="F628" s="42"/>
      <c r="G628" s="42"/>
      <c r="H628" s="42"/>
      <c r="I628" s="42"/>
      <c r="J628" s="42"/>
      <c r="K628" s="304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/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/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</row>
    <row r="629">
      <c r="A629" s="125"/>
      <c r="B629" s="267"/>
      <c r="C629" s="361"/>
      <c r="D629" s="42"/>
      <c r="E629" s="42"/>
      <c r="F629" s="42"/>
      <c r="G629" s="42"/>
      <c r="H629" s="42"/>
      <c r="I629" s="42"/>
      <c r="J629" s="42"/>
      <c r="K629" s="304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  <c r="AM629" s="42"/>
      <c r="AN629" s="42"/>
      <c r="AO629" s="42"/>
      <c r="AP629" s="42"/>
      <c r="AQ629" s="42"/>
      <c r="AR629" s="42"/>
      <c r="AS629" s="42"/>
      <c r="AT629" s="42"/>
      <c r="AU629" s="42"/>
      <c r="AV629" s="42"/>
      <c r="AW629" s="42"/>
      <c r="AX629" s="42"/>
      <c r="AY629" s="42"/>
      <c r="AZ629" s="42"/>
      <c r="BA629" s="42"/>
      <c r="BB629" s="42"/>
      <c r="BC629" s="42"/>
      <c r="BD629" s="42"/>
      <c r="BE629" s="42"/>
      <c r="BF629" s="42"/>
      <c r="BG629" s="42"/>
      <c r="BH629" s="42"/>
      <c r="BI629" s="42"/>
      <c r="BJ629" s="42"/>
      <c r="BK629" s="42"/>
      <c r="BL629" s="42"/>
      <c r="BM629" s="42"/>
    </row>
    <row r="630">
      <c r="A630" s="125"/>
      <c r="B630" s="267"/>
      <c r="C630" s="361"/>
      <c r="D630" s="42"/>
      <c r="E630" s="42"/>
      <c r="F630" s="42"/>
      <c r="G630" s="42"/>
      <c r="H630" s="42"/>
      <c r="I630" s="42"/>
      <c r="J630" s="42"/>
      <c r="K630" s="304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  <c r="AM630" s="42"/>
      <c r="AN630" s="42"/>
      <c r="AO630" s="42"/>
      <c r="AP630" s="42"/>
      <c r="AQ630" s="42"/>
      <c r="AR630" s="42"/>
      <c r="AS630" s="42"/>
      <c r="AT630" s="42"/>
      <c r="AU630" s="42"/>
      <c r="AV630" s="42"/>
      <c r="AW630" s="42"/>
      <c r="AX630" s="42"/>
      <c r="AY630" s="42"/>
      <c r="AZ630" s="42"/>
      <c r="BA630" s="42"/>
      <c r="BB630" s="42"/>
      <c r="BC630" s="42"/>
      <c r="BD630" s="42"/>
      <c r="BE630" s="42"/>
      <c r="BF630" s="42"/>
      <c r="BG630" s="42"/>
      <c r="BH630" s="42"/>
      <c r="BI630" s="42"/>
      <c r="BJ630" s="42"/>
      <c r="BK630" s="42"/>
      <c r="BL630" s="42"/>
      <c r="BM630" s="42"/>
    </row>
    <row r="631">
      <c r="A631" s="125"/>
      <c r="B631" s="267"/>
      <c r="C631" s="361"/>
      <c r="D631" s="42"/>
      <c r="E631" s="42"/>
      <c r="F631" s="42"/>
      <c r="G631" s="42"/>
      <c r="H631" s="42"/>
      <c r="I631" s="42"/>
      <c r="J631" s="42"/>
      <c r="K631" s="304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  <c r="AM631" s="42"/>
      <c r="AN631" s="42"/>
      <c r="AO631" s="42"/>
      <c r="AP631" s="42"/>
      <c r="AQ631" s="42"/>
      <c r="AR631" s="42"/>
      <c r="AS631" s="42"/>
      <c r="AT631" s="42"/>
      <c r="AU631" s="42"/>
      <c r="AV631" s="42"/>
      <c r="AW631" s="42"/>
      <c r="AX631" s="42"/>
      <c r="AY631" s="42"/>
      <c r="AZ631" s="42"/>
      <c r="BA631" s="42"/>
      <c r="BB631" s="42"/>
      <c r="BC631" s="42"/>
      <c r="BD631" s="42"/>
      <c r="BE631" s="42"/>
      <c r="BF631" s="42"/>
      <c r="BG631" s="42"/>
      <c r="BH631" s="42"/>
      <c r="BI631" s="42"/>
      <c r="BJ631" s="42"/>
      <c r="BK631" s="42"/>
      <c r="BL631" s="42"/>
      <c r="BM631" s="42"/>
    </row>
    <row r="632">
      <c r="A632" s="125"/>
      <c r="B632" s="267"/>
      <c r="C632" s="361"/>
      <c r="D632" s="42"/>
      <c r="E632" s="42"/>
      <c r="F632" s="42"/>
      <c r="G632" s="42"/>
      <c r="H632" s="42"/>
      <c r="I632" s="42"/>
      <c r="J632" s="42"/>
      <c r="K632" s="304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  <c r="AM632" s="42"/>
      <c r="AN632" s="42"/>
      <c r="AO632" s="42"/>
      <c r="AP632" s="42"/>
      <c r="AQ632" s="42"/>
      <c r="AR632" s="42"/>
      <c r="AS632" s="42"/>
      <c r="AT632" s="42"/>
      <c r="AU632" s="42"/>
      <c r="AV632" s="42"/>
      <c r="AW632" s="42"/>
      <c r="AX632" s="42"/>
      <c r="AY632" s="42"/>
      <c r="AZ632" s="42"/>
      <c r="BA632" s="42"/>
      <c r="BB632" s="42"/>
      <c r="BC632" s="42"/>
      <c r="BD632" s="42"/>
      <c r="BE632" s="42"/>
      <c r="BF632" s="42"/>
      <c r="BG632" s="42"/>
      <c r="BH632" s="42"/>
      <c r="BI632" s="42"/>
      <c r="BJ632" s="42"/>
      <c r="BK632" s="42"/>
      <c r="BL632" s="42"/>
      <c r="BM632" s="42"/>
    </row>
    <row r="633">
      <c r="A633" s="125"/>
      <c r="B633" s="267"/>
      <c r="C633" s="361"/>
      <c r="D633" s="42"/>
      <c r="E633" s="42"/>
      <c r="F633" s="42"/>
      <c r="G633" s="42"/>
      <c r="H633" s="42"/>
      <c r="I633" s="42"/>
      <c r="J633" s="42"/>
      <c r="K633" s="304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/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/>
      <c r="BB633" s="42"/>
      <c r="BC633" s="42"/>
      <c r="BD633" s="42"/>
      <c r="BE633" s="42"/>
      <c r="BF633" s="42"/>
      <c r="BG633" s="42"/>
      <c r="BH633" s="42"/>
      <c r="BI633" s="42"/>
      <c r="BJ633" s="42"/>
      <c r="BK633" s="42"/>
      <c r="BL633" s="42"/>
      <c r="BM633" s="42"/>
    </row>
    <row r="634">
      <c r="A634" s="125"/>
      <c r="B634" s="267"/>
      <c r="C634" s="361"/>
      <c r="D634" s="42"/>
      <c r="E634" s="42"/>
      <c r="F634" s="42"/>
      <c r="G634" s="42"/>
      <c r="H634" s="42"/>
      <c r="I634" s="42"/>
      <c r="J634" s="42"/>
      <c r="K634" s="304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  <c r="AM634" s="42"/>
      <c r="AN634" s="42"/>
      <c r="AO634" s="42"/>
      <c r="AP634" s="42"/>
      <c r="AQ634" s="42"/>
      <c r="AR634" s="42"/>
      <c r="AS634" s="42"/>
      <c r="AT634" s="42"/>
      <c r="AU634" s="42"/>
      <c r="AV634" s="42"/>
      <c r="AW634" s="42"/>
      <c r="AX634" s="42"/>
      <c r="AY634" s="42"/>
      <c r="AZ634" s="42"/>
      <c r="BA634" s="42"/>
      <c r="BB634" s="42"/>
      <c r="BC634" s="42"/>
      <c r="BD634" s="42"/>
      <c r="BE634" s="42"/>
      <c r="BF634" s="42"/>
      <c r="BG634" s="42"/>
      <c r="BH634" s="42"/>
      <c r="BI634" s="42"/>
      <c r="BJ634" s="42"/>
      <c r="BK634" s="42"/>
      <c r="BL634" s="42"/>
      <c r="BM634" s="42"/>
    </row>
    <row r="635">
      <c r="A635" s="125"/>
      <c r="B635" s="267"/>
      <c r="C635" s="361"/>
      <c r="D635" s="42"/>
      <c r="E635" s="42"/>
      <c r="F635" s="42"/>
      <c r="G635" s="42"/>
      <c r="H635" s="42"/>
      <c r="I635" s="42"/>
      <c r="J635" s="42"/>
      <c r="K635" s="304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  <c r="AM635" s="42"/>
      <c r="AN635" s="42"/>
      <c r="AO635" s="42"/>
      <c r="AP635" s="42"/>
      <c r="AQ635" s="42"/>
      <c r="AR635" s="42"/>
      <c r="AS635" s="42"/>
      <c r="AT635" s="42"/>
      <c r="AU635" s="42"/>
      <c r="AV635" s="42"/>
      <c r="AW635" s="42"/>
      <c r="AX635" s="42"/>
      <c r="AY635" s="42"/>
      <c r="AZ635" s="42"/>
      <c r="BA635" s="42"/>
      <c r="BB635" s="42"/>
      <c r="BC635" s="42"/>
      <c r="BD635" s="42"/>
      <c r="BE635" s="42"/>
      <c r="BF635" s="42"/>
      <c r="BG635" s="42"/>
      <c r="BH635" s="42"/>
      <c r="BI635" s="42"/>
      <c r="BJ635" s="42"/>
      <c r="BK635" s="42"/>
      <c r="BL635" s="42"/>
      <c r="BM635" s="42"/>
    </row>
    <row r="636">
      <c r="A636" s="125"/>
      <c r="B636" s="267"/>
      <c r="C636" s="361"/>
      <c r="D636" s="42"/>
      <c r="E636" s="42"/>
      <c r="F636" s="42"/>
      <c r="G636" s="42"/>
      <c r="H636" s="42"/>
      <c r="I636" s="42"/>
      <c r="J636" s="42"/>
      <c r="K636" s="304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/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/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  <c r="BM636" s="42"/>
    </row>
    <row r="637">
      <c r="A637" s="125"/>
      <c r="B637" s="267"/>
      <c r="C637" s="361"/>
      <c r="D637" s="42"/>
      <c r="E637" s="42"/>
      <c r="F637" s="42"/>
      <c r="G637" s="42"/>
      <c r="H637" s="42"/>
      <c r="I637" s="42"/>
      <c r="J637" s="42"/>
      <c r="K637" s="304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  <c r="AM637" s="42"/>
      <c r="AN637" s="42"/>
      <c r="AO637" s="42"/>
      <c r="AP637" s="42"/>
      <c r="AQ637" s="42"/>
      <c r="AR637" s="42"/>
      <c r="AS637" s="42"/>
      <c r="AT637" s="42"/>
      <c r="AU637" s="42"/>
      <c r="AV637" s="42"/>
      <c r="AW637" s="42"/>
      <c r="AX637" s="42"/>
      <c r="AY637" s="42"/>
      <c r="AZ637" s="42"/>
      <c r="BA637" s="42"/>
      <c r="BB637" s="42"/>
      <c r="BC637" s="42"/>
      <c r="BD637" s="42"/>
      <c r="BE637" s="42"/>
      <c r="BF637" s="42"/>
      <c r="BG637" s="42"/>
      <c r="BH637" s="42"/>
      <c r="BI637" s="42"/>
      <c r="BJ637" s="42"/>
      <c r="BK637" s="42"/>
      <c r="BL637" s="42"/>
      <c r="BM637" s="42"/>
    </row>
    <row r="638">
      <c r="A638" s="125"/>
      <c r="B638" s="267"/>
      <c r="C638" s="361"/>
      <c r="D638" s="42"/>
      <c r="E638" s="42"/>
      <c r="F638" s="42"/>
      <c r="G638" s="42"/>
      <c r="H638" s="42"/>
      <c r="I638" s="42"/>
      <c r="J638" s="42"/>
      <c r="K638" s="304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  <c r="AM638" s="42"/>
      <c r="AN638" s="42"/>
      <c r="AO638" s="42"/>
      <c r="AP638" s="42"/>
      <c r="AQ638" s="42"/>
      <c r="AR638" s="42"/>
      <c r="AS638" s="42"/>
      <c r="AT638" s="42"/>
      <c r="AU638" s="42"/>
      <c r="AV638" s="42"/>
      <c r="AW638" s="42"/>
      <c r="AX638" s="42"/>
      <c r="AY638" s="42"/>
      <c r="AZ638" s="42"/>
      <c r="BA638" s="42"/>
      <c r="BB638" s="42"/>
      <c r="BC638" s="42"/>
      <c r="BD638" s="42"/>
      <c r="BE638" s="42"/>
      <c r="BF638" s="42"/>
      <c r="BG638" s="42"/>
      <c r="BH638" s="42"/>
      <c r="BI638" s="42"/>
      <c r="BJ638" s="42"/>
      <c r="BK638" s="42"/>
      <c r="BL638" s="42"/>
      <c r="BM638" s="42"/>
    </row>
    <row r="639">
      <c r="A639" s="125"/>
      <c r="B639" s="267"/>
      <c r="C639" s="361"/>
      <c r="D639" s="42"/>
      <c r="E639" s="42"/>
      <c r="F639" s="42"/>
      <c r="G639" s="42"/>
      <c r="H639" s="42"/>
      <c r="I639" s="42"/>
      <c r="J639" s="42"/>
      <c r="K639" s="304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  <c r="AM639" s="42"/>
      <c r="AN639" s="42"/>
      <c r="AO639" s="42"/>
      <c r="AP639" s="42"/>
      <c r="AQ639" s="42"/>
      <c r="AR639" s="42"/>
      <c r="AS639" s="42"/>
      <c r="AT639" s="42"/>
      <c r="AU639" s="42"/>
      <c r="AV639" s="42"/>
      <c r="AW639" s="42"/>
      <c r="AX639" s="42"/>
      <c r="AY639" s="42"/>
      <c r="AZ639" s="42"/>
      <c r="BA639" s="42"/>
      <c r="BB639" s="42"/>
      <c r="BC639" s="42"/>
      <c r="BD639" s="42"/>
      <c r="BE639" s="42"/>
      <c r="BF639" s="42"/>
      <c r="BG639" s="42"/>
      <c r="BH639" s="42"/>
      <c r="BI639" s="42"/>
      <c r="BJ639" s="42"/>
      <c r="BK639" s="42"/>
      <c r="BL639" s="42"/>
      <c r="BM639" s="42"/>
    </row>
    <row r="640">
      <c r="A640" s="125"/>
      <c r="B640" s="267"/>
      <c r="C640" s="361"/>
      <c r="D640" s="42"/>
      <c r="E640" s="42"/>
      <c r="F640" s="42"/>
      <c r="G640" s="42"/>
      <c r="H640" s="42"/>
      <c r="I640" s="42"/>
      <c r="J640" s="42"/>
      <c r="K640" s="304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  <c r="AM640" s="42"/>
      <c r="AN640" s="42"/>
      <c r="AO640" s="42"/>
      <c r="AP640" s="42"/>
      <c r="AQ640" s="42"/>
      <c r="AR640" s="42"/>
      <c r="AS640" s="42"/>
      <c r="AT640" s="42"/>
      <c r="AU640" s="42"/>
      <c r="AV640" s="42"/>
      <c r="AW640" s="42"/>
      <c r="AX640" s="42"/>
      <c r="AY640" s="42"/>
      <c r="AZ640" s="42"/>
      <c r="BA640" s="42"/>
      <c r="BB640" s="42"/>
      <c r="BC640" s="42"/>
      <c r="BD640" s="42"/>
      <c r="BE640" s="42"/>
      <c r="BF640" s="42"/>
      <c r="BG640" s="42"/>
      <c r="BH640" s="42"/>
      <c r="BI640" s="42"/>
      <c r="BJ640" s="42"/>
      <c r="BK640" s="42"/>
      <c r="BL640" s="42"/>
      <c r="BM640" s="42"/>
    </row>
    <row r="641">
      <c r="A641" s="125"/>
      <c r="B641" s="267"/>
      <c r="C641" s="361"/>
      <c r="D641" s="42"/>
      <c r="E641" s="42"/>
      <c r="F641" s="42"/>
      <c r="G641" s="42"/>
      <c r="H641" s="42"/>
      <c r="I641" s="42"/>
      <c r="J641" s="42"/>
      <c r="K641" s="304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  <c r="AM641" s="42"/>
      <c r="AN641" s="42"/>
      <c r="AO641" s="42"/>
      <c r="AP641" s="42"/>
      <c r="AQ641" s="42"/>
      <c r="AR641" s="42"/>
      <c r="AS641" s="42"/>
      <c r="AT641" s="42"/>
      <c r="AU641" s="42"/>
      <c r="AV641" s="42"/>
      <c r="AW641" s="42"/>
      <c r="AX641" s="42"/>
      <c r="AY641" s="42"/>
      <c r="AZ641" s="42"/>
      <c r="BA641" s="42"/>
      <c r="BB641" s="42"/>
      <c r="BC641" s="42"/>
      <c r="BD641" s="42"/>
      <c r="BE641" s="42"/>
      <c r="BF641" s="42"/>
      <c r="BG641" s="42"/>
      <c r="BH641" s="42"/>
      <c r="BI641" s="42"/>
      <c r="BJ641" s="42"/>
      <c r="BK641" s="42"/>
      <c r="BL641" s="42"/>
      <c r="BM641" s="42"/>
    </row>
    <row r="642">
      <c r="A642" s="125"/>
      <c r="B642" s="267"/>
      <c r="C642" s="361"/>
      <c r="D642" s="42"/>
      <c r="E642" s="42"/>
      <c r="F642" s="42"/>
      <c r="G642" s="42"/>
      <c r="H642" s="42"/>
      <c r="I642" s="42"/>
      <c r="J642" s="42"/>
      <c r="K642" s="304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  <c r="AM642" s="42"/>
      <c r="AN642" s="42"/>
      <c r="AO642" s="42"/>
      <c r="AP642" s="42"/>
      <c r="AQ642" s="42"/>
      <c r="AR642" s="42"/>
      <c r="AS642" s="42"/>
      <c r="AT642" s="42"/>
      <c r="AU642" s="42"/>
      <c r="AV642" s="42"/>
      <c r="AW642" s="42"/>
      <c r="AX642" s="42"/>
      <c r="AY642" s="42"/>
      <c r="AZ642" s="42"/>
      <c r="BA642" s="42"/>
      <c r="BB642" s="42"/>
      <c r="BC642" s="42"/>
      <c r="BD642" s="42"/>
      <c r="BE642" s="42"/>
      <c r="BF642" s="42"/>
      <c r="BG642" s="42"/>
      <c r="BH642" s="42"/>
      <c r="BI642" s="42"/>
      <c r="BJ642" s="42"/>
      <c r="BK642" s="42"/>
      <c r="BL642" s="42"/>
      <c r="BM642" s="42"/>
    </row>
    <row r="643">
      <c r="A643" s="125"/>
      <c r="B643" s="267"/>
      <c r="C643" s="361"/>
      <c r="D643" s="42"/>
      <c r="E643" s="42"/>
      <c r="F643" s="42"/>
      <c r="G643" s="42"/>
      <c r="H643" s="42"/>
      <c r="I643" s="42"/>
      <c r="J643" s="42"/>
      <c r="K643" s="304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  <c r="AM643" s="42"/>
      <c r="AN643" s="42"/>
      <c r="AO643" s="42"/>
      <c r="AP643" s="42"/>
      <c r="AQ643" s="42"/>
      <c r="AR643" s="42"/>
      <c r="AS643" s="42"/>
      <c r="AT643" s="42"/>
      <c r="AU643" s="42"/>
      <c r="AV643" s="42"/>
      <c r="AW643" s="42"/>
      <c r="AX643" s="42"/>
      <c r="AY643" s="42"/>
      <c r="AZ643" s="42"/>
      <c r="BA643" s="42"/>
      <c r="BB643" s="42"/>
      <c r="BC643" s="42"/>
      <c r="BD643" s="42"/>
      <c r="BE643" s="42"/>
      <c r="BF643" s="42"/>
      <c r="BG643" s="42"/>
      <c r="BH643" s="42"/>
      <c r="BI643" s="42"/>
      <c r="BJ643" s="42"/>
      <c r="BK643" s="42"/>
      <c r="BL643" s="42"/>
      <c r="BM643" s="42"/>
    </row>
    <row r="644">
      <c r="A644" s="125"/>
      <c r="B644" s="267"/>
      <c r="C644" s="361"/>
      <c r="D644" s="42"/>
      <c r="E644" s="42"/>
      <c r="F644" s="42"/>
      <c r="G644" s="42"/>
      <c r="H644" s="42"/>
      <c r="I644" s="42"/>
      <c r="J644" s="42"/>
      <c r="K644" s="304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  <c r="AM644" s="42"/>
      <c r="AN644" s="42"/>
      <c r="AO644" s="42"/>
      <c r="AP644" s="42"/>
      <c r="AQ644" s="42"/>
      <c r="AR644" s="42"/>
      <c r="AS644" s="42"/>
      <c r="AT644" s="42"/>
      <c r="AU644" s="42"/>
      <c r="AV644" s="42"/>
      <c r="AW644" s="42"/>
      <c r="AX644" s="42"/>
      <c r="AY644" s="42"/>
      <c r="AZ644" s="42"/>
      <c r="BA644" s="42"/>
      <c r="BB644" s="42"/>
      <c r="BC644" s="42"/>
      <c r="BD644" s="42"/>
      <c r="BE644" s="42"/>
      <c r="BF644" s="42"/>
      <c r="BG644" s="42"/>
      <c r="BH644" s="42"/>
      <c r="BI644" s="42"/>
      <c r="BJ644" s="42"/>
      <c r="BK644" s="42"/>
      <c r="BL644" s="42"/>
      <c r="BM644" s="42"/>
    </row>
    <row r="645">
      <c r="A645" s="125"/>
      <c r="B645" s="267"/>
      <c r="C645" s="361"/>
      <c r="D645" s="42"/>
      <c r="E645" s="42"/>
      <c r="F645" s="42"/>
      <c r="G645" s="42"/>
      <c r="H645" s="42"/>
      <c r="I645" s="42"/>
      <c r="J645" s="42"/>
      <c r="K645" s="304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  <c r="AM645" s="42"/>
      <c r="AN645" s="42"/>
      <c r="AO645" s="42"/>
      <c r="AP645" s="42"/>
      <c r="AQ645" s="42"/>
      <c r="AR645" s="42"/>
      <c r="AS645" s="42"/>
      <c r="AT645" s="42"/>
      <c r="AU645" s="42"/>
      <c r="AV645" s="42"/>
      <c r="AW645" s="42"/>
      <c r="AX645" s="42"/>
      <c r="AY645" s="42"/>
      <c r="AZ645" s="42"/>
      <c r="BA645" s="42"/>
      <c r="BB645" s="42"/>
      <c r="BC645" s="42"/>
      <c r="BD645" s="42"/>
      <c r="BE645" s="42"/>
      <c r="BF645" s="42"/>
      <c r="BG645" s="42"/>
      <c r="BH645" s="42"/>
      <c r="BI645" s="42"/>
      <c r="BJ645" s="42"/>
      <c r="BK645" s="42"/>
      <c r="BL645" s="42"/>
      <c r="BM645" s="42"/>
    </row>
    <row r="646">
      <c r="A646" s="125"/>
      <c r="B646" s="267"/>
      <c r="C646" s="361"/>
      <c r="D646" s="42"/>
      <c r="E646" s="42"/>
      <c r="F646" s="42"/>
      <c r="G646" s="42"/>
      <c r="H646" s="42"/>
      <c r="I646" s="42"/>
      <c r="J646" s="42"/>
      <c r="K646" s="304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  <c r="AM646" s="42"/>
      <c r="AN646" s="42"/>
      <c r="AO646" s="42"/>
      <c r="AP646" s="42"/>
      <c r="AQ646" s="42"/>
      <c r="AR646" s="42"/>
      <c r="AS646" s="42"/>
      <c r="AT646" s="42"/>
      <c r="AU646" s="42"/>
      <c r="AV646" s="42"/>
      <c r="AW646" s="42"/>
      <c r="AX646" s="42"/>
      <c r="AY646" s="42"/>
      <c r="AZ646" s="42"/>
      <c r="BA646" s="42"/>
      <c r="BB646" s="42"/>
      <c r="BC646" s="42"/>
      <c r="BD646" s="42"/>
      <c r="BE646" s="42"/>
      <c r="BF646" s="42"/>
      <c r="BG646" s="42"/>
      <c r="BH646" s="42"/>
      <c r="BI646" s="42"/>
      <c r="BJ646" s="42"/>
      <c r="BK646" s="42"/>
      <c r="BL646" s="42"/>
      <c r="BM646" s="42"/>
    </row>
    <row r="647">
      <c r="A647" s="125"/>
      <c r="B647" s="267"/>
      <c r="C647" s="361"/>
      <c r="D647" s="42"/>
      <c r="E647" s="42"/>
      <c r="F647" s="42"/>
      <c r="G647" s="42"/>
      <c r="H647" s="42"/>
      <c r="I647" s="42"/>
      <c r="J647" s="42"/>
      <c r="K647" s="304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  <c r="AM647" s="42"/>
      <c r="AN647" s="42"/>
      <c r="AO647" s="42"/>
      <c r="AP647" s="42"/>
      <c r="AQ647" s="42"/>
      <c r="AR647" s="42"/>
      <c r="AS647" s="42"/>
      <c r="AT647" s="42"/>
      <c r="AU647" s="42"/>
      <c r="AV647" s="42"/>
      <c r="AW647" s="42"/>
      <c r="AX647" s="42"/>
      <c r="AY647" s="42"/>
      <c r="AZ647" s="42"/>
      <c r="BA647" s="42"/>
      <c r="BB647" s="42"/>
      <c r="BC647" s="42"/>
      <c r="BD647" s="42"/>
      <c r="BE647" s="42"/>
      <c r="BF647" s="42"/>
      <c r="BG647" s="42"/>
      <c r="BH647" s="42"/>
      <c r="BI647" s="42"/>
      <c r="BJ647" s="42"/>
      <c r="BK647" s="42"/>
      <c r="BL647" s="42"/>
      <c r="BM647" s="42"/>
    </row>
    <row r="648">
      <c r="A648" s="125"/>
      <c r="B648" s="267"/>
      <c r="C648" s="361"/>
      <c r="D648" s="42"/>
      <c r="E648" s="42"/>
      <c r="F648" s="42"/>
      <c r="G648" s="42"/>
      <c r="H648" s="42"/>
      <c r="I648" s="42"/>
      <c r="J648" s="42"/>
      <c r="K648" s="304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  <c r="AM648" s="42"/>
      <c r="AN648" s="42"/>
      <c r="AO648" s="42"/>
      <c r="AP648" s="42"/>
      <c r="AQ648" s="42"/>
      <c r="AR648" s="42"/>
      <c r="AS648" s="42"/>
      <c r="AT648" s="42"/>
      <c r="AU648" s="42"/>
      <c r="AV648" s="42"/>
      <c r="AW648" s="42"/>
      <c r="AX648" s="42"/>
      <c r="AY648" s="42"/>
      <c r="AZ648" s="42"/>
      <c r="BA648" s="42"/>
      <c r="BB648" s="42"/>
      <c r="BC648" s="42"/>
      <c r="BD648" s="42"/>
      <c r="BE648" s="42"/>
      <c r="BF648" s="42"/>
      <c r="BG648" s="42"/>
      <c r="BH648" s="42"/>
      <c r="BI648" s="42"/>
      <c r="BJ648" s="42"/>
      <c r="BK648" s="42"/>
      <c r="BL648" s="42"/>
      <c r="BM648" s="42"/>
    </row>
    <row r="649">
      <c r="A649" s="125"/>
      <c r="B649" s="267"/>
      <c r="C649" s="361"/>
      <c r="D649" s="42"/>
      <c r="E649" s="42"/>
      <c r="F649" s="42"/>
      <c r="G649" s="42"/>
      <c r="H649" s="42"/>
      <c r="I649" s="42"/>
      <c r="J649" s="42"/>
      <c r="K649" s="304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  <c r="AM649" s="42"/>
      <c r="AN649" s="42"/>
      <c r="AO649" s="42"/>
      <c r="AP649" s="42"/>
      <c r="AQ649" s="42"/>
      <c r="AR649" s="42"/>
      <c r="AS649" s="42"/>
      <c r="AT649" s="42"/>
      <c r="AU649" s="42"/>
      <c r="AV649" s="42"/>
      <c r="AW649" s="42"/>
      <c r="AX649" s="42"/>
      <c r="AY649" s="42"/>
      <c r="AZ649" s="42"/>
      <c r="BA649" s="42"/>
      <c r="BB649" s="42"/>
      <c r="BC649" s="42"/>
      <c r="BD649" s="42"/>
      <c r="BE649" s="42"/>
      <c r="BF649" s="42"/>
      <c r="BG649" s="42"/>
      <c r="BH649" s="42"/>
      <c r="BI649" s="42"/>
      <c r="BJ649" s="42"/>
      <c r="BK649" s="42"/>
      <c r="BL649" s="42"/>
      <c r="BM649" s="42"/>
    </row>
    <row r="650">
      <c r="A650" s="125"/>
      <c r="B650" s="267"/>
      <c r="C650" s="361"/>
      <c r="D650" s="42"/>
      <c r="E650" s="42"/>
      <c r="F650" s="42"/>
      <c r="G650" s="42"/>
      <c r="H650" s="42"/>
      <c r="I650" s="42"/>
      <c r="J650" s="42"/>
      <c r="K650" s="304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  <c r="AM650" s="42"/>
      <c r="AN650" s="42"/>
      <c r="AO650" s="42"/>
      <c r="AP650" s="42"/>
      <c r="AQ650" s="42"/>
      <c r="AR650" s="42"/>
      <c r="AS650" s="42"/>
      <c r="AT650" s="42"/>
      <c r="AU650" s="42"/>
      <c r="AV650" s="42"/>
      <c r="AW650" s="42"/>
      <c r="AX650" s="42"/>
      <c r="AY650" s="42"/>
      <c r="AZ650" s="42"/>
      <c r="BA650" s="42"/>
      <c r="BB650" s="42"/>
      <c r="BC650" s="42"/>
      <c r="BD650" s="42"/>
      <c r="BE650" s="42"/>
      <c r="BF650" s="42"/>
      <c r="BG650" s="42"/>
      <c r="BH650" s="42"/>
      <c r="BI650" s="42"/>
      <c r="BJ650" s="42"/>
      <c r="BK650" s="42"/>
      <c r="BL650" s="42"/>
      <c r="BM650" s="42"/>
    </row>
    <row r="651">
      <c r="A651" s="125"/>
      <c r="B651" s="267"/>
      <c r="C651" s="361"/>
      <c r="D651" s="42"/>
      <c r="E651" s="42"/>
      <c r="F651" s="42"/>
      <c r="G651" s="42"/>
      <c r="H651" s="42"/>
      <c r="I651" s="42"/>
      <c r="J651" s="42"/>
      <c r="K651" s="304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  <c r="AM651" s="42"/>
      <c r="AN651" s="42"/>
      <c r="AO651" s="42"/>
      <c r="AP651" s="42"/>
      <c r="AQ651" s="42"/>
      <c r="AR651" s="42"/>
      <c r="AS651" s="42"/>
      <c r="AT651" s="42"/>
      <c r="AU651" s="42"/>
      <c r="AV651" s="42"/>
      <c r="AW651" s="42"/>
      <c r="AX651" s="42"/>
      <c r="AY651" s="42"/>
      <c r="AZ651" s="42"/>
      <c r="BA651" s="42"/>
      <c r="BB651" s="42"/>
      <c r="BC651" s="42"/>
      <c r="BD651" s="42"/>
      <c r="BE651" s="42"/>
      <c r="BF651" s="42"/>
      <c r="BG651" s="42"/>
      <c r="BH651" s="42"/>
      <c r="BI651" s="42"/>
      <c r="BJ651" s="42"/>
      <c r="BK651" s="42"/>
      <c r="BL651" s="42"/>
      <c r="BM651" s="42"/>
    </row>
    <row r="652">
      <c r="A652" s="125"/>
      <c r="B652" s="267"/>
      <c r="C652" s="361"/>
      <c r="D652" s="42"/>
      <c r="E652" s="42"/>
      <c r="F652" s="42"/>
      <c r="G652" s="42"/>
      <c r="H652" s="42"/>
      <c r="I652" s="42"/>
      <c r="J652" s="42"/>
      <c r="K652" s="304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  <c r="AM652" s="42"/>
      <c r="AN652" s="42"/>
      <c r="AO652" s="42"/>
      <c r="AP652" s="42"/>
      <c r="AQ652" s="42"/>
      <c r="AR652" s="42"/>
      <c r="AS652" s="42"/>
      <c r="AT652" s="42"/>
      <c r="AU652" s="42"/>
      <c r="AV652" s="42"/>
      <c r="AW652" s="42"/>
      <c r="AX652" s="42"/>
      <c r="AY652" s="42"/>
      <c r="AZ652" s="42"/>
      <c r="BA652" s="42"/>
      <c r="BB652" s="42"/>
      <c r="BC652" s="42"/>
      <c r="BD652" s="42"/>
      <c r="BE652" s="42"/>
      <c r="BF652" s="42"/>
      <c r="BG652" s="42"/>
      <c r="BH652" s="42"/>
      <c r="BI652" s="42"/>
      <c r="BJ652" s="42"/>
      <c r="BK652" s="42"/>
      <c r="BL652" s="42"/>
      <c r="BM652" s="42"/>
    </row>
    <row r="653">
      <c r="A653" s="125"/>
      <c r="B653" s="267"/>
      <c r="C653" s="361"/>
      <c r="D653" s="42"/>
      <c r="E653" s="42"/>
      <c r="F653" s="42"/>
      <c r="G653" s="42"/>
      <c r="H653" s="42"/>
      <c r="I653" s="42"/>
      <c r="J653" s="42"/>
      <c r="K653" s="304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  <c r="AM653" s="42"/>
      <c r="AN653" s="42"/>
      <c r="AO653" s="42"/>
      <c r="AP653" s="42"/>
      <c r="AQ653" s="42"/>
      <c r="AR653" s="42"/>
      <c r="AS653" s="42"/>
      <c r="AT653" s="42"/>
      <c r="AU653" s="42"/>
      <c r="AV653" s="42"/>
      <c r="AW653" s="42"/>
      <c r="AX653" s="42"/>
      <c r="AY653" s="42"/>
      <c r="AZ653" s="42"/>
      <c r="BA653" s="42"/>
      <c r="BB653" s="42"/>
      <c r="BC653" s="42"/>
      <c r="BD653" s="42"/>
      <c r="BE653" s="42"/>
      <c r="BF653" s="42"/>
      <c r="BG653" s="42"/>
      <c r="BH653" s="42"/>
      <c r="BI653" s="42"/>
      <c r="BJ653" s="42"/>
      <c r="BK653" s="42"/>
      <c r="BL653" s="42"/>
      <c r="BM653" s="42"/>
    </row>
    <row r="654">
      <c r="A654" s="125"/>
      <c r="B654" s="267"/>
      <c r="C654" s="361"/>
      <c r="D654" s="42"/>
      <c r="E654" s="42"/>
      <c r="F654" s="42"/>
      <c r="G654" s="42"/>
      <c r="H654" s="42"/>
      <c r="I654" s="42"/>
      <c r="J654" s="42"/>
      <c r="K654" s="304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  <c r="AM654" s="42"/>
      <c r="AN654" s="42"/>
      <c r="AO654" s="42"/>
      <c r="AP654" s="42"/>
      <c r="AQ654" s="42"/>
      <c r="AR654" s="42"/>
      <c r="AS654" s="42"/>
      <c r="AT654" s="42"/>
      <c r="AU654" s="42"/>
      <c r="AV654" s="42"/>
      <c r="AW654" s="42"/>
      <c r="AX654" s="42"/>
      <c r="AY654" s="42"/>
      <c r="AZ654" s="42"/>
      <c r="BA654" s="42"/>
      <c r="BB654" s="42"/>
      <c r="BC654" s="42"/>
      <c r="BD654" s="42"/>
      <c r="BE654" s="42"/>
      <c r="BF654" s="42"/>
      <c r="BG654" s="42"/>
      <c r="BH654" s="42"/>
      <c r="BI654" s="42"/>
      <c r="BJ654" s="42"/>
      <c r="BK654" s="42"/>
      <c r="BL654" s="42"/>
      <c r="BM654" s="42"/>
    </row>
    <row r="655">
      <c r="A655" s="125"/>
      <c r="B655" s="267"/>
      <c r="C655" s="361"/>
      <c r="D655" s="42"/>
      <c r="E655" s="42"/>
      <c r="F655" s="42"/>
      <c r="G655" s="42"/>
      <c r="H655" s="42"/>
      <c r="I655" s="42"/>
      <c r="J655" s="42"/>
      <c r="K655" s="304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  <c r="AM655" s="42"/>
      <c r="AN655" s="42"/>
      <c r="AO655" s="42"/>
      <c r="AP655" s="42"/>
      <c r="AQ655" s="42"/>
      <c r="AR655" s="42"/>
      <c r="AS655" s="42"/>
      <c r="AT655" s="42"/>
      <c r="AU655" s="42"/>
      <c r="AV655" s="42"/>
      <c r="AW655" s="42"/>
      <c r="AX655" s="42"/>
      <c r="AY655" s="42"/>
      <c r="AZ655" s="42"/>
      <c r="BA655" s="42"/>
      <c r="BB655" s="42"/>
      <c r="BC655" s="42"/>
      <c r="BD655" s="42"/>
      <c r="BE655" s="42"/>
      <c r="BF655" s="42"/>
      <c r="BG655" s="42"/>
      <c r="BH655" s="42"/>
      <c r="BI655" s="42"/>
      <c r="BJ655" s="42"/>
      <c r="BK655" s="42"/>
      <c r="BL655" s="42"/>
      <c r="BM655" s="42"/>
    </row>
    <row r="656">
      <c r="A656" s="125"/>
      <c r="B656" s="267"/>
      <c r="C656" s="361"/>
      <c r="D656" s="42"/>
      <c r="E656" s="42"/>
      <c r="F656" s="42"/>
      <c r="G656" s="42"/>
      <c r="H656" s="42"/>
      <c r="I656" s="42"/>
      <c r="J656" s="42"/>
      <c r="K656" s="304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  <c r="AM656" s="42"/>
      <c r="AN656" s="42"/>
      <c r="AO656" s="42"/>
      <c r="AP656" s="42"/>
      <c r="AQ656" s="42"/>
      <c r="AR656" s="42"/>
      <c r="AS656" s="42"/>
      <c r="AT656" s="42"/>
      <c r="AU656" s="42"/>
      <c r="AV656" s="42"/>
      <c r="AW656" s="42"/>
      <c r="AX656" s="42"/>
      <c r="AY656" s="42"/>
      <c r="AZ656" s="42"/>
      <c r="BA656" s="42"/>
      <c r="BB656" s="42"/>
      <c r="BC656" s="42"/>
      <c r="BD656" s="42"/>
      <c r="BE656" s="42"/>
      <c r="BF656" s="42"/>
      <c r="BG656" s="42"/>
      <c r="BH656" s="42"/>
      <c r="BI656" s="42"/>
      <c r="BJ656" s="42"/>
      <c r="BK656" s="42"/>
      <c r="BL656" s="42"/>
      <c r="BM656" s="42"/>
    </row>
    <row r="657">
      <c r="A657" s="125"/>
      <c r="B657" s="267"/>
      <c r="C657" s="361"/>
      <c r="D657" s="42"/>
      <c r="E657" s="42"/>
      <c r="F657" s="42"/>
      <c r="G657" s="42"/>
      <c r="H657" s="42"/>
      <c r="I657" s="42"/>
      <c r="J657" s="42"/>
      <c r="K657" s="304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  <c r="AM657" s="42"/>
      <c r="AN657" s="42"/>
      <c r="AO657" s="42"/>
      <c r="AP657" s="42"/>
      <c r="AQ657" s="42"/>
      <c r="AR657" s="42"/>
      <c r="AS657" s="42"/>
      <c r="AT657" s="42"/>
      <c r="AU657" s="42"/>
      <c r="AV657" s="42"/>
      <c r="AW657" s="42"/>
      <c r="AX657" s="42"/>
      <c r="AY657" s="42"/>
      <c r="AZ657" s="42"/>
      <c r="BA657" s="42"/>
      <c r="BB657" s="42"/>
      <c r="BC657" s="42"/>
      <c r="BD657" s="42"/>
      <c r="BE657" s="42"/>
      <c r="BF657" s="42"/>
      <c r="BG657" s="42"/>
      <c r="BH657" s="42"/>
      <c r="BI657" s="42"/>
      <c r="BJ657" s="42"/>
      <c r="BK657" s="42"/>
      <c r="BL657" s="42"/>
      <c r="BM657" s="42"/>
    </row>
    <row r="658">
      <c r="A658" s="125"/>
      <c r="B658" s="267"/>
      <c r="C658" s="361"/>
      <c r="D658" s="42"/>
      <c r="E658" s="42"/>
      <c r="F658" s="42"/>
      <c r="G658" s="42"/>
      <c r="H658" s="42"/>
      <c r="I658" s="42"/>
      <c r="J658" s="42"/>
      <c r="K658" s="304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  <c r="AM658" s="42"/>
      <c r="AN658" s="42"/>
      <c r="AO658" s="42"/>
      <c r="AP658" s="42"/>
      <c r="AQ658" s="42"/>
      <c r="AR658" s="42"/>
      <c r="AS658" s="42"/>
      <c r="AT658" s="42"/>
      <c r="AU658" s="42"/>
      <c r="AV658" s="42"/>
      <c r="AW658" s="42"/>
      <c r="AX658" s="42"/>
      <c r="AY658" s="42"/>
      <c r="AZ658" s="42"/>
      <c r="BA658" s="42"/>
      <c r="BB658" s="42"/>
      <c r="BC658" s="42"/>
      <c r="BD658" s="42"/>
      <c r="BE658" s="42"/>
      <c r="BF658" s="42"/>
      <c r="BG658" s="42"/>
      <c r="BH658" s="42"/>
      <c r="BI658" s="42"/>
      <c r="BJ658" s="42"/>
      <c r="BK658" s="42"/>
      <c r="BL658" s="42"/>
      <c r="BM658" s="42"/>
    </row>
    <row r="659">
      <c r="A659" s="125"/>
      <c r="B659" s="267"/>
      <c r="C659" s="361"/>
      <c r="D659" s="42"/>
      <c r="E659" s="42"/>
      <c r="F659" s="42"/>
      <c r="G659" s="42"/>
      <c r="H659" s="42"/>
      <c r="I659" s="42"/>
      <c r="J659" s="42"/>
      <c r="K659" s="304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  <c r="AM659" s="42"/>
      <c r="AN659" s="42"/>
      <c r="AO659" s="42"/>
      <c r="AP659" s="42"/>
      <c r="AQ659" s="42"/>
      <c r="AR659" s="42"/>
      <c r="AS659" s="42"/>
      <c r="AT659" s="42"/>
      <c r="AU659" s="42"/>
      <c r="AV659" s="42"/>
      <c r="AW659" s="42"/>
      <c r="AX659" s="42"/>
      <c r="AY659" s="42"/>
      <c r="AZ659" s="42"/>
      <c r="BA659" s="42"/>
      <c r="BB659" s="42"/>
      <c r="BC659" s="42"/>
      <c r="BD659" s="42"/>
      <c r="BE659" s="42"/>
      <c r="BF659" s="42"/>
      <c r="BG659" s="42"/>
      <c r="BH659" s="42"/>
      <c r="BI659" s="42"/>
      <c r="BJ659" s="42"/>
      <c r="BK659" s="42"/>
      <c r="BL659" s="42"/>
      <c r="BM659" s="42"/>
    </row>
    <row r="660">
      <c r="A660" s="125"/>
      <c r="B660" s="267"/>
      <c r="C660" s="361"/>
      <c r="D660" s="42"/>
      <c r="E660" s="42"/>
      <c r="F660" s="42"/>
      <c r="G660" s="42"/>
      <c r="H660" s="42"/>
      <c r="I660" s="42"/>
      <c r="J660" s="42"/>
      <c r="K660" s="304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  <c r="AM660" s="42"/>
      <c r="AN660" s="42"/>
      <c r="AO660" s="42"/>
      <c r="AP660" s="42"/>
      <c r="AQ660" s="42"/>
      <c r="AR660" s="42"/>
      <c r="AS660" s="42"/>
      <c r="AT660" s="42"/>
      <c r="AU660" s="42"/>
      <c r="AV660" s="42"/>
      <c r="AW660" s="42"/>
      <c r="AX660" s="42"/>
      <c r="AY660" s="42"/>
      <c r="AZ660" s="42"/>
      <c r="BA660" s="42"/>
      <c r="BB660" s="42"/>
      <c r="BC660" s="42"/>
      <c r="BD660" s="42"/>
      <c r="BE660" s="42"/>
      <c r="BF660" s="42"/>
      <c r="BG660" s="42"/>
      <c r="BH660" s="42"/>
      <c r="BI660" s="42"/>
      <c r="BJ660" s="42"/>
      <c r="BK660" s="42"/>
      <c r="BL660" s="42"/>
      <c r="BM660" s="42"/>
    </row>
    <row r="661">
      <c r="A661" s="125"/>
      <c r="B661" s="267"/>
      <c r="C661" s="361"/>
      <c r="D661" s="42"/>
      <c r="E661" s="42"/>
      <c r="F661" s="42"/>
      <c r="G661" s="42"/>
      <c r="H661" s="42"/>
      <c r="I661" s="42"/>
      <c r="J661" s="42"/>
      <c r="K661" s="304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  <c r="AM661" s="42"/>
      <c r="AN661" s="42"/>
      <c r="AO661" s="42"/>
      <c r="AP661" s="42"/>
      <c r="AQ661" s="42"/>
      <c r="AR661" s="42"/>
      <c r="AS661" s="42"/>
      <c r="AT661" s="42"/>
      <c r="AU661" s="42"/>
      <c r="AV661" s="42"/>
      <c r="AW661" s="42"/>
      <c r="AX661" s="42"/>
      <c r="AY661" s="42"/>
      <c r="AZ661" s="42"/>
      <c r="BA661" s="42"/>
      <c r="BB661" s="42"/>
      <c r="BC661" s="42"/>
      <c r="BD661" s="42"/>
      <c r="BE661" s="42"/>
      <c r="BF661" s="42"/>
      <c r="BG661" s="42"/>
      <c r="BH661" s="42"/>
      <c r="BI661" s="42"/>
      <c r="BJ661" s="42"/>
      <c r="BK661" s="42"/>
      <c r="BL661" s="42"/>
      <c r="BM661" s="42"/>
    </row>
    <row r="662">
      <c r="A662" s="125"/>
      <c r="B662" s="267"/>
      <c r="C662" s="361"/>
      <c r="D662" s="42"/>
      <c r="E662" s="42"/>
      <c r="F662" s="42"/>
      <c r="G662" s="42"/>
      <c r="H662" s="42"/>
      <c r="I662" s="42"/>
      <c r="J662" s="42"/>
      <c r="K662" s="304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  <c r="AM662" s="42"/>
      <c r="AN662" s="42"/>
      <c r="AO662" s="42"/>
      <c r="AP662" s="42"/>
      <c r="AQ662" s="42"/>
      <c r="AR662" s="42"/>
      <c r="AS662" s="42"/>
      <c r="AT662" s="42"/>
      <c r="AU662" s="42"/>
      <c r="AV662" s="42"/>
      <c r="AW662" s="42"/>
      <c r="AX662" s="42"/>
      <c r="AY662" s="42"/>
      <c r="AZ662" s="42"/>
      <c r="BA662" s="42"/>
      <c r="BB662" s="42"/>
      <c r="BC662" s="42"/>
      <c r="BD662" s="42"/>
      <c r="BE662" s="42"/>
      <c r="BF662" s="42"/>
      <c r="BG662" s="42"/>
      <c r="BH662" s="42"/>
      <c r="BI662" s="42"/>
      <c r="BJ662" s="42"/>
      <c r="BK662" s="42"/>
      <c r="BL662" s="42"/>
      <c r="BM662" s="42"/>
    </row>
    <row r="663">
      <c r="A663" s="125"/>
      <c r="B663" s="267"/>
      <c r="C663" s="361"/>
      <c r="D663" s="42"/>
      <c r="E663" s="42"/>
      <c r="F663" s="42"/>
      <c r="G663" s="42"/>
      <c r="H663" s="42"/>
      <c r="I663" s="42"/>
      <c r="J663" s="42"/>
      <c r="K663" s="304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  <c r="AM663" s="42"/>
      <c r="AN663" s="42"/>
      <c r="AO663" s="42"/>
      <c r="AP663" s="42"/>
      <c r="AQ663" s="42"/>
      <c r="AR663" s="42"/>
      <c r="AS663" s="42"/>
      <c r="AT663" s="42"/>
      <c r="AU663" s="42"/>
      <c r="AV663" s="42"/>
      <c r="AW663" s="42"/>
      <c r="AX663" s="42"/>
      <c r="AY663" s="42"/>
      <c r="AZ663" s="42"/>
      <c r="BA663" s="42"/>
      <c r="BB663" s="42"/>
      <c r="BC663" s="42"/>
      <c r="BD663" s="42"/>
      <c r="BE663" s="42"/>
      <c r="BF663" s="42"/>
      <c r="BG663" s="42"/>
      <c r="BH663" s="42"/>
      <c r="BI663" s="42"/>
      <c r="BJ663" s="42"/>
      <c r="BK663" s="42"/>
      <c r="BL663" s="42"/>
      <c r="BM663" s="42"/>
    </row>
    <row r="664">
      <c r="A664" s="125"/>
      <c r="B664" s="267"/>
      <c r="C664" s="361"/>
      <c r="D664" s="42"/>
      <c r="E664" s="42"/>
      <c r="F664" s="42"/>
      <c r="G664" s="42"/>
      <c r="H664" s="42"/>
      <c r="I664" s="42"/>
      <c r="J664" s="42"/>
      <c r="K664" s="304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  <c r="AM664" s="42"/>
      <c r="AN664" s="42"/>
      <c r="AO664" s="42"/>
      <c r="AP664" s="42"/>
      <c r="AQ664" s="42"/>
      <c r="AR664" s="42"/>
      <c r="AS664" s="42"/>
      <c r="AT664" s="42"/>
      <c r="AU664" s="42"/>
      <c r="AV664" s="42"/>
      <c r="AW664" s="42"/>
      <c r="AX664" s="42"/>
      <c r="AY664" s="42"/>
      <c r="AZ664" s="42"/>
      <c r="BA664" s="42"/>
      <c r="BB664" s="42"/>
      <c r="BC664" s="42"/>
      <c r="BD664" s="42"/>
      <c r="BE664" s="42"/>
      <c r="BF664" s="42"/>
      <c r="BG664" s="42"/>
      <c r="BH664" s="42"/>
      <c r="BI664" s="42"/>
      <c r="BJ664" s="42"/>
      <c r="BK664" s="42"/>
      <c r="BL664" s="42"/>
      <c r="BM664" s="42"/>
    </row>
    <row r="665">
      <c r="A665" s="125"/>
      <c r="B665" s="267"/>
      <c r="C665" s="361"/>
      <c r="D665" s="42"/>
      <c r="E665" s="42"/>
      <c r="F665" s="42"/>
      <c r="G665" s="42"/>
      <c r="H665" s="42"/>
      <c r="I665" s="42"/>
      <c r="J665" s="42"/>
      <c r="K665" s="304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  <c r="AM665" s="42"/>
      <c r="AN665" s="42"/>
      <c r="AO665" s="42"/>
      <c r="AP665" s="42"/>
      <c r="AQ665" s="42"/>
      <c r="AR665" s="42"/>
      <c r="AS665" s="42"/>
      <c r="AT665" s="42"/>
      <c r="AU665" s="42"/>
      <c r="AV665" s="42"/>
      <c r="AW665" s="42"/>
      <c r="AX665" s="42"/>
      <c r="AY665" s="42"/>
      <c r="AZ665" s="42"/>
      <c r="BA665" s="42"/>
      <c r="BB665" s="42"/>
      <c r="BC665" s="42"/>
      <c r="BD665" s="42"/>
      <c r="BE665" s="42"/>
      <c r="BF665" s="42"/>
      <c r="BG665" s="42"/>
      <c r="BH665" s="42"/>
      <c r="BI665" s="42"/>
      <c r="BJ665" s="42"/>
      <c r="BK665" s="42"/>
      <c r="BL665" s="42"/>
      <c r="BM665" s="42"/>
    </row>
    <row r="666">
      <c r="A666" s="125"/>
      <c r="B666" s="267"/>
      <c r="C666" s="361"/>
      <c r="D666" s="42"/>
      <c r="E666" s="42"/>
      <c r="F666" s="42"/>
      <c r="G666" s="42"/>
      <c r="H666" s="42"/>
      <c r="I666" s="42"/>
      <c r="J666" s="42"/>
      <c r="K666" s="304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  <c r="AM666" s="42"/>
      <c r="AN666" s="42"/>
      <c r="AO666" s="42"/>
      <c r="AP666" s="42"/>
      <c r="AQ666" s="42"/>
      <c r="AR666" s="42"/>
      <c r="AS666" s="42"/>
      <c r="AT666" s="42"/>
      <c r="AU666" s="42"/>
      <c r="AV666" s="42"/>
      <c r="AW666" s="42"/>
      <c r="AX666" s="42"/>
      <c r="AY666" s="42"/>
      <c r="AZ666" s="42"/>
      <c r="BA666" s="42"/>
      <c r="BB666" s="42"/>
      <c r="BC666" s="42"/>
      <c r="BD666" s="42"/>
      <c r="BE666" s="42"/>
      <c r="BF666" s="42"/>
      <c r="BG666" s="42"/>
      <c r="BH666" s="42"/>
      <c r="BI666" s="42"/>
      <c r="BJ666" s="42"/>
      <c r="BK666" s="42"/>
      <c r="BL666" s="42"/>
      <c r="BM666" s="42"/>
    </row>
    <row r="667">
      <c r="A667" s="125"/>
      <c r="B667" s="267"/>
      <c r="C667" s="361"/>
      <c r="D667" s="42"/>
      <c r="E667" s="42"/>
      <c r="F667" s="42"/>
      <c r="G667" s="42"/>
      <c r="H667" s="42"/>
      <c r="I667" s="42"/>
      <c r="J667" s="42"/>
      <c r="K667" s="304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  <c r="AM667" s="42"/>
      <c r="AN667" s="42"/>
      <c r="AO667" s="42"/>
      <c r="AP667" s="42"/>
      <c r="AQ667" s="42"/>
      <c r="AR667" s="42"/>
      <c r="AS667" s="42"/>
      <c r="AT667" s="42"/>
      <c r="AU667" s="42"/>
      <c r="AV667" s="42"/>
      <c r="AW667" s="42"/>
      <c r="AX667" s="42"/>
      <c r="AY667" s="42"/>
      <c r="AZ667" s="42"/>
      <c r="BA667" s="42"/>
      <c r="BB667" s="42"/>
      <c r="BC667" s="42"/>
      <c r="BD667" s="42"/>
      <c r="BE667" s="42"/>
      <c r="BF667" s="42"/>
      <c r="BG667" s="42"/>
      <c r="BH667" s="42"/>
      <c r="BI667" s="42"/>
      <c r="BJ667" s="42"/>
      <c r="BK667" s="42"/>
      <c r="BL667" s="42"/>
      <c r="BM667" s="42"/>
    </row>
    <row r="668">
      <c r="A668" s="125"/>
      <c r="B668" s="267"/>
      <c r="C668" s="361"/>
      <c r="D668" s="42"/>
      <c r="E668" s="42"/>
      <c r="F668" s="42"/>
      <c r="G668" s="42"/>
      <c r="H668" s="42"/>
      <c r="I668" s="42"/>
      <c r="J668" s="42"/>
      <c r="K668" s="304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/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/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</row>
    <row r="669">
      <c r="A669" s="125"/>
      <c r="B669" s="267"/>
      <c r="C669" s="361"/>
      <c r="D669" s="42"/>
      <c r="E669" s="42"/>
      <c r="F669" s="42"/>
      <c r="G669" s="42"/>
      <c r="H669" s="42"/>
      <c r="I669" s="42"/>
      <c r="J669" s="42"/>
      <c r="K669" s="304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  <c r="AM669" s="42"/>
      <c r="AN669" s="42"/>
      <c r="AO669" s="42"/>
      <c r="AP669" s="42"/>
      <c r="AQ669" s="42"/>
      <c r="AR669" s="42"/>
      <c r="AS669" s="42"/>
      <c r="AT669" s="42"/>
      <c r="AU669" s="42"/>
      <c r="AV669" s="42"/>
      <c r="AW669" s="42"/>
      <c r="AX669" s="42"/>
      <c r="AY669" s="42"/>
      <c r="AZ669" s="42"/>
      <c r="BA669" s="42"/>
      <c r="BB669" s="42"/>
      <c r="BC669" s="42"/>
      <c r="BD669" s="42"/>
      <c r="BE669" s="42"/>
      <c r="BF669" s="42"/>
      <c r="BG669" s="42"/>
      <c r="BH669" s="42"/>
      <c r="BI669" s="42"/>
      <c r="BJ669" s="42"/>
      <c r="BK669" s="42"/>
      <c r="BL669" s="42"/>
      <c r="BM669" s="42"/>
    </row>
    <row r="670">
      <c r="A670" s="125"/>
      <c r="B670" s="267"/>
      <c r="C670" s="361"/>
      <c r="D670" s="42"/>
      <c r="E670" s="42"/>
      <c r="F670" s="42"/>
      <c r="G670" s="42"/>
      <c r="H670" s="42"/>
      <c r="I670" s="42"/>
      <c r="J670" s="42"/>
      <c r="K670" s="304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  <c r="AM670" s="42"/>
      <c r="AN670" s="42"/>
      <c r="AO670" s="42"/>
      <c r="AP670" s="42"/>
      <c r="AQ670" s="42"/>
      <c r="AR670" s="42"/>
      <c r="AS670" s="42"/>
      <c r="AT670" s="42"/>
      <c r="AU670" s="42"/>
      <c r="AV670" s="42"/>
      <c r="AW670" s="42"/>
      <c r="AX670" s="42"/>
      <c r="AY670" s="42"/>
      <c r="AZ670" s="42"/>
      <c r="BA670" s="42"/>
      <c r="BB670" s="42"/>
      <c r="BC670" s="42"/>
      <c r="BD670" s="42"/>
      <c r="BE670" s="42"/>
      <c r="BF670" s="42"/>
      <c r="BG670" s="42"/>
      <c r="BH670" s="42"/>
      <c r="BI670" s="42"/>
      <c r="BJ670" s="42"/>
      <c r="BK670" s="42"/>
      <c r="BL670" s="42"/>
      <c r="BM670" s="42"/>
    </row>
    <row r="671">
      <c r="A671" s="125"/>
      <c r="B671" s="267"/>
      <c r="C671" s="361"/>
      <c r="D671" s="42"/>
      <c r="E671" s="42"/>
      <c r="F671" s="42"/>
      <c r="G671" s="42"/>
      <c r="H671" s="42"/>
      <c r="I671" s="42"/>
      <c r="J671" s="42"/>
      <c r="K671" s="304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  <c r="AM671" s="42"/>
      <c r="AN671" s="42"/>
      <c r="AO671" s="42"/>
      <c r="AP671" s="42"/>
      <c r="AQ671" s="42"/>
      <c r="AR671" s="42"/>
      <c r="AS671" s="42"/>
      <c r="AT671" s="42"/>
      <c r="AU671" s="42"/>
      <c r="AV671" s="42"/>
      <c r="AW671" s="42"/>
      <c r="AX671" s="42"/>
      <c r="AY671" s="42"/>
      <c r="AZ671" s="42"/>
      <c r="BA671" s="42"/>
      <c r="BB671" s="42"/>
      <c r="BC671" s="42"/>
      <c r="BD671" s="42"/>
      <c r="BE671" s="42"/>
      <c r="BF671" s="42"/>
      <c r="BG671" s="42"/>
      <c r="BH671" s="42"/>
      <c r="BI671" s="42"/>
      <c r="BJ671" s="42"/>
      <c r="BK671" s="42"/>
      <c r="BL671" s="42"/>
      <c r="BM671" s="42"/>
    </row>
    <row r="672">
      <c r="A672" s="125"/>
      <c r="B672" s="267"/>
      <c r="C672" s="361"/>
      <c r="D672" s="42"/>
      <c r="E672" s="42"/>
      <c r="F672" s="42"/>
      <c r="G672" s="42"/>
      <c r="H672" s="42"/>
      <c r="I672" s="42"/>
      <c r="J672" s="42"/>
      <c r="K672" s="304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  <c r="AM672" s="42"/>
      <c r="AN672" s="42"/>
      <c r="AO672" s="42"/>
      <c r="AP672" s="42"/>
      <c r="AQ672" s="42"/>
      <c r="AR672" s="42"/>
      <c r="AS672" s="42"/>
      <c r="AT672" s="42"/>
      <c r="AU672" s="42"/>
      <c r="AV672" s="42"/>
      <c r="AW672" s="42"/>
      <c r="AX672" s="42"/>
      <c r="AY672" s="42"/>
      <c r="AZ672" s="42"/>
      <c r="BA672" s="42"/>
      <c r="BB672" s="42"/>
      <c r="BC672" s="42"/>
      <c r="BD672" s="42"/>
      <c r="BE672" s="42"/>
      <c r="BF672" s="42"/>
      <c r="BG672" s="42"/>
      <c r="BH672" s="42"/>
      <c r="BI672" s="42"/>
      <c r="BJ672" s="42"/>
      <c r="BK672" s="42"/>
      <c r="BL672" s="42"/>
      <c r="BM672" s="42"/>
    </row>
    <row r="673">
      <c r="A673" s="125"/>
      <c r="B673" s="267"/>
      <c r="C673" s="361"/>
      <c r="D673" s="42"/>
      <c r="E673" s="42"/>
      <c r="F673" s="42"/>
      <c r="G673" s="42"/>
      <c r="H673" s="42"/>
      <c r="I673" s="42"/>
      <c r="J673" s="42"/>
      <c r="K673" s="304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/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/>
      <c r="BB673" s="42"/>
      <c r="BC673" s="42"/>
      <c r="BD673" s="42"/>
      <c r="BE673" s="42"/>
      <c r="BF673" s="42"/>
      <c r="BG673" s="42"/>
      <c r="BH673" s="42"/>
      <c r="BI673" s="42"/>
      <c r="BJ673" s="42"/>
      <c r="BK673" s="42"/>
      <c r="BL673" s="42"/>
      <c r="BM673" s="42"/>
    </row>
    <row r="674">
      <c r="A674" s="125"/>
      <c r="B674" s="267"/>
      <c r="C674" s="361"/>
      <c r="D674" s="42"/>
      <c r="E674" s="42"/>
      <c r="F674" s="42"/>
      <c r="G674" s="42"/>
      <c r="H674" s="42"/>
      <c r="I674" s="42"/>
      <c r="J674" s="42"/>
      <c r="K674" s="304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/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/>
      <c r="BB674" s="42"/>
      <c r="BC674" s="42"/>
      <c r="BD674" s="42"/>
      <c r="BE674" s="42"/>
      <c r="BF674" s="42"/>
      <c r="BG674" s="42"/>
      <c r="BH674" s="42"/>
      <c r="BI674" s="42"/>
      <c r="BJ674" s="42"/>
      <c r="BK674" s="42"/>
      <c r="BL674" s="42"/>
      <c r="BM674" s="42"/>
    </row>
    <row r="675">
      <c r="A675" s="125"/>
      <c r="B675" s="267"/>
      <c r="C675" s="361"/>
      <c r="D675" s="42"/>
      <c r="E675" s="42"/>
      <c r="F675" s="42"/>
      <c r="G675" s="42"/>
      <c r="H675" s="42"/>
      <c r="I675" s="42"/>
      <c r="J675" s="42"/>
      <c r="K675" s="304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  <c r="AM675" s="42"/>
      <c r="AN675" s="42"/>
      <c r="AO675" s="42"/>
      <c r="AP675" s="42"/>
      <c r="AQ675" s="42"/>
      <c r="AR675" s="42"/>
      <c r="AS675" s="42"/>
      <c r="AT675" s="42"/>
      <c r="AU675" s="42"/>
      <c r="AV675" s="42"/>
      <c r="AW675" s="42"/>
      <c r="AX675" s="42"/>
      <c r="AY675" s="42"/>
      <c r="AZ675" s="42"/>
      <c r="BA675" s="42"/>
      <c r="BB675" s="42"/>
      <c r="BC675" s="42"/>
      <c r="BD675" s="42"/>
      <c r="BE675" s="42"/>
      <c r="BF675" s="42"/>
      <c r="BG675" s="42"/>
      <c r="BH675" s="42"/>
      <c r="BI675" s="42"/>
      <c r="BJ675" s="42"/>
      <c r="BK675" s="42"/>
      <c r="BL675" s="42"/>
      <c r="BM675" s="42"/>
    </row>
    <row r="676">
      <c r="A676" s="125"/>
      <c r="B676" s="267"/>
      <c r="C676" s="361"/>
      <c r="D676" s="42"/>
      <c r="E676" s="42"/>
      <c r="F676" s="42"/>
      <c r="G676" s="42"/>
      <c r="H676" s="42"/>
      <c r="I676" s="42"/>
      <c r="J676" s="42"/>
      <c r="K676" s="304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  <c r="AM676" s="42"/>
      <c r="AN676" s="42"/>
      <c r="AO676" s="42"/>
      <c r="AP676" s="42"/>
      <c r="AQ676" s="42"/>
      <c r="AR676" s="42"/>
      <c r="AS676" s="42"/>
      <c r="AT676" s="42"/>
      <c r="AU676" s="42"/>
      <c r="AV676" s="42"/>
      <c r="AW676" s="42"/>
      <c r="AX676" s="42"/>
      <c r="AY676" s="42"/>
      <c r="AZ676" s="42"/>
      <c r="BA676" s="42"/>
      <c r="BB676" s="42"/>
      <c r="BC676" s="42"/>
      <c r="BD676" s="42"/>
      <c r="BE676" s="42"/>
      <c r="BF676" s="42"/>
      <c r="BG676" s="42"/>
      <c r="BH676" s="42"/>
      <c r="BI676" s="42"/>
      <c r="BJ676" s="42"/>
      <c r="BK676" s="42"/>
      <c r="BL676" s="42"/>
      <c r="BM676" s="42"/>
    </row>
    <row r="677">
      <c r="A677" s="125"/>
      <c r="B677" s="267"/>
      <c r="C677" s="361"/>
      <c r="D677" s="42"/>
      <c r="E677" s="42"/>
      <c r="F677" s="42"/>
      <c r="G677" s="42"/>
      <c r="H677" s="42"/>
      <c r="I677" s="42"/>
      <c r="J677" s="42"/>
      <c r="K677" s="304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  <c r="AM677" s="42"/>
      <c r="AN677" s="42"/>
      <c r="AO677" s="42"/>
      <c r="AP677" s="42"/>
      <c r="AQ677" s="42"/>
      <c r="AR677" s="42"/>
      <c r="AS677" s="42"/>
      <c r="AT677" s="42"/>
      <c r="AU677" s="42"/>
      <c r="AV677" s="42"/>
      <c r="AW677" s="42"/>
      <c r="AX677" s="42"/>
      <c r="AY677" s="42"/>
      <c r="AZ677" s="42"/>
      <c r="BA677" s="42"/>
      <c r="BB677" s="42"/>
      <c r="BC677" s="42"/>
      <c r="BD677" s="42"/>
      <c r="BE677" s="42"/>
      <c r="BF677" s="42"/>
      <c r="BG677" s="42"/>
      <c r="BH677" s="42"/>
      <c r="BI677" s="42"/>
      <c r="BJ677" s="42"/>
      <c r="BK677" s="42"/>
      <c r="BL677" s="42"/>
      <c r="BM677" s="42"/>
    </row>
    <row r="678">
      <c r="A678" s="125"/>
      <c r="B678" s="267"/>
      <c r="C678" s="361"/>
      <c r="D678" s="42"/>
      <c r="E678" s="42"/>
      <c r="F678" s="42"/>
      <c r="G678" s="42"/>
      <c r="H678" s="42"/>
      <c r="I678" s="42"/>
      <c r="J678" s="42"/>
      <c r="K678" s="304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  <c r="AM678" s="42"/>
      <c r="AN678" s="42"/>
      <c r="AO678" s="42"/>
      <c r="AP678" s="42"/>
      <c r="AQ678" s="42"/>
      <c r="AR678" s="42"/>
      <c r="AS678" s="42"/>
      <c r="AT678" s="42"/>
      <c r="AU678" s="42"/>
      <c r="AV678" s="42"/>
      <c r="AW678" s="42"/>
      <c r="AX678" s="42"/>
      <c r="AY678" s="42"/>
      <c r="AZ678" s="42"/>
      <c r="BA678" s="42"/>
      <c r="BB678" s="42"/>
      <c r="BC678" s="42"/>
      <c r="BD678" s="42"/>
      <c r="BE678" s="42"/>
      <c r="BF678" s="42"/>
      <c r="BG678" s="42"/>
      <c r="BH678" s="42"/>
      <c r="BI678" s="42"/>
      <c r="BJ678" s="42"/>
      <c r="BK678" s="42"/>
      <c r="BL678" s="42"/>
      <c r="BM678" s="42"/>
    </row>
    <row r="679">
      <c r="A679" s="125"/>
      <c r="B679" s="267"/>
      <c r="C679" s="361"/>
      <c r="D679" s="42"/>
      <c r="E679" s="42"/>
      <c r="F679" s="42"/>
      <c r="G679" s="42"/>
      <c r="H679" s="42"/>
      <c r="I679" s="42"/>
      <c r="J679" s="42"/>
      <c r="K679" s="304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  <c r="AM679" s="42"/>
      <c r="AN679" s="42"/>
      <c r="AO679" s="42"/>
      <c r="AP679" s="42"/>
      <c r="AQ679" s="42"/>
      <c r="AR679" s="42"/>
      <c r="AS679" s="42"/>
      <c r="AT679" s="42"/>
      <c r="AU679" s="42"/>
      <c r="AV679" s="42"/>
      <c r="AW679" s="42"/>
      <c r="AX679" s="42"/>
      <c r="AY679" s="42"/>
      <c r="AZ679" s="42"/>
      <c r="BA679" s="42"/>
      <c r="BB679" s="42"/>
      <c r="BC679" s="42"/>
      <c r="BD679" s="42"/>
      <c r="BE679" s="42"/>
      <c r="BF679" s="42"/>
      <c r="BG679" s="42"/>
      <c r="BH679" s="42"/>
      <c r="BI679" s="42"/>
      <c r="BJ679" s="42"/>
      <c r="BK679" s="42"/>
      <c r="BL679" s="42"/>
      <c r="BM679" s="42"/>
    </row>
    <row r="680">
      <c r="A680" s="125"/>
      <c r="B680" s="267"/>
      <c r="C680" s="361"/>
      <c r="D680" s="42"/>
      <c r="E680" s="42"/>
      <c r="F680" s="42"/>
      <c r="G680" s="42"/>
      <c r="H680" s="42"/>
      <c r="I680" s="42"/>
      <c r="J680" s="42"/>
      <c r="K680" s="304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  <c r="AM680" s="42"/>
      <c r="AN680" s="42"/>
      <c r="AO680" s="42"/>
      <c r="AP680" s="42"/>
      <c r="AQ680" s="42"/>
      <c r="AR680" s="42"/>
      <c r="AS680" s="42"/>
      <c r="AT680" s="42"/>
      <c r="AU680" s="42"/>
      <c r="AV680" s="42"/>
      <c r="AW680" s="42"/>
      <c r="AX680" s="42"/>
      <c r="AY680" s="42"/>
      <c r="AZ680" s="42"/>
      <c r="BA680" s="42"/>
      <c r="BB680" s="42"/>
      <c r="BC680" s="42"/>
      <c r="BD680" s="42"/>
      <c r="BE680" s="42"/>
      <c r="BF680" s="42"/>
      <c r="BG680" s="42"/>
      <c r="BH680" s="42"/>
      <c r="BI680" s="42"/>
      <c r="BJ680" s="42"/>
      <c r="BK680" s="42"/>
      <c r="BL680" s="42"/>
      <c r="BM680" s="42"/>
    </row>
    <row r="681">
      <c r="A681" s="125"/>
      <c r="B681" s="267"/>
      <c r="C681" s="361"/>
      <c r="D681" s="42"/>
      <c r="E681" s="42"/>
      <c r="F681" s="42"/>
      <c r="G681" s="42"/>
      <c r="H681" s="42"/>
      <c r="I681" s="42"/>
      <c r="J681" s="42"/>
      <c r="K681" s="304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  <c r="AM681" s="42"/>
      <c r="AN681" s="42"/>
      <c r="AO681" s="42"/>
      <c r="AP681" s="42"/>
      <c r="AQ681" s="42"/>
      <c r="AR681" s="42"/>
      <c r="AS681" s="42"/>
      <c r="AT681" s="42"/>
      <c r="AU681" s="42"/>
      <c r="AV681" s="42"/>
      <c r="AW681" s="42"/>
      <c r="AX681" s="42"/>
      <c r="AY681" s="42"/>
      <c r="AZ681" s="42"/>
      <c r="BA681" s="42"/>
      <c r="BB681" s="42"/>
      <c r="BC681" s="42"/>
      <c r="BD681" s="42"/>
      <c r="BE681" s="42"/>
      <c r="BF681" s="42"/>
      <c r="BG681" s="42"/>
      <c r="BH681" s="42"/>
      <c r="BI681" s="42"/>
      <c r="BJ681" s="42"/>
      <c r="BK681" s="42"/>
      <c r="BL681" s="42"/>
      <c r="BM681" s="42"/>
    </row>
    <row r="682">
      <c r="A682" s="125"/>
      <c r="B682" s="267"/>
      <c r="C682" s="361"/>
      <c r="D682" s="42"/>
      <c r="E682" s="42"/>
      <c r="F682" s="42"/>
      <c r="G682" s="42"/>
      <c r="H682" s="42"/>
      <c r="I682" s="42"/>
      <c r="J682" s="42"/>
      <c r="K682" s="304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  <c r="AM682" s="42"/>
      <c r="AN682" s="42"/>
      <c r="AO682" s="42"/>
      <c r="AP682" s="42"/>
      <c r="AQ682" s="42"/>
      <c r="AR682" s="42"/>
      <c r="AS682" s="42"/>
      <c r="AT682" s="42"/>
      <c r="AU682" s="42"/>
      <c r="AV682" s="42"/>
      <c r="AW682" s="42"/>
      <c r="AX682" s="42"/>
      <c r="AY682" s="42"/>
      <c r="AZ682" s="42"/>
      <c r="BA682" s="42"/>
      <c r="BB682" s="42"/>
      <c r="BC682" s="42"/>
      <c r="BD682" s="42"/>
      <c r="BE682" s="42"/>
      <c r="BF682" s="42"/>
      <c r="BG682" s="42"/>
      <c r="BH682" s="42"/>
      <c r="BI682" s="42"/>
      <c r="BJ682" s="42"/>
      <c r="BK682" s="42"/>
      <c r="BL682" s="42"/>
      <c r="BM682" s="42"/>
    </row>
    <row r="683">
      <c r="A683" s="125"/>
      <c r="B683" s="267"/>
      <c r="C683" s="361"/>
      <c r="D683" s="42"/>
      <c r="E683" s="42"/>
      <c r="F683" s="42"/>
      <c r="G683" s="42"/>
      <c r="H683" s="42"/>
      <c r="I683" s="42"/>
      <c r="J683" s="42"/>
      <c r="K683" s="304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  <c r="AM683" s="42"/>
      <c r="AN683" s="42"/>
      <c r="AO683" s="42"/>
      <c r="AP683" s="42"/>
      <c r="AQ683" s="42"/>
      <c r="AR683" s="42"/>
      <c r="AS683" s="42"/>
      <c r="AT683" s="42"/>
      <c r="AU683" s="42"/>
      <c r="AV683" s="42"/>
      <c r="AW683" s="42"/>
      <c r="AX683" s="42"/>
      <c r="AY683" s="42"/>
      <c r="AZ683" s="42"/>
      <c r="BA683" s="42"/>
      <c r="BB683" s="42"/>
      <c r="BC683" s="42"/>
      <c r="BD683" s="42"/>
      <c r="BE683" s="42"/>
      <c r="BF683" s="42"/>
      <c r="BG683" s="42"/>
      <c r="BH683" s="42"/>
      <c r="BI683" s="42"/>
      <c r="BJ683" s="42"/>
      <c r="BK683" s="42"/>
      <c r="BL683" s="42"/>
      <c r="BM683" s="42"/>
    </row>
    <row r="684">
      <c r="A684" s="125"/>
      <c r="B684" s="267"/>
      <c r="C684" s="361"/>
      <c r="D684" s="42"/>
      <c r="E684" s="42"/>
      <c r="F684" s="42"/>
      <c r="G684" s="42"/>
      <c r="H684" s="42"/>
      <c r="I684" s="42"/>
      <c r="J684" s="42"/>
      <c r="K684" s="304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  <c r="AM684" s="42"/>
      <c r="AN684" s="42"/>
      <c r="AO684" s="42"/>
      <c r="AP684" s="42"/>
      <c r="AQ684" s="42"/>
      <c r="AR684" s="42"/>
      <c r="AS684" s="42"/>
      <c r="AT684" s="42"/>
      <c r="AU684" s="42"/>
      <c r="AV684" s="42"/>
      <c r="AW684" s="42"/>
      <c r="AX684" s="42"/>
      <c r="AY684" s="42"/>
      <c r="AZ684" s="42"/>
      <c r="BA684" s="42"/>
      <c r="BB684" s="42"/>
      <c r="BC684" s="42"/>
      <c r="BD684" s="42"/>
      <c r="BE684" s="42"/>
      <c r="BF684" s="42"/>
      <c r="BG684" s="42"/>
      <c r="BH684" s="42"/>
      <c r="BI684" s="42"/>
      <c r="BJ684" s="42"/>
      <c r="BK684" s="42"/>
      <c r="BL684" s="42"/>
      <c r="BM684" s="42"/>
    </row>
    <row r="685">
      <c r="A685" s="125"/>
      <c r="B685" s="267"/>
      <c r="C685" s="361"/>
      <c r="D685" s="42"/>
      <c r="E685" s="42"/>
      <c r="F685" s="42"/>
      <c r="G685" s="42"/>
      <c r="H685" s="42"/>
      <c r="I685" s="42"/>
      <c r="J685" s="42"/>
      <c r="K685" s="304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  <c r="AM685" s="42"/>
      <c r="AN685" s="42"/>
      <c r="AO685" s="42"/>
      <c r="AP685" s="42"/>
      <c r="AQ685" s="42"/>
      <c r="AR685" s="42"/>
      <c r="AS685" s="42"/>
      <c r="AT685" s="42"/>
      <c r="AU685" s="42"/>
      <c r="AV685" s="42"/>
      <c r="AW685" s="42"/>
      <c r="AX685" s="42"/>
      <c r="AY685" s="42"/>
      <c r="AZ685" s="42"/>
      <c r="BA685" s="42"/>
      <c r="BB685" s="42"/>
      <c r="BC685" s="42"/>
      <c r="BD685" s="42"/>
      <c r="BE685" s="42"/>
      <c r="BF685" s="42"/>
      <c r="BG685" s="42"/>
      <c r="BH685" s="42"/>
      <c r="BI685" s="42"/>
      <c r="BJ685" s="42"/>
      <c r="BK685" s="42"/>
      <c r="BL685" s="42"/>
      <c r="BM685" s="42"/>
    </row>
    <row r="686">
      <c r="A686" s="125"/>
      <c r="B686" s="267"/>
      <c r="C686" s="361"/>
      <c r="D686" s="42"/>
      <c r="E686" s="42"/>
      <c r="F686" s="42"/>
      <c r="G686" s="42"/>
      <c r="H686" s="42"/>
      <c r="I686" s="42"/>
      <c r="J686" s="42"/>
      <c r="K686" s="304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  <c r="AM686" s="42"/>
      <c r="AN686" s="42"/>
      <c r="AO686" s="42"/>
      <c r="AP686" s="42"/>
      <c r="AQ686" s="42"/>
      <c r="AR686" s="42"/>
      <c r="AS686" s="42"/>
      <c r="AT686" s="42"/>
      <c r="AU686" s="42"/>
      <c r="AV686" s="42"/>
      <c r="AW686" s="42"/>
      <c r="AX686" s="42"/>
      <c r="AY686" s="42"/>
      <c r="AZ686" s="42"/>
      <c r="BA686" s="42"/>
      <c r="BB686" s="42"/>
      <c r="BC686" s="42"/>
      <c r="BD686" s="42"/>
      <c r="BE686" s="42"/>
      <c r="BF686" s="42"/>
      <c r="BG686" s="42"/>
      <c r="BH686" s="42"/>
      <c r="BI686" s="42"/>
      <c r="BJ686" s="42"/>
      <c r="BK686" s="42"/>
      <c r="BL686" s="42"/>
      <c r="BM686" s="42"/>
    </row>
    <row r="687">
      <c r="A687" s="125"/>
      <c r="B687" s="267"/>
      <c r="C687" s="361"/>
      <c r="D687" s="42"/>
      <c r="E687" s="42"/>
      <c r="F687" s="42"/>
      <c r="G687" s="42"/>
      <c r="H687" s="42"/>
      <c r="I687" s="42"/>
      <c r="J687" s="42"/>
      <c r="K687" s="304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  <c r="AM687" s="42"/>
      <c r="AN687" s="42"/>
      <c r="AO687" s="42"/>
      <c r="AP687" s="42"/>
      <c r="AQ687" s="42"/>
      <c r="AR687" s="42"/>
      <c r="AS687" s="42"/>
      <c r="AT687" s="42"/>
      <c r="AU687" s="42"/>
      <c r="AV687" s="42"/>
      <c r="AW687" s="42"/>
      <c r="AX687" s="42"/>
      <c r="AY687" s="42"/>
      <c r="AZ687" s="42"/>
      <c r="BA687" s="42"/>
      <c r="BB687" s="42"/>
      <c r="BC687" s="42"/>
      <c r="BD687" s="42"/>
      <c r="BE687" s="42"/>
      <c r="BF687" s="42"/>
      <c r="BG687" s="42"/>
      <c r="BH687" s="42"/>
      <c r="BI687" s="42"/>
      <c r="BJ687" s="42"/>
      <c r="BK687" s="42"/>
      <c r="BL687" s="42"/>
      <c r="BM687" s="42"/>
    </row>
    <row r="688">
      <c r="A688" s="125"/>
      <c r="B688" s="267"/>
      <c r="C688" s="361"/>
      <c r="D688" s="42"/>
      <c r="E688" s="42"/>
      <c r="F688" s="42"/>
      <c r="G688" s="42"/>
      <c r="H688" s="42"/>
      <c r="I688" s="42"/>
      <c r="J688" s="42"/>
      <c r="K688" s="304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  <c r="AM688" s="42"/>
      <c r="AN688" s="42"/>
      <c r="AO688" s="42"/>
      <c r="AP688" s="42"/>
      <c r="AQ688" s="42"/>
      <c r="AR688" s="42"/>
      <c r="AS688" s="42"/>
      <c r="AT688" s="42"/>
      <c r="AU688" s="42"/>
      <c r="AV688" s="42"/>
      <c r="AW688" s="42"/>
      <c r="AX688" s="42"/>
      <c r="AY688" s="42"/>
      <c r="AZ688" s="42"/>
      <c r="BA688" s="42"/>
      <c r="BB688" s="42"/>
      <c r="BC688" s="42"/>
      <c r="BD688" s="42"/>
      <c r="BE688" s="42"/>
      <c r="BF688" s="42"/>
      <c r="BG688" s="42"/>
      <c r="BH688" s="42"/>
      <c r="BI688" s="42"/>
      <c r="BJ688" s="42"/>
      <c r="BK688" s="42"/>
      <c r="BL688" s="42"/>
      <c r="BM688" s="42"/>
    </row>
    <row r="689">
      <c r="A689" s="125"/>
      <c r="B689" s="267"/>
      <c r="C689" s="361"/>
      <c r="D689" s="42"/>
      <c r="E689" s="42"/>
      <c r="F689" s="42"/>
      <c r="G689" s="42"/>
      <c r="H689" s="42"/>
      <c r="I689" s="42"/>
      <c r="J689" s="42"/>
      <c r="K689" s="304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  <c r="AM689" s="42"/>
      <c r="AN689" s="42"/>
      <c r="AO689" s="42"/>
      <c r="AP689" s="42"/>
      <c r="AQ689" s="42"/>
      <c r="AR689" s="42"/>
      <c r="AS689" s="42"/>
      <c r="AT689" s="42"/>
      <c r="AU689" s="42"/>
      <c r="AV689" s="42"/>
      <c r="AW689" s="42"/>
      <c r="AX689" s="42"/>
      <c r="AY689" s="42"/>
      <c r="AZ689" s="42"/>
      <c r="BA689" s="42"/>
      <c r="BB689" s="42"/>
      <c r="BC689" s="42"/>
      <c r="BD689" s="42"/>
      <c r="BE689" s="42"/>
      <c r="BF689" s="42"/>
      <c r="BG689" s="42"/>
      <c r="BH689" s="42"/>
      <c r="BI689" s="42"/>
      <c r="BJ689" s="42"/>
      <c r="BK689" s="42"/>
      <c r="BL689" s="42"/>
      <c r="BM689" s="42"/>
    </row>
    <row r="690">
      <c r="A690" s="125"/>
      <c r="B690" s="267"/>
      <c r="C690" s="361"/>
      <c r="D690" s="42"/>
      <c r="E690" s="42"/>
      <c r="F690" s="42"/>
      <c r="G690" s="42"/>
      <c r="H690" s="42"/>
      <c r="I690" s="42"/>
      <c r="J690" s="42"/>
      <c r="K690" s="304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  <c r="AM690" s="42"/>
      <c r="AN690" s="42"/>
      <c r="AO690" s="42"/>
      <c r="AP690" s="42"/>
      <c r="AQ690" s="42"/>
      <c r="AR690" s="42"/>
      <c r="AS690" s="42"/>
      <c r="AT690" s="42"/>
      <c r="AU690" s="42"/>
      <c r="AV690" s="42"/>
      <c r="AW690" s="42"/>
      <c r="AX690" s="42"/>
      <c r="AY690" s="42"/>
      <c r="AZ690" s="42"/>
      <c r="BA690" s="42"/>
      <c r="BB690" s="42"/>
      <c r="BC690" s="42"/>
      <c r="BD690" s="42"/>
      <c r="BE690" s="42"/>
      <c r="BF690" s="42"/>
      <c r="BG690" s="42"/>
      <c r="BH690" s="42"/>
      <c r="BI690" s="42"/>
      <c r="BJ690" s="42"/>
      <c r="BK690" s="42"/>
      <c r="BL690" s="42"/>
      <c r="BM690" s="42"/>
    </row>
    <row r="691">
      <c r="A691" s="125"/>
      <c r="B691" s="267"/>
      <c r="C691" s="361"/>
      <c r="D691" s="42"/>
      <c r="E691" s="42"/>
      <c r="F691" s="42"/>
      <c r="G691" s="42"/>
      <c r="H691" s="42"/>
      <c r="I691" s="42"/>
      <c r="J691" s="42"/>
      <c r="K691" s="304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  <c r="AM691" s="42"/>
      <c r="AN691" s="42"/>
      <c r="AO691" s="42"/>
      <c r="AP691" s="42"/>
      <c r="AQ691" s="42"/>
      <c r="AR691" s="42"/>
      <c r="AS691" s="42"/>
      <c r="AT691" s="42"/>
      <c r="AU691" s="42"/>
      <c r="AV691" s="42"/>
      <c r="AW691" s="42"/>
      <c r="AX691" s="42"/>
      <c r="AY691" s="42"/>
      <c r="AZ691" s="42"/>
      <c r="BA691" s="42"/>
      <c r="BB691" s="42"/>
      <c r="BC691" s="42"/>
      <c r="BD691" s="42"/>
      <c r="BE691" s="42"/>
      <c r="BF691" s="42"/>
      <c r="BG691" s="42"/>
      <c r="BH691" s="42"/>
      <c r="BI691" s="42"/>
      <c r="BJ691" s="42"/>
      <c r="BK691" s="42"/>
      <c r="BL691" s="42"/>
      <c r="BM691" s="42"/>
    </row>
    <row r="692">
      <c r="A692" s="125"/>
      <c r="B692" s="267"/>
      <c r="C692" s="361"/>
      <c r="D692" s="42"/>
      <c r="E692" s="42"/>
      <c r="F692" s="42"/>
      <c r="G692" s="42"/>
      <c r="H692" s="42"/>
      <c r="I692" s="42"/>
      <c r="J692" s="42"/>
      <c r="K692" s="304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  <c r="AM692" s="42"/>
      <c r="AN692" s="42"/>
      <c r="AO692" s="42"/>
      <c r="AP692" s="42"/>
      <c r="AQ692" s="42"/>
      <c r="AR692" s="42"/>
      <c r="AS692" s="42"/>
      <c r="AT692" s="42"/>
      <c r="AU692" s="42"/>
      <c r="AV692" s="42"/>
      <c r="AW692" s="42"/>
      <c r="AX692" s="42"/>
      <c r="AY692" s="42"/>
      <c r="AZ692" s="42"/>
      <c r="BA692" s="42"/>
      <c r="BB692" s="42"/>
      <c r="BC692" s="42"/>
      <c r="BD692" s="42"/>
      <c r="BE692" s="42"/>
      <c r="BF692" s="42"/>
      <c r="BG692" s="42"/>
      <c r="BH692" s="42"/>
      <c r="BI692" s="42"/>
      <c r="BJ692" s="42"/>
      <c r="BK692" s="42"/>
      <c r="BL692" s="42"/>
      <c r="BM692" s="42"/>
    </row>
    <row r="693">
      <c r="A693" s="125"/>
      <c r="B693" s="267"/>
      <c r="C693" s="361"/>
      <c r="D693" s="42"/>
      <c r="E693" s="42"/>
      <c r="F693" s="42"/>
      <c r="G693" s="42"/>
      <c r="H693" s="42"/>
      <c r="I693" s="42"/>
      <c r="J693" s="42"/>
      <c r="K693" s="304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  <c r="AM693" s="42"/>
      <c r="AN693" s="42"/>
      <c r="AO693" s="42"/>
      <c r="AP693" s="42"/>
      <c r="AQ693" s="42"/>
      <c r="AR693" s="42"/>
      <c r="AS693" s="42"/>
      <c r="AT693" s="42"/>
      <c r="AU693" s="42"/>
      <c r="AV693" s="42"/>
      <c r="AW693" s="42"/>
      <c r="AX693" s="42"/>
      <c r="AY693" s="42"/>
      <c r="AZ693" s="42"/>
      <c r="BA693" s="42"/>
      <c r="BB693" s="42"/>
      <c r="BC693" s="42"/>
      <c r="BD693" s="42"/>
      <c r="BE693" s="42"/>
      <c r="BF693" s="42"/>
      <c r="BG693" s="42"/>
      <c r="BH693" s="42"/>
      <c r="BI693" s="42"/>
      <c r="BJ693" s="42"/>
      <c r="BK693" s="42"/>
      <c r="BL693" s="42"/>
      <c r="BM693" s="42"/>
    </row>
    <row r="694">
      <c r="A694" s="125"/>
      <c r="B694" s="267"/>
      <c r="C694" s="361"/>
      <c r="D694" s="42"/>
      <c r="E694" s="42"/>
      <c r="F694" s="42"/>
      <c r="G694" s="42"/>
      <c r="H694" s="42"/>
      <c r="I694" s="42"/>
      <c r="J694" s="42"/>
      <c r="K694" s="304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  <c r="AM694" s="42"/>
      <c r="AN694" s="42"/>
      <c r="AO694" s="42"/>
      <c r="AP694" s="42"/>
      <c r="AQ694" s="42"/>
      <c r="AR694" s="42"/>
      <c r="AS694" s="42"/>
      <c r="AT694" s="42"/>
      <c r="AU694" s="42"/>
      <c r="AV694" s="42"/>
      <c r="AW694" s="42"/>
      <c r="AX694" s="42"/>
      <c r="AY694" s="42"/>
      <c r="AZ694" s="42"/>
      <c r="BA694" s="42"/>
      <c r="BB694" s="42"/>
      <c r="BC694" s="42"/>
      <c r="BD694" s="42"/>
      <c r="BE694" s="42"/>
      <c r="BF694" s="42"/>
      <c r="BG694" s="42"/>
      <c r="BH694" s="42"/>
      <c r="BI694" s="42"/>
      <c r="BJ694" s="42"/>
      <c r="BK694" s="42"/>
      <c r="BL694" s="42"/>
      <c r="BM694" s="42"/>
    </row>
    <row r="695">
      <c r="A695" s="125"/>
      <c r="B695" s="267"/>
      <c r="C695" s="361"/>
      <c r="D695" s="42"/>
      <c r="E695" s="42"/>
      <c r="F695" s="42"/>
      <c r="G695" s="42"/>
      <c r="H695" s="42"/>
      <c r="I695" s="42"/>
      <c r="J695" s="42"/>
      <c r="K695" s="304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  <c r="AM695" s="42"/>
      <c r="AN695" s="42"/>
      <c r="AO695" s="42"/>
      <c r="AP695" s="42"/>
      <c r="AQ695" s="42"/>
      <c r="AR695" s="42"/>
      <c r="AS695" s="42"/>
      <c r="AT695" s="42"/>
      <c r="AU695" s="42"/>
      <c r="AV695" s="42"/>
      <c r="AW695" s="42"/>
      <c r="AX695" s="42"/>
      <c r="AY695" s="42"/>
      <c r="AZ695" s="42"/>
      <c r="BA695" s="42"/>
      <c r="BB695" s="42"/>
      <c r="BC695" s="42"/>
      <c r="BD695" s="42"/>
      <c r="BE695" s="42"/>
      <c r="BF695" s="42"/>
      <c r="BG695" s="42"/>
      <c r="BH695" s="42"/>
      <c r="BI695" s="42"/>
      <c r="BJ695" s="42"/>
      <c r="BK695" s="42"/>
      <c r="BL695" s="42"/>
      <c r="BM695" s="42"/>
    </row>
    <row r="696">
      <c r="A696" s="125"/>
      <c r="B696" s="267"/>
      <c r="C696" s="361"/>
      <c r="D696" s="42"/>
      <c r="E696" s="42"/>
      <c r="F696" s="42"/>
      <c r="G696" s="42"/>
      <c r="H696" s="42"/>
      <c r="I696" s="42"/>
      <c r="J696" s="42"/>
      <c r="K696" s="304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  <c r="AM696" s="42"/>
      <c r="AN696" s="42"/>
      <c r="AO696" s="42"/>
      <c r="AP696" s="42"/>
      <c r="AQ696" s="42"/>
      <c r="AR696" s="42"/>
      <c r="AS696" s="42"/>
      <c r="AT696" s="42"/>
      <c r="AU696" s="42"/>
      <c r="AV696" s="42"/>
      <c r="AW696" s="42"/>
      <c r="AX696" s="42"/>
      <c r="AY696" s="42"/>
      <c r="AZ696" s="42"/>
      <c r="BA696" s="42"/>
      <c r="BB696" s="42"/>
      <c r="BC696" s="42"/>
      <c r="BD696" s="42"/>
      <c r="BE696" s="42"/>
      <c r="BF696" s="42"/>
      <c r="BG696" s="42"/>
      <c r="BH696" s="42"/>
      <c r="BI696" s="42"/>
      <c r="BJ696" s="42"/>
      <c r="BK696" s="42"/>
      <c r="BL696" s="42"/>
      <c r="BM696" s="42"/>
    </row>
    <row r="697">
      <c r="A697" s="125"/>
      <c r="B697" s="267"/>
      <c r="C697" s="361"/>
      <c r="D697" s="42"/>
      <c r="E697" s="42"/>
      <c r="F697" s="42"/>
      <c r="G697" s="42"/>
      <c r="H697" s="42"/>
      <c r="I697" s="42"/>
      <c r="J697" s="42"/>
      <c r="K697" s="304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  <c r="AM697" s="42"/>
      <c r="AN697" s="42"/>
      <c r="AO697" s="42"/>
      <c r="AP697" s="42"/>
      <c r="AQ697" s="42"/>
      <c r="AR697" s="42"/>
      <c r="AS697" s="42"/>
      <c r="AT697" s="42"/>
      <c r="AU697" s="42"/>
      <c r="AV697" s="42"/>
      <c r="AW697" s="42"/>
      <c r="AX697" s="42"/>
      <c r="AY697" s="42"/>
      <c r="AZ697" s="42"/>
      <c r="BA697" s="42"/>
      <c r="BB697" s="42"/>
      <c r="BC697" s="42"/>
      <c r="BD697" s="42"/>
      <c r="BE697" s="42"/>
      <c r="BF697" s="42"/>
      <c r="BG697" s="42"/>
      <c r="BH697" s="42"/>
      <c r="BI697" s="42"/>
      <c r="BJ697" s="42"/>
      <c r="BK697" s="42"/>
      <c r="BL697" s="42"/>
      <c r="BM697" s="42"/>
    </row>
    <row r="698">
      <c r="A698" s="125"/>
      <c r="B698" s="267"/>
      <c r="C698" s="361"/>
      <c r="D698" s="42"/>
      <c r="E698" s="42"/>
      <c r="F698" s="42"/>
      <c r="G698" s="42"/>
      <c r="H698" s="42"/>
      <c r="I698" s="42"/>
      <c r="J698" s="42"/>
      <c r="K698" s="304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  <c r="AM698" s="42"/>
      <c r="AN698" s="42"/>
      <c r="AO698" s="42"/>
      <c r="AP698" s="42"/>
      <c r="AQ698" s="42"/>
      <c r="AR698" s="42"/>
      <c r="AS698" s="42"/>
      <c r="AT698" s="42"/>
      <c r="AU698" s="42"/>
      <c r="AV698" s="42"/>
      <c r="AW698" s="42"/>
      <c r="AX698" s="42"/>
      <c r="AY698" s="42"/>
      <c r="AZ698" s="42"/>
      <c r="BA698" s="42"/>
      <c r="BB698" s="42"/>
      <c r="BC698" s="42"/>
      <c r="BD698" s="42"/>
      <c r="BE698" s="42"/>
      <c r="BF698" s="42"/>
      <c r="BG698" s="42"/>
      <c r="BH698" s="42"/>
      <c r="BI698" s="42"/>
      <c r="BJ698" s="42"/>
      <c r="BK698" s="42"/>
      <c r="BL698" s="42"/>
      <c r="BM698" s="42"/>
    </row>
    <row r="699">
      <c r="A699" s="125"/>
      <c r="B699" s="267"/>
      <c r="C699" s="361"/>
      <c r="D699" s="42"/>
      <c r="E699" s="42"/>
      <c r="F699" s="42"/>
      <c r="G699" s="42"/>
      <c r="H699" s="42"/>
      <c r="I699" s="42"/>
      <c r="J699" s="42"/>
      <c r="K699" s="304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  <c r="AM699" s="42"/>
      <c r="AN699" s="42"/>
      <c r="AO699" s="42"/>
      <c r="AP699" s="42"/>
      <c r="AQ699" s="42"/>
      <c r="AR699" s="42"/>
      <c r="AS699" s="42"/>
      <c r="AT699" s="42"/>
      <c r="AU699" s="42"/>
      <c r="AV699" s="42"/>
      <c r="AW699" s="42"/>
      <c r="AX699" s="42"/>
      <c r="AY699" s="42"/>
      <c r="AZ699" s="42"/>
      <c r="BA699" s="42"/>
      <c r="BB699" s="42"/>
      <c r="BC699" s="42"/>
      <c r="BD699" s="42"/>
      <c r="BE699" s="42"/>
      <c r="BF699" s="42"/>
      <c r="BG699" s="42"/>
      <c r="BH699" s="42"/>
      <c r="BI699" s="42"/>
      <c r="BJ699" s="42"/>
      <c r="BK699" s="42"/>
      <c r="BL699" s="42"/>
      <c r="BM699" s="42"/>
    </row>
    <row r="700">
      <c r="A700" s="125"/>
      <c r="B700" s="267"/>
      <c r="C700" s="361"/>
      <c r="D700" s="42"/>
      <c r="E700" s="42"/>
      <c r="F700" s="42"/>
      <c r="G700" s="42"/>
      <c r="H700" s="42"/>
      <c r="I700" s="42"/>
      <c r="J700" s="42"/>
      <c r="K700" s="304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  <c r="AM700" s="42"/>
      <c r="AN700" s="42"/>
      <c r="AO700" s="42"/>
      <c r="AP700" s="42"/>
      <c r="AQ700" s="42"/>
      <c r="AR700" s="42"/>
      <c r="AS700" s="42"/>
      <c r="AT700" s="42"/>
      <c r="AU700" s="42"/>
      <c r="AV700" s="42"/>
      <c r="AW700" s="42"/>
      <c r="AX700" s="42"/>
      <c r="AY700" s="42"/>
      <c r="AZ700" s="42"/>
      <c r="BA700" s="42"/>
      <c r="BB700" s="42"/>
      <c r="BC700" s="42"/>
      <c r="BD700" s="42"/>
      <c r="BE700" s="42"/>
      <c r="BF700" s="42"/>
      <c r="BG700" s="42"/>
      <c r="BH700" s="42"/>
      <c r="BI700" s="42"/>
      <c r="BJ700" s="42"/>
      <c r="BK700" s="42"/>
      <c r="BL700" s="42"/>
      <c r="BM700" s="42"/>
    </row>
    <row r="701">
      <c r="A701" s="125"/>
      <c r="B701" s="267"/>
      <c r="C701" s="361"/>
      <c r="D701" s="42"/>
      <c r="E701" s="42"/>
      <c r="F701" s="42"/>
      <c r="G701" s="42"/>
      <c r="H701" s="42"/>
      <c r="I701" s="42"/>
      <c r="J701" s="42"/>
      <c r="K701" s="304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  <c r="AM701" s="42"/>
      <c r="AN701" s="42"/>
      <c r="AO701" s="42"/>
      <c r="AP701" s="42"/>
      <c r="AQ701" s="42"/>
      <c r="AR701" s="42"/>
      <c r="AS701" s="42"/>
      <c r="AT701" s="42"/>
      <c r="AU701" s="42"/>
      <c r="AV701" s="42"/>
      <c r="AW701" s="42"/>
      <c r="AX701" s="42"/>
      <c r="AY701" s="42"/>
      <c r="AZ701" s="42"/>
      <c r="BA701" s="42"/>
      <c r="BB701" s="42"/>
      <c r="BC701" s="42"/>
      <c r="BD701" s="42"/>
      <c r="BE701" s="42"/>
      <c r="BF701" s="42"/>
      <c r="BG701" s="42"/>
      <c r="BH701" s="42"/>
      <c r="BI701" s="42"/>
      <c r="BJ701" s="42"/>
      <c r="BK701" s="42"/>
      <c r="BL701" s="42"/>
      <c r="BM701" s="42"/>
    </row>
    <row r="702">
      <c r="A702" s="125"/>
      <c r="B702" s="267"/>
      <c r="C702" s="361"/>
      <c r="D702" s="42"/>
      <c r="E702" s="42"/>
      <c r="F702" s="42"/>
      <c r="G702" s="42"/>
      <c r="H702" s="42"/>
      <c r="I702" s="42"/>
      <c r="J702" s="42"/>
      <c r="K702" s="304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  <c r="AM702" s="42"/>
      <c r="AN702" s="42"/>
      <c r="AO702" s="42"/>
      <c r="AP702" s="42"/>
      <c r="AQ702" s="42"/>
      <c r="AR702" s="42"/>
      <c r="AS702" s="42"/>
      <c r="AT702" s="42"/>
      <c r="AU702" s="42"/>
      <c r="AV702" s="42"/>
      <c r="AW702" s="42"/>
      <c r="AX702" s="42"/>
      <c r="AY702" s="42"/>
      <c r="AZ702" s="42"/>
      <c r="BA702" s="42"/>
      <c r="BB702" s="42"/>
      <c r="BC702" s="42"/>
      <c r="BD702" s="42"/>
      <c r="BE702" s="42"/>
      <c r="BF702" s="42"/>
      <c r="BG702" s="42"/>
      <c r="BH702" s="42"/>
      <c r="BI702" s="42"/>
      <c r="BJ702" s="42"/>
      <c r="BK702" s="42"/>
      <c r="BL702" s="42"/>
      <c r="BM702" s="42"/>
    </row>
    <row r="703">
      <c r="A703" s="125"/>
      <c r="B703" s="267"/>
      <c r="C703" s="361"/>
      <c r="D703" s="42"/>
      <c r="E703" s="42"/>
      <c r="F703" s="42"/>
      <c r="G703" s="42"/>
      <c r="H703" s="42"/>
      <c r="I703" s="42"/>
      <c r="J703" s="42"/>
      <c r="K703" s="304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  <c r="AM703" s="42"/>
      <c r="AN703" s="42"/>
      <c r="AO703" s="42"/>
      <c r="AP703" s="42"/>
      <c r="AQ703" s="42"/>
      <c r="AR703" s="42"/>
      <c r="AS703" s="42"/>
      <c r="AT703" s="42"/>
      <c r="AU703" s="42"/>
      <c r="AV703" s="42"/>
      <c r="AW703" s="42"/>
      <c r="AX703" s="42"/>
      <c r="AY703" s="42"/>
      <c r="AZ703" s="42"/>
      <c r="BA703" s="42"/>
      <c r="BB703" s="42"/>
      <c r="BC703" s="42"/>
      <c r="BD703" s="42"/>
      <c r="BE703" s="42"/>
      <c r="BF703" s="42"/>
      <c r="BG703" s="42"/>
      <c r="BH703" s="42"/>
      <c r="BI703" s="42"/>
      <c r="BJ703" s="42"/>
      <c r="BK703" s="42"/>
      <c r="BL703" s="42"/>
      <c r="BM703" s="42"/>
    </row>
    <row r="704">
      <c r="A704" s="125"/>
      <c r="B704" s="267"/>
      <c r="C704" s="361"/>
      <c r="D704" s="42"/>
      <c r="E704" s="42"/>
      <c r="F704" s="42"/>
      <c r="G704" s="42"/>
      <c r="H704" s="42"/>
      <c r="I704" s="42"/>
      <c r="J704" s="42"/>
      <c r="K704" s="304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  <c r="AM704" s="42"/>
      <c r="AN704" s="42"/>
      <c r="AO704" s="42"/>
      <c r="AP704" s="42"/>
      <c r="AQ704" s="42"/>
      <c r="AR704" s="42"/>
      <c r="AS704" s="42"/>
      <c r="AT704" s="42"/>
      <c r="AU704" s="42"/>
      <c r="AV704" s="42"/>
      <c r="AW704" s="42"/>
      <c r="AX704" s="42"/>
      <c r="AY704" s="42"/>
      <c r="AZ704" s="42"/>
      <c r="BA704" s="42"/>
      <c r="BB704" s="42"/>
      <c r="BC704" s="42"/>
      <c r="BD704" s="42"/>
      <c r="BE704" s="42"/>
      <c r="BF704" s="42"/>
      <c r="BG704" s="42"/>
      <c r="BH704" s="42"/>
      <c r="BI704" s="42"/>
      <c r="BJ704" s="42"/>
      <c r="BK704" s="42"/>
      <c r="BL704" s="42"/>
      <c r="BM704" s="42"/>
    </row>
    <row r="705">
      <c r="A705" s="125"/>
      <c r="B705" s="267"/>
      <c r="C705" s="361"/>
      <c r="D705" s="42"/>
      <c r="E705" s="42"/>
      <c r="F705" s="42"/>
      <c r="G705" s="42"/>
      <c r="H705" s="42"/>
      <c r="I705" s="42"/>
      <c r="J705" s="42"/>
      <c r="K705" s="304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  <c r="AM705" s="42"/>
      <c r="AN705" s="42"/>
      <c r="AO705" s="42"/>
      <c r="AP705" s="42"/>
      <c r="AQ705" s="42"/>
      <c r="AR705" s="42"/>
      <c r="AS705" s="42"/>
      <c r="AT705" s="42"/>
      <c r="AU705" s="42"/>
      <c r="AV705" s="42"/>
      <c r="AW705" s="42"/>
      <c r="AX705" s="42"/>
      <c r="AY705" s="42"/>
      <c r="AZ705" s="42"/>
      <c r="BA705" s="42"/>
      <c r="BB705" s="42"/>
      <c r="BC705" s="42"/>
      <c r="BD705" s="42"/>
      <c r="BE705" s="42"/>
      <c r="BF705" s="42"/>
      <c r="BG705" s="42"/>
      <c r="BH705" s="42"/>
      <c r="BI705" s="42"/>
      <c r="BJ705" s="42"/>
      <c r="BK705" s="42"/>
      <c r="BL705" s="42"/>
      <c r="BM705" s="42"/>
    </row>
    <row r="706">
      <c r="A706" s="125"/>
      <c r="B706" s="267"/>
      <c r="C706" s="361"/>
      <c r="D706" s="42"/>
      <c r="E706" s="42"/>
      <c r="F706" s="42"/>
      <c r="G706" s="42"/>
      <c r="H706" s="42"/>
      <c r="I706" s="42"/>
      <c r="J706" s="42"/>
      <c r="K706" s="304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  <c r="AM706" s="42"/>
      <c r="AN706" s="42"/>
      <c r="AO706" s="42"/>
      <c r="AP706" s="42"/>
      <c r="AQ706" s="42"/>
      <c r="AR706" s="42"/>
      <c r="AS706" s="42"/>
      <c r="AT706" s="42"/>
      <c r="AU706" s="42"/>
      <c r="AV706" s="42"/>
      <c r="AW706" s="42"/>
      <c r="AX706" s="42"/>
      <c r="AY706" s="42"/>
      <c r="AZ706" s="42"/>
      <c r="BA706" s="42"/>
      <c r="BB706" s="42"/>
      <c r="BC706" s="42"/>
      <c r="BD706" s="42"/>
      <c r="BE706" s="42"/>
      <c r="BF706" s="42"/>
      <c r="BG706" s="42"/>
      <c r="BH706" s="42"/>
      <c r="BI706" s="42"/>
      <c r="BJ706" s="42"/>
      <c r="BK706" s="42"/>
      <c r="BL706" s="42"/>
      <c r="BM706" s="42"/>
    </row>
    <row r="707">
      <c r="A707" s="125"/>
      <c r="B707" s="267"/>
      <c r="C707" s="361"/>
      <c r="D707" s="42"/>
      <c r="E707" s="42"/>
      <c r="F707" s="42"/>
      <c r="G707" s="42"/>
      <c r="H707" s="42"/>
      <c r="I707" s="42"/>
      <c r="J707" s="42"/>
      <c r="K707" s="304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  <c r="AM707" s="42"/>
      <c r="AN707" s="42"/>
      <c r="AO707" s="42"/>
      <c r="AP707" s="42"/>
      <c r="AQ707" s="42"/>
      <c r="AR707" s="42"/>
      <c r="AS707" s="42"/>
      <c r="AT707" s="42"/>
      <c r="AU707" s="42"/>
      <c r="AV707" s="42"/>
      <c r="AW707" s="42"/>
      <c r="AX707" s="42"/>
      <c r="AY707" s="42"/>
      <c r="AZ707" s="42"/>
      <c r="BA707" s="42"/>
      <c r="BB707" s="42"/>
      <c r="BC707" s="42"/>
      <c r="BD707" s="42"/>
      <c r="BE707" s="42"/>
      <c r="BF707" s="42"/>
      <c r="BG707" s="42"/>
      <c r="BH707" s="42"/>
      <c r="BI707" s="42"/>
      <c r="BJ707" s="42"/>
      <c r="BK707" s="42"/>
      <c r="BL707" s="42"/>
      <c r="BM707" s="42"/>
    </row>
    <row r="708">
      <c r="A708" s="125"/>
      <c r="B708" s="267"/>
      <c r="C708" s="361"/>
      <c r="D708" s="42"/>
      <c r="E708" s="42"/>
      <c r="F708" s="42"/>
      <c r="G708" s="42"/>
      <c r="H708" s="42"/>
      <c r="I708" s="42"/>
      <c r="J708" s="42"/>
      <c r="K708" s="304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/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/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</row>
    <row r="709">
      <c r="A709" s="125"/>
      <c r="B709" s="267"/>
      <c r="C709" s="361"/>
      <c r="D709" s="42"/>
      <c r="E709" s="42"/>
      <c r="F709" s="42"/>
      <c r="G709" s="42"/>
      <c r="H709" s="42"/>
      <c r="I709" s="42"/>
      <c r="J709" s="42"/>
      <c r="K709" s="304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  <c r="AM709" s="42"/>
      <c r="AN709" s="42"/>
      <c r="AO709" s="42"/>
      <c r="AP709" s="42"/>
      <c r="AQ709" s="42"/>
      <c r="AR709" s="42"/>
      <c r="AS709" s="42"/>
      <c r="AT709" s="42"/>
      <c r="AU709" s="42"/>
      <c r="AV709" s="42"/>
      <c r="AW709" s="42"/>
      <c r="AX709" s="42"/>
      <c r="AY709" s="42"/>
      <c r="AZ709" s="42"/>
      <c r="BA709" s="42"/>
      <c r="BB709" s="42"/>
      <c r="BC709" s="42"/>
      <c r="BD709" s="42"/>
      <c r="BE709" s="42"/>
      <c r="BF709" s="42"/>
      <c r="BG709" s="42"/>
      <c r="BH709" s="42"/>
      <c r="BI709" s="42"/>
      <c r="BJ709" s="42"/>
      <c r="BK709" s="42"/>
      <c r="BL709" s="42"/>
      <c r="BM709" s="42"/>
    </row>
    <row r="710">
      <c r="A710" s="125"/>
      <c r="B710" s="267"/>
      <c r="C710" s="361"/>
      <c r="D710" s="42"/>
      <c r="E710" s="42"/>
      <c r="F710" s="42"/>
      <c r="G710" s="42"/>
      <c r="H710" s="42"/>
      <c r="I710" s="42"/>
      <c r="J710" s="42"/>
      <c r="K710" s="304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  <c r="AM710" s="42"/>
      <c r="AN710" s="42"/>
      <c r="AO710" s="42"/>
      <c r="AP710" s="42"/>
      <c r="AQ710" s="42"/>
      <c r="AR710" s="42"/>
      <c r="AS710" s="42"/>
      <c r="AT710" s="42"/>
      <c r="AU710" s="42"/>
      <c r="AV710" s="42"/>
      <c r="AW710" s="42"/>
      <c r="AX710" s="42"/>
      <c r="AY710" s="42"/>
      <c r="AZ710" s="42"/>
      <c r="BA710" s="42"/>
      <c r="BB710" s="42"/>
      <c r="BC710" s="42"/>
      <c r="BD710" s="42"/>
      <c r="BE710" s="42"/>
      <c r="BF710" s="42"/>
      <c r="BG710" s="42"/>
      <c r="BH710" s="42"/>
      <c r="BI710" s="42"/>
      <c r="BJ710" s="42"/>
      <c r="BK710" s="42"/>
      <c r="BL710" s="42"/>
      <c r="BM710" s="42"/>
    </row>
    <row r="711">
      <c r="A711" s="125"/>
      <c r="B711" s="267"/>
      <c r="C711" s="361"/>
      <c r="D711" s="42"/>
      <c r="E711" s="42"/>
      <c r="F711" s="42"/>
      <c r="G711" s="42"/>
      <c r="H711" s="42"/>
      <c r="I711" s="42"/>
      <c r="J711" s="42"/>
      <c r="K711" s="304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  <c r="AM711" s="42"/>
      <c r="AN711" s="42"/>
      <c r="AO711" s="42"/>
      <c r="AP711" s="42"/>
      <c r="AQ711" s="42"/>
      <c r="AR711" s="42"/>
      <c r="AS711" s="42"/>
      <c r="AT711" s="42"/>
      <c r="AU711" s="42"/>
      <c r="AV711" s="42"/>
      <c r="AW711" s="42"/>
      <c r="AX711" s="42"/>
      <c r="AY711" s="42"/>
      <c r="AZ711" s="42"/>
      <c r="BA711" s="42"/>
      <c r="BB711" s="42"/>
      <c r="BC711" s="42"/>
      <c r="BD711" s="42"/>
      <c r="BE711" s="42"/>
      <c r="BF711" s="42"/>
      <c r="BG711" s="42"/>
      <c r="BH711" s="42"/>
      <c r="BI711" s="42"/>
      <c r="BJ711" s="42"/>
      <c r="BK711" s="42"/>
      <c r="BL711" s="42"/>
      <c r="BM711" s="42"/>
    </row>
    <row r="712">
      <c r="A712" s="125"/>
      <c r="B712" s="267"/>
      <c r="C712" s="361"/>
      <c r="D712" s="42"/>
      <c r="E712" s="42"/>
      <c r="F712" s="42"/>
      <c r="G712" s="42"/>
      <c r="H712" s="42"/>
      <c r="I712" s="42"/>
      <c r="J712" s="42"/>
      <c r="K712" s="304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/>
      <c r="AN712" s="42"/>
      <c r="AO712" s="42"/>
      <c r="AP712" s="42"/>
      <c r="AQ712" s="42"/>
      <c r="AR712" s="42"/>
      <c r="AS712" s="42"/>
      <c r="AT712" s="42"/>
      <c r="AU712" s="42"/>
      <c r="AV712" s="42"/>
      <c r="AW712" s="42"/>
      <c r="AX712" s="42"/>
      <c r="AY712" s="42"/>
      <c r="AZ712" s="42"/>
      <c r="BA712" s="42"/>
      <c r="BB712" s="42"/>
      <c r="BC712" s="42"/>
      <c r="BD712" s="42"/>
      <c r="BE712" s="42"/>
      <c r="BF712" s="42"/>
      <c r="BG712" s="42"/>
      <c r="BH712" s="42"/>
      <c r="BI712" s="42"/>
      <c r="BJ712" s="42"/>
      <c r="BK712" s="42"/>
      <c r="BL712" s="42"/>
      <c r="BM712" s="42"/>
    </row>
    <row r="713">
      <c r="A713" s="125"/>
      <c r="B713" s="267"/>
      <c r="C713" s="361"/>
      <c r="D713" s="42"/>
      <c r="E713" s="42"/>
      <c r="F713" s="42"/>
      <c r="G713" s="42"/>
      <c r="H713" s="42"/>
      <c r="I713" s="42"/>
      <c r="J713" s="42"/>
      <c r="K713" s="304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/>
      <c r="AN713" s="42"/>
      <c r="AO713" s="42"/>
      <c r="AP713" s="42"/>
      <c r="AQ713" s="42"/>
      <c r="AR713" s="42"/>
      <c r="AS713" s="42"/>
      <c r="AT713" s="42"/>
      <c r="AU713" s="42"/>
      <c r="AV713" s="42"/>
      <c r="AW713" s="42"/>
      <c r="AX713" s="42"/>
      <c r="AY713" s="42"/>
      <c r="AZ713" s="42"/>
      <c r="BA713" s="42"/>
      <c r="BB713" s="42"/>
      <c r="BC713" s="42"/>
      <c r="BD713" s="42"/>
      <c r="BE713" s="42"/>
      <c r="BF713" s="42"/>
      <c r="BG713" s="42"/>
      <c r="BH713" s="42"/>
      <c r="BI713" s="42"/>
      <c r="BJ713" s="42"/>
      <c r="BK713" s="42"/>
      <c r="BL713" s="42"/>
      <c r="BM713" s="42"/>
    </row>
    <row r="714">
      <c r="A714" s="125"/>
      <c r="B714" s="267"/>
      <c r="C714" s="361"/>
      <c r="D714" s="42"/>
      <c r="E714" s="42"/>
      <c r="F714" s="42"/>
      <c r="G714" s="42"/>
      <c r="H714" s="42"/>
      <c r="I714" s="42"/>
      <c r="J714" s="42"/>
      <c r="K714" s="304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  <c r="AM714" s="42"/>
      <c r="AN714" s="42"/>
      <c r="AO714" s="42"/>
      <c r="AP714" s="42"/>
      <c r="AQ714" s="42"/>
      <c r="AR714" s="42"/>
      <c r="AS714" s="42"/>
      <c r="AT714" s="42"/>
      <c r="AU714" s="42"/>
      <c r="AV714" s="42"/>
      <c r="AW714" s="42"/>
      <c r="AX714" s="42"/>
      <c r="AY714" s="42"/>
      <c r="AZ714" s="42"/>
      <c r="BA714" s="42"/>
      <c r="BB714" s="42"/>
      <c r="BC714" s="42"/>
      <c r="BD714" s="42"/>
      <c r="BE714" s="42"/>
      <c r="BF714" s="42"/>
      <c r="BG714" s="42"/>
      <c r="BH714" s="42"/>
      <c r="BI714" s="42"/>
      <c r="BJ714" s="42"/>
      <c r="BK714" s="42"/>
      <c r="BL714" s="42"/>
      <c r="BM714" s="42"/>
    </row>
    <row r="715">
      <c r="A715" s="125"/>
      <c r="B715" s="267"/>
      <c r="C715" s="361"/>
      <c r="D715" s="42"/>
      <c r="E715" s="42"/>
      <c r="F715" s="42"/>
      <c r="G715" s="42"/>
      <c r="H715" s="42"/>
      <c r="I715" s="42"/>
      <c r="J715" s="42"/>
      <c r="K715" s="304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  <c r="AM715" s="42"/>
      <c r="AN715" s="42"/>
      <c r="AO715" s="42"/>
      <c r="AP715" s="42"/>
      <c r="AQ715" s="42"/>
      <c r="AR715" s="42"/>
      <c r="AS715" s="42"/>
      <c r="AT715" s="42"/>
      <c r="AU715" s="42"/>
      <c r="AV715" s="42"/>
      <c r="AW715" s="42"/>
      <c r="AX715" s="42"/>
      <c r="AY715" s="42"/>
      <c r="AZ715" s="42"/>
      <c r="BA715" s="42"/>
      <c r="BB715" s="42"/>
      <c r="BC715" s="42"/>
      <c r="BD715" s="42"/>
      <c r="BE715" s="42"/>
      <c r="BF715" s="42"/>
      <c r="BG715" s="42"/>
      <c r="BH715" s="42"/>
      <c r="BI715" s="42"/>
      <c r="BJ715" s="42"/>
      <c r="BK715" s="42"/>
      <c r="BL715" s="42"/>
      <c r="BM715" s="42"/>
    </row>
    <row r="716">
      <c r="A716" s="125"/>
      <c r="B716" s="267"/>
      <c r="C716" s="361"/>
      <c r="D716" s="42"/>
      <c r="E716" s="42"/>
      <c r="F716" s="42"/>
      <c r="G716" s="42"/>
      <c r="H716" s="42"/>
      <c r="I716" s="42"/>
      <c r="J716" s="42"/>
      <c r="K716" s="304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  <c r="AM716" s="42"/>
      <c r="AN716" s="42"/>
      <c r="AO716" s="42"/>
      <c r="AP716" s="42"/>
      <c r="AQ716" s="42"/>
      <c r="AR716" s="42"/>
      <c r="AS716" s="42"/>
      <c r="AT716" s="42"/>
      <c r="AU716" s="42"/>
      <c r="AV716" s="42"/>
      <c r="AW716" s="42"/>
      <c r="AX716" s="42"/>
      <c r="AY716" s="42"/>
      <c r="AZ716" s="42"/>
      <c r="BA716" s="42"/>
      <c r="BB716" s="42"/>
      <c r="BC716" s="42"/>
      <c r="BD716" s="42"/>
      <c r="BE716" s="42"/>
      <c r="BF716" s="42"/>
      <c r="BG716" s="42"/>
      <c r="BH716" s="42"/>
      <c r="BI716" s="42"/>
      <c r="BJ716" s="42"/>
      <c r="BK716" s="42"/>
      <c r="BL716" s="42"/>
      <c r="BM716" s="42"/>
    </row>
    <row r="717">
      <c r="A717" s="125"/>
      <c r="B717" s="267"/>
      <c r="C717" s="361"/>
      <c r="D717" s="42"/>
      <c r="E717" s="42"/>
      <c r="F717" s="42"/>
      <c r="G717" s="42"/>
      <c r="H717" s="42"/>
      <c r="I717" s="42"/>
      <c r="J717" s="42"/>
      <c r="K717" s="304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  <c r="AM717" s="42"/>
      <c r="AN717" s="42"/>
      <c r="AO717" s="42"/>
      <c r="AP717" s="42"/>
      <c r="AQ717" s="42"/>
      <c r="AR717" s="42"/>
      <c r="AS717" s="42"/>
      <c r="AT717" s="42"/>
      <c r="AU717" s="42"/>
      <c r="AV717" s="42"/>
      <c r="AW717" s="42"/>
      <c r="AX717" s="42"/>
      <c r="AY717" s="42"/>
      <c r="AZ717" s="42"/>
      <c r="BA717" s="42"/>
      <c r="BB717" s="42"/>
      <c r="BC717" s="42"/>
      <c r="BD717" s="42"/>
      <c r="BE717" s="42"/>
      <c r="BF717" s="42"/>
      <c r="BG717" s="42"/>
      <c r="BH717" s="42"/>
      <c r="BI717" s="42"/>
      <c r="BJ717" s="42"/>
      <c r="BK717" s="42"/>
      <c r="BL717" s="42"/>
      <c r="BM717" s="42"/>
    </row>
    <row r="718">
      <c r="A718" s="125"/>
      <c r="B718" s="267"/>
      <c r="C718" s="361"/>
      <c r="D718" s="42"/>
      <c r="E718" s="42"/>
      <c r="F718" s="42"/>
      <c r="G718" s="42"/>
      <c r="H718" s="42"/>
      <c r="I718" s="42"/>
      <c r="J718" s="42"/>
      <c r="K718" s="304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  <c r="AL718" s="42"/>
      <c r="AM718" s="42"/>
      <c r="AN718" s="42"/>
      <c r="AO718" s="42"/>
      <c r="AP718" s="42"/>
      <c r="AQ718" s="42"/>
      <c r="AR718" s="42"/>
      <c r="AS718" s="42"/>
      <c r="AT718" s="42"/>
      <c r="AU718" s="42"/>
      <c r="AV718" s="42"/>
      <c r="AW718" s="42"/>
      <c r="AX718" s="42"/>
      <c r="AY718" s="42"/>
      <c r="AZ718" s="42"/>
      <c r="BA718" s="42"/>
      <c r="BB718" s="42"/>
      <c r="BC718" s="42"/>
      <c r="BD718" s="42"/>
      <c r="BE718" s="42"/>
      <c r="BF718" s="42"/>
      <c r="BG718" s="42"/>
      <c r="BH718" s="42"/>
      <c r="BI718" s="42"/>
      <c r="BJ718" s="42"/>
      <c r="BK718" s="42"/>
      <c r="BL718" s="42"/>
      <c r="BM718" s="42"/>
    </row>
    <row r="719">
      <c r="A719" s="125"/>
      <c r="B719" s="267"/>
      <c r="C719" s="361"/>
      <c r="D719" s="42"/>
      <c r="E719" s="42"/>
      <c r="F719" s="42"/>
      <c r="G719" s="42"/>
      <c r="H719" s="42"/>
      <c r="I719" s="42"/>
      <c r="J719" s="42"/>
      <c r="K719" s="304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  <c r="AM719" s="42"/>
      <c r="AN719" s="42"/>
      <c r="AO719" s="42"/>
      <c r="AP719" s="42"/>
      <c r="AQ719" s="42"/>
      <c r="AR719" s="42"/>
      <c r="AS719" s="42"/>
      <c r="AT719" s="42"/>
      <c r="AU719" s="42"/>
      <c r="AV719" s="42"/>
      <c r="AW719" s="42"/>
      <c r="AX719" s="42"/>
      <c r="AY719" s="42"/>
      <c r="AZ719" s="42"/>
      <c r="BA719" s="42"/>
      <c r="BB719" s="42"/>
      <c r="BC719" s="42"/>
      <c r="BD719" s="42"/>
      <c r="BE719" s="42"/>
      <c r="BF719" s="42"/>
      <c r="BG719" s="42"/>
      <c r="BH719" s="42"/>
      <c r="BI719" s="42"/>
      <c r="BJ719" s="42"/>
      <c r="BK719" s="42"/>
      <c r="BL719" s="42"/>
      <c r="BM719" s="42"/>
    </row>
    <row r="720">
      <c r="A720" s="125"/>
      <c r="B720" s="267"/>
      <c r="C720" s="361"/>
      <c r="D720" s="42"/>
      <c r="E720" s="42"/>
      <c r="F720" s="42"/>
      <c r="G720" s="42"/>
      <c r="H720" s="42"/>
      <c r="I720" s="42"/>
      <c r="J720" s="42"/>
      <c r="K720" s="304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  <c r="AM720" s="42"/>
      <c r="AN720" s="42"/>
      <c r="AO720" s="42"/>
      <c r="AP720" s="42"/>
      <c r="AQ720" s="42"/>
      <c r="AR720" s="42"/>
      <c r="AS720" s="42"/>
      <c r="AT720" s="42"/>
      <c r="AU720" s="42"/>
      <c r="AV720" s="42"/>
      <c r="AW720" s="42"/>
      <c r="AX720" s="42"/>
      <c r="AY720" s="42"/>
      <c r="AZ720" s="42"/>
      <c r="BA720" s="42"/>
      <c r="BB720" s="42"/>
      <c r="BC720" s="42"/>
      <c r="BD720" s="42"/>
      <c r="BE720" s="42"/>
      <c r="BF720" s="42"/>
      <c r="BG720" s="42"/>
      <c r="BH720" s="42"/>
      <c r="BI720" s="42"/>
      <c r="BJ720" s="42"/>
      <c r="BK720" s="42"/>
      <c r="BL720" s="42"/>
      <c r="BM720" s="42"/>
    </row>
    <row r="721">
      <c r="A721" s="125"/>
      <c r="B721" s="267"/>
      <c r="C721" s="361"/>
      <c r="D721" s="42"/>
      <c r="E721" s="42"/>
      <c r="F721" s="42"/>
      <c r="G721" s="42"/>
      <c r="H721" s="42"/>
      <c r="I721" s="42"/>
      <c r="J721" s="42"/>
      <c r="K721" s="304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  <c r="AM721" s="42"/>
      <c r="AN721" s="42"/>
      <c r="AO721" s="42"/>
      <c r="AP721" s="42"/>
      <c r="AQ721" s="42"/>
      <c r="AR721" s="42"/>
      <c r="AS721" s="42"/>
      <c r="AT721" s="42"/>
      <c r="AU721" s="42"/>
      <c r="AV721" s="42"/>
      <c r="AW721" s="42"/>
      <c r="AX721" s="42"/>
      <c r="AY721" s="42"/>
      <c r="AZ721" s="42"/>
      <c r="BA721" s="42"/>
      <c r="BB721" s="42"/>
      <c r="BC721" s="42"/>
      <c r="BD721" s="42"/>
      <c r="BE721" s="42"/>
      <c r="BF721" s="42"/>
      <c r="BG721" s="42"/>
      <c r="BH721" s="42"/>
      <c r="BI721" s="42"/>
      <c r="BJ721" s="42"/>
      <c r="BK721" s="42"/>
      <c r="BL721" s="42"/>
      <c r="BM721" s="42"/>
    </row>
    <row r="722">
      <c r="A722" s="125"/>
      <c r="B722" s="267"/>
      <c r="C722" s="361"/>
      <c r="D722" s="42"/>
      <c r="E722" s="42"/>
      <c r="F722" s="42"/>
      <c r="G722" s="42"/>
      <c r="H722" s="42"/>
      <c r="I722" s="42"/>
      <c r="J722" s="42"/>
      <c r="K722" s="304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  <c r="AM722" s="42"/>
      <c r="AN722" s="42"/>
      <c r="AO722" s="42"/>
      <c r="AP722" s="42"/>
      <c r="AQ722" s="42"/>
      <c r="AR722" s="42"/>
      <c r="AS722" s="42"/>
      <c r="AT722" s="42"/>
      <c r="AU722" s="42"/>
      <c r="AV722" s="42"/>
      <c r="AW722" s="42"/>
      <c r="AX722" s="42"/>
      <c r="AY722" s="42"/>
      <c r="AZ722" s="42"/>
      <c r="BA722" s="42"/>
      <c r="BB722" s="42"/>
      <c r="BC722" s="42"/>
      <c r="BD722" s="42"/>
      <c r="BE722" s="42"/>
      <c r="BF722" s="42"/>
      <c r="BG722" s="42"/>
      <c r="BH722" s="42"/>
      <c r="BI722" s="42"/>
      <c r="BJ722" s="42"/>
      <c r="BK722" s="42"/>
      <c r="BL722" s="42"/>
      <c r="BM722" s="42"/>
    </row>
    <row r="723">
      <c r="A723" s="125"/>
      <c r="B723" s="267"/>
      <c r="C723" s="361"/>
      <c r="D723" s="42"/>
      <c r="E723" s="42"/>
      <c r="F723" s="42"/>
      <c r="G723" s="42"/>
      <c r="H723" s="42"/>
      <c r="I723" s="42"/>
      <c r="J723" s="42"/>
      <c r="K723" s="304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  <c r="AM723" s="42"/>
      <c r="AN723" s="42"/>
      <c r="AO723" s="42"/>
      <c r="AP723" s="42"/>
      <c r="AQ723" s="42"/>
      <c r="AR723" s="42"/>
      <c r="AS723" s="42"/>
      <c r="AT723" s="42"/>
      <c r="AU723" s="42"/>
      <c r="AV723" s="42"/>
      <c r="AW723" s="42"/>
      <c r="AX723" s="42"/>
      <c r="AY723" s="42"/>
      <c r="AZ723" s="42"/>
      <c r="BA723" s="42"/>
      <c r="BB723" s="42"/>
      <c r="BC723" s="42"/>
      <c r="BD723" s="42"/>
      <c r="BE723" s="42"/>
      <c r="BF723" s="42"/>
      <c r="BG723" s="42"/>
      <c r="BH723" s="42"/>
      <c r="BI723" s="42"/>
      <c r="BJ723" s="42"/>
      <c r="BK723" s="42"/>
      <c r="BL723" s="42"/>
      <c r="BM723" s="42"/>
    </row>
    <row r="724">
      <c r="A724" s="125"/>
      <c r="B724" s="267"/>
      <c r="C724" s="361"/>
      <c r="D724" s="42"/>
      <c r="E724" s="42"/>
      <c r="F724" s="42"/>
      <c r="G724" s="42"/>
      <c r="H724" s="42"/>
      <c r="I724" s="42"/>
      <c r="J724" s="42"/>
      <c r="K724" s="304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  <c r="AL724" s="42"/>
      <c r="AM724" s="42"/>
      <c r="AN724" s="42"/>
      <c r="AO724" s="42"/>
      <c r="AP724" s="42"/>
      <c r="AQ724" s="42"/>
      <c r="AR724" s="42"/>
      <c r="AS724" s="42"/>
      <c r="AT724" s="42"/>
      <c r="AU724" s="42"/>
      <c r="AV724" s="42"/>
      <c r="AW724" s="42"/>
      <c r="AX724" s="42"/>
      <c r="AY724" s="42"/>
      <c r="AZ724" s="42"/>
      <c r="BA724" s="42"/>
      <c r="BB724" s="42"/>
      <c r="BC724" s="42"/>
      <c r="BD724" s="42"/>
      <c r="BE724" s="42"/>
      <c r="BF724" s="42"/>
      <c r="BG724" s="42"/>
      <c r="BH724" s="42"/>
      <c r="BI724" s="42"/>
      <c r="BJ724" s="42"/>
      <c r="BK724" s="42"/>
      <c r="BL724" s="42"/>
      <c r="BM724" s="42"/>
    </row>
    <row r="725">
      <c r="A725" s="125"/>
      <c r="B725" s="267"/>
      <c r="C725" s="361"/>
      <c r="D725" s="42"/>
      <c r="E725" s="42"/>
      <c r="F725" s="42"/>
      <c r="G725" s="42"/>
      <c r="H725" s="42"/>
      <c r="I725" s="42"/>
      <c r="J725" s="42"/>
      <c r="K725" s="304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  <c r="AL725" s="42"/>
      <c r="AM725" s="42"/>
      <c r="AN725" s="42"/>
      <c r="AO725" s="42"/>
      <c r="AP725" s="42"/>
      <c r="AQ725" s="42"/>
      <c r="AR725" s="42"/>
      <c r="AS725" s="42"/>
      <c r="AT725" s="42"/>
      <c r="AU725" s="42"/>
      <c r="AV725" s="42"/>
      <c r="AW725" s="42"/>
      <c r="AX725" s="42"/>
      <c r="AY725" s="42"/>
      <c r="AZ725" s="42"/>
      <c r="BA725" s="42"/>
      <c r="BB725" s="42"/>
      <c r="BC725" s="42"/>
      <c r="BD725" s="42"/>
      <c r="BE725" s="42"/>
      <c r="BF725" s="42"/>
      <c r="BG725" s="42"/>
      <c r="BH725" s="42"/>
      <c r="BI725" s="42"/>
      <c r="BJ725" s="42"/>
      <c r="BK725" s="42"/>
      <c r="BL725" s="42"/>
      <c r="BM725" s="42"/>
    </row>
    <row r="726">
      <c r="A726" s="125"/>
      <c r="B726" s="267"/>
      <c r="C726" s="361"/>
      <c r="D726" s="42"/>
      <c r="E726" s="42"/>
      <c r="F726" s="42"/>
      <c r="G726" s="42"/>
      <c r="H726" s="42"/>
      <c r="I726" s="42"/>
      <c r="J726" s="42"/>
      <c r="K726" s="304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  <c r="AL726" s="42"/>
      <c r="AM726" s="42"/>
      <c r="AN726" s="42"/>
      <c r="AO726" s="42"/>
      <c r="AP726" s="42"/>
      <c r="AQ726" s="42"/>
      <c r="AR726" s="42"/>
      <c r="AS726" s="42"/>
      <c r="AT726" s="42"/>
      <c r="AU726" s="42"/>
      <c r="AV726" s="42"/>
      <c r="AW726" s="42"/>
      <c r="AX726" s="42"/>
      <c r="AY726" s="42"/>
      <c r="AZ726" s="42"/>
      <c r="BA726" s="42"/>
      <c r="BB726" s="42"/>
      <c r="BC726" s="42"/>
      <c r="BD726" s="42"/>
      <c r="BE726" s="42"/>
      <c r="BF726" s="42"/>
      <c r="BG726" s="42"/>
      <c r="BH726" s="42"/>
      <c r="BI726" s="42"/>
      <c r="BJ726" s="42"/>
      <c r="BK726" s="42"/>
      <c r="BL726" s="42"/>
      <c r="BM726" s="42"/>
    </row>
    <row r="727">
      <c r="A727" s="125"/>
      <c r="B727" s="267"/>
      <c r="C727" s="361"/>
      <c r="D727" s="42"/>
      <c r="E727" s="42"/>
      <c r="F727" s="42"/>
      <c r="G727" s="42"/>
      <c r="H727" s="42"/>
      <c r="I727" s="42"/>
      <c r="J727" s="42"/>
      <c r="K727" s="304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  <c r="AL727" s="42"/>
      <c r="AM727" s="42"/>
      <c r="AN727" s="42"/>
      <c r="AO727" s="42"/>
      <c r="AP727" s="42"/>
      <c r="AQ727" s="42"/>
      <c r="AR727" s="42"/>
      <c r="AS727" s="42"/>
      <c r="AT727" s="42"/>
      <c r="AU727" s="42"/>
      <c r="AV727" s="42"/>
      <c r="AW727" s="42"/>
      <c r="AX727" s="42"/>
      <c r="AY727" s="42"/>
      <c r="AZ727" s="42"/>
      <c r="BA727" s="42"/>
      <c r="BB727" s="42"/>
      <c r="BC727" s="42"/>
      <c r="BD727" s="42"/>
      <c r="BE727" s="42"/>
      <c r="BF727" s="42"/>
      <c r="BG727" s="42"/>
      <c r="BH727" s="42"/>
      <c r="BI727" s="42"/>
      <c r="BJ727" s="42"/>
      <c r="BK727" s="42"/>
      <c r="BL727" s="42"/>
      <c r="BM727" s="42"/>
    </row>
    <row r="728">
      <c r="A728" s="125"/>
      <c r="B728" s="267"/>
      <c r="C728" s="361"/>
      <c r="D728" s="42"/>
      <c r="E728" s="42"/>
      <c r="F728" s="42"/>
      <c r="G728" s="42"/>
      <c r="H728" s="42"/>
      <c r="I728" s="42"/>
      <c r="J728" s="42"/>
      <c r="K728" s="304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  <c r="AL728" s="42"/>
      <c r="AM728" s="42"/>
      <c r="AN728" s="42"/>
      <c r="AO728" s="42"/>
      <c r="AP728" s="42"/>
      <c r="AQ728" s="42"/>
      <c r="AR728" s="42"/>
      <c r="AS728" s="42"/>
      <c r="AT728" s="42"/>
      <c r="AU728" s="42"/>
      <c r="AV728" s="42"/>
      <c r="AW728" s="42"/>
      <c r="AX728" s="42"/>
      <c r="AY728" s="42"/>
      <c r="AZ728" s="42"/>
      <c r="BA728" s="42"/>
      <c r="BB728" s="42"/>
      <c r="BC728" s="42"/>
      <c r="BD728" s="42"/>
      <c r="BE728" s="42"/>
      <c r="BF728" s="42"/>
      <c r="BG728" s="42"/>
      <c r="BH728" s="42"/>
      <c r="BI728" s="42"/>
      <c r="BJ728" s="42"/>
      <c r="BK728" s="42"/>
      <c r="BL728" s="42"/>
      <c r="BM728" s="42"/>
    </row>
    <row r="729">
      <c r="A729" s="125"/>
      <c r="B729" s="267"/>
      <c r="C729" s="361"/>
      <c r="D729" s="42"/>
      <c r="E729" s="42"/>
      <c r="F729" s="42"/>
      <c r="G729" s="42"/>
      <c r="H729" s="42"/>
      <c r="I729" s="42"/>
      <c r="J729" s="42"/>
      <c r="K729" s="304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  <c r="AL729" s="42"/>
      <c r="AM729" s="42"/>
      <c r="AN729" s="42"/>
      <c r="AO729" s="42"/>
      <c r="AP729" s="42"/>
      <c r="AQ729" s="42"/>
      <c r="AR729" s="42"/>
      <c r="AS729" s="42"/>
      <c r="AT729" s="42"/>
      <c r="AU729" s="42"/>
      <c r="AV729" s="42"/>
      <c r="AW729" s="42"/>
      <c r="AX729" s="42"/>
      <c r="AY729" s="42"/>
      <c r="AZ729" s="42"/>
      <c r="BA729" s="42"/>
      <c r="BB729" s="42"/>
      <c r="BC729" s="42"/>
      <c r="BD729" s="42"/>
      <c r="BE729" s="42"/>
      <c r="BF729" s="42"/>
      <c r="BG729" s="42"/>
      <c r="BH729" s="42"/>
      <c r="BI729" s="42"/>
      <c r="BJ729" s="42"/>
      <c r="BK729" s="42"/>
      <c r="BL729" s="42"/>
      <c r="BM729" s="42"/>
    </row>
    <row r="730">
      <c r="A730" s="125"/>
      <c r="B730" s="267"/>
      <c r="C730" s="361"/>
      <c r="D730" s="42"/>
      <c r="E730" s="42"/>
      <c r="F730" s="42"/>
      <c r="G730" s="42"/>
      <c r="H730" s="42"/>
      <c r="I730" s="42"/>
      <c r="J730" s="42"/>
      <c r="K730" s="304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  <c r="AL730" s="42"/>
      <c r="AM730" s="42"/>
      <c r="AN730" s="42"/>
      <c r="AO730" s="42"/>
      <c r="AP730" s="42"/>
      <c r="AQ730" s="42"/>
      <c r="AR730" s="42"/>
      <c r="AS730" s="42"/>
      <c r="AT730" s="42"/>
      <c r="AU730" s="42"/>
      <c r="AV730" s="42"/>
      <c r="AW730" s="42"/>
      <c r="AX730" s="42"/>
      <c r="AY730" s="42"/>
      <c r="AZ730" s="42"/>
      <c r="BA730" s="42"/>
      <c r="BB730" s="42"/>
      <c r="BC730" s="42"/>
      <c r="BD730" s="42"/>
      <c r="BE730" s="42"/>
      <c r="BF730" s="42"/>
      <c r="BG730" s="42"/>
      <c r="BH730" s="42"/>
      <c r="BI730" s="42"/>
      <c r="BJ730" s="42"/>
      <c r="BK730" s="42"/>
      <c r="BL730" s="42"/>
      <c r="BM730" s="42"/>
    </row>
    <row r="731">
      <c r="A731" s="125"/>
      <c r="B731" s="267"/>
      <c r="C731" s="361"/>
      <c r="D731" s="42"/>
      <c r="E731" s="42"/>
      <c r="F731" s="42"/>
      <c r="G731" s="42"/>
      <c r="H731" s="42"/>
      <c r="I731" s="42"/>
      <c r="J731" s="42"/>
      <c r="K731" s="304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  <c r="AL731" s="42"/>
      <c r="AM731" s="42"/>
      <c r="AN731" s="42"/>
      <c r="AO731" s="42"/>
      <c r="AP731" s="42"/>
      <c r="AQ731" s="42"/>
      <c r="AR731" s="42"/>
      <c r="AS731" s="42"/>
      <c r="AT731" s="42"/>
      <c r="AU731" s="42"/>
      <c r="AV731" s="42"/>
      <c r="AW731" s="42"/>
      <c r="AX731" s="42"/>
      <c r="AY731" s="42"/>
      <c r="AZ731" s="42"/>
      <c r="BA731" s="42"/>
      <c r="BB731" s="42"/>
      <c r="BC731" s="42"/>
      <c r="BD731" s="42"/>
      <c r="BE731" s="42"/>
      <c r="BF731" s="42"/>
      <c r="BG731" s="42"/>
      <c r="BH731" s="42"/>
      <c r="BI731" s="42"/>
      <c r="BJ731" s="42"/>
      <c r="BK731" s="42"/>
      <c r="BL731" s="42"/>
      <c r="BM731" s="42"/>
    </row>
    <row r="732">
      <c r="A732" s="125"/>
      <c r="B732" s="267"/>
      <c r="C732" s="361"/>
      <c r="D732" s="42"/>
      <c r="E732" s="42"/>
      <c r="F732" s="42"/>
      <c r="G732" s="42"/>
      <c r="H732" s="42"/>
      <c r="I732" s="42"/>
      <c r="J732" s="42"/>
      <c r="K732" s="304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  <c r="AL732" s="42"/>
      <c r="AM732" s="42"/>
      <c r="AN732" s="42"/>
      <c r="AO732" s="42"/>
      <c r="AP732" s="42"/>
      <c r="AQ732" s="42"/>
      <c r="AR732" s="42"/>
      <c r="AS732" s="42"/>
      <c r="AT732" s="42"/>
      <c r="AU732" s="42"/>
      <c r="AV732" s="42"/>
      <c r="AW732" s="42"/>
      <c r="AX732" s="42"/>
      <c r="AY732" s="42"/>
      <c r="AZ732" s="42"/>
      <c r="BA732" s="42"/>
      <c r="BB732" s="42"/>
      <c r="BC732" s="42"/>
      <c r="BD732" s="42"/>
      <c r="BE732" s="42"/>
      <c r="BF732" s="42"/>
      <c r="BG732" s="42"/>
      <c r="BH732" s="42"/>
      <c r="BI732" s="42"/>
      <c r="BJ732" s="42"/>
      <c r="BK732" s="42"/>
      <c r="BL732" s="42"/>
      <c r="BM732" s="42"/>
    </row>
    <row r="733">
      <c r="A733" s="125"/>
      <c r="B733" s="267"/>
      <c r="C733" s="361"/>
      <c r="D733" s="42"/>
      <c r="E733" s="42"/>
      <c r="F733" s="42"/>
      <c r="G733" s="42"/>
      <c r="H733" s="42"/>
      <c r="I733" s="42"/>
      <c r="J733" s="42"/>
      <c r="K733" s="304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  <c r="AL733" s="42"/>
      <c r="AM733" s="42"/>
      <c r="AN733" s="42"/>
      <c r="AO733" s="42"/>
      <c r="AP733" s="42"/>
      <c r="AQ733" s="42"/>
      <c r="AR733" s="42"/>
      <c r="AS733" s="42"/>
      <c r="AT733" s="42"/>
      <c r="AU733" s="42"/>
      <c r="AV733" s="42"/>
      <c r="AW733" s="42"/>
      <c r="AX733" s="42"/>
      <c r="AY733" s="42"/>
      <c r="AZ733" s="42"/>
      <c r="BA733" s="42"/>
      <c r="BB733" s="42"/>
      <c r="BC733" s="42"/>
      <c r="BD733" s="42"/>
      <c r="BE733" s="42"/>
      <c r="BF733" s="42"/>
      <c r="BG733" s="42"/>
      <c r="BH733" s="42"/>
      <c r="BI733" s="42"/>
      <c r="BJ733" s="42"/>
      <c r="BK733" s="42"/>
      <c r="BL733" s="42"/>
      <c r="BM733" s="42"/>
    </row>
    <row r="734">
      <c r="A734" s="125"/>
      <c r="B734" s="267"/>
      <c r="C734" s="361"/>
      <c r="D734" s="42"/>
      <c r="E734" s="42"/>
      <c r="F734" s="42"/>
      <c r="G734" s="42"/>
      <c r="H734" s="42"/>
      <c r="I734" s="42"/>
      <c r="J734" s="42"/>
      <c r="K734" s="304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  <c r="AM734" s="42"/>
      <c r="AN734" s="42"/>
      <c r="AO734" s="42"/>
      <c r="AP734" s="42"/>
      <c r="AQ734" s="42"/>
      <c r="AR734" s="42"/>
      <c r="AS734" s="42"/>
      <c r="AT734" s="42"/>
      <c r="AU734" s="42"/>
      <c r="AV734" s="42"/>
      <c r="AW734" s="42"/>
      <c r="AX734" s="42"/>
      <c r="AY734" s="42"/>
      <c r="AZ734" s="42"/>
      <c r="BA734" s="42"/>
      <c r="BB734" s="42"/>
      <c r="BC734" s="42"/>
      <c r="BD734" s="42"/>
      <c r="BE734" s="42"/>
      <c r="BF734" s="42"/>
      <c r="BG734" s="42"/>
      <c r="BH734" s="42"/>
      <c r="BI734" s="42"/>
      <c r="BJ734" s="42"/>
      <c r="BK734" s="42"/>
      <c r="BL734" s="42"/>
      <c r="BM734" s="42"/>
    </row>
    <row r="735">
      <c r="A735" s="125"/>
      <c r="B735" s="267"/>
      <c r="C735" s="361"/>
      <c r="D735" s="42"/>
      <c r="E735" s="42"/>
      <c r="F735" s="42"/>
      <c r="G735" s="42"/>
      <c r="H735" s="42"/>
      <c r="I735" s="42"/>
      <c r="J735" s="42"/>
      <c r="K735" s="304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  <c r="AM735" s="42"/>
      <c r="AN735" s="42"/>
      <c r="AO735" s="42"/>
      <c r="AP735" s="42"/>
      <c r="AQ735" s="42"/>
      <c r="AR735" s="42"/>
      <c r="AS735" s="42"/>
      <c r="AT735" s="42"/>
      <c r="AU735" s="42"/>
      <c r="AV735" s="42"/>
      <c r="AW735" s="42"/>
      <c r="AX735" s="42"/>
      <c r="AY735" s="42"/>
      <c r="AZ735" s="42"/>
      <c r="BA735" s="42"/>
      <c r="BB735" s="42"/>
      <c r="BC735" s="42"/>
      <c r="BD735" s="42"/>
      <c r="BE735" s="42"/>
      <c r="BF735" s="42"/>
      <c r="BG735" s="42"/>
      <c r="BH735" s="42"/>
      <c r="BI735" s="42"/>
      <c r="BJ735" s="42"/>
      <c r="BK735" s="42"/>
      <c r="BL735" s="42"/>
      <c r="BM735" s="42"/>
    </row>
    <row r="736">
      <c r="A736" s="125"/>
      <c r="B736" s="267"/>
      <c r="C736" s="361"/>
      <c r="D736" s="42"/>
      <c r="E736" s="42"/>
      <c r="F736" s="42"/>
      <c r="G736" s="42"/>
      <c r="H736" s="42"/>
      <c r="I736" s="42"/>
      <c r="J736" s="42"/>
      <c r="K736" s="304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  <c r="AM736" s="42"/>
      <c r="AN736" s="42"/>
      <c r="AO736" s="42"/>
      <c r="AP736" s="42"/>
      <c r="AQ736" s="42"/>
      <c r="AR736" s="42"/>
      <c r="AS736" s="42"/>
      <c r="AT736" s="42"/>
      <c r="AU736" s="42"/>
      <c r="AV736" s="42"/>
      <c r="AW736" s="42"/>
      <c r="AX736" s="42"/>
      <c r="AY736" s="42"/>
      <c r="AZ736" s="42"/>
      <c r="BA736" s="42"/>
      <c r="BB736" s="42"/>
      <c r="BC736" s="42"/>
      <c r="BD736" s="42"/>
      <c r="BE736" s="42"/>
      <c r="BF736" s="42"/>
      <c r="BG736" s="42"/>
      <c r="BH736" s="42"/>
      <c r="BI736" s="42"/>
      <c r="BJ736" s="42"/>
      <c r="BK736" s="42"/>
      <c r="BL736" s="42"/>
      <c r="BM736" s="42"/>
    </row>
    <row r="737">
      <c r="A737" s="125"/>
      <c r="B737" s="267"/>
      <c r="C737" s="361"/>
      <c r="D737" s="42"/>
      <c r="E737" s="42"/>
      <c r="F737" s="42"/>
      <c r="G737" s="42"/>
      <c r="H737" s="42"/>
      <c r="I737" s="42"/>
      <c r="J737" s="42"/>
      <c r="K737" s="304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  <c r="AM737" s="42"/>
      <c r="AN737" s="42"/>
      <c r="AO737" s="42"/>
      <c r="AP737" s="42"/>
      <c r="AQ737" s="42"/>
      <c r="AR737" s="42"/>
      <c r="AS737" s="42"/>
      <c r="AT737" s="42"/>
      <c r="AU737" s="42"/>
      <c r="AV737" s="42"/>
      <c r="AW737" s="42"/>
      <c r="AX737" s="42"/>
      <c r="AY737" s="42"/>
      <c r="AZ737" s="42"/>
      <c r="BA737" s="42"/>
      <c r="BB737" s="42"/>
      <c r="BC737" s="42"/>
      <c r="BD737" s="42"/>
      <c r="BE737" s="42"/>
      <c r="BF737" s="42"/>
      <c r="BG737" s="42"/>
      <c r="BH737" s="42"/>
      <c r="BI737" s="42"/>
      <c r="BJ737" s="42"/>
      <c r="BK737" s="42"/>
      <c r="BL737" s="42"/>
      <c r="BM737" s="42"/>
    </row>
    <row r="738">
      <c r="A738" s="125"/>
      <c r="B738" s="267"/>
      <c r="C738" s="361"/>
      <c r="D738" s="42"/>
      <c r="E738" s="42"/>
      <c r="F738" s="42"/>
      <c r="G738" s="42"/>
      <c r="H738" s="42"/>
      <c r="I738" s="42"/>
      <c r="J738" s="42"/>
      <c r="K738" s="304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  <c r="AM738" s="42"/>
      <c r="AN738" s="42"/>
      <c r="AO738" s="42"/>
      <c r="AP738" s="42"/>
      <c r="AQ738" s="42"/>
      <c r="AR738" s="42"/>
      <c r="AS738" s="42"/>
      <c r="AT738" s="42"/>
      <c r="AU738" s="42"/>
      <c r="AV738" s="42"/>
      <c r="AW738" s="42"/>
      <c r="AX738" s="42"/>
      <c r="AY738" s="42"/>
      <c r="AZ738" s="42"/>
      <c r="BA738" s="42"/>
      <c r="BB738" s="42"/>
      <c r="BC738" s="42"/>
      <c r="BD738" s="42"/>
      <c r="BE738" s="42"/>
      <c r="BF738" s="42"/>
      <c r="BG738" s="42"/>
      <c r="BH738" s="42"/>
      <c r="BI738" s="42"/>
      <c r="BJ738" s="42"/>
      <c r="BK738" s="42"/>
      <c r="BL738" s="42"/>
      <c r="BM738" s="42"/>
    </row>
    <row r="739">
      <c r="A739" s="125"/>
      <c r="B739" s="267"/>
      <c r="C739" s="361"/>
      <c r="D739" s="42"/>
      <c r="E739" s="42"/>
      <c r="F739" s="42"/>
      <c r="G739" s="42"/>
      <c r="H739" s="42"/>
      <c r="I739" s="42"/>
      <c r="J739" s="42"/>
      <c r="K739" s="304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  <c r="AM739" s="42"/>
      <c r="AN739" s="42"/>
      <c r="AO739" s="42"/>
      <c r="AP739" s="42"/>
      <c r="AQ739" s="42"/>
      <c r="AR739" s="42"/>
      <c r="AS739" s="42"/>
      <c r="AT739" s="42"/>
      <c r="AU739" s="42"/>
      <c r="AV739" s="42"/>
      <c r="AW739" s="42"/>
      <c r="AX739" s="42"/>
      <c r="AY739" s="42"/>
      <c r="AZ739" s="42"/>
      <c r="BA739" s="42"/>
      <c r="BB739" s="42"/>
      <c r="BC739" s="42"/>
      <c r="BD739" s="42"/>
      <c r="BE739" s="42"/>
      <c r="BF739" s="42"/>
      <c r="BG739" s="42"/>
      <c r="BH739" s="42"/>
      <c r="BI739" s="42"/>
      <c r="BJ739" s="42"/>
      <c r="BK739" s="42"/>
      <c r="BL739" s="42"/>
      <c r="BM739" s="42"/>
    </row>
    <row r="740">
      <c r="A740" s="125"/>
      <c r="B740" s="267"/>
      <c r="C740" s="361"/>
      <c r="D740" s="42"/>
      <c r="E740" s="42"/>
      <c r="F740" s="42"/>
      <c r="G740" s="42"/>
      <c r="H740" s="42"/>
      <c r="I740" s="42"/>
      <c r="J740" s="42"/>
      <c r="K740" s="304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  <c r="AM740" s="42"/>
      <c r="AN740" s="42"/>
      <c r="AO740" s="42"/>
      <c r="AP740" s="42"/>
      <c r="AQ740" s="42"/>
      <c r="AR740" s="42"/>
      <c r="AS740" s="42"/>
      <c r="AT740" s="42"/>
      <c r="AU740" s="42"/>
      <c r="AV740" s="42"/>
      <c r="AW740" s="42"/>
      <c r="AX740" s="42"/>
      <c r="AY740" s="42"/>
      <c r="AZ740" s="42"/>
      <c r="BA740" s="42"/>
      <c r="BB740" s="42"/>
      <c r="BC740" s="42"/>
      <c r="BD740" s="42"/>
      <c r="BE740" s="42"/>
      <c r="BF740" s="42"/>
      <c r="BG740" s="42"/>
      <c r="BH740" s="42"/>
      <c r="BI740" s="42"/>
      <c r="BJ740" s="42"/>
      <c r="BK740" s="42"/>
      <c r="BL740" s="42"/>
      <c r="BM740" s="42"/>
    </row>
    <row r="741">
      <c r="A741" s="125"/>
      <c r="B741" s="267"/>
      <c r="C741" s="361"/>
      <c r="D741" s="42"/>
      <c r="E741" s="42"/>
      <c r="F741" s="42"/>
      <c r="G741" s="42"/>
      <c r="H741" s="42"/>
      <c r="I741" s="42"/>
      <c r="J741" s="42"/>
      <c r="K741" s="304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  <c r="AL741" s="42"/>
      <c r="AM741" s="42"/>
      <c r="AN741" s="42"/>
      <c r="AO741" s="42"/>
      <c r="AP741" s="42"/>
      <c r="AQ741" s="42"/>
      <c r="AR741" s="42"/>
      <c r="AS741" s="42"/>
      <c r="AT741" s="42"/>
      <c r="AU741" s="42"/>
      <c r="AV741" s="42"/>
      <c r="AW741" s="42"/>
      <c r="AX741" s="42"/>
      <c r="AY741" s="42"/>
      <c r="AZ741" s="42"/>
      <c r="BA741" s="42"/>
      <c r="BB741" s="42"/>
      <c r="BC741" s="42"/>
      <c r="BD741" s="42"/>
      <c r="BE741" s="42"/>
      <c r="BF741" s="42"/>
      <c r="BG741" s="42"/>
      <c r="BH741" s="42"/>
      <c r="BI741" s="42"/>
      <c r="BJ741" s="42"/>
      <c r="BK741" s="42"/>
      <c r="BL741" s="42"/>
      <c r="BM741" s="42"/>
    </row>
    <row r="742">
      <c r="A742" s="125"/>
      <c r="B742" s="267"/>
      <c r="C742" s="361"/>
      <c r="D742" s="42"/>
      <c r="E742" s="42"/>
      <c r="F742" s="42"/>
      <c r="G742" s="42"/>
      <c r="H742" s="42"/>
      <c r="I742" s="42"/>
      <c r="J742" s="42"/>
      <c r="K742" s="304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  <c r="AM742" s="42"/>
      <c r="AN742" s="42"/>
      <c r="AO742" s="42"/>
      <c r="AP742" s="42"/>
      <c r="AQ742" s="42"/>
      <c r="AR742" s="42"/>
      <c r="AS742" s="42"/>
      <c r="AT742" s="42"/>
      <c r="AU742" s="42"/>
      <c r="AV742" s="42"/>
      <c r="AW742" s="42"/>
      <c r="AX742" s="42"/>
      <c r="AY742" s="42"/>
      <c r="AZ742" s="42"/>
      <c r="BA742" s="42"/>
      <c r="BB742" s="42"/>
      <c r="BC742" s="42"/>
      <c r="BD742" s="42"/>
      <c r="BE742" s="42"/>
      <c r="BF742" s="42"/>
      <c r="BG742" s="42"/>
      <c r="BH742" s="42"/>
      <c r="BI742" s="42"/>
      <c r="BJ742" s="42"/>
      <c r="BK742" s="42"/>
      <c r="BL742" s="42"/>
      <c r="BM742" s="42"/>
    </row>
    <row r="743">
      <c r="A743" s="125"/>
      <c r="B743" s="267"/>
      <c r="C743" s="361"/>
      <c r="D743" s="42"/>
      <c r="E743" s="42"/>
      <c r="F743" s="42"/>
      <c r="G743" s="42"/>
      <c r="H743" s="42"/>
      <c r="I743" s="42"/>
      <c r="J743" s="42"/>
      <c r="K743" s="304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  <c r="AM743" s="42"/>
      <c r="AN743" s="42"/>
      <c r="AO743" s="42"/>
      <c r="AP743" s="42"/>
      <c r="AQ743" s="42"/>
      <c r="AR743" s="42"/>
      <c r="AS743" s="42"/>
      <c r="AT743" s="42"/>
      <c r="AU743" s="42"/>
      <c r="AV743" s="42"/>
      <c r="AW743" s="42"/>
      <c r="AX743" s="42"/>
      <c r="AY743" s="42"/>
      <c r="AZ743" s="42"/>
      <c r="BA743" s="42"/>
      <c r="BB743" s="42"/>
      <c r="BC743" s="42"/>
      <c r="BD743" s="42"/>
      <c r="BE743" s="42"/>
      <c r="BF743" s="42"/>
      <c r="BG743" s="42"/>
      <c r="BH743" s="42"/>
      <c r="BI743" s="42"/>
      <c r="BJ743" s="42"/>
      <c r="BK743" s="42"/>
      <c r="BL743" s="42"/>
      <c r="BM743" s="42"/>
    </row>
    <row r="744">
      <c r="A744" s="125"/>
      <c r="B744" s="267"/>
      <c r="C744" s="361"/>
      <c r="D744" s="42"/>
      <c r="E744" s="42"/>
      <c r="F744" s="42"/>
      <c r="G744" s="42"/>
      <c r="H744" s="42"/>
      <c r="I744" s="42"/>
      <c r="J744" s="42"/>
      <c r="K744" s="304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  <c r="AL744" s="42"/>
      <c r="AM744" s="42"/>
      <c r="AN744" s="42"/>
      <c r="AO744" s="42"/>
      <c r="AP744" s="42"/>
      <c r="AQ744" s="42"/>
      <c r="AR744" s="42"/>
      <c r="AS744" s="42"/>
      <c r="AT744" s="42"/>
      <c r="AU744" s="42"/>
      <c r="AV744" s="42"/>
      <c r="AW744" s="42"/>
      <c r="AX744" s="42"/>
      <c r="AY744" s="42"/>
      <c r="AZ744" s="42"/>
      <c r="BA744" s="42"/>
      <c r="BB744" s="42"/>
      <c r="BC744" s="42"/>
      <c r="BD744" s="42"/>
      <c r="BE744" s="42"/>
      <c r="BF744" s="42"/>
      <c r="BG744" s="42"/>
      <c r="BH744" s="42"/>
      <c r="BI744" s="42"/>
      <c r="BJ744" s="42"/>
      <c r="BK744" s="42"/>
      <c r="BL744" s="42"/>
      <c r="BM744" s="42"/>
    </row>
    <row r="745">
      <c r="A745" s="125"/>
      <c r="B745" s="267"/>
      <c r="C745" s="361"/>
      <c r="D745" s="42"/>
      <c r="E745" s="42"/>
      <c r="F745" s="42"/>
      <c r="G745" s="42"/>
      <c r="H745" s="42"/>
      <c r="I745" s="42"/>
      <c r="J745" s="42"/>
      <c r="K745" s="304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  <c r="AL745" s="42"/>
      <c r="AM745" s="42"/>
      <c r="AN745" s="42"/>
      <c r="AO745" s="42"/>
      <c r="AP745" s="42"/>
      <c r="AQ745" s="42"/>
      <c r="AR745" s="42"/>
      <c r="AS745" s="42"/>
      <c r="AT745" s="42"/>
      <c r="AU745" s="42"/>
      <c r="AV745" s="42"/>
      <c r="AW745" s="42"/>
      <c r="AX745" s="42"/>
      <c r="AY745" s="42"/>
      <c r="AZ745" s="42"/>
      <c r="BA745" s="42"/>
      <c r="BB745" s="42"/>
      <c r="BC745" s="42"/>
      <c r="BD745" s="42"/>
      <c r="BE745" s="42"/>
      <c r="BF745" s="42"/>
      <c r="BG745" s="42"/>
      <c r="BH745" s="42"/>
      <c r="BI745" s="42"/>
      <c r="BJ745" s="42"/>
      <c r="BK745" s="42"/>
      <c r="BL745" s="42"/>
      <c r="BM745" s="42"/>
    </row>
    <row r="746">
      <c r="A746" s="125"/>
      <c r="B746" s="267"/>
      <c r="C746" s="361"/>
      <c r="D746" s="42"/>
      <c r="E746" s="42"/>
      <c r="F746" s="42"/>
      <c r="G746" s="42"/>
      <c r="H746" s="42"/>
      <c r="I746" s="42"/>
      <c r="J746" s="42"/>
      <c r="K746" s="304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  <c r="AM746" s="42"/>
      <c r="AN746" s="42"/>
      <c r="AO746" s="42"/>
      <c r="AP746" s="42"/>
      <c r="AQ746" s="42"/>
      <c r="AR746" s="42"/>
      <c r="AS746" s="42"/>
      <c r="AT746" s="42"/>
      <c r="AU746" s="42"/>
      <c r="AV746" s="42"/>
      <c r="AW746" s="42"/>
      <c r="AX746" s="42"/>
      <c r="AY746" s="42"/>
      <c r="AZ746" s="42"/>
      <c r="BA746" s="42"/>
      <c r="BB746" s="42"/>
      <c r="BC746" s="42"/>
      <c r="BD746" s="42"/>
      <c r="BE746" s="42"/>
      <c r="BF746" s="42"/>
      <c r="BG746" s="42"/>
      <c r="BH746" s="42"/>
      <c r="BI746" s="42"/>
      <c r="BJ746" s="42"/>
      <c r="BK746" s="42"/>
      <c r="BL746" s="42"/>
      <c r="BM746" s="42"/>
    </row>
    <row r="747">
      <c r="A747" s="125"/>
      <c r="B747" s="267"/>
      <c r="C747" s="361"/>
      <c r="D747" s="42"/>
      <c r="E747" s="42"/>
      <c r="F747" s="42"/>
      <c r="G747" s="42"/>
      <c r="H747" s="42"/>
      <c r="I747" s="42"/>
      <c r="J747" s="42"/>
      <c r="K747" s="304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2"/>
      <c r="AM747" s="42"/>
      <c r="AN747" s="42"/>
      <c r="AO747" s="42"/>
      <c r="AP747" s="42"/>
      <c r="AQ747" s="42"/>
      <c r="AR747" s="42"/>
      <c r="AS747" s="42"/>
      <c r="AT747" s="42"/>
      <c r="AU747" s="42"/>
      <c r="AV747" s="42"/>
      <c r="AW747" s="42"/>
      <c r="AX747" s="42"/>
      <c r="AY747" s="42"/>
      <c r="AZ747" s="42"/>
      <c r="BA747" s="42"/>
      <c r="BB747" s="42"/>
      <c r="BC747" s="42"/>
      <c r="BD747" s="42"/>
      <c r="BE747" s="42"/>
      <c r="BF747" s="42"/>
      <c r="BG747" s="42"/>
      <c r="BH747" s="42"/>
      <c r="BI747" s="42"/>
      <c r="BJ747" s="42"/>
      <c r="BK747" s="42"/>
      <c r="BL747" s="42"/>
      <c r="BM747" s="42"/>
    </row>
    <row r="748">
      <c r="A748" s="125"/>
      <c r="B748" s="267"/>
      <c r="C748" s="361"/>
      <c r="D748" s="42"/>
      <c r="E748" s="42"/>
      <c r="F748" s="42"/>
      <c r="G748" s="42"/>
      <c r="H748" s="42"/>
      <c r="I748" s="42"/>
      <c r="J748" s="42"/>
      <c r="K748" s="304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/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/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</row>
    <row r="749">
      <c r="A749" s="125"/>
      <c r="B749" s="267"/>
      <c r="C749" s="361"/>
      <c r="D749" s="42"/>
      <c r="E749" s="42"/>
      <c r="F749" s="42"/>
      <c r="G749" s="42"/>
      <c r="H749" s="42"/>
      <c r="I749" s="42"/>
      <c r="J749" s="42"/>
      <c r="K749" s="304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  <c r="AM749" s="42"/>
      <c r="AN749" s="42"/>
      <c r="AO749" s="42"/>
      <c r="AP749" s="42"/>
      <c r="AQ749" s="42"/>
      <c r="AR749" s="42"/>
      <c r="AS749" s="42"/>
      <c r="AT749" s="42"/>
      <c r="AU749" s="42"/>
      <c r="AV749" s="42"/>
      <c r="AW749" s="42"/>
      <c r="AX749" s="42"/>
      <c r="AY749" s="42"/>
      <c r="AZ749" s="42"/>
      <c r="BA749" s="42"/>
      <c r="BB749" s="42"/>
      <c r="BC749" s="42"/>
      <c r="BD749" s="42"/>
      <c r="BE749" s="42"/>
      <c r="BF749" s="42"/>
      <c r="BG749" s="42"/>
      <c r="BH749" s="42"/>
      <c r="BI749" s="42"/>
      <c r="BJ749" s="42"/>
      <c r="BK749" s="42"/>
      <c r="BL749" s="42"/>
      <c r="BM749" s="42"/>
    </row>
    <row r="750">
      <c r="A750" s="125"/>
      <c r="B750" s="267"/>
      <c r="C750" s="361"/>
      <c r="D750" s="42"/>
      <c r="E750" s="42"/>
      <c r="F750" s="42"/>
      <c r="G750" s="42"/>
      <c r="H750" s="42"/>
      <c r="I750" s="42"/>
      <c r="J750" s="42"/>
      <c r="K750" s="304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/>
      <c r="AN750" s="42"/>
      <c r="AO750" s="42"/>
      <c r="AP750" s="42"/>
      <c r="AQ750" s="42"/>
      <c r="AR750" s="42"/>
      <c r="AS750" s="42"/>
      <c r="AT750" s="42"/>
      <c r="AU750" s="42"/>
      <c r="AV750" s="42"/>
      <c r="AW750" s="42"/>
      <c r="AX750" s="42"/>
      <c r="AY750" s="42"/>
      <c r="AZ750" s="42"/>
      <c r="BA750" s="42"/>
      <c r="BB750" s="42"/>
      <c r="BC750" s="42"/>
      <c r="BD750" s="42"/>
      <c r="BE750" s="42"/>
      <c r="BF750" s="42"/>
      <c r="BG750" s="42"/>
      <c r="BH750" s="42"/>
      <c r="BI750" s="42"/>
      <c r="BJ750" s="42"/>
      <c r="BK750" s="42"/>
      <c r="BL750" s="42"/>
      <c r="BM750" s="42"/>
    </row>
    <row r="751">
      <c r="A751" s="125"/>
      <c r="B751" s="267"/>
      <c r="C751" s="361"/>
      <c r="D751" s="42"/>
      <c r="E751" s="42"/>
      <c r="F751" s="42"/>
      <c r="G751" s="42"/>
      <c r="H751" s="42"/>
      <c r="I751" s="42"/>
      <c r="J751" s="42"/>
      <c r="K751" s="304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  <c r="AM751" s="42"/>
      <c r="AN751" s="42"/>
      <c r="AO751" s="42"/>
      <c r="AP751" s="42"/>
      <c r="AQ751" s="42"/>
      <c r="AR751" s="42"/>
      <c r="AS751" s="42"/>
      <c r="AT751" s="42"/>
      <c r="AU751" s="42"/>
      <c r="AV751" s="42"/>
      <c r="AW751" s="42"/>
      <c r="AX751" s="42"/>
      <c r="AY751" s="42"/>
      <c r="AZ751" s="42"/>
      <c r="BA751" s="42"/>
      <c r="BB751" s="42"/>
      <c r="BC751" s="42"/>
      <c r="BD751" s="42"/>
      <c r="BE751" s="42"/>
      <c r="BF751" s="42"/>
      <c r="BG751" s="42"/>
      <c r="BH751" s="42"/>
      <c r="BI751" s="42"/>
      <c r="BJ751" s="42"/>
      <c r="BK751" s="42"/>
      <c r="BL751" s="42"/>
      <c r="BM751" s="42"/>
    </row>
    <row r="752">
      <c r="A752" s="125"/>
      <c r="B752" s="267"/>
      <c r="C752" s="361"/>
      <c r="D752" s="42"/>
      <c r="E752" s="42"/>
      <c r="F752" s="42"/>
      <c r="G752" s="42"/>
      <c r="H752" s="42"/>
      <c r="I752" s="42"/>
      <c r="J752" s="42"/>
      <c r="K752" s="304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  <c r="AM752" s="42"/>
      <c r="AN752" s="42"/>
      <c r="AO752" s="42"/>
      <c r="AP752" s="42"/>
      <c r="AQ752" s="42"/>
      <c r="AR752" s="42"/>
      <c r="AS752" s="42"/>
      <c r="AT752" s="42"/>
      <c r="AU752" s="42"/>
      <c r="AV752" s="42"/>
      <c r="AW752" s="42"/>
      <c r="AX752" s="42"/>
      <c r="AY752" s="42"/>
      <c r="AZ752" s="42"/>
      <c r="BA752" s="42"/>
      <c r="BB752" s="42"/>
      <c r="BC752" s="42"/>
      <c r="BD752" s="42"/>
      <c r="BE752" s="42"/>
      <c r="BF752" s="42"/>
      <c r="BG752" s="42"/>
      <c r="BH752" s="42"/>
      <c r="BI752" s="42"/>
      <c r="BJ752" s="42"/>
      <c r="BK752" s="42"/>
      <c r="BL752" s="42"/>
      <c r="BM752" s="42"/>
    </row>
    <row r="753">
      <c r="A753" s="125"/>
      <c r="B753" s="267"/>
      <c r="C753" s="361"/>
      <c r="D753" s="42"/>
      <c r="E753" s="42"/>
      <c r="F753" s="42"/>
      <c r="G753" s="42"/>
      <c r="H753" s="42"/>
      <c r="I753" s="42"/>
      <c r="J753" s="42"/>
      <c r="K753" s="304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/>
      <c r="AN753" s="42"/>
      <c r="AO753" s="42"/>
      <c r="AP753" s="42"/>
      <c r="AQ753" s="42"/>
      <c r="AR753" s="42"/>
      <c r="AS753" s="42"/>
      <c r="AT753" s="42"/>
      <c r="AU753" s="42"/>
      <c r="AV753" s="42"/>
      <c r="AW753" s="42"/>
      <c r="AX753" s="42"/>
      <c r="AY753" s="42"/>
      <c r="AZ753" s="42"/>
      <c r="BA753" s="42"/>
      <c r="BB753" s="42"/>
      <c r="BC753" s="42"/>
      <c r="BD753" s="42"/>
      <c r="BE753" s="42"/>
      <c r="BF753" s="42"/>
      <c r="BG753" s="42"/>
      <c r="BH753" s="42"/>
      <c r="BI753" s="42"/>
      <c r="BJ753" s="42"/>
      <c r="BK753" s="42"/>
      <c r="BL753" s="42"/>
      <c r="BM753" s="42"/>
    </row>
    <row r="754">
      <c r="A754" s="125"/>
      <c r="B754" s="267"/>
      <c r="C754" s="361"/>
      <c r="D754" s="42"/>
      <c r="E754" s="42"/>
      <c r="F754" s="42"/>
      <c r="G754" s="42"/>
      <c r="H754" s="42"/>
      <c r="I754" s="42"/>
      <c r="J754" s="42"/>
      <c r="K754" s="304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  <c r="AM754" s="42"/>
      <c r="AN754" s="42"/>
      <c r="AO754" s="42"/>
      <c r="AP754" s="42"/>
      <c r="AQ754" s="42"/>
      <c r="AR754" s="42"/>
      <c r="AS754" s="42"/>
      <c r="AT754" s="42"/>
      <c r="AU754" s="42"/>
      <c r="AV754" s="42"/>
      <c r="AW754" s="42"/>
      <c r="AX754" s="42"/>
      <c r="AY754" s="42"/>
      <c r="AZ754" s="42"/>
      <c r="BA754" s="42"/>
      <c r="BB754" s="42"/>
      <c r="BC754" s="42"/>
      <c r="BD754" s="42"/>
      <c r="BE754" s="42"/>
      <c r="BF754" s="42"/>
      <c r="BG754" s="42"/>
      <c r="BH754" s="42"/>
      <c r="BI754" s="42"/>
      <c r="BJ754" s="42"/>
      <c r="BK754" s="42"/>
      <c r="BL754" s="42"/>
      <c r="BM754" s="42"/>
    </row>
    <row r="755">
      <c r="A755" s="125"/>
      <c r="B755" s="267"/>
      <c r="C755" s="361"/>
      <c r="D755" s="42"/>
      <c r="E755" s="42"/>
      <c r="F755" s="42"/>
      <c r="G755" s="42"/>
      <c r="H755" s="42"/>
      <c r="I755" s="42"/>
      <c r="J755" s="42"/>
      <c r="K755" s="304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  <c r="AM755" s="42"/>
      <c r="AN755" s="42"/>
      <c r="AO755" s="42"/>
      <c r="AP755" s="42"/>
      <c r="AQ755" s="42"/>
      <c r="AR755" s="42"/>
      <c r="AS755" s="42"/>
      <c r="AT755" s="42"/>
      <c r="AU755" s="42"/>
      <c r="AV755" s="42"/>
      <c r="AW755" s="42"/>
      <c r="AX755" s="42"/>
      <c r="AY755" s="42"/>
      <c r="AZ755" s="42"/>
      <c r="BA755" s="42"/>
      <c r="BB755" s="42"/>
      <c r="BC755" s="42"/>
      <c r="BD755" s="42"/>
      <c r="BE755" s="42"/>
      <c r="BF755" s="42"/>
      <c r="BG755" s="42"/>
      <c r="BH755" s="42"/>
      <c r="BI755" s="42"/>
      <c r="BJ755" s="42"/>
      <c r="BK755" s="42"/>
      <c r="BL755" s="42"/>
      <c r="BM755" s="42"/>
    </row>
    <row r="756">
      <c r="A756" s="125"/>
      <c r="B756" s="267"/>
      <c r="C756" s="361"/>
      <c r="D756" s="42"/>
      <c r="E756" s="42"/>
      <c r="F756" s="42"/>
      <c r="G756" s="42"/>
      <c r="H756" s="42"/>
      <c r="I756" s="42"/>
      <c r="J756" s="42"/>
      <c r="K756" s="304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  <c r="AL756" s="42"/>
      <c r="AM756" s="42"/>
      <c r="AN756" s="42"/>
      <c r="AO756" s="42"/>
      <c r="AP756" s="42"/>
      <c r="AQ756" s="42"/>
      <c r="AR756" s="42"/>
      <c r="AS756" s="42"/>
      <c r="AT756" s="42"/>
      <c r="AU756" s="42"/>
      <c r="AV756" s="42"/>
      <c r="AW756" s="42"/>
      <c r="AX756" s="42"/>
      <c r="AY756" s="42"/>
      <c r="AZ756" s="42"/>
      <c r="BA756" s="42"/>
      <c r="BB756" s="42"/>
      <c r="BC756" s="42"/>
      <c r="BD756" s="42"/>
      <c r="BE756" s="42"/>
      <c r="BF756" s="42"/>
      <c r="BG756" s="42"/>
      <c r="BH756" s="42"/>
      <c r="BI756" s="42"/>
      <c r="BJ756" s="42"/>
      <c r="BK756" s="42"/>
      <c r="BL756" s="42"/>
      <c r="BM756" s="42"/>
    </row>
    <row r="757">
      <c r="A757" s="125"/>
      <c r="B757" s="267"/>
      <c r="C757" s="361"/>
      <c r="D757" s="42"/>
      <c r="E757" s="42"/>
      <c r="F757" s="42"/>
      <c r="G757" s="42"/>
      <c r="H757" s="42"/>
      <c r="I757" s="42"/>
      <c r="J757" s="42"/>
      <c r="K757" s="304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  <c r="AM757" s="42"/>
      <c r="AN757" s="42"/>
      <c r="AO757" s="42"/>
      <c r="AP757" s="42"/>
      <c r="AQ757" s="42"/>
      <c r="AR757" s="42"/>
      <c r="AS757" s="42"/>
      <c r="AT757" s="42"/>
      <c r="AU757" s="42"/>
      <c r="AV757" s="42"/>
      <c r="AW757" s="42"/>
      <c r="AX757" s="42"/>
      <c r="AY757" s="42"/>
      <c r="AZ757" s="42"/>
      <c r="BA757" s="42"/>
      <c r="BB757" s="42"/>
      <c r="BC757" s="42"/>
      <c r="BD757" s="42"/>
      <c r="BE757" s="42"/>
      <c r="BF757" s="42"/>
      <c r="BG757" s="42"/>
      <c r="BH757" s="42"/>
      <c r="BI757" s="42"/>
      <c r="BJ757" s="42"/>
      <c r="BK757" s="42"/>
      <c r="BL757" s="42"/>
      <c r="BM757" s="42"/>
    </row>
    <row r="758">
      <c r="A758" s="125"/>
      <c r="B758" s="267"/>
      <c r="C758" s="361"/>
      <c r="D758" s="42"/>
      <c r="E758" s="42"/>
      <c r="F758" s="42"/>
      <c r="G758" s="42"/>
      <c r="H758" s="42"/>
      <c r="I758" s="42"/>
      <c r="J758" s="42"/>
      <c r="K758" s="304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  <c r="AM758" s="42"/>
      <c r="AN758" s="42"/>
      <c r="AO758" s="42"/>
      <c r="AP758" s="42"/>
      <c r="AQ758" s="42"/>
      <c r="AR758" s="42"/>
      <c r="AS758" s="42"/>
      <c r="AT758" s="42"/>
      <c r="AU758" s="42"/>
      <c r="AV758" s="42"/>
      <c r="AW758" s="42"/>
      <c r="AX758" s="42"/>
      <c r="AY758" s="42"/>
      <c r="AZ758" s="42"/>
      <c r="BA758" s="42"/>
      <c r="BB758" s="42"/>
      <c r="BC758" s="42"/>
      <c r="BD758" s="42"/>
      <c r="BE758" s="42"/>
      <c r="BF758" s="42"/>
      <c r="BG758" s="42"/>
      <c r="BH758" s="42"/>
      <c r="BI758" s="42"/>
      <c r="BJ758" s="42"/>
      <c r="BK758" s="42"/>
      <c r="BL758" s="42"/>
      <c r="BM758" s="42"/>
    </row>
    <row r="759">
      <c r="A759" s="125"/>
      <c r="B759" s="267"/>
      <c r="C759" s="361"/>
      <c r="D759" s="42"/>
      <c r="E759" s="42"/>
      <c r="F759" s="42"/>
      <c r="G759" s="42"/>
      <c r="H759" s="42"/>
      <c r="I759" s="42"/>
      <c r="J759" s="42"/>
      <c r="K759" s="304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  <c r="AL759" s="42"/>
      <c r="AM759" s="42"/>
      <c r="AN759" s="42"/>
      <c r="AO759" s="42"/>
      <c r="AP759" s="42"/>
      <c r="AQ759" s="42"/>
      <c r="AR759" s="42"/>
      <c r="AS759" s="42"/>
      <c r="AT759" s="42"/>
      <c r="AU759" s="42"/>
      <c r="AV759" s="42"/>
      <c r="AW759" s="42"/>
      <c r="AX759" s="42"/>
      <c r="AY759" s="42"/>
      <c r="AZ759" s="42"/>
      <c r="BA759" s="42"/>
      <c r="BB759" s="42"/>
      <c r="BC759" s="42"/>
      <c r="BD759" s="42"/>
      <c r="BE759" s="42"/>
      <c r="BF759" s="42"/>
      <c r="BG759" s="42"/>
      <c r="BH759" s="42"/>
      <c r="BI759" s="42"/>
      <c r="BJ759" s="42"/>
      <c r="BK759" s="42"/>
      <c r="BL759" s="42"/>
      <c r="BM759" s="42"/>
    </row>
    <row r="760">
      <c r="A760" s="125"/>
      <c r="B760" s="267"/>
      <c r="C760" s="361"/>
      <c r="D760" s="42"/>
      <c r="E760" s="42"/>
      <c r="F760" s="42"/>
      <c r="G760" s="42"/>
      <c r="H760" s="42"/>
      <c r="I760" s="42"/>
      <c r="J760" s="42"/>
      <c r="K760" s="304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  <c r="AL760" s="42"/>
      <c r="AM760" s="42"/>
      <c r="AN760" s="42"/>
      <c r="AO760" s="42"/>
      <c r="AP760" s="42"/>
      <c r="AQ760" s="42"/>
      <c r="AR760" s="42"/>
      <c r="AS760" s="42"/>
      <c r="AT760" s="42"/>
      <c r="AU760" s="42"/>
      <c r="AV760" s="42"/>
      <c r="AW760" s="42"/>
      <c r="AX760" s="42"/>
      <c r="AY760" s="42"/>
      <c r="AZ760" s="42"/>
      <c r="BA760" s="42"/>
      <c r="BB760" s="42"/>
      <c r="BC760" s="42"/>
      <c r="BD760" s="42"/>
      <c r="BE760" s="42"/>
      <c r="BF760" s="42"/>
      <c r="BG760" s="42"/>
      <c r="BH760" s="42"/>
      <c r="BI760" s="42"/>
      <c r="BJ760" s="42"/>
      <c r="BK760" s="42"/>
      <c r="BL760" s="42"/>
      <c r="BM760" s="42"/>
    </row>
    <row r="761">
      <c r="A761" s="125"/>
      <c r="B761" s="267"/>
      <c r="C761" s="361"/>
      <c r="D761" s="42"/>
      <c r="E761" s="42"/>
      <c r="F761" s="42"/>
      <c r="G761" s="42"/>
      <c r="H761" s="42"/>
      <c r="I761" s="42"/>
      <c r="J761" s="42"/>
      <c r="K761" s="304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  <c r="AL761" s="42"/>
      <c r="AM761" s="42"/>
      <c r="AN761" s="42"/>
      <c r="AO761" s="42"/>
      <c r="AP761" s="42"/>
      <c r="AQ761" s="42"/>
      <c r="AR761" s="42"/>
      <c r="AS761" s="42"/>
      <c r="AT761" s="42"/>
      <c r="AU761" s="42"/>
      <c r="AV761" s="42"/>
      <c r="AW761" s="42"/>
      <c r="AX761" s="42"/>
      <c r="AY761" s="42"/>
      <c r="AZ761" s="42"/>
      <c r="BA761" s="42"/>
      <c r="BB761" s="42"/>
      <c r="BC761" s="42"/>
      <c r="BD761" s="42"/>
      <c r="BE761" s="42"/>
      <c r="BF761" s="42"/>
      <c r="BG761" s="42"/>
      <c r="BH761" s="42"/>
      <c r="BI761" s="42"/>
      <c r="BJ761" s="42"/>
      <c r="BK761" s="42"/>
      <c r="BL761" s="42"/>
      <c r="BM761" s="42"/>
    </row>
    <row r="762">
      <c r="A762" s="125"/>
      <c r="B762" s="267"/>
      <c r="C762" s="361"/>
      <c r="D762" s="42"/>
      <c r="E762" s="42"/>
      <c r="F762" s="42"/>
      <c r="G762" s="42"/>
      <c r="H762" s="42"/>
      <c r="I762" s="42"/>
      <c r="J762" s="42"/>
      <c r="K762" s="304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  <c r="AM762" s="42"/>
      <c r="AN762" s="42"/>
      <c r="AO762" s="42"/>
      <c r="AP762" s="42"/>
      <c r="AQ762" s="42"/>
      <c r="AR762" s="42"/>
      <c r="AS762" s="42"/>
      <c r="AT762" s="42"/>
      <c r="AU762" s="42"/>
      <c r="AV762" s="42"/>
      <c r="AW762" s="42"/>
      <c r="AX762" s="42"/>
      <c r="AY762" s="42"/>
      <c r="AZ762" s="42"/>
      <c r="BA762" s="42"/>
      <c r="BB762" s="42"/>
      <c r="BC762" s="42"/>
      <c r="BD762" s="42"/>
      <c r="BE762" s="42"/>
      <c r="BF762" s="42"/>
      <c r="BG762" s="42"/>
      <c r="BH762" s="42"/>
      <c r="BI762" s="42"/>
      <c r="BJ762" s="42"/>
      <c r="BK762" s="42"/>
      <c r="BL762" s="42"/>
      <c r="BM762" s="42"/>
    </row>
    <row r="763">
      <c r="A763" s="125"/>
      <c r="B763" s="267"/>
      <c r="C763" s="361"/>
      <c r="D763" s="42"/>
      <c r="E763" s="42"/>
      <c r="F763" s="42"/>
      <c r="G763" s="42"/>
      <c r="H763" s="42"/>
      <c r="I763" s="42"/>
      <c r="J763" s="42"/>
      <c r="K763" s="304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  <c r="AL763" s="42"/>
      <c r="AM763" s="42"/>
      <c r="AN763" s="42"/>
      <c r="AO763" s="42"/>
      <c r="AP763" s="42"/>
      <c r="AQ763" s="42"/>
      <c r="AR763" s="42"/>
      <c r="AS763" s="42"/>
      <c r="AT763" s="42"/>
      <c r="AU763" s="42"/>
      <c r="AV763" s="42"/>
      <c r="AW763" s="42"/>
      <c r="AX763" s="42"/>
      <c r="AY763" s="42"/>
      <c r="AZ763" s="42"/>
      <c r="BA763" s="42"/>
      <c r="BB763" s="42"/>
      <c r="BC763" s="42"/>
      <c r="BD763" s="42"/>
      <c r="BE763" s="42"/>
      <c r="BF763" s="42"/>
      <c r="BG763" s="42"/>
      <c r="BH763" s="42"/>
      <c r="BI763" s="42"/>
      <c r="BJ763" s="42"/>
      <c r="BK763" s="42"/>
      <c r="BL763" s="42"/>
      <c r="BM763" s="42"/>
    </row>
    <row r="764">
      <c r="A764" s="125"/>
      <c r="B764" s="267"/>
      <c r="C764" s="361"/>
      <c r="D764" s="42"/>
      <c r="E764" s="42"/>
      <c r="F764" s="42"/>
      <c r="G764" s="42"/>
      <c r="H764" s="42"/>
      <c r="I764" s="42"/>
      <c r="J764" s="42"/>
      <c r="K764" s="304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  <c r="AL764" s="42"/>
      <c r="AM764" s="42"/>
      <c r="AN764" s="42"/>
      <c r="AO764" s="42"/>
      <c r="AP764" s="42"/>
      <c r="AQ764" s="42"/>
      <c r="AR764" s="42"/>
      <c r="AS764" s="42"/>
      <c r="AT764" s="42"/>
      <c r="AU764" s="42"/>
      <c r="AV764" s="42"/>
      <c r="AW764" s="42"/>
      <c r="AX764" s="42"/>
      <c r="AY764" s="42"/>
      <c r="AZ764" s="42"/>
      <c r="BA764" s="42"/>
      <c r="BB764" s="42"/>
      <c r="BC764" s="42"/>
      <c r="BD764" s="42"/>
      <c r="BE764" s="42"/>
      <c r="BF764" s="42"/>
      <c r="BG764" s="42"/>
      <c r="BH764" s="42"/>
      <c r="BI764" s="42"/>
      <c r="BJ764" s="42"/>
      <c r="BK764" s="42"/>
      <c r="BL764" s="42"/>
      <c r="BM764" s="42"/>
    </row>
    <row r="765">
      <c r="A765" s="125"/>
      <c r="B765" s="267"/>
      <c r="C765" s="361"/>
      <c r="D765" s="42"/>
      <c r="E765" s="42"/>
      <c r="F765" s="42"/>
      <c r="G765" s="42"/>
      <c r="H765" s="42"/>
      <c r="I765" s="42"/>
      <c r="J765" s="42"/>
      <c r="K765" s="304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  <c r="AL765" s="42"/>
      <c r="AM765" s="42"/>
      <c r="AN765" s="42"/>
      <c r="AO765" s="42"/>
      <c r="AP765" s="42"/>
      <c r="AQ765" s="42"/>
      <c r="AR765" s="42"/>
      <c r="AS765" s="42"/>
      <c r="AT765" s="42"/>
      <c r="AU765" s="42"/>
      <c r="AV765" s="42"/>
      <c r="AW765" s="42"/>
      <c r="AX765" s="42"/>
      <c r="AY765" s="42"/>
      <c r="AZ765" s="42"/>
      <c r="BA765" s="42"/>
      <c r="BB765" s="42"/>
      <c r="BC765" s="42"/>
      <c r="BD765" s="42"/>
      <c r="BE765" s="42"/>
      <c r="BF765" s="42"/>
      <c r="BG765" s="42"/>
      <c r="BH765" s="42"/>
      <c r="BI765" s="42"/>
      <c r="BJ765" s="42"/>
      <c r="BK765" s="42"/>
      <c r="BL765" s="42"/>
      <c r="BM765" s="42"/>
    </row>
    <row r="766">
      <c r="A766" s="125"/>
      <c r="B766" s="267"/>
      <c r="C766" s="361"/>
      <c r="D766" s="42"/>
      <c r="E766" s="42"/>
      <c r="F766" s="42"/>
      <c r="G766" s="42"/>
      <c r="H766" s="42"/>
      <c r="I766" s="42"/>
      <c r="J766" s="42"/>
      <c r="K766" s="304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  <c r="AL766" s="42"/>
      <c r="AM766" s="42"/>
      <c r="AN766" s="42"/>
      <c r="AO766" s="42"/>
      <c r="AP766" s="42"/>
      <c r="AQ766" s="42"/>
      <c r="AR766" s="42"/>
      <c r="AS766" s="42"/>
      <c r="AT766" s="42"/>
      <c r="AU766" s="42"/>
      <c r="AV766" s="42"/>
      <c r="AW766" s="42"/>
      <c r="AX766" s="42"/>
      <c r="AY766" s="42"/>
      <c r="AZ766" s="42"/>
      <c r="BA766" s="42"/>
      <c r="BB766" s="42"/>
      <c r="BC766" s="42"/>
      <c r="BD766" s="42"/>
      <c r="BE766" s="42"/>
      <c r="BF766" s="42"/>
      <c r="BG766" s="42"/>
      <c r="BH766" s="42"/>
      <c r="BI766" s="42"/>
      <c r="BJ766" s="42"/>
      <c r="BK766" s="42"/>
      <c r="BL766" s="42"/>
      <c r="BM766" s="42"/>
    </row>
    <row r="767">
      <c r="A767" s="125"/>
      <c r="B767" s="267"/>
      <c r="C767" s="361"/>
      <c r="D767" s="42"/>
      <c r="E767" s="42"/>
      <c r="F767" s="42"/>
      <c r="G767" s="42"/>
      <c r="H767" s="42"/>
      <c r="I767" s="42"/>
      <c r="J767" s="42"/>
      <c r="K767" s="304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  <c r="AM767" s="42"/>
      <c r="AN767" s="42"/>
      <c r="AO767" s="42"/>
      <c r="AP767" s="42"/>
      <c r="AQ767" s="42"/>
      <c r="AR767" s="42"/>
      <c r="AS767" s="42"/>
      <c r="AT767" s="42"/>
      <c r="AU767" s="42"/>
      <c r="AV767" s="42"/>
      <c r="AW767" s="42"/>
      <c r="AX767" s="42"/>
      <c r="AY767" s="42"/>
      <c r="AZ767" s="42"/>
      <c r="BA767" s="42"/>
      <c r="BB767" s="42"/>
      <c r="BC767" s="42"/>
      <c r="BD767" s="42"/>
      <c r="BE767" s="42"/>
      <c r="BF767" s="42"/>
      <c r="BG767" s="42"/>
      <c r="BH767" s="42"/>
      <c r="BI767" s="42"/>
      <c r="BJ767" s="42"/>
      <c r="BK767" s="42"/>
      <c r="BL767" s="42"/>
      <c r="BM767" s="42"/>
    </row>
    <row r="768">
      <c r="A768" s="125"/>
      <c r="B768" s="267"/>
      <c r="C768" s="361"/>
      <c r="D768" s="42"/>
      <c r="E768" s="42"/>
      <c r="F768" s="42"/>
      <c r="G768" s="42"/>
      <c r="H768" s="42"/>
      <c r="I768" s="42"/>
      <c r="J768" s="42"/>
      <c r="K768" s="304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  <c r="AM768" s="42"/>
      <c r="AN768" s="42"/>
      <c r="AO768" s="42"/>
      <c r="AP768" s="42"/>
      <c r="AQ768" s="42"/>
      <c r="AR768" s="42"/>
      <c r="AS768" s="42"/>
      <c r="AT768" s="42"/>
      <c r="AU768" s="42"/>
      <c r="AV768" s="42"/>
      <c r="AW768" s="42"/>
      <c r="AX768" s="42"/>
      <c r="AY768" s="42"/>
      <c r="AZ768" s="42"/>
      <c r="BA768" s="42"/>
      <c r="BB768" s="42"/>
      <c r="BC768" s="42"/>
      <c r="BD768" s="42"/>
      <c r="BE768" s="42"/>
      <c r="BF768" s="42"/>
      <c r="BG768" s="42"/>
      <c r="BH768" s="42"/>
      <c r="BI768" s="42"/>
      <c r="BJ768" s="42"/>
      <c r="BK768" s="42"/>
      <c r="BL768" s="42"/>
      <c r="BM768" s="42"/>
    </row>
    <row r="769">
      <c r="A769" s="125"/>
      <c r="B769" s="267"/>
      <c r="C769" s="361"/>
      <c r="D769" s="42"/>
      <c r="E769" s="42"/>
      <c r="F769" s="42"/>
      <c r="G769" s="42"/>
      <c r="H769" s="42"/>
      <c r="I769" s="42"/>
      <c r="J769" s="42"/>
      <c r="K769" s="304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  <c r="AL769" s="42"/>
      <c r="AM769" s="42"/>
      <c r="AN769" s="42"/>
      <c r="AO769" s="42"/>
      <c r="AP769" s="42"/>
      <c r="AQ769" s="42"/>
      <c r="AR769" s="42"/>
      <c r="AS769" s="42"/>
      <c r="AT769" s="42"/>
      <c r="AU769" s="42"/>
      <c r="AV769" s="42"/>
      <c r="AW769" s="42"/>
      <c r="AX769" s="42"/>
      <c r="AY769" s="42"/>
      <c r="AZ769" s="42"/>
      <c r="BA769" s="42"/>
      <c r="BB769" s="42"/>
      <c r="BC769" s="42"/>
      <c r="BD769" s="42"/>
      <c r="BE769" s="42"/>
      <c r="BF769" s="42"/>
      <c r="BG769" s="42"/>
      <c r="BH769" s="42"/>
      <c r="BI769" s="42"/>
      <c r="BJ769" s="42"/>
      <c r="BK769" s="42"/>
      <c r="BL769" s="42"/>
      <c r="BM769" s="42"/>
    </row>
    <row r="770">
      <c r="A770" s="125"/>
      <c r="B770" s="267"/>
      <c r="C770" s="361"/>
      <c r="D770" s="42"/>
      <c r="E770" s="42"/>
      <c r="F770" s="42"/>
      <c r="G770" s="42"/>
      <c r="H770" s="42"/>
      <c r="I770" s="42"/>
      <c r="J770" s="42"/>
      <c r="K770" s="304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  <c r="AM770" s="42"/>
      <c r="AN770" s="42"/>
      <c r="AO770" s="42"/>
      <c r="AP770" s="42"/>
      <c r="AQ770" s="42"/>
      <c r="AR770" s="42"/>
      <c r="AS770" s="42"/>
      <c r="AT770" s="42"/>
      <c r="AU770" s="42"/>
      <c r="AV770" s="42"/>
      <c r="AW770" s="42"/>
      <c r="AX770" s="42"/>
      <c r="AY770" s="42"/>
      <c r="AZ770" s="42"/>
      <c r="BA770" s="42"/>
      <c r="BB770" s="42"/>
      <c r="BC770" s="42"/>
      <c r="BD770" s="42"/>
      <c r="BE770" s="42"/>
      <c r="BF770" s="42"/>
      <c r="BG770" s="42"/>
      <c r="BH770" s="42"/>
      <c r="BI770" s="42"/>
      <c r="BJ770" s="42"/>
      <c r="BK770" s="42"/>
      <c r="BL770" s="42"/>
      <c r="BM770" s="42"/>
    </row>
    <row r="771">
      <c r="A771" s="125"/>
      <c r="B771" s="267"/>
      <c r="C771" s="361"/>
      <c r="D771" s="42"/>
      <c r="E771" s="42"/>
      <c r="F771" s="42"/>
      <c r="G771" s="42"/>
      <c r="H771" s="42"/>
      <c r="I771" s="42"/>
      <c r="J771" s="42"/>
      <c r="K771" s="304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  <c r="AL771" s="42"/>
      <c r="AM771" s="42"/>
      <c r="AN771" s="42"/>
      <c r="AO771" s="42"/>
      <c r="AP771" s="42"/>
      <c r="AQ771" s="42"/>
      <c r="AR771" s="42"/>
      <c r="AS771" s="42"/>
      <c r="AT771" s="42"/>
      <c r="AU771" s="42"/>
      <c r="AV771" s="42"/>
      <c r="AW771" s="42"/>
      <c r="AX771" s="42"/>
      <c r="AY771" s="42"/>
      <c r="AZ771" s="42"/>
      <c r="BA771" s="42"/>
      <c r="BB771" s="42"/>
      <c r="BC771" s="42"/>
      <c r="BD771" s="42"/>
      <c r="BE771" s="42"/>
      <c r="BF771" s="42"/>
      <c r="BG771" s="42"/>
      <c r="BH771" s="42"/>
      <c r="BI771" s="42"/>
      <c r="BJ771" s="42"/>
      <c r="BK771" s="42"/>
      <c r="BL771" s="42"/>
      <c r="BM771" s="42"/>
    </row>
    <row r="772">
      <c r="A772" s="125"/>
      <c r="B772" s="267"/>
      <c r="C772" s="361"/>
      <c r="D772" s="42"/>
      <c r="E772" s="42"/>
      <c r="F772" s="42"/>
      <c r="G772" s="42"/>
      <c r="H772" s="42"/>
      <c r="I772" s="42"/>
      <c r="J772" s="42"/>
      <c r="K772" s="304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  <c r="AL772" s="42"/>
      <c r="AM772" s="42"/>
      <c r="AN772" s="42"/>
      <c r="AO772" s="42"/>
      <c r="AP772" s="42"/>
      <c r="AQ772" s="42"/>
      <c r="AR772" s="42"/>
      <c r="AS772" s="42"/>
      <c r="AT772" s="42"/>
      <c r="AU772" s="42"/>
      <c r="AV772" s="42"/>
      <c r="AW772" s="42"/>
      <c r="AX772" s="42"/>
      <c r="AY772" s="42"/>
      <c r="AZ772" s="42"/>
      <c r="BA772" s="42"/>
      <c r="BB772" s="42"/>
      <c r="BC772" s="42"/>
      <c r="BD772" s="42"/>
      <c r="BE772" s="42"/>
      <c r="BF772" s="42"/>
      <c r="BG772" s="42"/>
      <c r="BH772" s="42"/>
      <c r="BI772" s="42"/>
      <c r="BJ772" s="42"/>
      <c r="BK772" s="42"/>
      <c r="BL772" s="42"/>
      <c r="BM772" s="42"/>
    </row>
    <row r="773">
      <c r="A773" s="125"/>
      <c r="B773" s="267"/>
      <c r="C773" s="361"/>
      <c r="D773" s="42"/>
      <c r="E773" s="42"/>
      <c r="F773" s="42"/>
      <c r="G773" s="42"/>
      <c r="H773" s="42"/>
      <c r="I773" s="42"/>
      <c r="J773" s="42"/>
      <c r="K773" s="304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  <c r="AM773" s="42"/>
      <c r="AN773" s="42"/>
      <c r="AO773" s="42"/>
      <c r="AP773" s="42"/>
      <c r="AQ773" s="42"/>
      <c r="AR773" s="42"/>
      <c r="AS773" s="42"/>
      <c r="AT773" s="42"/>
      <c r="AU773" s="42"/>
      <c r="AV773" s="42"/>
      <c r="AW773" s="42"/>
      <c r="AX773" s="42"/>
      <c r="AY773" s="42"/>
      <c r="AZ773" s="42"/>
      <c r="BA773" s="42"/>
      <c r="BB773" s="42"/>
      <c r="BC773" s="42"/>
      <c r="BD773" s="42"/>
      <c r="BE773" s="42"/>
      <c r="BF773" s="42"/>
      <c r="BG773" s="42"/>
      <c r="BH773" s="42"/>
      <c r="BI773" s="42"/>
      <c r="BJ773" s="42"/>
      <c r="BK773" s="42"/>
      <c r="BL773" s="42"/>
      <c r="BM773" s="42"/>
    </row>
    <row r="774">
      <c r="A774" s="125"/>
      <c r="B774" s="267"/>
      <c r="C774" s="361"/>
      <c r="D774" s="42"/>
      <c r="E774" s="42"/>
      <c r="F774" s="42"/>
      <c r="G774" s="42"/>
      <c r="H774" s="42"/>
      <c r="I774" s="42"/>
      <c r="J774" s="42"/>
      <c r="K774" s="304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  <c r="AL774" s="42"/>
      <c r="AM774" s="42"/>
      <c r="AN774" s="42"/>
      <c r="AO774" s="42"/>
      <c r="AP774" s="42"/>
      <c r="AQ774" s="42"/>
      <c r="AR774" s="42"/>
      <c r="AS774" s="42"/>
      <c r="AT774" s="42"/>
      <c r="AU774" s="42"/>
      <c r="AV774" s="42"/>
      <c r="AW774" s="42"/>
      <c r="AX774" s="42"/>
      <c r="AY774" s="42"/>
      <c r="AZ774" s="42"/>
      <c r="BA774" s="42"/>
      <c r="BB774" s="42"/>
      <c r="BC774" s="42"/>
      <c r="BD774" s="42"/>
      <c r="BE774" s="42"/>
      <c r="BF774" s="42"/>
      <c r="BG774" s="42"/>
      <c r="BH774" s="42"/>
      <c r="BI774" s="42"/>
      <c r="BJ774" s="42"/>
      <c r="BK774" s="42"/>
      <c r="BL774" s="42"/>
      <c r="BM774" s="42"/>
    </row>
    <row r="775">
      <c r="A775" s="125"/>
      <c r="B775" s="267"/>
      <c r="C775" s="361"/>
      <c r="D775" s="42"/>
      <c r="E775" s="42"/>
      <c r="F775" s="42"/>
      <c r="G775" s="42"/>
      <c r="H775" s="42"/>
      <c r="I775" s="42"/>
      <c r="J775" s="42"/>
      <c r="K775" s="304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  <c r="AL775" s="42"/>
      <c r="AM775" s="42"/>
      <c r="AN775" s="42"/>
      <c r="AO775" s="42"/>
      <c r="AP775" s="42"/>
      <c r="AQ775" s="42"/>
      <c r="AR775" s="42"/>
      <c r="AS775" s="42"/>
      <c r="AT775" s="42"/>
      <c r="AU775" s="42"/>
      <c r="AV775" s="42"/>
      <c r="AW775" s="42"/>
      <c r="AX775" s="42"/>
      <c r="AY775" s="42"/>
      <c r="AZ775" s="42"/>
      <c r="BA775" s="42"/>
      <c r="BB775" s="42"/>
      <c r="BC775" s="42"/>
      <c r="BD775" s="42"/>
      <c r="BE775" s="42"/>
      <c r="BF775" s="42"/>
      <c r="BG775" s="42"/>
      <c r="BH775" s="42"/>
      <c r="BI775" s="42"/>
      <c r="BJ775" s="42"/>
      <c r="BK775" s="42"/>
      <c r="BL775" s="42"/>
      <c r="BM775" s="42"/>
    </row>
    <row r="776">
      <c r="A776" s="125"/>
      <c r="B776" s="267"/>
      <c r="C776" s="361"/>
      <c r="D776" s="42"/>
      <c r="E776" s="42"/>
      <c r="F776" s="42"/>
      <c r="G776" s="42"/>
      <c r="H776" s="42"/>
      <c r="I776" s="42"/>
      <c r="J776" s="42"/>
      <c r="K776" s="304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  <c r="AM776" s="42"/>
      <c r="AN776" s="42"/>
      <c r="AO776" s="42"/>
      <c r="AP776" s="42"/>
      <c r="AQ776" s="42"/>
      <c r="AR776" s="42"/>
      <c r="AS776" s="42"/>
      <c r="AT776" s="42"/>
      <c r="AU776" s="42"/>
      <c r="AV776" s="42"/>
      <c r="AW776" s="42"/>
      <c r="AX776" s="42"/>
      <c r="AY776" s="42"/>
      <c r="AZ776" s="42"/>
      <c r="BA776" s="42"/>
      <c r="BB776" s="42"/>
      <c r="BC776" s="42"/>
      <c r="BD776" s="42"/>
      <c r="BE776" s="42"/>
      <c r="BF776" s="42"/>
      <c r="BG776" s="42"/>
      <c r="BH776" s="42"/>
      <c r="BI776" s="42"/>
      <c r="BJ776" s="42"/>
      <c r="BK776" s="42"/>
      <c r="BL776" s="42"/>
      <c r="BM776" s="42"/>
    </row>
    <row r="777">
      <c r="A777" s="125"/>
      <c r="B777" s="267"/>
      <c r="C777" s="361"/>
      <c r="D777" s="42"/>
      <c r="E777" s="42"/>
      <c r="F777" s="42"/>
      <c r="G777" s="42"/>
      <c r="H777" s="42"/>
      <c r="I777" s="42"/>
      <c r="J777" s="42"/>
      <c r="K777" s="304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  <c r="AL777" s="42"/>
      <c r="AM777" s="42"/>
      <c r="AN777" s="42"/>
      <c r="AO777" s="42"/>
      <c r="AP777" s="42"/>
      <c r="AQ777" s="42"/>
      <c r="AR777" s="42"/>
      <c r="AS777" s="42"/>
      <c r="AT777" s="42"/>
      <c r="AU777" s="42"/>
      <c r="AV777" s="42"/>
      <c r="AW777" s="42"/>
      <c r="AX777" s="42"/>
      <c r="AY777" s="42"/>
      <c r="AZ777" s="42"/>
      <c r="BA777" s="42"/>
      <c r="BB777" s="42"/>
      <c r="BC777" s="42"/>
      <c r="BD777" s="42"/>
      <c r="BE777" s="42"/>
      <c r="BF777" s="42"/>
      <c r="BG777" s="42"/>
      <c r="BH777" s="42"/>
      <c r="BI777" s="42"/>
      <c r="BJ777" s="42"/>
      <c r="BK777" s="42"/>
      <c r="BL777" s="42"/>
      <c r="BM777" s="42"/>
    </row>
    <row r="778">
      <c r="A778" s="125"/>
      <c r="B778" s="267"/>
      <c r="C778" s="361"/>
      <c r="D778" s="42"/>
      <c r="E778" s="42"/>
      <c r="F778" s="42"/>
      <c r="G778" s="42"/>
      <c r="H778" s="42"/>
      <c r="I778" s="42"/>
      <c r="J778" s="42"/>
      <c r="K778" s="304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  <c r="AL778" s="42"/>
      <c r="AM778" s="42"/>
      <c r="AN778" s="42"/>
      <c r="AO778" s="42"/>
      <c r="AP778" s="42"/>
      <c r="AQ778" s="42"/>
      <c r="AR778" s="42"/>
      <c r="AS778" s="42"/>
      <c r="AT778" s="42"/>
      <c r="AU778" s="42"/>
      <c r="AV778" s="42"/>
      <c r="AW778" s="42"/>
      <c r="AX778" s="42"/>
      <c r="AY778" s="42"/>
      <c r="AZ778" s="42"/>
      <c r="BA778" s="42"/>
      <c r="BB778" s="42"/>
      <c r="BC778" s="42"/>
      <c r="BD778" s="42"/>
      <c r="BE778" s="42"/>
      <c r="BF778" s="42"/>
      <c r="BG778" s="42"/>
      <c r="BH778" s="42"/>
      <c r="BI778" s="42"/>
      <c r="BJ778" s="42"/>
      <c r="BK778" s="42"/>
      <c r="BL778" s="42"/>
      <c r="BM778" s="42"/>
    </row>
    <row r="779">
      <c r="A779" s="125"/>
      <c r="B779" s="267"/>
      <c r="C779" s="361"/>
      <c r="D779" s="42"/>
      <c r="E779" s="42"/>
      <c r="F779" s="42"/>
      <c r="G779" s="42"/>
      <c r="H779" s="42"/>
      <c r="I779" s="42"/>
      <c r="J779" s="42"/>
      <c r="K779" s="304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  <c r="AM779" s="42"/>
      <c r="AN779" s="42"/>
      <c r="AO779" s="42"/>
      <c r="AP779" s="42"/>
      <c r="AQ779" s="42"/>
      <c r="AR779" s="42"/>
      <c r="AS779" s="42"/>
      <c r="AT779" s="42"/>
      <c r="AU779" s="42"/>
      <c r="AV779" s="42"/>
      <c r="AW779" s="42"/>
      <c r="AX779" s="42"/>
      <c r="AY779" s="42"/>
      <c r="AZ779" s="42"/>
      <c r="BA779" s="42"/>
      <c r="BB779" s="42"/>
      <c r="BC779" s="42"/>
      <c r="BD779" s="42"/>
      <c r="BE779" s="42"/>
      <c r="BF779" s="42"/>
      <c r="BG779" s="42"/>
      <c r="BH779" s="42"/>
      <c r="BI779" s="42"/>
      <c r="BJ779" s="42"/>
      <c r="BK779" s="42"/>
      <c r="BL779" s="42"/>
      <c r="BM779" s="42"/>
    </row>
    <row r="780">
      <c r="A780" s="125"/>
      <c r="B780" s="267"/>
      <c r="C780" s="361"/>
      <c r="D780" s="42"/>
      <c r="E780" s="42"/>
      <c r="F780" s="42"/>
      <c r="G780" s="42"/>
      <c r="H780" s="42"/>
      <c r="I780" s="42"/>
      <c r="J780" s="42"/>
      <c r="K780" s="304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  <c r="AM780" s="42"/>
      <c r="AN780" s="42"/>
      <c r="AO780" s="42"/>
      <c r="AP780" s="42"/>
      <c r="AQ780" s="42"/>
      <c r="AR780" s="42"/>
      <c r="AS780" s="42"/>
      <c r="AT780" s="42"/>
      <c r="AU780" s="42"/>
      <c r="AV780" s="42"/>
      <c r="AW780" s="42"/>
      <c r="AX780" s="42"/>
      <c r="AY780" s="42"/>
      <c r="AZ780" s="42"/>
      <c r="BA780" s="42"/>
      <c r="BB780" s="42"/>
      <c r="BC780" s="42"/>
      <c r="BD780" s="42"/>
      <c r="BE780" s="42"/>
      <c r="BF780" s="42"/>
      <c r="BG780" s="42"/>
      <c r="BH780" s="42"/>
      <c r="BI780" s="42"/>
      <c r="BJ780" s="42"/>
      <c r="BK780" s="42"/>
      <c r="BL780" s="42"/>
      <c r="BM780" s="42"/>
    </row>
    <row r="781">
      <c r="A781" s="125"/>
      <c r="B781" s="267"/>
      <c r="C781" s="361"/>
      <c r="D781" s="42"/>
      <c r="E781" s="42"/>
      <c r="F781" s="42"/>
      <c r="G781" s="42"/>
      <c r="H781" s="42"/>
      <c r="I781" s="42"/>
      <c r="J781" s="42"/>
      <c r="K781" s="304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  <c r="AL781" s="42"/>
      <c r="AM781" s="42"/>
      <c r="AN781" s="42"/>
      <c r="AO781" s="42"/>
      <c r="AP781" s="42"/>
      <c r="AQ781" s="42"/>
      <c r="AR781" s="42"/>
      <c r="AS781" s="42"/>
      <c r="AT781" s="42"/>
      <c r="AU781" s="42"/>
      <c r="AV781" s="42"/>
      <c r="AW781" s="42"/>
      <c r="AX781" s="42"/>
      <c r="AY781" s="42"/>
      <c r="AZ781" s="42"/>
      <c r="BA781" s="42"/>
      <c r="BB781" s="42"/>
      <c r="BC781" s="42"/>
      <c r="BD781" s="42"/>
      <c r="BE781" s="42"/>
      <c r="BF781" s="42"/>
      <c r="BG781" s="42"/>
      <c r="BH781" s="42"/>
      <c r="BI781" s="42"/>
      <c r="BJ781" s="42"/>
      <c r="BK781" s="42"/>
      <c r="BL781" s="42"/>
      <c r="BM781" s="42"/>
    </row>
    <row r="782">
      <c r="A782" s="125"/>
      <c r="B782" s="267"/>
      <c r="C782" s="361"/>
      <c r="D782" s="42"/>
      <c r="E782" s="42"/>
      <c r="F782" s="42"/>
      <c r="G782" s="42"/>
      <c r="H782" s="42"/>
      <c r="I782" s="42"/>
      <c r="J782" s="42"/>
      <c r="K782" s="304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  <c r="AM782" s="42"/>
      <c r="AN782" s="42"/>
      <c r="AO782" s="42"/>
      <c r="AP782" s="42"/>
      <c r="AQ782" s="42"/>
      <c r="AR782" s="42"/>
      <c r="AS782" s="42"/>
      <c r="AT782" s="42"/>
      <c r="AU782" s="42"/>
      <c r="AV782" s="42"/>
      <c r="AW782" s="42"/>
      <c r="AX782" s="42"/>
      <c r="AY782" s="42"/>
      <c r="AZ782" s="42"/>
      <c r="BA782" s="42"/>
      <c r="BB782" s="42"/>
      <c r="BC782" s="42"/>
      <c r="BD782" s="42"/>
      <c r="BE782" s="42"/>
      <c r="BF782" s="42"/>
      <c r="BG782" s="42"/>
      <c r="BH782" s="42"/>
      <c r="BI782" s="42"/>
      <c r="BJ782" s="42"/>
      <c r="BK782" s="42"/>
      <c r="BL782" s="42"/>
      <c r="BM782" s="42"/>
    </row>
    <row r="783">
      <c r="A783" s="125"/>
      <c r="B783" s="267"/>
      <c r="C783" s="361"/>
      <c r="D783" s="42"/>
      <c r="E783" s="42"/>
      <c r="F783" s="42"/>
      <c r="G783" s="42"/>
      <c r="H783" s="42"/>
      <c r="I783" s="42"/>
      <c r="J783" s="42"/>
      <c r="K783" s="304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  <c r="AL783" s="42"/>
      <c r="AM783" s="42"/>
      <c r="AN783" s="42"/>
      <c r="AO783" s="42"/>
      <c r="AP783" s="42"/>
      <c r="AQ783" s="42"/>
      <c r="AR783" s="42"/>
      <c r="AS783" s="42"/>
      <c r="AT783" s="42"/>
      <c r="AU783" s="42"/>
      <c r="AV783" s="42"/>
      <c r="AW783" s="42"/>
      <c r="AX783" s="42"/>
      <c r="AY783" s="42"/>
      <c r="AZ783" s="42"/>
      <c r="BA783" s="42"/>
      <c r="BB783" s="42"/>
      <c r="BC783" s="42"/>
      <c r="BD783" s="42"/>
      <c r="BE783" s="42"/>
      <c r="BF783" s="42"/>
      <c r="BG783" s="42"/>
      <c r="BH783" s="42"/>
      <c r="BI783" s="42"/>
      <c r="BJ783" s="42"/>
      <c r="BK783" s="42"/>
      <c r="BL783" s="42"/>
      <c r="BM783" s="42"/>
    </row>
    <row r="784">
      <c r="A784" s="125"/>
      <c r="B784" s="267"/>
      <c r="C784" s="361"/>
      <c r="D784" s="42"/>
      <c r="E784" s="42"/>
      <c r="F784" s="42"/>
      <c r="G784" s="42"/>
      <c r="H784" s="42"/>
      <c r="I784" s="42"/>
      <c r="J784" s="42"/>
      <c r="K784" s="304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  <c r="AL784" s="42"/>
      <c r="AM784" s="42"/>
      <c r="AN784" s="42"/>
      <c r="AO784" s="42"/>
      <c r="AP784" s="42"/>
      <c r="AQ784" s="42"/>
      <c r="AR784" s="42"/>
      <c r="AS784" s="42"/>
      <c r="AT784" s="42"/>
      <c r="AU784" s="42"/>
      <c r="AV784" s="42"/>
      <c r="AW784" s="42"/>
      <c r="AX784" s="42"/>
      <c r="AY784" s="42"/>
      <c r="AZ784" s="42"/>
      <c r="BA784" s="42"/>
      <c r="BB784" s="42"/>
      <c r="BC784" s="42"/>
      <c r="BD784" s="42"/>
      <c r="BE784" s="42"/>
      <c r="BF784" s="42"/>
      <c r="BG784" s="42"/>
      <c r="BH784" s="42"/>
      <c r="BI784" s="42"/>
      <c r="BJ784" s="42"/>
      <c r="BK784" s="42"/>
      <c r="BL784" s="42"/>
      <c r="BM784" s="42"/>
    </row>
    <row r="785">
      <c r="A785" s="125"/>
      <c r="B785" s="267"/>
      <c r="C785" s="361"/>
      <c r="D785" s="42"/>
      <c r="E785" s="42"/>
      <c r="F785" s="42"/>
      <c r="G785" s="42"/>
      <c r="H785" s="42"/>
      <c r="I785" s="42"/>
      <c r="J785" s="42"/>
      <c r="K785" s="304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  <c r="AM785" s="42"/>
      <c r="AN785" s="42"/>
      <c r="AO785" s="42"/>
      <c r="AP785" s="42"/>
      <c r="AQ785" s="42"/>
      <c r="AR785" s="42"/>
      <c r="AS785" s="42"/>
      <c r="AT785" s="42"/>
      <c r="AU785" s="42"/>
      <c r="AV785" s="42"/>
      <c r="AW785" s="42"/>
      <c r="AX785" s="42"/>
      <c r="AY785" s="42"/>
      <c r="AZ785" s="42"/>
      <c r="BA785" s="42"/>
      <c r="BB785" s="42"/>
      <c r="BC785" s="42"/>
      <c r="BD785" s="42"/>
      <c r="BE785" s="42"/>
      <c r="BF785" s="42"/>
      <c r="BG785" s="42"/>
      <c r="BH785" s="42"/>
      <c r="BI785" s="42"/>
      <c r="BJ785" s="42"/>
      <c r="BK785" s="42"/>
      <c r="BL785" s="42"/>
      <c r="BM785" s="42"/>
    </row>
    <row r="786">
      <c r="A786" s="125"/>
      <c r="B786" s="267"/>
      <c r="C786" s="361"/>
      <c r="D786" s="42"/>
      <c r="E786" s="42"/>
      <c r="F786" s="42"/>
      <c r="G786" s="42"/>
      <c r="H786" s="42"/>
      <c r="I786" s="42"/>
      <c r="J786" s="42"/>
      <c r="K786" s="304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  <c r="AM786" s="42"/>
      <c r="AN786" s="42"/>
      <c r="AO786" s="42"/>
      <c r="AP786" s="42"/>
      <c r="AQ786" s="42"/>
      <c r="AR786" s="42"/>
      <c r="AS786" s="42"/>
      <c r="AT786" s="42"/>
      <c r="AU786" s="42"/>
      <c r="AV786" s="42"/>
      <c r="AW786" s="42"/>
      <c r="AX786" s="42"/>
      <c r="AY786" s="42"/>
      <c r="AZ786" s="42"/>
      <c r="BA786" s="42"/>
      <c r="BB786" s="42"/>
      <c r="BC786" s="42"/>
      <c r="BD786" s="42"/>
      <c r="BE786" s="42"/>
      <c r="BF786" s="42"/>
      <c r="BG786" s="42"/>
      <c r="BH786" s="42"/>
      <c r="BI786" s="42"/>
      <c r="BJ786" s="42"/>
      <c r="BK786" s="42"/>
      <c r="BL786" s="42"/>
      <c r="BM786" s="42"/>
    </row>
    <row r="787">
      <c r="A787" s="125"/>
      <c r="B787" s="267"/>
      <c r="C787" s="361"/>
      <c r="D787" s="42"/>
      <c r="E787" s="42"/>
      <c r="F787" s="42"/>
      <c r="G787" s="42"/>
      <c r="H787" s="42"/>
      <c r="I787" s="42"/>
      <c r="J787" s="42"/>
      <c r="K787" s="304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  <c r="AL787" s="42"/>
      <c r="AM787" s="42"/>
      <c r="AN787" s="42"/>
      <c r="AO787" s="42"/>
      <c r="AP787" s="42"/>
      <c r="AQ787" s="42"/>
      <c r="AR787" s="42"/>
      <c r="AS787" s="42"/>
      <c r="AT787" s="42"/>
      <c r="AU787" s="42"/>
      <c r="AV787" s="42"/>
      <c r="AW787" s="42"/>
      <c r="AX787" s="42"/>
      <c r="AY787" s="42"/>
      <c r="AZ787" s="42"/>
      <c r="BA787" s="42"/>
      <c r="BB787" s="42"/>
      <c r="BC787" s="42"/>
      <c r="BD787" s="42"/>
      <c r="BE787" s="42"/>
      <c r="BF787" s="42"/>
      <c r="BG787" s="42"/>
      <c r="BH787" s="42"/>
      <c r="BI787" s="42"/>
      <c r="BJ787" s="42"/>
      <c r="BK787" s="42"/>
      <c r="BL787" s="42"/>
      <c r="BM787" s="42"/>
    </row>
    <row r="788">
      <c r="A788" s="125"/>
      <c r="B788" s="267"/>
      <c r="C788" s="361"/>
      <c r="D788" s="42"/>
      <c r="E788" s="42"/>
      <c r="F788" s="42"/>
      <c r="G788" s="42"/>
      <c r="H788" s="42"/>
      <c r="I788" s="42"/>
      <c r="J788" s="42"/>
      <c r="K788" s="304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/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/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</row>
    <row r="789">
      <c r="A789" s="125"/>
      <c r="B789" s="267"/>
      <c r="C789" s="361"/>
      <c r="D789" s="42"/>
      <c r="E789" s="42"/>
      <c r="F789" s="42"/>
      <c r="G789" s="42"/>
      <c r="H789" s="42"/>
      <c r="I789" s="42"/>
      <c r="J789" s="42"/>
      <c r="K789" s="304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  <c r="AL789" s="42"/>
      <c r="AM789" s="42"/>
      <c r="AN789" s="42"/>
      <c r="AO789" s="42"/>
      <c r="AP789" s="42"/>
      <c r="AQ789" s="42"/>
      <c r="AR789" s="42"/>
      <c r="AS789" s="42"/>
      <c r="AT789" s="42"/>
      <c r="AU789" s="42"/>
      <c r="AV789" s="42"/>
      <c r="AW789" s="42"/>
      <c r="AX789" s="42"/>
      <c r="AY789" s="42"/>
      <c r="AZ789" s="42"/>
      <c r="BA789" s="42"/>
      <c r="BB789" s="42"/>
      <c r="BC789" s="42"/>
      <c r="BD789" s="42"/>
      <c r="BE789" s="42"/>
      <c r="BF789" s="42"/>
      <c r="BG789" s="42"/>
      <c r="BH789" s="42"/>
      <c r="BI789" s="42"/>
      <c r="BJ789" s="42"/>
      <c r="BK789" s="42"/>
      <c r="BL789" s="42"/>
      <c r="BM789" s="42"/>
    </row>
    <row r="790">
      <c r="A790" s="125"/>
      <c r="B790" s="267"/>
      <c r="C790" s="361"/>
      <c r="D790" s="42"/>
      <c r="E790" s="42"/>
      <c r="F790" s="42"/>
      <c r="G790" s="42"/>
      <c r="H790" s="42"/>
      <c r="I790" s="42"/>
      <c r="J790" s="42"/>
      <c r="K790" s="304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  <c r="AL790" s="42"/>
      <c r="AM790" s="42"/>
      <c r="AN790" s="42"/>
      <c r="AO790" s="42"/>
      <c r="AP790" s="42"/>
      <c r="AQ790" s="42"/>
      <c r="AR790" s="42"/>
      <c r="AS790" s="42"/>
      <c r="AT790" s="42"/>
      <c r="AU790" s="42"/>
      <c r="AV790" s="42"/>
      <c r="AW790" s="42"/>
      <c r="AX790" s="42"/>
      <c r="AY790" s="42"/>
      <c r="AZ790" s="42"/>
      <c r="BA790" s="42"/>
      <c r="BB790" s="42"/>
      <c r="BC790" s="42"/>
      <c r="BD790" s="42"/>
      <c r="BE790" s="42"/>
      <c r="BF790" s="42"/>
      <c r="BG790" s="42"/>
      <c r="BH790" s="42"/>
      <c r="BI790" s="42"/>
      <c r="BJ790" s="42"/>
      <c r="BK790" s="42"/>
      <c r="BL790" s="42"/>
      <c r="BM790" s="42"/>
    </row>
    <row r="791">
      <c r="A791" s="125"/>
      <c r="B791" s="267"/>
      <c r="C791" s="361"/>
      <c r="D791" s="42"/>
      <c r="E791" s="42"/>
      <c r="F791" s="42"/>
      <c r="G791" s="42"/>
      <c r="H791" s="42"/>
      <c r="I791" s="42"/>
      <c r="J791" s="42"/>
      <c r="K791" s="304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  <c r="AM791" s="42"/>
      <c r="AN791" s="42"/>
      <c r="AO791" s="42"/>
      <c r="AP791" s="42"/>
      <c r="AQ791" s="42"/>
      <c r="AR791" s="42"/>
      <c r="AS791" s="42"/>
      <c r="AT791" s="42"/>
      <c r="AU791" s="42"/>
      <c r="AV791" s="42"/>
      <c r="AW791" s="42"/>
      <c r="AX791" s="42"/>
      <c r="AY791" s="42"/>
      <c r="AZ791" s="42"/>
      <c r="BA791" s="42"/>
      <c r="BB791" s="42"/>
      <c r="BC791" s="42"/>
      <c r="BD791" s="42"/>
      <c r="BE791" s="42"/>
      <c r="BF791" s="42"/>
      <c r="BG791" s="42"/>
      <c r="BH791" s="42"/>
      <c r="BI791" s="42"/>
      <c r="BJ791" s="42"/>
      <c r="BK791" s="42"/>
      <c r="BL791" s="42"/>
      <c r="BM791" s="42"/>
    </row>
    <row r="792">
      <c r="A792" s="125"/>
      <c r="B792" s="267"/>
      <c r="C792" s="361"/>
      <c r="D792" s="42"/>
      <c r="E792" s="42"/>
      <c r="F792" s="42"/>
      <c r="G792" s="42"/>
      <c r="H792" s="42"/>
      <c r="I792" s="42"/>
      <c r="J792" s="42"/>
      <c r="K792" s="304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  <c r="AL792" s="42"/>
      <c r="AM792" s="42"/>
      <c r="AN792" s="42"/>
      <c r="AO792" s="42"/>
      <c r="AP792" s="42"/>
      <c r="AQ792" s="42"/>
      <c r="AR792" s="42"/>
      <c r="AS792" s="42"/>
      <c r="AT792" s="42"/>
      <c r="AU792" s="42"/>
      <c r="AV792" s="42"/>
      <c r="AW792" s="42"/>
      <c r="AX792" s="42"/>
      <c r="AY792" s="42"/>
      <c r="AZ792" s="42"/>
      <c r="BA792" s="42"/>
      <c r="BB792" s="42"/>
      <c r="BC792" s="42"/>
      <c r="BD792" s="42"/>
      <c r="BE792" s="42"/>
      <c r="BF792" s="42"/>
      <c r="BG792" s="42"/>
      <c r="BH792" s="42"/>
      <c r="BI792" s="42"/>
      <c r="BJ792" s="42"/>
      <c r="BK792" s="42"/>
      <c r="BL792" s="42"/>
      <c r="BM792" s="42"/>
    </row>
    <row r="793">
      <c r="A793" s="125"/>
      <c r="B793" s="267"/>
      <c r="C793" s="361"/>
      <c r="D793" s="42"/>
      <c r="E793" s="42"/>
      <c r="F793" s="42"/>
      <c r="G793" s="42"/>
      <c r="H793" s="42"/>
      <c r="I793" s="42"/>
      <c r="J793" s="42"/>
      <c r="K793" s="304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/>
      <c r="AN793" s="42"/>
      <c r="AO793" s="42"/>
      <c r="AP793" s="42"/>
      <c r="AQ793" s="42"/>
      <c r="AR793" s="42"/>
      <c r="AS793" s="42"/>
      <c r="AT793" s="42"/>
      <c r="AU793" s="42"/>
      <c r="AV793" s="42"/>
      <c r="AW793" s="42"/>
      <c r="AX793" s="42"/>
      <c r="AY793" s="42"/>
      <c r="AZ793" s="42"/>
      <c r="BA793" s="42"/>
      <c r="BB793" s="42"/>
      <c r="BC793" s="42"/>
      <c r="BD793" s="42"/>
      <c r="BE793" s="42"/>
      <c r="BF793" s="42"/>
      <c r="BG793" s="42"/>
      <c r="BH793" s="42"/>
      <c r="BI793" s="42"/>
      <c r="BJ793" s="42"/>
      <c r="BK793" s="42"/>
      <c r="BL793" s="42"/>
      <c r="BM793" s="42"/>
    </row>
    <row r="794">
      <c r="A794" s="125"/>
      <c r="B794" s="267"/>
      <c r="C794" s="361"/>
      <c r="D794" s="42"/>
      <c r="E794" s="42"/>
      <c r="F794" s="42"/>
      <c r="G794" s="42"/>
      <c r="H794" s="42"/>
      <c r="I794" s="42"/>
      <c r="J794" s="42"/>
      <c r="K794" s="304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  <c r="AM794" s="42"/>
      <c r="AN794" s="42"/>
      <c r="AO794" s="42"/>
      <c r="AP794" s="42"/>
      <c r="AQ794" s="42"/>
      <c r="AR794" s="42"/>
      <c r="AS794" s="42"/>
      <c r="AT794" s="42"/>
      <c r="AU794" s="42"/>
      <c r="AV794" s="42"/>
      <c r="AW794" s="42"/>
      <c r="AX794" s="42"/>
      <c r="AY794" s="42"/>
      <c r="AZ794" s="42"/>
      <c r="BA794" s="42"/>
      <c r="BB794" s="42"/>
      <c r="BC794" s="42"/>
      <c r="BD794" s="42"/>
      <c r="BE794" s="42"/>
      <c r="BF794" s="42"/>
      <c r="BG794" s="42"/>
      <c r="BH794" s="42"/>
      <c r="BI794" s="42"/>
      <c r="BJ794" s="42"/>
      <c r="BK794" s="42"/>
      <c r="BL794" s="42"/>
      <c r="BM794" s="42"/>
    </row>
    <row r="795">
      <c r="A795" s="125"/>
      <c r="B795" s="267"/>
      <c r="C795" s="361"/>
      <c r="D795" s="42"/>
      <c r="E795" s="42"/>
      <c r="F795" s="42"/>
      <c r="G795" s="42"/>
      <c r="H795" s="42"/>
      <c r="I795" s="42"/>
      <c r="J795" s="42"/>
      <c r="K795" s="304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  <c r="AL795" s="42"/>
      <c r="AM795" s="42"/>
      <c r="AN795" s="42"/>
      <c r="AO795" s="42"/>
      <c r="AP795" s="42"/>
      <c r="AQ795" s="42"/>
      <c r="AR795" s="42"/>
      <c r="AS795" s="42"/>
      <c r="AT795" s="42"/>
      <c r="AU795" s="42"/>
      <c r="AV795" s="42"/>
      <c r="AW795" s="42"/>
      <c r="AX795" s="42"/>
      <c r="AY795" s="42"/>
      <c r="AZ795" s="42"/>
      <c r="BA795" s="42"/>
      <c r="BB795" s="42"/>
      <c r="BC795" s="42"/>
      <c r="BD795" s="42"/>
      <c r="BE795" s="42"/>
      <c r="BF795" s="42"/>
      <c r="BG795" s="42"/>
      <c r="BH795" s="42"/>
      <c r="BI795" s="42"/>
      <c r="BJ795" s="42"/>
      <c r="BK795" s="42"/>
      <c r="BL795" s="42"/>
      <c r="BM795" s="42"/>
    </row>
    <row r="796">
      <c r="A796" s="125"/>
      <c r="B796" s="267"/>
      <c r="C796" s="361"/>
      <c r="D796" s="42"/>
      <c r="E796" s="42"/>
      <c r="F796" s="42"/>
      <c r="G796" s="42"/>
      <c r="H796" s="42"/>
      <c r="I796" s="42"/>
      <c r="J796" s="42"/>
      <c r="K796" s="304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  <c r="AL796" s="42"/>
      <c r="AM796" s="42"/>
      <c r="AN796" s="42"/>
      <c r="AO796" s="42"/>
      <c r="AP796" s="42"/>
      <c r="AQ796" s="42"/>
      <c r="AR796" s="42"/>
      <c r="AS796" s="42"/>
      <c r="AT796" s="42"/>
      <c r="AU796" s="42"/>
      <c r="AV796" s="42"/>
      <c r="AW796" s="42"/>
      <c r="AX796" s="42"/>
      <c r="AY796" s="42"/>
      <c r="AZ796" s="42"/>
      <c r="BA796" s="42"/>
      <c r="BB796" s="42"/>
      <c r="BC796" s="42"/>
      <c r="BD796" s="42"/>
      <c r="BE796" s="42"/>
      <c r="BF796" s="42"/>
      <c r="BG796" s="42"/>
      <c r="BH796" s="42"/>
      <c r="BI796" s="42"/>
      <c r="BJ796" s="42"/>
      <c r="BK796" s="42"/>
      <c r="BL796" s="42"/>
      <c r="BM796" s="42"/>
    </row>
    <row r="797">
      <c r="A797" s="125"/>
      <c r="B797" s="267"/>
      <c r="C797" s="361"/>
      <c r="D797" s="42"/>
      <c r="E797" s="42"/>
      <c r="F797" s="42"/>
      <c r="G797" s="42"/>
      <c r="H797" s="42"/>
      <c r="I797" s="42"/>
      <c r="J797" s="42"/>
      <c r="K797" s="304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  <c r="AM797" s="42"/>
      <c r="AN797" s="42"/>
      <c r="AO797" s="42"/>
      <c r="AP797" s="42"/>
      <c r="AQ797" s="42"/>
      <c r="AR797" s="42"/>
      <c r="AS797" s="42"/>
      <c r="AT797" s="42"/>
      <c r="AU797" s="42"/>
      <c r="AV797" s="42"/>
      <c r="AW797" s="42"/>
      <c r="AX797" s="42"/>
      <c r="AY797" s="42"/>
      <c r="AZ797" s="42"/>
      <c r="BA797" s="42"/>
      <c r="BB797" s="42"/>
      <c r="BC797" s="42"/>
      <c r="BD797" s="42"/>
      <c r="BE797" s="42"/>
      <c r="BF797" s="42"/>
      <c r="BG797" s="42"/>
      <c r="BH797" s="42"/>
      <c r="BI797" s="42"/>
      <c r="BJ797" s="42"/>
      <c r="BK797" s="42"/>
      <c r="BL797" s="42"/>
      <c r="BM797" s="42"/>
    </row>
    <row r="798">
      <c r="A798" s="125"/>
      <c r="B798" s="267"/>
      <c r="C798" s="361"/>
      <c r="D798" s="42"/>
      <c r="E798" s="42"/>
      <c r="F798" s="42"/>
      <c r="G798" s="42"/>
      <c r="H798" s="42"/>
      <c r="I798" s="42"/>
      <c r="J798" s="42"/>
      <c r="K798" s="304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  <c r="AL798" s="42"/>
      <c r="AM798" s="42"/>
      <c r="AN798" s="42"/>
      <c r="AO798" s="42"/>
      <c r="AP798" s="42"/>
      <c r="AQ798" s="42"/>
      <c r="AR798" s="42"/>
      <c r="AS798" s="42"/>
      <c r="AT798" s="42"/>
      <c r="AU798" s="42"/>
      <c r="AV798" s="42"/>
      <c r="AW798" s="42"/>
      <c r="AX798" s="42"/>
      <c r="AY798" s="42"/>
      <c r="AZ798" s="42"/>
      <c r="BA798" s="42"/>
      <c r="BB798" s="42"/>
      <c r="BC798" s="42"/>
      <c r="BD798" s="42"/>
      <c r="BE798" s="42"/>
      <c r="BF798" s="42"/>
      <c r="BG798" s="42"/>
      <c r="BH798" s="42"/>
      <c r="BI798" s="42"/>
      <c r="BJ798" s="42"/>
      <c r="BK798" s="42"/>
      <c r="BL798" s="42"/>
      <c r="BM798" s="42"/>
    </row>
    <row r="799">
      <c r="A799" s="125"/>
      <c r="B799" s="267"/>
      <c r="C799" s="361"/>
      <c r="D799" s="42"/>
      <c r="E799" s="42"/>
      <c r="F799" s="42"/>
      <c r="G799" s="42"/>
      <c r="H799" s="42"/>
      <c r="I799" s="42"/>
      <c r="J799" s="42"/>
      <c r="K799" s="304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  <c r="AL799" s="42"/>
      <c r="AM799" s="42"/>
      <c r="AN799" s="42"/>
      <c r="AO799" s="42"/>
      <c r="AP799" s="42"/>
      <c r="AQ799" s="42"/>
      <c r="AR799" s="42"/>
      <c r="AS799" s="42"/>
      <c r="AT799" s="42"/>
      <c r="AU799" s="42"/>
      <c r="AV799" s="42"/>
      <c r="AW799" s="42"/>
      <c r="AX799" s="42"/>
      <c r="AY799" s="42"/>
      <c r="AZ799" s="42"/>
      <c r="BA799" s="42"/>
      <c r="BB799" s="42"/>
      <c r="BC799" s="42"/>
      <c r="BD799" s="42"/>
      <c r="BE799" s="42"/>
      <c r="BF799" s="42"/>
      <c r="BG799" s="42"/>
      <c r="BH799" s="42"/>
      <c r="BI799" s="42"/>
      <c r="BJ799" s="42"/>
      <c r="BK799" s="42"/>
      <c r="BL799" s="42"/>
      <c r="BM799" s="42"/>
    </row>
    <row r="800">
      <c r="A800" s="125"/>
      <c r="B800" s="267"/>
      <c r="C800" s="361"/>
      <c r="D800" s="42"/>
      <c r="E800" s="42"/>
      <c r="F800" s="42"/>
      <c r="G800" s="42"/>
      <c r="H800" s="42"/>
      <c r="I800" s="42"/>
      <c r="J800" s="42"/>
      <c r="K800" s="304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  <c r="AM800" s="42"/>
      <c r="AN800" s="42"/>
      <c r="AO800" s="42"/>
      <c r="AP800" s="42"/>
      <c r="AQ800" s="42"/>
      <c r="AR800" s="42"/>
      <c r="AS800" s="42"/>
      <c r="AT800" s="42"/>
      <c r="AU800" s="42"/>
      <c r="AV800" s="42"/>
      <c r="AW800" s="42"/>
      <c r="AX800" s="42"/>
      <c r="AY800" s="42"/>
      <c r="AZ800" s="42"/>
      <c r="BA800" s="42"/>
      <c r="BB800" s="42"/>
      <c r="BC800" s="42"/>
      <c r="BD800" s="42"/>
      <c r="BE800" s="42"/>
      <c r="BF800" s="42"/>
      <c r="BG800" s="42"/>
      <c r="BH800" s="42"/>
      <c r="BI800" s="42"/>
      <c r="BJ800" s="42"/>
      <c r="BK800" s="42"/>
      <c r="BL800" s="42"/>
      <c r="BM800" s="42"/>
    </row>
    <row r="801">
      <c r="A801" s="125"/>
      <c r="B801" s="267"/>
      <c r="C801" s="361"/>
      <c r="D801" s="42"/>
      <c r="E801" s="42"/>
      <c r="F801" s="42"/>
      <c r="G801" s="42"/>
      <c r="H801" s="42"/>
      <c r="I801" s="42"/>
      <c r="J801" s="42"/>
      <c r="K801" s="304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  <c r="AL801" s="42"/>
      <c r="AM801" s="42"/>
      <c r="AN801" s="42"/>
      <c r="AO801" s="42"/>
      <c r="AP801" s="42"/>
      <c r="AQ801" s="42"/>
      <c r="AR801" s="42"/>
      <c r="AS801" s="42"/>
      <c r="AT801" s="42"/>
      <c r="AU801" s="42"/>
      <c r="AV801" s="42"/>
      <c r="AW801" s="42"/>
      <c r="AX801" s="42"/>
      <c r="AY801" s="42"/>
      <c r="AZ801" s="42"/>
      <c r="BA801" s="42"/>
      <c r="BB801" s="42"/>
      <c r="BC801" s="42"/>
      <c r="BD801" s="42"/>
      <c r="BE801" s="42"/>
      <c r="BF801" s="42"/>
      <c r="BG801" s="42"/>
      <c r="BH801" s="42"/>
      <c r="BI801" s="42"/>
      <c r="BJ801" s="42"/>
      <c r="BK801" s="42"/>
      <c r="BL801" s="42"/>
      <c r="BM801" s="42"/>
    </row>
    <row r="802">
      <c r="A802" s="125"/>
      <c r="B802" s="267"/>
      <c r="C802" s="361"/>
      <c r="D802" s="42"/>
      <c r="E802" s="42"/>
      <c r="F802" s="42"/>
      <c r="G802" s="42"/>
      <c r="H802" s="42"/>
      <c r="I802" s="42"/>
      <c r="J802" s="42"/>
      <c r="K802" s="304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  <c r="AL802" s="42"/>
      <c r="AM802" s="42"/>
      <c r="AN802" s="42"/>
      <c r="AO802" s="42"/>
      <c r="AP802" s="42"/>
      <c r="AQ802" s="42"/>
      <c r="AR802" s="42"/>
      <c r="AS802" s="42"/>
      <c r="AT802" s="42"/>
      <c r="AU802" s="42"/>
      <c r="AV802" s="42"/>
      <c r="AW802" s="42"/>
      <c r="AX802" s="42"/>
      <c r="AY802" s="42"/>
      <c r="AZ802" s="42"/>
      <c r="BA802" s="42"/>
      <c r="BB802" s="42"/>
      <c r="BC802" s="42"/>
      <c r="BD802" s="42"/>
      <c r="BE802" s="42"/>
      <c r="BF802" s="42"/>
      <c r="BG802" s="42"/>
      <c r="BH802" s="42"/>
      <c r="BI802" s="42"/>
      <c r="BJ802" s="42"/>
      <c r="BK802" s="42"/>
      <c r="BL802" s="42"/>
      <c r="BM802" s="42"/>
    </row>
    <row r="803">
      <c r="A803" s="125"/>
      <c r="B803" s="267"/>
      <c r="C803" s="361"/>
      <c r="D803" s="42"/>
      <c r="E803" s="42"/>
      <c r="F803" s="42"/>
      <c r="G803" s="42"/>
      <c r="H803" s="42"/>
      <c r="I803" s="42"/>
      <c r="J803" s="42"/>
      <c r="K803" s="304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  <c r="AM803" s="42"/>
      <c r="AN803" s="42"/>
      <c r="AO803" s="42"/>
      <c r="AP803" s="42"/>
      <c r="AQ803" s="42"/>
      <c r="AR803" s="42"/>
      <c r="AS803" s="42"/>
      <c r="AT803" s="42"/>
      <c r="AU803" s="42"/>
      <c r="AV803" s="42"/>
      <c r="AW803" s="42"/>
      <c r="AX803" s="42"/>
      <c r="AY803" s="42"/>
      <c r="AZ803" s="42"/>
      <c r="BA803" s="42"/>
      <c r="BB803" s="42"/>
      <c r="BC803" s="42"/>
      <c r="BD803" s="42"/>
      <c r="BE803" s="42"/>
      <c r="BF803" s="42"/>
      <c r="BG803" s="42"/>
      <c r="BH803" s="42"/>
      <c r="BI803" s="42"/>
      <c r="BJ803" s="42"/>
      <c r="BK803" s="42"/>
      <c r="BL803" s="42"/>
      <c r="BM803" s="42"/>
    </row>
    <row r="804">
      <c r="A804" s="125"/>
      <c r="B804" s="267"/>
      <c r="C804" s="361"/>
      <c r="D804" s="42"/>
      <c r="E804" s="42"/>
      <c r="F804" s="42"/>
      <c r="G804" s="42"/>
      <c r="H804" s="42"/>
      <c r="I804" s="42"/>
      <c r="J804" s="42"/>
      <c r="K804" s="304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  <c r="AM804" s="42"/>
      <c r="AN804" s="42"/>
      <c r="AO804" s="42"/>
      <c r="AP804" s="42"/>
      <c r="AQ804" s="42"/>
      <c r="AR804" s="42"/>
      <c r="AS804" s="42"/>
      <c r="AT804" s="42"/>
      <c r="AU804" s="42"/>
      <c r="AV804" s="42"/>
      <c r="AW804" s="42"/>
      <c r="AX804" s="42"/>
      <c r="AY804" s="42"/>
      <c r="AZ804" s="42"/>
      <c r="BA804" s="42"/>
      <c r="BB804" s="42"/>
      <c r="BC804" s="42"/>
      <c r="BD804" s="42"/>
      <c r="BE804" s="42"/>
      <c r="BF804" s="42"/>
      <c r="BG804" s="42"/>
      <c r="BH804" s="42"/>
      <c r="BI804" s="42"/>
      <c r="BJ804" s="42"/>
      <c r="BK804" s="42"/>
      <c r="BL804" s="42"/>
      <c r="BM804" s="42"/>
    </row>
    <row r="805">
      <c r="A805" s="125"/>
      <c r="B805" s="267"/>
      <c r="C805" s="361"/>
      <c r="D805" s="42"/>
      <c r="E805" s="42"/>
      <c r="F805" s="42"/>
      <c r="G805" s="42"/>
      <c r="H805" s="42"/>
      <c r="I805" s="42"/>
      <c r="J805" s="42"/>
      <c r="K805" s="304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  <c r="AM805" s="42"/>
      <c r="AN805" s="42"/>
      <c r="AO805" s="42"/>
      <c r="AP805" s="42"/>
      <c r="AQ805" s="42"/>
      <c r="AR805" s="42"/>
      <c r="AS805" s="42"/>
      <c r="AT805" s="42"/>
      <c r="AU805" s="42"/>
      <c r="AV805" s="42"/>
      <c r="AW805" s="42"/>
      <c r="AX805" s="42"/>
      <c r="AY805" s="42"/>
      <c r="AZ805" s="42"/>
      <c r="BA805" s="42"/>
      <c r="BB805" s="42"/>
      <c r="BC805" s="42"/>
      <c r="BD805" s="42"/>
      <c r="BE805" s="42"/>
      <c r="BF805" s="42"/>
      <c r="BG805" s="42"/>
      <c r="BH805" s="42"/>
      <c r="BI805" s="42"/>
      <c r="BJ805" s="42"/>
      <c r="BK805" s="42"/>
      <c r="BL805" s="42"/>
      <c r="BM805" s="42"/>
    </row>
    <row r="806">
      <c r="A806" s="125"/>
      <c r="B806" s="267"/>
      <c r="C806" s="361"/>
      <c r="D806" s="42"/>
      <c r="E806" s="42"/>
      <c r="F806" s="42"/>
      <c r="G806" s="42"/>
      <c r="H806" s="42"/>
      <c r="I806" s="42"/>
      <c r="J806" s="42"/>
      <c r="K806" s="304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  <c r="AL806" s="42"/>
      <c r="AM806" s="42"/>
      <c r="AN806" s="42"/>
      <c r="AO806" s="42"/>
      <c r="AP806" s="42"/>
      <c r="AQ806" s="42"/>
      <c r="AR806" s="42"/>
      <c r="AS806" s="42"/>
      <c r="AT806" s="42"/>
      <c r="AU806" s="42"/>
      <c r="AV806" s="42"/>
      <c r="AW806" s="42"/>
      <c r="AX806" s="42"/>
      <c r="AY806" s="42"/>
      <c r="AZ806" s="42"/>
      <c r="BA806" s="42"/>
      <c r="BB806" s="42"/>
      <c r="BC806" s="42"/>
      <c r="BD806" s="42"/>
      <c r="BE806" s="42"/>
      <c r="BF806" s="42"/>
      <c r="BG806" s="42"/>
      <c r="BH806" s="42"/>
      <c r="BI806" s="42"/>
      <c r="BJ806" s="42"/>
      <c r="BK806" s="42"/>
      <c r="BL806" s="42"/>
      <c r="BM806" s="42"/>
    </row>
    <row r="807">
      <c r="A807" s="125"/>
      <c r="B807" s="267"/>
      <c r="C807" s="361"/>
      <c r="D807" s="42"/>
      <c r="E807" s="42"/>
      <c r="F807" s="42"/>
      <c r="G807" s="42"/>
      <c r="H807" s="42"/>
      <c r="I807" s="42"/>
      <c r="J807" s="42"/>
      <c r="K807" s="304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  <c r="AL807" s="42"/>
      <c r="AM807" s="42"/>
      <c r="AN807" s="42"/>
      <c r="AO807" s="42"/>
      <c r="AP807" s="42"/>
      <c r="AQ807" s="42"/>
      <c r="AR807" s="42"/>
      <c r="AS807" s="42"/>
      <c r="AT807" s="42"/>
      <c r="AU807" s="42"/>
      <c r="AV807" s="42"/>
      <c r="AW807" s="42"/>
      <c r="AX807" s="42"/>
      <c r="AY807" s="42"/>
      <c r="AZ807" s="42"/>
      <c r="BA807" s="42"/>
      <c r="BB807" s="42"/>
      <c r="BC807" s="42"/>
      <c r="BD807" s="42"/>
      <c r="BE807" s="42"/>
      <c r="BF807" s="42"/>
      <c r="BG807" s="42"/>
      <c r="BH807" s="42"/>
      <c r="BI807" s="42"/>
      <c r="BJ807" s="42"/>
      <c r="BK807" s="42"/>
      <c r="BL807" s="42"/>
      <c r="BM807" s="42"/>
    </row>
    <row r="808">
      <c r="A808" s="125"/>
      <c r="B808" s="267"/>
      <c r="C808" s="361"/>
      <c r="D808" s="42"/>
      <c r="E808" s="42"/>
      <c r="F808" s="42"/>
      <c r="G808" s="42"/>
      <c r="H808" s="42"/>
      <c r="I808" s="42"/>
      <c r="J808" s="42"/>
      <c r="K808" s="304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  <c r="AL808" s="42"/>
      <c r="AM808" s="42"/>
      <c r="AN808" s="42"/>
      <c r="AO808" s="42"/>
      <c r="AP808" s="42"/>
      <c r="AQ808" s="42"/>
      <c r="AR808" s="42"/>
      <c r="AS808" s="42"/>
      <c r="AT808" s="42"/>
      <c r="AU808" s="42"/>
      <c r="AV808" s="42"/>
      <c r="AW808" s="42"/>
      <c r="AX808" s="42"/>
      <c r="AY808" s="42"/>
      <c r="AZ808" s="42"/>
      <c r="BA808" s="42"/>
      <c r="BB808" s="42"/>
      <c r="BC808" s="42"/>
      <c r="BD808" s="42"/>
      <c r="BE808" s="42"/>
      <c r="BF808" s="42"/>
      <c r="BG808" s="42"/>
      <c r="BH808" s="42"/>
      <c r="BI808" s="42"/>
      <c r="BJ808" s="42"/>
      <c r="BK808" s="42"/>
      <c r="BL808" s="42"/>
      <c r="BM808" s="42"/>
    </row>
    <row r="809">
      <c r="A809" s="125"/>
      <c r="B809" s="267"/>
      <c r="C809" s="361"/>
      <c r="D809" s="42"/>
      <c r="E809" s="42"/>
      <c r="F809" s="42"/>
      <c r="G809" s="42"/>
      <c r="H809" s="42"/>
      <c r="I809" s="42"/>
      <c r="J809" s="42"/>
      <c r="K809" s="304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  <c r="AL809" s="42"/>
      <c r="AM809" s="42"/>
      <c r="AN809" s="42"/>
      <c r="AO809" s="42"/>
      <c r="AP809" s="42"/>
      <c r="AQ809" s="42"/>
      <c r="AR809" s="42"/>
      <c r="AS809" s="42"/>
      <c r="AT809" s="42"/>
      <c r="AU809" s="42"/>
      <c r="AV809" s="42"/>
      <c r="AW809" s="42"/>
      <c r="AX809" s="42"/>
      <c r="AY809" s="42"/>
      <c r="AZ809" s="42"/>
      <c r="BA809" s="42"/>
      <c r="BB809" s="42"/>
      <c r="BC809" s="42"/>
      <c r="BD809" s="42"/>
      <c r="BE809" s="42"/>
      <c r="BF809" s="42"/>
      <c r="BG809" s="42"/>
      <c r="BH809" s="42"/>
      <c r="BI809" s="42"/>
      <c r="BJ809" s="42"/>
      <c r="BK809" s="42"/>
      <c r="BL809" s="42"/>
      <c r="BM809" s="42"/>
    </row>
    <row r="810">
      <c r="A810" s="125"/>
      <c r="B810" s="267"/>
      <c r="C810" s="361"/>
      <c r="D810" s="42"/>
      <c r="E810" s="42"/>
      <c r="F810" s="42"/>
      <c r="G810" s="42"/>
      <c r="H810" s="42"/>
      <c r="I810" s="42"/>
      <c r="J810" s="42"/>
      <c r="K810" s="304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  <c r="AL810" s="42"/>
      <c r="AM810" s="42"/>
      <c r="AN810" s="42"/>
      <c r="AO810" s="42"/>
      <c r="AP810" s="42"/>
      <c r="AQ810" s="42"/>
      <c r="AR810" s="42"/>
      <c r="AS810" s="42"/>
      <c r="AT810" s="42"/>
      <c r="AU810" s="42"/>
      <c r="AV810" s="42"/>
      <c r="AW810" s="42"/>
      <c r="AX810" s="42"/>
      <c r="AY810" s="42"/>
      <c r="AZ810" s="42"/>
      <c r="BA810" s="42"/>
      <c r="BB810" s="42"/>
      <c r="BC810" s="42"/>
      <c r="BD810" s="42"/>
      <c r="BE810" s="42"/>
      <c r="BF810" s="42"/>
      <c r="BG810" s="42"/>
      <c r="BH810" s="42"/>
      <c r="BI810" s="42"/>
      <c r="BJ810" s="42"/>
      <c r="BK810" s="42"/>
      <c r="BL810" s="42"/>
      <c r="BM810" s="42"/>
    </row>
    <row r="811">
      <c r="A811" s="125"/>
      <c r="B811" s="267"/>
      <c r="C811" s="361"/>
      <c r="D811" s="42"/>
      <c r="E811" s="42"/>
      <c r="F811" s="42"/>
      <c r="G811" s="42"/>
      <c r="H811" s="42"/>
      <c r="I811" s="42"/>
      <c r="J811" s="42"/>
      <c r="K811" s="304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  <c r="AL811" s="42"/>
      <c r="AM811" s="42"/>
      <c r="AN811" s="42"/>
      <c r="AO811" s="42"/>
      <c r="AP811" s="42"/>
      <c r="AQ811" s="42"/>
      <c r="AR811" s="42"/>
      <c r="AS811" s="42"/>
      <c r="AT811" s="42"/>
      <c r="AU811" s="42"/>
      <c r="AV811" s="42"/>
      <c r="AW811" s="42"/>
      <c r="AX811" s="42"/>
      <c r="AY811" s="42"/>
      <c r="AZ811" s="42"/>
      <c r="BA811" s="42"/>
      <c r="BB811" s="42"/>
      <c r="BC811" s="42"/>
      <c r="BD811" s="42"/>
      <c r="BE811" s="42"/>
      <c r="BF811" s="42"/>
      <c r="BG811" s="42"/>
      <c r="BH811" s="42"/>
      <c r="BI811" s="42"/>
      <c r="BJ811" s="42"/>
      <c r="BK811" s="42"/>
      <c r="BL811" s="42"/>
      <c r="BM811" s="42"/>
    </row>
    <row r="812">
      <c r="A812" s="125"/>
      <c r="B812" s="267"/>
      <c r="C812" s="361"/>
      <c r="D812" s="42"/>
      <c r="E812" s="42"/>
      <c r="F812" s="42"/>
      <c r="G812" s="42"/>
      <c r="H812" s="42"/>
      <c r="I812" s="42"/>
      <c r="J812" s="42"/>
      <c r="K812" s="304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  <c r="AM812" s="42"/>
      <c r="AN812" s="42"/>
      <c r="AO812" s="42"/>
      <c r="AP812" s="42"/>
      <c r="AQ812" s="42"/>
      <c r="AR812" s="42"/>
      <c r="AS812" s="42"/>
      <c r="AT812" s="42"/>
      <c r="AU812" s="42"/>
      <c r="AV812" s="42"/>
      <c r="AW812" s="42"/>
      <c r="AX812" s="42"/>
      <c r="AY812" s="42"/>
      <c r="AZ812" s="42"/>
      <c r="BA812" s="42"/>
      <c r="BB812" s="42"/>
      <c r="BC812" s="42"/>
      <c r="BD812" s="42"/>
      <c r="BE812" s="42"/>
      <c r="BF812" s="42"/>
      <c r="BG812" s="42"/>
      <c r="BH812" s="42"/>
      <c r="BI812" s="42"/>
      <c r="BJ812" s="42"/>
      <c r="BK812" s="42"/>
      <c r="BL812" s="42"/>
      <c r="BM812" s="42"/>
    </row>
    <row r="813">
      <c r="A813" s="125"/>
      <c r="B813" s="267"/>
      <c r="C813" s="361"/>
      <c r="D813" s="42"/>
      <c r="E813" s="42"/>
      <c r="F813" s="42"/>
      <c r="G813" s="42"/>
      <c r="H813" s="42"/>
      <c r="I813" s="42"/>
      <c r="J813" s="42"/>
      <c r="K813" s="304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  <c r="AM813" s="42"/>
      <c r="AN813" s="42"/>
      <c r="AO813" s="42"/>
      <c r="AP813" s="42"/>
      <c r="AQ813" s="42"/>
      <c r="AR813" s="42"/>
      <c r="AS813" s="42"/>
      <c r="AT813" s="42"/>
      <c r="AU813" s="42"/>
      <c r="AV813" s="42"/>
      <c r="AW813" s="42"/>
      <c r="AX813" s="42"/>
      <c r="AY813" s="42"/>
      <c r="AZ813" s="42"/>
      <c r="BA813" s="42"/>
      <c r="BB813" s="42"/>
      <c r="BC813" s="42"/>
      <c r="BD813" s="42"/>
      <c r="BE813" s="42"/>
      <c r="BF813" s="42"/>
      <c r="BG813" s="42"/>
      <c r="BH813" s="42"/>
      <c r="BI813" s="42"/>
      <c r="BJ813" s="42"/>
      <c r="BK813" s="42"/>
      <c r="BL813" s="42"/>
      <c r="BM813" s="42"/>
    </row>
    <row r="814">
      <c r="A814" s="125"/>
      <c r="B814" s="267"/>
      <c r="C814" s="361"/>
      <c r="D814" s="42"/>
      <c r="E814" s="42"/>
      <c r="F814" s="42"/>
      <c r="G814" s="42"/>
      <c r="H814" s="42"/>
      <c r="I814" s="42"/>
      <c r="J814" s="42"/>
      <c r="K814" s="304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  <c r="AL814" s="42"/>
      <c r="AM814" s="42"/>
      <c r="AN814" s="42"/>
      <c r="AO814" s="42"/>
      <c r="AP814" s="42"/>
      <c r="AQ814" s="42"/>
      <c r="AR814" s="42"/>
      <c r="AS814" s="42"/>
      <c r="AT814" s="42"/>
      <c r="AU814" s="42"/>
      <c r="AV814" s="42"/>
      <c r="AW814" s="42"/>
      <c r="AX814" s="42"/>
      <c r="AY814" s="42"/>
      <c r="AZ814" s="42"/>
      <c r="BA814" s="42"/>
      <c r="BB814" s="42"/>
      <c r="BC814" s="42"/>
      <c r="BD814" s="42"/>
      <c r="BE814" s="42"/>
      <c r="BF814" s="42"/>
      <c r="BG814" s="42"/>
      <c r="BH814" s="42"/>
      <c r="BI814" s="42"/>
      <c r="BJ814" s="42"/>
      <c r="BK814" s="42"/>
      <c r="BL814" s="42"/>
      <c r="BM814" s="42"/>
    </row>
    <row r="815">
      <c r="A815" s="125"/>
      <c r="B815" s="267"/>
      <c r="C815" s="361"/>
      <c r="D815" s="42"/>
      <c r="E815" s="42"/>
      <c r="F815" s="42"/>
      <c r="G815" s="42"/>
      <c r="H815" s="42"/>
      <c r="I815" s="42"/>
      <c r="J815" s="42"/>
      <c r="K815" s="304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  <c r="AM815" s="42"/>
      <c r="AN815" s="42"/>
      <c r="AO815" s="42"/>
      <c r="AP815" s="42"/>
      <c r="AQ815" s="42"/>
      <c r="AR815" s="42"/>
      <c r="AS815" s="42"/>
      <c r="AT815" s="42"/>
      <c r="AU815" s="42"/>
      <c r="AV815" s="42"/>
      <c r="AW815" s="42"/>
      <c r="AX815" s="42"/>
      <c r="AY815" s="42"/>
      <c r="AZ815" s="42"/>
      <c r="BA815" s="42"/>
      <c r="BB815" s="42"/>
      <c r="BC815" s="42"/>
      <c r="BD815" s="42"/>
      <c r="BE815" s="42"/>
      <c r="BF815" s="42"/>
      <c r="BG815" s="42"/>
      <c r="BH815" s="42"/>
      <c r="BI815" s="42"/>
      <c r="BJ815" s="42"/>
      <c r="BK815" s="42"/>
      <c r="BL815" s="42"/>
      <c r="BM815" s="42"/>
    </row>
    <row r="816">
      <c r="A816" s="125"/>
      <c r="B816" s="267"/>
      <c r="C816" s="361"/>
      <c r="D816" s="42"/>
      <c r="E816" s="42"/>
      <c r="F816" s="42"/>
      <c r="G816" s="42"/>
      <c r="H816" s="42"/>
      <c r="I816" s="42"/>
      <c r="J816" s="42"/>
      <c r="K816" s="304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  <c r="AL816" s="42"/>
      <c r="AM816" s="42"/>
      <c r="AN816" s="42"/>
      <c r="AO816" s="42"/>
      <c r="AP816" s="42"/>
      <c r="AQ816" s="42"/>
      <c r="AR816" s="42"/>
      <c r="AS816" s="42"/>
      <c r="AT816" s="42"/>
      <c r="AU816" s="42"/>
      <c r="AV816" s="42"/>
      <c r="AW816" s="42"/>
      <c r="AX816" s="42"/>
      <c r="AY816" s="42"/>
      <c r="AZ816" s="42"/>
      <c r="BA816" s="42"/>
      <c r="BB816" s="42"/>
      <c r="BC816" s="42"/>
      <c r="BD816" s="42"/>
      <c r="BE816" s="42"/>
      <c r="BF816" s="42"/>
      <c r="BG816" s="42"/>
      <c r="BH816" s="42"/>
      <c r="BI816" s="42"/>
      <c r="BJ816" s="42"/>
      <c r="BK816" s="42"/>
      <c r="BL816" s="42"/>
      <c r="BM816" s="42"/>
    </row>
    <row r="817">
      <c r="A817" s="125"/>
      <c r="B817" s="267"/>
      <c r="C817" s="361"/>
      <c r="D817" s="42"/>
      <c r="E817" s="42"/>
      <c r="F817" s="42"/>
      <c r="G817" s="42"/>
      <c r="H817" s="42"/>
      <c r="I817" s="42"/>
      <c r="J817" s="42"/>
      <c r="K817" s="304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  <c r="AL817" s="42"/>
      <c r="AM817" s="42"/>
      <c r="AN817" s="42"/>
      <c r="AO817" s="42"/>
      <c r="AP817" s="42"/>
      <c r="AQ817" s="42"/>
      <c r="AR817" s="42"/>
      <c r="AS817" s="42"/>
      <c r="AT817" s="42"/>
      <c r="AU817" s="42"/>
      <c r="AV817" s="42"/>
      <c r="AW817" s="42"/>
      <c r="AX817" s="42"/>
      <c r="AY817" s="42"/>
      <c r="AZ817" s="42"/>
      <c r="BA817" s="42"/>
      <c r="BB817" s="42"/>
      <c r="BC817" s="42"/>
      <c r="BD817" s="42"/>
      <c r="BE817" s="42"/>
      <c r="BF817" s="42"/>
      <c r="BG817" s="42"/>
      <c r="BH817" s="42"/>
      <c r="BI817" s="42"/>
      <c r="BJ817" s="42"/>
      <c r="BK817" s="42"/>
      <c r="BL817" s="42"/>
      <c r="BM817" s="42"/>
    </row>
    <row r="818">
      <c r="A818" s="125"/>
      <c r="B818" s="267"/>
      <c r="C818" s="361"/>
      <c r="D818" s="42"/>
      <c r="E818" s="42"/>
      <c r="F818" s="42"/>
      <c r="G818" s="42"/>
      <c r="H818" s="42"/>
      <c r="I818" s="42"/>
      <c r="J818" s="42"/>
      <c r="K818" s="304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  <c r="AM818" s="42"/>
      <c r="AN818" s="42"/>
      <c r="AO818" s="42"/>
      <c r="AP818" s="42"/>
      <c r="AQ818" s="42"/>
      <c r="AR818" s="42"/>
      <c r="AS818" s="42"/>
      <c r="AT818" s="42"/>
      <c r="AU818" s="42"/>
      <c r="AV818" s="42"/>
      <c r="AW818" s="42"/>
      <c r="AX818" s="42"/>
      <c r="AY818" s="42"/>
      <c r="AZ818" s="42"/>
      <c r="BA818" s="42"/>
      <c r="BB818" s="42"/>
      <c r="BC818" s="42"/>
      <c r="BD818" s="42"/>
      <c r="BE818" s="42"/>
      <c r="BF818" s="42"/>
      <c r="BG818" s="42"/>
      <c r="BH818" s="42"/>
      <c r="BI818" s="42"/>
      <c r="BJ818" s="42"/>
      <c r="BK818" s="42"/>
      <c r="BL818" s="42"/>
      <c r="BM818" s="42"/>
    </row>
    <row r="819">
      <c r="A819" s="125"/>
      <c r="B819" s="267"/>
      <c r="C819" s="361"/>
      <c r="D819" s="42"/>
      <c r="E819" s="42"/>
      <c r="F819" s="42"/>
      <c r="G819" s="42"/>
      <c r="H819" s="42"/>
      <c r="I819" s="42"/>
      <c r="J819" s="42"/>
      <c r="K819" s="304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  <c r="AL819" s="42"/>
      <c r="AM819" s="42"/>
      <c r="AN819" s="42"/>
      <c r="AO819" s="42"/>
      <c r="AP819" s="42"/>
      <c r="AQ819" s="42"/>
      <c r="AR819" s="42"/>
      <c r="AS819" s="42"/>
      <c r="AT819" s="42"/>
      <c r="AU819" s="42"/>
      <c r="AV819" s="42"/>
      <c r="AW819" s="42"/>
      <c r="AX819" s="42"/>
      <c r="AY819" s="42"/>
      <c r="AZ819" s="42"/>
      <c r="BA819" s="42"/>
      <c r="BB819" s="42"/>
      <c r="BC819" s="42"/>
      <c r="BD819" s="42"/>
      <c r="BE819" s="42"/>
      <c r="BF819" s="42"/>
      <c r="BG819" s="42"/>
      <c r="BH819" s="42"/>
      <c r="BI819" s="42"/>
      <c r="BJ819" s="42"/>
      <c r="BK819" s="42"/>
      <c r="BL819" s="42"/>
      <c r="BM819" s="42"/>
    </row>
    <row r="820">
      <c r="A820" s="125"/>
      <c r="B820" s="267"/>
      <c r="C820" s="361"/>
      <c r="D820" s="42"/>
      <c r="E820" s="42"/>
      <c r="F820" s="42"/>
      <c r="G820" s="42"/>
      <c r="H820" s="42"/>
      <c r="I820" s="42"/>
      <c r="J820" s="42"/>
      <c r="K820" s="304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  <c r="AL820" s="42"/>
      <c r="AM820" s="42"/>
      <c r="AN820" s="42"/>
      <c r="AO820" s="42"/>
      <c r="AP820" s="42"/>
      <c r="AQ820" s="42"/>
      <c r="AR820" s="42"/>
      <c r="AS820" s="42"/>
      <c r="AT820" s="42"/>
      <c r="AU820" s="42"/>
      <c r="AV820" s="42"/>
      <c r="AW820" s="42"/>
      <c r="AX820" s="42"/>
      <c r="AY820" s="42"/>
      <c r="AZ820" s="42"/>
      <c r="BA820" s="42"/>
      <c r="BB820" s="42"/>
      <c r="BC820" s="42"/>
      <c r="BD820" s="42"/>
      <c r="BE820" s="42"/>
      <c r="BF820" s="42"/>
      <c r="BG820" s="42"/>
      <c r="BH820" s="42"/>
      <c r="BI820" s="42"/>
      <c r="BJ820" s="42"/>
      <c r="BK820" s="42"/>
      <c r="BL820" s="42"/>
      <c r="BM820" s="42"/>
    </row>
    <row r="821">
      <c r="A821" s="125"/>
      <c r="B821" s="267"/>
      <c r="C821" s="361"/>
      <c r="D821" s="42"/>
      <c r="E821" s="42"/>
      <c r="F821" s="42"/>
      <c r="G821" s="42"/>
      <c r="H821" s="42"/>
      <c r="I821" s="42"/>
      <c r="J821" s="42"/>
      <c r="K821" s="304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  <c r="AM821" s="42"/>
      <c r="AN821" s="42"/>
      <c r="AO821" s="42"/>
      <c r="AP821" s="42"/>
      <c r="AQ821" s="42"/>
      <c r="AR821" s="42"/>
      <c r="AS821" s="42"/>
      <c r="AT821" s="42"/>
      <c r="AU821" s="42"/>
      <c r="AV821" s="42"/>
      <c r="AW821" s="42"/>
      <c r="AX821" s="42"/>
      <c r="AY821" s="42"/>
      <c r="AZ821" s="42"/>
      <c r="BA821" s="42"/>
      <c r="BB821" s="42"/>
      <c r="BC821" s="42"/>
      <c r="BD821" s="42"/>
      <c r="BE821" s="42"/>
      <c r="BF821" s="42"/>
      <c r="BG821" s="42"/>
      <c r="BH821" s="42"/>
      <c r="BI821" s="42"/>
      <c r="BJ821" s="42"/>
      <c r="BK821" s="42"/>
      <c r="BL821" s="42"/>
      <c r="BM821" s="42"/>
    </row>
    <row r="822">
      <c r="A822" s="125"/>
      <c r="B822" s="267"/>
      <c r="C822" s="361"/>
      <c r="D822" s="42"/>
      <c r="E822" s="42"/>
      <c r="F822" s="42"/>
      <c r="G822" s="42"/>
      <c r="H822" s="42"/>
      <c r="I822" s="42"/>
      <c r="J822" s="42"/>
      <c r="K822" s="304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  <c r="AM822" s="42"/>
      <c r="AN822" s="42"/>
      <c r="AO822" s="42"/>
      <c r="AP822" s="42"/>
      <c r="AQ822" s="42"/>
      <c r="AR822" s="42"/>
      <c r="AS822" s="42"/>
      <c r="AT822" s="42"/>
      <c r="AU822" s="42"/>
      <c r="AV822" s="42"/>
      <c r="AW822" s="42"/>
      <c r="AX822" s="42"/>
      <c r="AY822" s="42"/>
      <c r="AZ822" s="42"/>
      <c r="BA822" s="42"/>
      <c r="BB822" s="42"/>
      <c r="BC822" s="42"/>
      <c r="BD822" s="42"/>
      <c r="BE822" s="42"/>
      <c r="BF822" s="42"/>
      <c r="BG822" s="42"/>
      <c r="BH822" s="42"/>
      <c r="BI822" s="42"/>
      <c r="BJ822" s="42"/>
      <c r="BK822" s="42"/>
      <c r="BL822" s="42"/>
      <c r="BM822" s="42"/>
    </row>
    <row r="823">
      <c r="A823" s="125"/>
      <c r="B823" s="267"/>
      <c r="C823" s="361"/>
      <c r="D823" s="42"/>
      <c r="E823" s="42"/>
      <c r="F823" s="42"/>
      <c r="G823" s="42"/>
      <c r="H823" s="42"/>
      <c r="I823" s="42"/>
      <c r="J823" s="42"/>
      <c r="K823" s="304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2"/>
      <c r="AM823" s="42"/>
      <c r="AN823" s="42"/>
      <c r="AO823" s="42"/>
      <c r="AP823" s="42"/>
      <c r="AQ823" s="42"/>
      <c r="AR823" s="42"/>
      <c r="AS823" s="42"/>
      <c r="AT823" s="42"/>
      <c r="AU823" s="42"/>
      <c r="AV823" s="42"/>
      <c r="AW823" s="42"/>
      <c r="AX823" s="42"/>
      <c r="AY823" s="42"/>
      <c r="AZ823" s="42"/>
      <c r="BA823" s="42"/>
      <c r="BB823" s="42"/>
      <c r="BC823" s="42"/>
      <c r="BD823" s="42"/>
      <c r="BE823" s="42"/>
      <c r="BF823" s="42"/>
      <c r="BG823" s="42"/>
      <c r="BH823" s="42"/>
      <c r="BI823" s="42"/>
      <c r="BJ823" s="42"/>
      <c r="BK823" s="42"/>
      <c r="BL823" s="42"/>
      <c r="BM823" s="42"/>
    </row>
    <row r="824">
      <c r="A824" s="125"/>
      <c r="B824" s="267"/>
      <c r="C824" s="361"/>
      <c r="D824" s="42"/>
      <c r="E824" s="42"/>
      <c r="F824" s="42"/>
      <c r="G824" s="42"/>
      <c r="H824" s="42"/>
      <c r="I824" s="42"/>
      <c r="J824" s="42"/>
      <c r="K824" s="304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  <c r="AL824" s="42"/>
      <c r="AM824" s="42"/>
      <c r="AN824" s="42"/>
      <c r="AO824" s="42"/>
      <c r="AP824" s="42"/>
      <c r="AQ824" s="42"/>
      <c r="AR824" s="42"/>
      <c r="AS824" s="42"/>
      <c r="AT824" s="42"/>
      <c r="AU824" s="42"/>
      <c r="AV824" s="42"/>
      <c r="AW824" s="42"/>
      <c r="AX824" s="42"/>
      <c r="AY824" s="42"/>
      <c r="AZ824" s="42"/>
      <c r="BA824" s="42"/>
      <c r="BB824" s="42"/>
      <c r="BC824" s="42"/>
      <c r="BD824" s="42"/>
      <c r="BE824" s="42"/>
      <c r="BF824" s="42"/>
      <c r="BG824" s="42"/>
      <c r="BH824" s="42"/>
      <c r="BI824" s="42"/>
      <c r="BJ824" s="42"/>
      <c r="BK824" s="42"/>
      <c r="BL824" s="42"/>
      <c r="BM824" s="42"/>
    </row>
    <row r="825">
      <c r="A825" s="125"/>
      <c r="B825" s="267"/>
      <c r="C825" s="361"/>
      <c r="D825" s="42"/>
      <c r="E825" s="42"/>
      <c r="F825" s="42"/>
      <c r="G825" s="42"/>
      <c r="H825" s="42"/>
      <c r="I825" s="42"/>
      <c r="J825" s="42"/>
      <c r="K825" s="304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  <c r="AL825" s="42"/>
      <c r="AM825" s="42"/>
      <c r="AN825" s="42"/>
      <c r="AO825" s="42"/>
      <c r="AP825" s="42"/>
      <c r="AQ825" s="42"/>
      <c r="AR825" s="42"/>
      <c r="AS825" s="42"/>
      <c r="AT825" s="42"/>
      <c r="AU825" s="42"/>
      <c r="AV825" s="42"/>
      <c r="AW825" s="42"/>
      <c r="AX825" s="42"/>
      <c r="AY825" s="42"/>
      <c r="AZ825" s="42"/>
      <c r="BA825" s="42"/>
      <c r="BB825" s="42"/>
      <c r="BC825" s="42"/>
      <c r="BD825" s="42"/>
      <c r="BE825" s="42"/>
      <c r="BF825" s="42"/>
      <c r="BG825" s="42"/>
      <c r="BH825" s="42"/>
      <c r="BI825" s="42"/>
      <c r="BJ825" s="42"/>
      <c r="BK825" s="42"/>
      <c r="BL825" s="42"/>
      <c r="BM825" s="42"/>
    </row>
    <row r="826">
      <c r="A826" s="125"/>
      <c r="B826" s="267"/>
      <c r="C826" s="361"/>
      <c r="D826" s="42"/>
      <c r="E826" s="42"/>
      <c r="F826" s="42"/>
      <c r="G826" s="42"/>
      <c r="H826" s="42"/>
      <c r="I826" s="42"/>
      <c r="J826" s="42"/>
      <c r="K826" s="304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/>
      <c r="AN826" s="42"/>
      <c r="AO826" s="42"/>
      <c r="AP826" s="42"/>
      <c r="AQ826" s="42"/>
      <c r="AR826" s="42"/>
      <c r="AS826" s="42"/>
      <c r="AT826" s="42"/>
      <c r="AU826" s="42"/>
      <c r="AV826" s="42"/>
      <c r="AW826" s="42"/>
      <c r="AX826" s="42"/>
      <c r="AY826" s="42"/>
      <c r="AZ826" s="42"/>
      <c r="BA826" s="42"/>
      <c r="BB826" s="42"/>
      <c r="BC826" s="42"/>
      <c r="BD826" s="42"/>
      <c r="BE826" s="42"/>
      <c r="BF826" s="42"/>
      <c r="BG826" s="42"/>
      <c r="BH826" s="42"/>
      <c r="BI826" s="42"/>
      <c r="BJ826" s="42"/>
      <c r="BK826" s="42"/>
      <c r="BL826" s="42"/>
      <c r="BM826" s="42"/>
    </row>
    <row r="827">
      <c r="A827" s="125"/>
      <c r="B827" s="267"/>
      <c r="C827" s="361"/>
      <c r="D827" s="42"/>
      <c r="E827" s="42"/>
      <c r="F827" s="42"/>
      <c r="G827" s="42"/>
      <c r="H827" s="42"/>
      <c r="I827" s="42"/>
      <c r="J827" s="42"/>
      <c r="K827" s="304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  <c r="AL827" s="42"/>
      <c r="AM827" s="42"/>
      <c r="AN827" s="42"/>
      <c r="AO827" s="42"/>
      <c r="AP827" s="42"/>
      <c r="AQ827" s="42"/>
      <c r="AR827" s="42"/>
      <c r="AS827" s="42"/>
      <c r="AT827" s="42"/>
      <c r="AU827" s="42"/>
      <c r="AV827" s="42"/>
      <c r="AW827" s="42"/>
      <c r="AX827" s="42"/>
      <c r="AY827" s="42"/>
      <c r="AZ827" s="42"/>
      <c r="BA827" s="42"/>
      <c r="BB827" s="42"/>
      <c r="BC827" s="42"/>
      <c r="BD827" s="42"/>
      <c r="BE827" s="42"/>
      <c r="BF827" s="42"/>
      <c r="BG827" s="42"/>
      <c r="BH827" s="42"/>
      <c r="BI827" s="42"/>
      <c r="BJ827" s="42"/>
      <c r="BK827" s="42"/>
      <c r="BL827" s="42"/>
      <c r="BM827" s="42"/>
    </row>
    <row r="828">
      <c r="A828" s="125"/>
      <c r="B828" s="267"/>
      <c r="C828" s="361"/>
      <c r="D828" s="42"/>
      <c r="E828" s="42"/>
      <c r="F828" s="42"/>
      <c r="G828" s="42"/>
      <c r="H828" s="42"/>
      <c r="I828" s="42"/>
      <c r="J828" s="42"/>
      <c r="K828" s="304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/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/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</row>
    <row r="829">
      <c r="A829" s="125"/>
      <c r="B829" s="267"/>
      <c r="C829" s="361"/>
      <c r="D829" s="42"/>
      <c r="E829" s="42"/>
      <c r="F829" s="42"/>
      <c r="G829" s="42"/>
      <c r="H829" s="42"/>
      <c r="I829" s="42"/>
      <c r="J829" s="42"/>
      <c r="K829" s="304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  <c r="AM829" s="42"/>
      <c r="AN829" s="42"/>
      <c r="AO829" s="42"/>
      <c r="AP829" s="42"/>
      <c r="AQ829" s="42"/>
      <c r="AR829" s="42"/>
      <c r="AS829" s="42"/>
      <c r="AT829" s="42"/>
      <c r="AU829" s="42"/>
      <c r="AV829" s="42"/>
      <c r="AW829" s="42"/>
      <c r="AX829" s="42"/>
      <c r="AY829" s="42"/>
      <c r="AZ829" s="42"/>
      <c r="BA829" s="42"/>
      <c r="BB829" s="42"/>
      <c r="BC829" s="42"/>
      <c r="BD829" s="42"/>
      <c r="BE829" s="42"/>
      <c r="BF829" s="42"/>
      <c r="BG829" s="42"/>
      <c r="BH829" s="42"/>
      <c r="BI829" s="42"/>
      <c r="BJ829" s="42"/>
      <c r="BK829" s="42"/>
      <c r="BL829" s="42"/>
      <c r="BM829" s="42"/>
    </row>
    <row r="830">
      <c r="A830" s="125"/>
      <c r="B830" s="267"/>
      <c r="C830" s="361"/>
      <c r="D830" s="42"/>
      <c r="E830" s="42"/>
      <c r="F830" s="42"/>
      <c r="G830" s="42"/>
      <c r="H830" s="42"/>
      <c r="I830" s="42"/>
      <c r="J830" s="42"/>
      <c r="K830" s="304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  <c r="AL830" s="42"/>
      <c r="AM830" s="42"/>
      <c r="AN830" s="42"/>
      <c r="AO830" s="42"/>
      <c r="AP830" s="42"/>
      <c r="AQ830" s="42"/>
      <c r="AR830" s="42"/>
      <c r="AS830" s="42"/>
      <c r="AT830" s="42"/>
      <c r="AU830" s="42"/>
      <c r="AV830" s="42"/>
      <c r="AW830" s="42"/>
      <c r="AX830" s="42"/>
      <c r="AY830" s="42"/>
      <c r="AZ830" s="42"/>
      <c r="BA830" s="42"/>
      <c r="BB830" s="42"/>
      <c r="BC830" s="42"/>
      <c r="BD830" s="42"/>
      <c r="BE830" s="42"/>
      <c r="BF830" s="42"/>
      <c r="BG830" s="42"/>
      <c r="BH830" s="42"/>
      <c r="BI830" s="42"/>
      <c r="BJ830" s="42"/>
      <c r="BK830" s="42"/>
      <c r="BL830" s="42"/>
      <c r="BM830" s="42"/>
    </row>
    <row r="831">
      <c r="A831" s="125"/>
      <c r="B831" s="267"/>
      <c r="C831" s="361"/>
      <c r="D831" s="42"/>
      <c r="E831" s="42"/>
      <c r="F831" s="42"/>
      <c r="G831" s="42"/>
      <c r="H831" s="42"/>
      <c r="I831" s="42"/>
      <c r="J831" s="42"/>
      <c r="K831" s="304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  <c r="AL831" s="42"/>
      <c r="AM831" s="42"/>
      <c r="AN831" s="42"/>
      <c r="AO831" s="42"/>
      <c r="AP831" s="42"/>
      <c r="AQ831" s="42"/>
      <c r="AR831" s="42"/>
      <c r="AS831" s="42"/>
      <c r="AT831" s="42"/>
      <c r="AU831" s="42"/>
      <c r="AV831" s="42"/>
      <c r="AW831" s="42"/>
      <c r="AX831" s="42"/>
      <c r="AY831" s="42"/>
      <c r="AZ831" s="42"/>
      <c r="BA831" s="42"/>
      <c r="BB831" s="42"/>
      <c r="BC831" s="42"/>
      <c r="BD831" s="42"/>
      <c r="BE831" s="42"/>
      <c r="BF831" s="42"/>
      <c r="BG831" s="42"/>
      <c r="BH831" s="42"/>
      <c r="BI831" s="42"/>
      <c r="BJ831" s="42"/>
      <c r="BK831" s="42"/>
      <c r="BL831" s="42"/>
      <c r="BM831" s="42"/>
    </row>
    <row r="832">
      <c r="A832" s="125"/>
      <c r="B832" s="267"/>
      <c r="C832" s="361"/>
      <c r="D832" s="42"/>
      <c r="E832" s="42"/>
      <c r="F832" s="42"/>
      <c r="G832" s="42"/>
      <c r="H832" s="42"/>
      <c r="I832" s="42"/>
      <c r="J832" s="42"/>
      <c r="K832" s="304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  <c r="AL832" s="42"/>
      <c r="AM832" s="42"/>
      <c r="AN832" s="42"/>
      <c r="AO832" s="42"/>
      <c r="AP832" s="42"/>
      <c r="AQ832" s="42"/>
      <c r="AR832" s="42"/>
      <c r="AS832" s="42"/>
      <c r="AT832" s="42"/>
      <c r="AU832" s="42"/>
      <c r="AV832" s="42"/>
      <c r="AW832" s="42"/>
      <c r="AX832" s="42"/>
      <c r="AY832" s="42"/>
      <c r="AZ832" s="42"/>
      <c r="BA832" s="42"/>
      <c r="BB832" s="42"/>
      <c r="BC832" s="42"/>
      <c r="BD832" s="42"/>
      <c r="BE832" s="42"/>
      <c r="BF832" s="42"/>
      <c r="BG832" s="42"/>
      <c r="BH832" s="42"/>
      <c r="BI832" s="42"/>
      <c r="BJ832" s="42"/>
      <c r="BK832" s="42"/>
      <c r="BL832" s="42"/>
      <c r="BM832" s="42"/>
    </row>
    <row r="833">
      <c r="A833" s="125"/>
      <c r="B833" s="267"/>
      <c r="C833" s="361"/>
      <c r="D833" s="42"/>
      <c r="E833" s="42"/>
      <c r="F833" s="42"/>
      <c r="G833" s="42"/>
      <c r="H833" s="42"/>
      <c r="I833" s="42"/>
      <c r="J833" s="42"/>
      <c r="K833" s="304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  <c r="AM833" s="42"/>
      <c r="AN833" s="42"/>
      <c r="AO833" s="42"/>
      <c r="AP833" s="42"/>
      <c r="AQ833" s="42"/>
      <c r="AR833" s="42"/>
      <c r="AS833" s="42"/>
      <c r="AT833" s="42"/>
      <c r="AU833" s="42"/>
      <c r="AV833" s="42"/>
      <c r="AW833" s="42"/>
      <c r="AX833" s="42"/>
      <c r="AY833" s="42"/>
      <c r="AZ833" s="42"/>
      <c r="BA833" s="42"/>
      <c r="BB833" s="42"/>
      <c r="BC833" s="42"/>
      <c r="BD833" s="42"/>
      <c r="BE833" s="42"/>
      <c r="BF833" s="42"/>
      <c r="BG833" s="42"/>
      <c r="BH833" s="42"/>
      <c r="BI833" s="42"/>
      <c r="BJ833" s="42"/>
      <c r="BK833" s="42"/>
      <c r="BL833" s="42"/>
      <c r="BM833" s="42"/>
    </row>
    <row r="834">
      <c r="A834" s="125"/>
      <c r="B834" s="267"/>
      <c r="C834" s="361"/>
      <c r="D834" s="42"/>
      <c r="E834" s="42"/>
      <c r="F834" s="42"/>
      <c r="G834" s="42"/>
      <c r="H834" s="42"/>
      <c r="I834" s="42"/>
      <c r="J834" s="42"/>
      <c r="K834" s="304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  <c r="AL834" s="42"/>
      <c r="AM834" s="42"/>
      <c r="AN834" s="42"/>
      <c r="AO834" s="42"/>
      <c r="AP834" s="42"/>
      <c r="AQ834" s="42"/>
      <c r="AR834" s="42"/>
      <c r="AS834" s="42"/>
      <c r="AT834" s="42"/>
      <c r="AU834" s="42"/>
      <c r="AV834" s="42"/>
      <c r="AW834" s="42"/>
      <c r="AX834" s="42"/>
      <c r="AY834" s="42"/>
      <c r="AZ834" s="42"/>
      <c r="BA834" s="42"/>
      <c r="BB834" s="42"/>
      <c r="BC834" s="42"/>
      <c r="BD834" s="42"/>
      <c r="BE834" s="42"/>
      <c r="BF834" s="42"/>
      <c r="BG834" s="42"/>
      <c r="BH834" s="42"/>
      <c r="BI834" s="42"/>
      <c r="BJ834" s="42"/>
      <c r="BK834" s="42"/>
      <c r="BL834" s="42"/>
      <c r="BM834" s="42"/>
    </row>
    <row r="835">
      <c r="A835" s="125"/>
      <c r="B835" s="267"/>
      <c r="C835" s="361"/>
      <c r="D835" s="42"/>
      <c r="E835" s="42"/>
      <c r="F835" s="42"/>
      <c r="G835" s="42"/>
      <c r="H835" s="42"/>
      <c r="I835" s="42"/>
      <c r="J835" s="42"/>
      <c r="K835" s="304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  <c r="AM835" s="42"/>
      <c r="AN835" s="42"/>
      <c r="AO835" s="42"/>
      <c r="AP835" s="42"/>
      <c r="AQ835" s="42"/>
      <c r="AR835" s="42"/>
      <c r="AS835" s="42"/>
      <c r="AT835" s="42"/>
      <c r="AU835" s="42"/>
      <c r="AV835" s="42"/>
      <c r="AW835" s="42"/>
      <c r="AX835" s="42"/>
      <c r="AY835" s="42"/>
      <c r="AZ835" s="42"/>
      <c r="BA835" s="42"/>
      <c r="BB835" s="42"/>
      <c r="BC835" s="42"/>
      <c r="BD835" s="42"/>
      <c r="BE835" s="42"/>
      <c r="BF835" s="42"/>
      <c r="BG835" s="42"/>
      <c r="BH835" s="42"/>
      <c r="BI835" s="42"/>
      <c r="BJ835" s="42"/>
      <c r="BK835" s="42"/>
      <c r="BL835" s="42"/>
      <c r="BM835" s="42"/>
    </row>
    <row r="836">
      <c r="A836" s="125"/>
      <c r="B836" s="267"/>
      <c r="C836" s="361"/>
      <c r="D836" s="42"/>
      <c r="E836" s="42"/>
      <c r="F836" s="42"/>
      <c r="G836" s="42"/>
      <c r="H836" s="42"/>
      <c r="I836" s="42"/>
      <c r="J836" s="42"/>
      <c r="K836" s="304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  <c r="AM836" s="42"/>
      <c r="AN836" s="42"/>
      <c r="AO836" s="42"/>
      <c r="AP836" s="42"/>
      <c r="AQ836" s="42"/>
      <c r="AR836" s="42"/>
      <c r="AS836" s="42"/>
      <c r="AT836" s="42"/>
      <c r="AU836" s="42"/>
      <c r="AV836" s="42"/>
      <c r="AW836" s="42"/>
      <c r="AX836" s="42"/>
      <c r="AY836" s="42"/>
      <c r="AZ836" s="42"/>
      <c r="BA836" s="42"/>
      <c r="BB836" s="42"/>
      <c r="BC836" s="42"/>
      <c r="BD836" s="42"/>
      <c r="BE836" s="42"/>
      <c r="BF836" s="42"/>
      <c r="BG836" s="42"/>
      <c r="BH836" s="42"/>
      <c r="BI836" s="42"/>
      <c r="BJ836" s="42"/>
      <c r="BK836" s="42"/>
      <c r="BL836" s="42"/>
      <c r="BM836" s="42"/>
    </row>
    <row r="837">
      <c r="A837" s="125"/>
      <c r="B837" s="267"/>
      <c r="C837" s="361"/>
      <c r="D837" s="42"/>
      <c r="E837" s="42"/>
      <c r="F837" s="42"/>
      <c r="G837" s="42"/>
      <c r="H837" s="42"/>
      <c r="I837" s="42"/>
      <c r="J837" s="42"/>
      <c r="K837" s="304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  <c r="AL837" s="42"/>
      <c r="AM837" s="42"/>
      <c r="AN837" s="42"/>
      <c r="AO837" s="42"/>
      <c r="AP837" s="42"/>
      <c r="AQ837" s="42"/>
      <c r="AR837" s="42"/>
      <c r="AS837" s="42"/>
      <c r="AT837" s="42"/>
      <c r="AU837" s="42"/>
      <c r="AV837" s="42"/>
      <c r="AW837" s="42"/>
      <c r="AX837" s="42"/>
      <c r="AY837" s="42"/>
      <c r="AZ837" s="42"/>
      <c r="BA837" s="42"/>
      <c r="BB837" s="42"/>
      <c r="BC837" s="42"/>
      <c r="BD837" s="42"/>
      <c r="BE837" s="42"/>
      <c r="BF837" s="42"/>
      <c r="BG837" s="42"/>
      <c r="BH837" s="42"/>
      <c r="BI837" s="42"/>
      <c r="BJ837" s="42"/>
      <c r="BK837" s="42"/>
      <c r="BL837" s="42"/>
      <c r="BM837" s="42"/>
    </row>
    <row r="838">
      <c r="A838" s="125"/>
      <c r="B838" s="267"/>
      <c r="C838" s="361"/>
      <c r="D838" s="42"/>
      <c r="E838" s="42"/>
      <c r="F838" s="42"/>
      <c r="G838" s="42"/>
      <c r="H838" s="42"/>
      <c r="I838" s="42"/>
      <c r="J838" s="42"/>
      <c r="K838" s="304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  <c r="AM838" s="42"/>
      <c r="AN838" s="42"/>
      <c r="AO838" s="42"/>
      <c r="AP838" s="42"/>
      <c r="AQ838" s="42"/>
      <c r="AR838" s="42"/>
      <c r="AS838" s="42"/>
      <c r="AT838" s="42"/>
      <c r="AU838" s="42"/>
      <c r="AV838" s="42"/>
      <c r="AW838" s="42"/>
      <c r="AX838" s="42"/>
      <c r="AY838" s="42"/>
      <c r="AZ838" s="42"/>
      <c r="BA838" s="42"/>
      <c r="BB838" s="42"/>
      <c r="BC838" s="42"/>
      <c r="BD838" s="42"/>
      <c r="BE838" s="42"/>
      <c r="BF838" s="42"/>
      <c r="BG838" s="42"/>
      <c r="BH838" s="42"/>
      <c r="BI838" s="42"/>
      <c r="BJ838" s="42"/>
      <c r="BK838" s="42"/>
      <c r="BL838" s="42"/>
      <c r="BM838" s="42"/>
    </row>
    <row r="839">
      <c r="A839" s="125"/>
      <c r="B839" s="267"/>
      <c r="C839" s="361"/>
      <c r="D839" s="42"/>
      <c r="E839" s="42"/>
      <c r="F839" s="42"/>
      <c r="G839" s="42"/>
      <c r="H839" s="42"/>
      <c r="I839" s="42"/>
      <c r="J839" s="42"/>
      <c r="K839" s="304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  <c r="AL839" s="42"/>
      <c r="AM839" s="42"/>
      <c r="AN839" s="42"/>
      <c r="AO839" s="42"/>
      <c r="AP839" s="42"/>
      <c r="AQ839" s="42"/>
      <c r="AR839" s="42"/>
      <c r="AS839" s="42"/>
      <c r="AT839" s="42"/>
      <c r="AU839" s="42"/>
      <c r="AV839" s="42"/>
      <c r="AW839" s="42"/>
      <c r="AX839" s="42"/>
      <c r="AY839" s="42"/>
      <c r="AZ839" s="42"/>
      <c r="BA839" s="42"/>
      <c r="BB839" s="42"/>
      <c r="BC839" s="42"/>
      <c r="BD839" s="42"/>
      <c r="BE839" s="42"/>
      <c r="BF839" s="42"/>
      <c r="BG839" s="42"/>
      <c r="BH839" s="42"/>
      <c r="BI839" s="42"/>
      <c r="BJ839" s="42"/>
      <c r="BK839" s="42"/>
      <c r="BL839" s="42"/>
      <c r="BM839" s="42"/>
    </row>
    <row r="840">
      <c r="A840" s="125"/>
      <c r="B840" s="267"/>
      <c r="C840" s="361"/>
      <c r="D840" s="42"/>
      <c r="E840" s="42"/>
      <c r="F840" s="42"/>
      <c r="G840" s="42"/>
      <c r="H840" s="42"/>
      <c r="I840" s="42"/>
      <c r="J840" s="42"/>
      <c r="K840" s="304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  <c r="AL840" s="42"/>
      <c r="AM840" s="42"/>
      <c r="AN840" s="42"/>
      <c r="AO840" s="42"/>
      <c r="AP840" s="42"/>
      <c r="AQ840" s="42"/>
      <c r="AR840" s="42"/>
      <c r="AS840" s="42"/>
      <c r="AT840" s="42"/>
      <c r="AU840" s="42"/>
      <c r="AV840" s="42"/>
      <c r="AW840" s="42"/>
      <c r="AX840" s="42"/>
      <c r="AY840" s="42"/>
      <c r="AZ840" s="42"/>
      <c r="BA840" s="42"/>
      <c r="BB840" s="42"/>
      <c r="BC840" s="42"/>
      <c r="BD840" s="42"/>
      <c r="BE840" s="42"/>
      <c r="BF840" s="42"/>
      <c r="BG840" s="42"/>
      <c r="BH840" s="42"/>
      <c r="BI840" s="42"/>
      <c r="BJ840" s="42"/>
      <c r="BK840" s="42"/>
      <c r="BL840" s="42"/>
      <c r="BM840" s="42"/>
    </row>
    <row r="841">
      <c r="A841" s="125"/>
      <c r="B841" s="267"/>
      <c r="C841" s="361"/>
      <c r="D841" s="42"/>
      <c r="E841" s="42"/>
      <c r="F841" s="42"/>
      <c r="G841" s="42"/>
      <c r="H841" s="42"/>
      <c r="I841" s="42"/>
      <c r="J841" s="42"/>
      <c r="K841" s="304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  <c r="AL841" s="42"/>
      <c r="AM841" s="42"/>
      <c r="AN841" s="42"/>
      <c r="AO841" s="42"/>
      <c r="AP841" s="42"/>
      <c r="AQ841" s="42"/>
      <c r="AR841" s="42"/>
      <c r="AS841" s="42"/>
      <c r="AT841" s="42"/>
      <c r="AU841" s="42"/>
      <c r="AV841" s="42"/>
      <c r="AW841" s="42"/>
      <c r="AX841" s="42"/>
      <c r="AY841" s="42"/>
      <c r="AZ841" s="42"/>
      <c r="BA841" s="42"/>
      <c r="BB841" s="42"/>
      <c r="BC841" s="42"/>
      <c r="BD841" s="42"/>
      <c r="BE841" s="42"/>
      <c r="BF841" s="42"/>
      <c r="BG841" s="42"/>
      <c r="BH841" s="42"/>
      <c r="BI841" s="42"/>
      <c r="BJ841" s="42"/>
      <c r="BK841" s="42"/>
      <c r="BL841" s="42"/>
      <c r="BM841" s="42"/>
    </row>
    <row r="842">
      <c r="A842" s="125"/>
      <c r="B842" s="267"/>
      <c r="C842" s="361"/>
      <c r="D842" s="42"/>
      <c r="E842" s="42"/>
      <c r="F842" s="42"/>
      <c r="G842" s="42"/>
      <c r="H842" s="42"/>
      <c r="I842" s="42"/>
      <c r="J842" s="42"/>
      <c r="K842" s="304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  <c r="AL842" s="42"/>
      <c r="AM842" s="42"/>
      <c r="AN842" s="42"/>
      <c r="AO842" s="42"/>
      <c r="AP842" s="42"/>
      <c r="AQ842" s="42"/>
      <c r="AR842" s="42"/>
      <c r="AS842" s="42"/>
      <c r="AT842" s="42"/>
      <c r="AU842" s="42"/>
      <c r="AV842" s="42"/>
      <c r="AW842" s="42"/>
      <c r="AX842" s="42"/>
      <c r="AY842" s="42"/>
      <c r="AZ842" s="42"/>
      <c r="BA842" s="42"/>
      <c r="BB842" s="42"/>
      <c r="BC842" s="42"/>
      <c r="BD842" s="42"/>
      <c r="BE842" s="42"/>
      <c r="BF842" s="42"/>
      <c r="BG842" s="42"/>
      <c r="BH842" s="42"/>
      <c r="BI842" s="42"/>
      <c r="BJ842" s="42"/>
      <c r="BK842" s="42"/>
      <c r="BL842" s="42"/>
      <c r="BM842" s="42"/>
    </row>
    <row r="843">
      <c r="A843" s="125"/>
      <c r="B843" s="267"/>
      <c r="C843" s="361"/>
      <c r="D843" s="42"/>
      <c r="E843" s="42"/>
      <c r="F843" s="42"/>
      <c r="G843" s="42"/>
      <c r="H843" s="42"/>
      <c r="I843" s="42"/>
      <c r="J843" s="42"/>
      <c r="K843" s="304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  <c r="AL843" s="42"/>
      <c r="AM843" s="42"/>
      <c r="AN843" s="42"/>
      <c r="AO843" s="42"/>
      <c r="AP843" s="42"/>
      <c r="AQ843" s="42"/>
      <c r="AR843" s="42"/>
      <c r="AS843" s="42"/>
      <c r="AT843" s="42"/>
      <c r="AU843" s="42"/>
      <c r="AV843" s="42"/>
      <c r="AW843" s="42"/>
      <c r="AX843" s="42"/>
      <c r="AY843" s="42"/>
      <c r="AZ843" s="42"/>
      <c r="BA843" s="42"/>
      <c r="BB843" s="42"/>
      <c r="BC843" s="42"/>
      <c r="BD843" s="42"/>
      <c r="BE843" s="42"/>
      <c r="BF843" s="42"/>
      <c r="BG843" s="42"/>
      <c r="BH843" s="42"/>
      <c r="BI843" s="42"/>
      <c r="BJ843" s="42"/>
      <c r="BK843" s="42"/>
      <c r="BL843" s="42"/>
      <c r="BM843" s="42"/>
    </row>
    <row r="844">
      <c r="A844" s="125"/>
      <c r="B844" s="267"/>
      <c r="C844" s="361"/>
      <c r="D844" s="42"/>
      <c r="E844" s="42"/>
      <c r="F844" s="42"/>
      <c r="G844" s="42"/>
      <c r="H844" s="42"/>
      <c r="I844" s="42"/>
      <c r="J844" s="42"/>
      <c r="K844" s="304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  <c r="AL844" s="42"/>
      <c r="AM844" s="42"/>
      <c r="AN844" s="42"/>
      <c r="AO844" s="42"/>
      <c r="AP844" s="42"/>
      <c r="AQ844" s="42"/>
      <c r="AR844" s="42"/>
      <c r="AS844" s="42"/>
      <c r="AT844" s="42"/>
      <c r="AU844" s="42"/>
      <c r="AV844" s="42"/>
      <c r="AW844" s="42"/>
      <c r="AX844" s="42"/>
      <c r="AY844" s="42"/>
      <c r="AZ844" s="42"/>
      <c r="BA844" s="42"/>
      <c r="BB844" s="42"/>
      <c r="BC844" s="42"/>
      <c r="BD844" s="42"/>
      <c r="BE844" s="42"/>
      <c r="BF844" s="42"/>
      <c r="BG844" s="42"/>
      <c r="BH844" s="42"/>
      <c r="BI844" s="42"/>
      <c r="BJ844" s="42"/>
      <c r="BK844" s="42"/>
      <c r="BL844" s="42"/>
      <c r="BM844" s="42"/>
    </row>
    <row r="845">
      <c r="A845" s="125"/>
      <c r="B845" s="267"/>
      <c r="C845" s="361"/>
      <c r="D845" s="42"/>
      <c r="E845" s="42"/>
      <c r="F845" s="42"/>
      <c r="G845" s="42"/>
      <c r="H845" s="42"/>
      <c r="I845" s="42"/>
      <c r="J845" s="42"/>
      <c r="K845" s="304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  <c r="AL845" s="42"/>
      <c r="AM845" s="42"/>
      <c r="AN845" s="42"/>
      <c r="AO845" s="42"/>
      <c r="AP845" s="42"/>
      <c r="AQ845" s="42"/>
      <c r="AR845" s="42"/>
      <c r="AS845" s="42"/>
      <c r="AT845" s="42"/>
      <c r="AU845" s="42"/>
      <c r="AV845" s="42"/>
      <c r="AW845" s="42"/>
      <c r="AX845" s="42"/>
      <c r="AY845" s="42"/>
      <c r="AZ845" s="42"/>
      <c r="BA845" s="42"/>
      <c r="BB845" s="42"/>
      <c r="BC845" s="42"/>
      <c r="BD845" s="42"/>
      <c r="BE845" s="42"/>
      <c r="BF845" s="42"/>
      <c r="BG845" s="42"/>
      <c r="BH845" s="42"/>
      <c r="BI845" s="42"/>
      <c r="BJ845" s="42"/>
      <c r="BK845" s="42"/>
      <c r="BL845" s="42"/>
      <c r="BM845" s="42"/>
    </row>
    <row r="846">
      <c r="A846" s="125"/>
      <c r="B846" s="267"/>
      <c r="C846" s="361"/>
      <c r="D846" s="42"/>
      <c r="E846" s="42"/>
      <c r="F846" s="42"/>
      <c r="G846" s="42"/>
      <c r="H846" s="42"/>
      <c r="I846" s="42"/>
      <c r="J846" s="42"/>
      <c r="K846" s="304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  <c r="AL846" s="42"/>
      <c r="AM846" s="42"/>
      <c r="AN846" s="42"/>
      <c r="AO846" s="42"/>
      <c r="AP846" s="42"/>
      <c r="AQ846" s="42"/>
      <c r="AR846" s="42"/>
      <c r="AS846" s="42"/>
      <c r="AT846" s="42"/>
      <c r="AU846" s="42"/>
      <c r="AV846" s="42"/>
      <c r="AW846" s="42"/>
      <c r="AX846" s="42"/>
      <c r="AY846" s="42"/>
      <c r="AZ846" s="42"/>
      <c r="BA846" s="42"/>
      <c r="BB846" s="42"/>
      <c r="BC846" s="42"/>
      <c r="BD846" s="42"/>
      <c r="BE846" s="42"/>
      <c r="BF846" s="42"/>
      <c r="BG846" s="42"/>
      <c r="BH846" s="42"/>
      <c r="BI846" s="42"/>
      <c r="BJ846" s="42"/>
      <c r="BK846" s="42"/>
      <c r="BL846" s="42"/>
      <c r="BM846" s="42"/>
    </row>
    <row r="847">
      <c r="A847" s="125"/>
      <c r="B847" s="267"/>
      <c r="C847" s="361"/>
      <c r="D847" s="42"/>
      <c r="E847" s="42"/>
      <c r="F847" s="42"/>
      <c r="G847" s="42"/>
      <c r="H847" s="42"/>
      <c r="I847" s="42"/>
      <c r="J847" s="42"/>
      <c r="K847" s="304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  <c r="AL847" s="42"/>
      <c r="AM847" s="42"/>
      <c r="AN847" s="42"/>
      <c r="AO847" s="42"/>
      <c r="AP847" s="42"/>
      <c r="AQ847" s="42"/>
      <c r="AR847" s="42"/>
      <c r="AS847" s="42"/>
      <c r="AT847" s="42"/>
      <c r="AU847" s="42"/>
      <c r="AV847" s="42"/>
      <c r="AW847" s="42"/>
      <c r="AX847" s="42"/>
      <c r="AY847" s="42"/>
      <c r="AZ847" s="42"/>
      <c r="BA847" s="42"/>
      <c r="BB847" s="42"/>
      <c r="BC847" s="42"/>
      <c r="BD847" s="42"/>
      <c r="BE847" s="42"/>
      <c r="BF847" s="42"/>
      <c r="BG847" s="42"/>
      <c r="BH847" s="42"/>
      <c r="BI847" s="42"/>
      <c r="BJ847" s="42"/>
      <c r="BK847" s="42"/>
      <c r="BL847" s="42"/>
      <c r="BM847" s="42"/>
    </row>
    <row r="848">
      <c r="A848" s="125"/>
      <c r="B848" s="267"/>
      <c r="C848" s="361"/>
      <c r="D848" s="42"/>
      <c r="E848" s="42"/>
      <c r="F848" s="42"/>
      <c r="G848" s="42"/>
      <c r="H848" s="42"/>
      <c r="I848" s="42"/>
      <c r="J848" s="42"/>
      <c r="K848" s="304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  <c r="AL848" s="42"/>
      <c r="AM848" s="42"/>
      <c r="AN848" s="42"/>
      <c r="AO848" s="42"/>
      <c r="AP848" s="42"/>
      <c r="AQ848" s="42"/>
      <c r="AR848" s="42"/>
      <c r="AS848" s="42"/>
      <c r="AT848" s="42"/>
      <c r="AU848" s="42"/>
      <c r="AV848" s="42"/>
      <c r="AW848" s="42"/>
      <c r="AX848" s="42"/>
      <c r="AY848" s="42"/>
      <c r="AZ848" s="42"/>
      <c r="BA848" s="42"/>
      <c r="BB848" s="42"/>
      <c r="BC848" s="42"/>
      <c r="BD848" s="42"/>
      <c r="BE848" s="42"/>
      <c r="BF848" s="42"/>
      <c r="BG848" s="42"/>
      <c r="BH848" s="42"/>
      <c r="BI848" s="42"/>
      <c r="BJ848" s="42"/>
      <c r="BK848" s="42"/>
      <c r="BL848" s="42"/>
      <c r="BM848" s="42"/>
    </row>
    <row r="849">
      <c r="A849" s="125"/>
      <c r="B849" s="267"/>
      <c r="C849" s="361"/>
      <c r="D849" s="42"/>
      <c r="E849" s="42"/>
      <c r="F849" s="42"/>
      <c r="G849" s="42"/>
      <c r="H849" s="42"/>
      <c r="I849" s="42"/>
      <c r="J849" s="42"/>
      <c r="K849" s="304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  <c r="AL849" s="42"/>
      <c r="AM849" s="42"/>
      <c r="AN849" s="42"/>
      <c r="AO849" s="42"/>
      <c r="AP849" s="42"/>
      <c r="AQ849" s="42"/>
      <c r="AR849" s="42"/>
      <c r="AS849" s="42"/>
      <c r="AT849" s="42"/>
      <c r="AU849" s="42"/>
      <c r="AV849" s="42"/>
      <c r="AW849" s="42"/>
      <c r="AX849" s="42"/>
      <c r="AY849" s="42"/>
      <c r="AZ849" s="42"/>
      <c r="BA849" s="42"/>
      <c r="BB849" s="42"/>
      <c r="BC849" s="42"/>
      <c r="BD849" s="42"/>
      <c r="BE849" s="42"/>
      <c r="BF849" s="42"/>
      <c r="BG849" s="42"/>
      <c r="BH849" s="42"/>
      <c r="BI849" s="42"/>
      <c r="BJ849" s="42"/>
      <c r="BK849" s="42"/>
      <c r="BL849" s="42"/>
      <c r="BM849" s="42"/>
    </row>
    <row r="850">
      <c r="A850" s="125"/>
      <c r="B850" s="267"/>
      <c r="C850" s="361"/>
      <c r="D850" s="42"/>
      <c r="E850" s="42"/>
      <c r="F850" s="42"/>
      <c r="G850" s="42"/>
      <c r="H850" s="42"/>
      <c r="I850" s="42"/>
      <c r="J850" s="42"/>
      <c r="K850" s="304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  <c r="AL850" s="42"/>
      <c r="AM850" s="42"/>
      <c r="AN850" s="42"/>
      <c r="AO850" s="42"/>
      <c r="AP850" s="42"/>
      <c r="AQ850" s="42"/>
      <c r="AR850" s="42"/>
      <c r="AS850" s="42"/>
      <c r="AT850" s="42"/>
      <c r="AU850" s="42"/>
      <c r="AV850" s="42"/>
      <c r="AW850" s="42"/>
      <c r="AX850" s="42"/>
      <c r="AY850" s="42"/>
      <c r="AZ850" s="42"/>
      <c r="BA850" s="42"/>
      <c r="BB850" s="42"/>
      <c r="BC850" s="42"/>
      <c r="BD850" s="42"/>
      <c r="BE850" s="42"/>
      <c r="BF850" s="42"/>
      <c r="BG850" s="42"/>
      <c r="BH850" s="42"/>
      <c r="BI850" s="42"/>
      <c r="BJ850" s="42"/>
      <c r="BK850" s="42"/>
      <c r="BL850" s="42"/>
      <c r="BM850" s="42"/>
    </row>
    <row r="851">
      <c r="A851" s="125"/>
      <c r="B851" s="267"/>
      <c r="C851" s="361"/>
      <c r="D851" s="42"/>
      <c r="E851" s="42"/>
      <c r="F851" s="42"/>
      <c r="G851" s="42"/>
      <c r="H851" s="42"/>
      <c r="I851" s="42"/>
      <c r="J851" s="42"/>
      <c r="K851" s="304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  <c r="AL851" s="42"/>
      <c r="AM851" s="42"/>
      <c r="AN851" s="42"/>
      <c r="AO851" s="42"/>
      <c r="AP851" s="42"/>
      <c r="AQ851" s="42"/>
      <c r="AR851" s="42"/>
      <c r="AS851" s="42"/>
      <c r="AT851" s="42"/>
      <c r="AU851" s="42"/>
      <c r="AV851" s="42"/>
      <c r="AW851" s="42"/>
      <c r="AX851" s="42"/>
      <c r="AY851" s="42"/>
      <c r="AZ851" s="42"/>
      <c r="BA851" s="42"/>
      <c r="BB851" s="42"/>
      <c r="BC851" s="42"/>
      <c r="BD851" s="42"/>
      <c r="BE851" s="42"/>
      <c r="BF851" s="42"/>
      <c r="BG851" s="42"/>
      <c r="BH851" s="42"/>
      <c r="BI851" s="42"/>
      <c r="BJ851" s="42"/>
      <c r="BK851" s="42"/>
      <c r="BL851" s="42"/>
      <c r="BM851" s="42"/>
    </row>
    <row r="852">
      <c r="A852" s="125"/>
      <c r="B852" s="267"/>
      <c r="C852" s="361"/>
      <c r="D852" s="42"/>
      <c r="E852" s="42"/>
      <c r="F852" s="42"/>
      <c r="G852" s="42"/>
      <c r="H852" s="42"/>
      <c r="I852" s="42"/>
      <c r="J852" s="42"/>
      <c r="K852" s="304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  <c r="AL852" s="42"/>
      <c r="AM852" s="42"/>
      <c r="AN852" s="42"/>
      <c r="AO852" s="42"/>
      <c r="AP852" s="42"/>
      <c r="AQ852" s="42"/>
      <c r="AR852" s="42"/>
      <c r="AS852" s="42"/>
      <c r="AT852" s="42"/>
      <c r="AU852" s="42"/>
      <c r="AV852" s="42"/>
      <c r="AW852" s="42"/>
      <c r="AX852" s="42"/>
      <c r="AY852" s="42"/>
      <c r="AZ852" s="42"/>
      <c r="BA852" s="42"/>
      <c r="BB852" s="42"/>
      <c r="BC852" s="42"/>
      <c r="BD852" s="42"/>
      <c r="BE852" s="42"/>
      <c r="BF852" s="42"/>
      <c r="BG852" s="42"/>
      <c r="BH852" s="42"/>
      <c r="BI852" s="42"/>
      <c r="BJ852" s="42"/>
      <c r="BK852" s="42"/>
      <c r="BL852" s="42"/>
      <c r="BM852" s="42"/>
    </row>
    <row r="853">
      <c r="A853" s="125"/>
      <c r="B853" s="267"/>
      <c r="C853" s="361"/>
      <c r="D853" s="42"/>
      <c r="E853" s="42"/>
      <c r="F853" s="42"/>
      <c r="G853" s="42"/>
      <c r="H853" s="42"/>
      <c r="I853" s="42"/>
      <c r="J853" s="42"/>
      <c r="K853" s="304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  <c r="AL853" s="42"/>
      <c r="AM853" s="42"/>
      <c r="AN853" s="42"/>
      <c r="AO853" s="42"/>
      <c r="AP853" s="42"/>
      <c r="AQ853" s="42"/>
      <c r="AR853" s="42"/>
      <c r="AS853" s="42"/>
      <c r="AT853" s="42"/>
      <c r="AU853" s="42"/>
      <c r="AV853" s="42"/>
      <c r="AW853" s="42"/>
      <c r="AX853" s="42"/>
      <c r="AY853" s="42"/>
      <c r="AZ853" s="42"/>
      <c r="BA853" s="42"/>
      <c r="BB853" s="42"/>
      <c r="BC853" s="42"/>
      <c r="BD853" s="42"/>
      <c r="BE853" s="42"/>
      <c r="BF853" s="42"/>
      <c r="BG853" s="42"/>
      <c r="BH853" s="42"/>
      <c r="BI853" s="42"/>
      <c r="BJ853" s="42"/>
      <c r="BK853" s="42"/>
      <c r="BL853" s="42"/>
      <c r="BM853" s="42"/>
    </row>
    <row r="854">
      <c r="A854" s="125"/>
      <c r="B854" s="267"/>
      <c r="C854" s="361"/>
      <c r="D854" s="42"/>
      <c r="E854" s="42"/>
      <c r="F854" s="42"/>
      <c r="G854" s="42"/>
      <c r="H854" s="42"/>
      <c r="I854" s="42"/>
      <c r="J854" s="42"/>
      <c r="K854" s="304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  <c r="AL854" s="42"/>
      <c r="AM854" s="42"/>
      <c r="AN854" s="42"/>
      <c r="AO854" s="42"/>
      <c r="AP854" s="42"/>
      <c r="AQ854" s="42"/>
      <c r="AR854" s="42"/>
      <c r="AS854" s="42"/>
      <c r="AT854" s="42"/>
      <c r="AU854" s="42"/>
      <c r="AV854" s="42"/>
      <c r="AW854" s="42"/>
      <c r="AX854" s="42"/>
      <c r="AY854" s="42"/>
      <c r="AZ854" s="42"/>
      <c r="BA854" s="42"/>
      <c r="BB854" s="42"/>
      <c r="BC854" s="42"/>
      <c r="BD854" s="42"/>
      <c r="BE854" s="42"/>
      <c r="BF854" s="42"/>
      <c r="BG854" s="42"/>
      <c r="BH854" s="42"/>
      <c r="BI854" s="42"/>
      <c r="BJ854" s="42"/>
      <c r="BK854" s="42"/>
      <c r="BL854" s="42"/>
      <c r="BM854" s="42"/>
    </row>
    <row r="855">
      <c r="A855" s="125"/>
      <c r="B855" s="267"/>
      <c r="C855" s="361"/>
      <c r="D855" s="42"/>
      <c r="E855" s="42"/>
      <c r="F855" s="42"/>
      <c r="G855" s="42"/>
      <c r="H855" s="42"/>
      <c r="I855" s="42"/>
      <c r="J855" s="42"/>
      <c r="K855" s="304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  <c r="AL855" s="42"/>
      <c r="AM855" s="42"/>
      <c r="AN855" s="42"/>
      <c r="AO855" s="42"/>
      <c r="AP855" s="42"/>
      <c r="AQ855" s="42"/>
      <c r="AR855" s="42"/>
      <c r="AS855" s="42"/>
      <c r="AT855" s="42"/>
      <c r="AU855" s="42"/>
      <c r="AV855" s="42"/>
      <c r="AW855" s="42"/>
      <c r="AX855" s="42"/>
      <c r="AY855" s="42"/>
      <c r="AZ855" s="42"/>
      <c r="BA855" s="42"/>
      <c r="BB855" s="42"/>
      <c r="BC855" s="42"/>
      <c r="BD855" s="42"/>
      <c r="BE855" s="42"/>
      <c r="BF855" s="42"/>
      <c r="BG855" s="42"/>
      <c r="BH855" s="42"/>
      <c r="BI855" s="42"/>
      <c r="BJ855" s="42"/>
      <c r="BK855" s="42"/>
      <c r="BL855" s="42"/>
      <c r="BM855" s="42"/>
    </row>
    <row r="856">
      <c r="A856" s="125"/>
      <c r="B856" s="267"/>
      <c r="C856" s="361"/>
      <c r="D856" s="42"/>
      <c r="E856" s="42"/>
      <c r="F856" s="42"/>
      <c r="G856" s="42"/>
      <c r="H856" s="42"/>
      <c r="I856" s="42"/>
      <c r="J856" s="42"/>
      <c r="K856" s="304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  <c r="AL856" s="42"/>
      <c r="AM856" s="42"/>
      <c r="AN856" s="42"/>
      <c r="AO856" s="42"/>
      <c r="AP856" s="42"/>
      <c r="AQ856" s="42"/>
      <c r="AR856" s="42"/>
      <c r="AS856" s="42"/>
      <c r="AT856" s="42"/>
      <c r="AU856" s="42"/>
      <c r="AV856" s="42"/>
      <c r="AW856" s="42"/>
      <c r="AX856" s="42"/>
      <c r="AY856" s="42"/>
      <c r="AZ856" s="42"/>
      <c r="BA856" s="42"/>
      <c r="BB856" s="42"/>
      <c r="BC856" s="42"/>
      <c r="BD856" s="42"/>
      <c r="BE856" s="42"/>
      <c r="BF856" s="42"/>
      <c r="BG856" s="42"/>
      <c r="BH856" s="42"/>
      <c r="BI856" s="42"/>
      <c r="BJ856" s="42"/>
      <c r="BK856" s="42"/>
      <c r="BL856" s="42"/>
      <c r="BM856" s="42"/>
    </row>
    <row r="857">
      <c r="A857" s="125"/>
      <c r="B857" s="267"/>
      <c r="C857" s="361"/>
      <c r="D857" s="42"/>
      <c r="E857" s="42"/>
      <c r="F857" s="42"/>
      <c r="G857" s="42"/>
      <c r="H857" s="42"/>
      <c r="I857" s="42"/>
      <c r="J857" s="42"/>
      <c r="K857" s="304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  <c r="AL857" s="42"/>
      <c r="AM857" s="42"/>
      <c r="AN857" s="42"/>
      <c r="AO857" s="42"/>
      <c r="AP857" s="42"/>
      <c r="AQ857" s="42"/>
      <c r="AR857" s="42"/>
      <c r="AS857" s="42"/>
      <c r="AT857" s="42"/>
      <c r="AU857" s="42"/>
      <c r="AV857" s="42"/>
      <c r="AW857" s="42"/>
      <c r="AX857" s="42"/>
      <c r="AY857" s="42"/>
      <c r="AZ857" s="42"/>
      <c r="BA857" s="42"/>
      <c r="BB857" s="42"/>
      <c r="BC857" s="42"/>
      <c r="BD857" s="42"/>
      <c r="BE857" s="42"/>
      <c r="BF857" s="42"/>
      <c r="BG857" s="42"/>
      <c r="BH857" s="42"/>
      <c r="BI857" s="42"/>
      <c r="BJ857" s="42"/>
      <c r="BK857" s="42"/>
      <c r="BL857" s="42"/>
      <c r="BM857" s="42"/>
    </row>
    <row r="858">
      <c r="A858" s="125"/>
      <c r="B858" s="267"/>
      <c r="C858" s="361"/>
      <c r="D858" s="42"/>
      <c r="E858" s="42"/>
      <c r="F858" s="42"/>
      <c r="G858" s="42"/>
      <c r="H858" s="42"/>
      <c r="I858" s="42"/>
      <c r="J858" s="42"/>
      <c r="K858" s="304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  <c r="AL858" s="42"/>
      <c r="AM858" s="42"/>
      <c r="AN858" s="42"/>
      <c r="AO858" s="42"/>
      <c r="AP858" s="42"/>
      <c r="AQ858" s="42"/>
      <c r="AR858" s="42"/>
      <c r="AS858" s="42"/>
      <c r="AT858" s="42"/>
      <c r="AU858" s="42"/>
      <c r="AV858" s="42"/>
      <c r="AW858" s="42"/>
      <c r="AX858" s="42"/>
      <c r="AY858" s="42"/>
      <c r="AZ858" s="42"/>
      <c r="BA858" s="42"/>
      <c r="BB858" s="42"/>
      <c r="BC858" s="42"/>
      <c r="BD858" s="42"/>
      <c r="BE858" s="42"/>
      <c r="BF858" s="42"/>
      <c r="BG858" s="42"/>
      <c r="BH858" s="42"/>
      <c r="BI858" s="42"/>
      <c r="BJ858" s="42"/>
      <c r="BK858" s="42"/>
      <c r="BL858" s="42"/>
      <c r="BM858" s="42"/>
    </row>
    <row r="859">
      <c r="A859" s="125"/>
      <c r="B859" s="267"/>
      <c r="C859" s="361"/>
      <c r="D859" s="42"/>
      <c r="E859" s="42"/>
      <c r="F859" s="42"/>
      <c r="G859" s="42"/>
      <c r="H859" s="42"/>
      <c r="I859" s="42"/>
      <c r="J859" s="42"/>
      <c r="K859" s="304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  <c r="AL859" s="42"/>
      <c r="AM859" s="42"/>
      <c r="AN859" s="42"/>
      <c r="AO859" s="42"/>
      <c r="AP859" s="42"/>
      <c r="AQ859" s="42"/>
      <c r="AR859" s="42"/>
      <c r="AS859" s="42"/>
      <c r="AT859" s="42"/>
      <c r="AU859" s="42"/>
      <c r="AV859" s="42"/>
      <c r="AW859" s="42"/>
      <c r="AX859" s="42"/>
      <c r="AY859" s="42"/>
      <c r="AZ859" s="42"/>
      <c r="BA859" s="42"/>
      <c r="BB859" s="42"/>
      <c r="BC859" s="42"/>
      <c r="BD859" s="42"/>
      <c r="BE859" s="42"/>
      <c r="BF859" s="42"/>
      <c r="BG859" s="42"/>
      <c r="BH859" s="42"/>
      <c r="BI859" s="42"/>
      <c r="BJ859" s="42"/>
      <c r="BK859" s="42"/>
      <c r="BL859" s="42"/>
      <c r="BM859" s="42"/>
    </row>
    <row r="860">
      <c r="A860" s="125"/>
      <c r="B860" s="267"/>
      <c r="C860" s="361"/>
      <c r="D860" s="42"/>
      <c r="E860" s="42"/>
      <c r="F860" s="42"/>
      <c r="G860" s="42"/>
      <c r="H860" s="42"/>
      <c r="I860" s="42"/>
      <c r="J860" s="42"/>
      <c r="K860" s="304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  <c r="AL860" s="42"/>
      <c r="AM860" s="42"/>
      <c r="AN860" s="42"/>
      <c r="AO860" s="42"/>
      <c r="AP860" s="42"/>
      <c r="AQ860" s="42"/>
      <c r="AR860" s="42"/>
      <c r="AS860" s="42"/>
      <c r="AT860" s="42"/>
      <c r="AU860" s="42"/>
      <c r="AV860" s="42"/>
      <c r="AW860" s="42"/>
      <c r="AX860" s="42"/>
      <c r="AY860" s="42"/>
      <c r="AZ860" s="42"/>
      <c r="BA860" s="42"/>
      <c r="BB860" s="42"/>
      <c r="BC860" s="42"/>
      <c r="BD860" s="42"/>
      <c r="BE860" s="42"/>
      <c r="BF860" s="42"/>
      <c r="BG860" s="42"/>
      <c r="BH860" s="42"/>
      <c r="BI860" s="42"/>
      <c r="BJ860" s="42"/>
      <c r="BK860" s="42"/>
      <c r="BL860" s="42"/>
      <c r="BM860" s="42"/>
    </row>
    <row r="861">
      <c r="A861" s="125"/>
      <c r="B861" s="267"/>
      <c r="C861" s="361"/>
      <c r="D861" s="42"/>
      <c r="E861" s="42"/>
      <c r="F861" s="42"/>
      <c r="G861" s="42"/>
      <c r="H861" s="42"/>
      <c r="I861" s="42"/>
      <c r="J861" s="42"/>
      <c r="K861" s="304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2"/>
      <c r="AM861" s="42"/>
      <c r="AN861" s="42"/>
      <c r="AO861" s="42"/>
      <c r="AP861" s="42"/>
      <c r="AQ861" s="42"/>
      <c r="AR861" s="42"/>
      <c r="AS861" s="42"/>
      <c r="AT861" s="42"/>
      <c r="AU861" s="42"/>
      <c r="AV861" s="42"/>
      <c r="AW861" s="42"/>
      <c r="AX861" s="42"/>
      <c r="AY861" s="42"/>
      <c r="AZ861" s="42"/>
      <c r="BA861" s="42"/>
      <c r="BB861" s="42"/>
      <c r="BC861" s="42"/>
      <c r="BD861" s="42"/>
      <c r="BE861" s="42"/>
      <c r="BF861" s="42"/>
      <c r="BG861" s="42"/>
      <c r="BH861" s="42"/>
      <c r="BI861" s="42"/>
      <c r="BJ861" s="42"/>
      <c r="BK861" s="42"/>
      <c r="BL861" s="42"/>
      <c r="BM861" s="42"/>
    </row>
  </sheetData>
  <mergeCells count="8">
    <mergeCell ref="C1:M1"/>
    <mergeCell ref="C2:C3"/>
    <mergeCell ref="D2:D3"/>
    <mergeCell ref="E2:E3"/>
    <mergeCell ref="F2:F3"/>
    <mergeCell ref="G2:G3"/>
    <mergeCell ref="I2:I3"/>
    <mergeCell ref="J2:M2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8.13"/>
    <col customWidth="1" min="4" max="4" width="17.63"/>
    <col customWidth="1" min="5" max="5" width="28.63"/>
    <col customWidth="1" min="6" max="6" width="18.13"/>
    <col customWidth="1" min="7" max="7" width="23.63"/>
    <col customWidth="1" min="8" max="8" width="17.88"/>
    <col customWidth="1" min="9" max="9" width="20.38"/>
    <col customWidth="1" min="10" max="10" width="22.13"/>
    <col customWidth="1" min="11" max="11" width="18.88"/>
    <col customWidth="1" min="12" max="12" width="17.88"/>
    <col customWidth="1" min="13" max="13" width="26.13"/>
    <col customWidth="1" min="16" max="16" width="23.63"/>
    <col customWidth="1" min="17" max="17" width="22.13"/>
    <col customWidth="1" min="18" max="18" width="17.13"/>
    <col customWidth="1" min="19" max="19" width="15.63"/>
    <col customWidth="1" min="20" max="20" width="19.38"/>
  </cols>
  <sheetData>
    <row r="1">
      <c r="A1" s="125"/>
      <c r="B1" s="42"/>
      <c r="C1" s="42"/>
      <c r="D1" s="42"/>
      <c r="E1" s="42"/>
      <c r="F1" s="42"/>
      <c r="G1" s="42"/>
      <c r="H1" s="42"/>
      <c r="I1" s="42"/>
      <c r="J1" s="42"/>
      <c r="K1" s="304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>
      <c r="A2" s="125"/>
      <c r="B2" s="42"/>
      <c r="C2" s="42"/>
      <c r="D2" s="42"/>
      <c r="E2" s="42"/>
      <c r="F2" s="42"/>
      <c r="G2" s="42"/>
      <c r="H2" s="42"/>
      <c r="I2" s="42"/>
      <c r="J2" s="42"/>
      <c r="K2" s="304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>
      <c r="A3" s="125"/>
      <c r="B3" s="42"/>
      <c r="C3" s="42"/>
      <c r="D3" s="42"/>
      <c r="E3" s="42"/>
      <c r="F3" s="42"/>
      <c r="G3" s="42"/>
      <c r="H3" s="42"/>
      <c r="I3" s="42"/>
      <c r="J3" s="42"/>
      <c r="K3" s="304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>
      <c r="A4" s="125"/>
      <c r="B4" s="42"/>
      <c r="C4" s="42"/>
      <c r="D4" s="42"/>
      <c r="E4" s="42"/>
      <c r="F4" s="42"/>
      <c r="G4" s="42"/>
      <c r="H4" s="42"/>
      <c r="I4" s="42"/>
      <c r="J4" s="42"/>
      <c r="K4" s="304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>
      <c r="A5" s="125"/>
      <c r="B5" s="258"/>
      <c r="C5" s="4" t="s">
        <v>6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</row>
    <row r="6">
      <c r="A6" s="125"/>
      <c r="B6" s="267"/>
      <c r="C6" s="268" t="s">
        <v>7</v>
      </c>
      <c r="D6" s="270" t="s">
        <v>31</v>
      </c>
      <c r="E6" s="270" t="s">
        <v>10</v>
      </c>
      <c r="F6" s="270" t="s">
        <v>35</v>
      </c>
      <c r="G6" s="270" t="s">
        <v>13</v>
      </c>
      <c r="H6" s="272" t="s">
        <v>36</v>
      </c>
      <c r="I6" s="274" t="s">
        <v>18</v>
      </c>
      <c r="J6" s="275" t="s">
        <v>104</v>
      </c>
      <c r="K6" s="10"/>
      <c r="L6" s="10"/>
      <c r="M6" s="276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>
      <c r="A7" s="277" t="s">
        <v>117</v>
      </c>
      <c r="B7" s="278" t="s">
        <v>119</v>
      </c>
      <c r="C7" s="276"/>
      <c r="D7" s="276"/>
      <c r="E7" s="276"/>
      <c r="F7" s="276"/>
      <c r="G7" s="276"/>
      <c r="H7" s="279">
        <v>7.0E-4</v>
      </c>
      <c r="I7" s="276"/>
      <c r="J7" s="280"/>
      <c r="K7" s="281" t="s">
        <v>7</v>
      </c>
      <c r="L7" s="272" t="s">
        <v>121</v>
      </c>
      <c r="M7" s="272" t="s">
        <v>17</v>
      </c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>
      <c r="A8" s="282">
        <v>1.0</v>
      </c>
      <c r="B8" s="283">
        <f t="shared" ref="B8:B21" si="1">C8</f>
        <v>56529.11</v>
      </c>
      <c r="C8" s="240">
        <v>56529.11</v>
      </c>
      <c r="D8" s="284">
        <v>17710.0</v>
      </c>
      <c r="E8" s="241">
        <f t="shared" ref="E8:E47" si="2">D8*C8</f>
        <v>1001130538</v>
      </c>
      <c r="F8" s="284">
        <v>17690.0</v>
      </c>
      <c r="G8" s="285">
        <f t="shared" ref="G8:G42" si="3">F8*C8</f>
        <v>999999955.9</v>
      </c>
      <c r="H8" s="284">
        <v>0.0</v>
      </c>
      <c r="I8" s="286">
        <f t="shared" ref="I8:I47" si="4">G8-E8</f>
        <v>-1130582.2</v>
      </c>
      <c r="J8" s="287" t="s">
        <v>122</v>
      </c>
      <c r="K8" s="288">
        <v>0.01</v>
      </c>
      <c r="L8" s="289">
        <v>17829.0</v>
      </c>
      <c r="M8" s="285">
        <f t="shared" ref="M8:M44" si="5">L8*K8</f>
        <v>178.29</v>
      </c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>
      <c r="A9" s="282">
        <v>2.0</v>
      </c>
      <c r="B9" s="283">
        <f t="shared" si="1"/>
        <v>56338.02</v>
      </c>
      <c r="C9" s="240">
        <v>56338.02</v>
      </c>
      <c r="D9" s="284">
        <v>17710.0</v>
      </c>
      <c r="E9" s="241">
        <f t="shared" si="2"/>
        <v>997746334.2</v>
      </c>
      <c r="F9" s="284">
        <v>17750.0</v>
      </c>
      <c r="G9" s="285">
        <f t="shared" si="3"/>
        <v>999999855</v>
      </c>
      <c r="H9" s="284">
        <v>0.0</v>
      </c>
      <c r="I9" s="286">
        <f t="shared" si="4"/>
        <v>2253520.8</v>
      </c>
      <c r="J9" s="290"/>
      <c r="K9" s="288">
        <v>2997.9</v>
      </c>
      <c r="L9" s="289">
        <v>17710.0</v>
      </c>
      <c r="M9" s="310">
        <f t="shared" si="5"/>
        <v>53092809</v>
      </c>
      <c r="N9" s="13">
        <v>1.0</v>
      </c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>
      <c r="A10" s="282">
        <v>3.0</v>
      </c>
      <c r="B10" s="294" t="str">
        <f t="shared" si="1"/>
        <v/>
      </c>
      <c r="C10" s="295"/>
      <c r="D10" s="284">
        <v>17710.0</v>
      </c>
      <c r="E10" s="241">
        <f t="shared" si="2"/>
        <v>0</v>
      </c>
      <c r="F10" s="284">
        <v>17690.0</v>
      </c>
      <c r="G10" s="285">
        <f t="shared" si="3"/>
        <v>0</v>
      </c>
      <c r="H10" s="284">
        <v>0.0</v>
      </c>
      <c r="I10" s="286">
        <f t="shared" si="4"/>
        <v>0</v>
      </c>
      <c r="J10" s="290"/>
      <c r="K10" s="288">
        <v>50794.64</v>
      </c>
      <c r="L10" s="289">
        <v>17706.0</v>
      </c>
      <c r="M10" s="310">
        <f t="shared" si="5"/>
        <v>899369895.8</v>
      </c>
      <c r="N10" s="13">
        <v>2.0</v>
      </c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>
      <c r="A11" s="282">
        <v>4.0</v>
      </c>
      <c r="B11" s="294" t="str">
        <f t="shared" si="1"/>
        <v/>
      </c>
      <c r="C11" s="295"/>
      <c r="D11" s="284">
        <v>17710.0</v>
      </c>
      <c r="E11" s="241">
        <f t="shared" si="2"/>
        <v>0</v>
      </c>
      <c r="F11" s="284">
        <v>17997.0</v>
      </c>
      <c r="G11" s="285">
        <f t="shared" si="3"/>
        <v>0</v>
      </c>
      <c r="H11" s="284">
        <v>0.0</v>
      </c>
      <c r="I11" s="286">
        <f t="shared" si="4"/>
        <v>0</v>
      </c>
      <c r="J11" s="290"/>
      <c r="K11" s="288">
        <v>4319.92</v>
      </c>
      <c r="L11" s="289">
        <v>17710.0</v>
      </c>
      <c r="M11" s="310">
        <f t="shared" si="5"/>
        <v>76505783.2</v>
      </c>
      <c r="N11" s="13">
        <v>3.0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>
      <c r="A12" s="282">
        <v>5.0</v>
      </c>
      <c r="B12" s="294" t="str">
        <f t="shared" si="1"/>
        <v/>
      </c>
      <c r="C12" s="296"/>
      <c r="D12" s="284">
        <v>17710.0</v>
      </c>
      <c r="E12" s="241">
        <f t="shared" si="2"/>
        <v>0</v>
      </c>
      <c r="F12" s="284">
        <v>17997.0</v>
      </c>
      <c r="G12" s="285">
        <f t="shared" si="3"/>
        <v>0</v>
      </c>
      <c r="H12" s="284">
        <v>0.0</v>
      </c>
      <c r="I12" s="286">
        <f t="shared" si="4"/>
        <v>0</v>
      </c>
      <c r="J12" s="290"/>
      <c r="K12" s="288">
        <v>16925.81</v>
      </c>
      <c r="L12" s="289">
        <v>17712.0</v>
      </c>
      <c r="M12" s="310">
        <f t="shared" si="5"/>
        <v>299789946.7</v>
      </c>
      <c r="N12" s="13">
        <v>4.0</v>
      </c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>
      <c r="A13" s="282">
        <v>6.0</v>
      </c>
      <c r="B13" s="294" t="str">
        <f t="shared" si="1"/>
        <v/>
      </c>
      <c r="C13" s="296"/>
      <c r="D13" s="284">
        <v>17710.0</v>
      </c>
      <c r="E13" s="241">
        <f t="shared" si="2"/>
        <v>0</v>
      </c>
      <c r="F13" s="284">
        <v>17956.0</v>
      </c>
      <c r="G13" s="285">
        <f t="shared" si="3"/>
        <v>0</v>
      </c>
      <c r="H13" s="284">
        <v>0.0</v>
      </c>
      <c r="I13" s="286">
        <f t="shared" si="4"/>
        <v>0</v>
      </c>
      <c r="J13" s="290"/>
      <c r="K13" s="288">
        <v>21312.26</v>
      </c>
      <c r="L13" s="289">
        <v>17715.0</v>
      </c>
      <c r="M13" s="310">
        <f t="shared" si="5"/>
        <v>377546685.9</v>
      </c>
      <c r="N13" s="13">
        <v>5.0</v>
      </c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>
      <c r="A14" s="282">
        <v>7.0</v>
      </c>
      <c r="B14" s="294" t="str">
        <f t="shared" si="1"/>
        <v/>
      </c>
      <c r="C14" s="296"/>
      <c r="D14" s="284">
        <v>17710.0</v>
      </c>
      <c r="E14" s="241">
        <f t="shared" si="2"/>
        <v>0</v>
      </c>
      <c r="F14" s="284">
        <v>17894.0</v>
      </c>
      <c r="G14" s="285">
        <f t="shared" si="3"/>
        <v>0</v>
      </c>
      <c r="H14" s="284">
        <v>0.0</v>
      </c>
      <c r="I14" s="286">
        <f t="shared" si="4"/>
        <v>0</v>
      </c>
      <c r="J14" s="290"/>
      <c r="K14" s="288">
        <v>998.46</v>
      </c>
      <c r="L14" s="289">
        <v>17715.0</v>
      </c>
      <c r="M14" s="310">
        <f t="shared" si="5"/>
        <v>17687718.9</v>
      </c>
      <c r="N14" s="13">
        <v>6.0</v>
      </c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>
      <c r="A15" s="282">
        <v>8.0</v>
      </c>
      <c r="B15" s="294" t="str">
        <f t="shared" si="1"/>
        <v/>
      </c>
      <c r="C15" s="296"/>
      <c r="D15" s="284">
        <v>17710.0</v>
      </c>
      <c r="E15" s="241">
        <f t="shared" si="2"/>
        <v>0</v>
      </c>
      <c r="F15" s="284">
        <v>17894.0</v>
      </c>
      <c r="G15" s="285">
        <f t="shared" si="3"/>
        <v>0</v>
      </c>
      <c r="H15" s="284">
        <v>0.0</v>
      </c>
      <c r="I15" s="286">
        <f t="shared" si="4"/>
        <v>0</v>
      </c>
      <c r="J15" s="290"/>
      <c r="K15" s="288">
        <v>899.37</v>
      </c>
      <c r="L15" s="289">
        <v>17713.0</v>
      </c>
      <c r="M15" s="310">
        <f t="shared" si="5"/>
        <v>15930540.81</v>
      </c>
      <c r="N15" s="13">
        <v>7.0</v>
      </c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>
      <c r="A16" s="282">
        <v>9.0</v>
      </c>
      <c r="B16" s="294" t="str">
        <f t="shared" si="1"/>
        <v/>
      </c>
      <c r="C16" s="296"/>
      <c r="D16" s="284">
        <v>17710.0</v>
      </c>
      <c r="E16" s="241">
        <f t="shared" si="2"/>
        <v>0</v>
      </c>
      <c r="F16" s="284">
        <v>17894.0</v>
      </c>
      <c r="G16" s="285">
        <f t="shared" si="3"/>
        <v>0</v>
      </c>
      <c r="H16" s="284">
        <v>0.0</v>
      </c>
      <c r="I16" s="286">
        <f t="shared" si="4"/>
        <v>0</v>
      </c>
      <c r="J16" s="290"/>
      <c r="K16" s="288">
        <v>899.37</v>
      </c>
      <c r="L16" s="289">
        <v>17713.0</v>
      </c>
      <c r="M16" s="310">
        <f t="shared" si="5"/>
        <v>15930540.81</v>
      </c>
      <c r="N16" s="13">
        <v>8.0</v>
      </c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>
      <c r="A17" s="282">
        <v>10.0</v>
      </c>
      <c r="B17" s="294" t="str">
        <f t="shared" si="1"/>
        <v/>
      </c>
      <c r="C17" s="296"/>
      <c r="D17" s="284">
        <v>17710.0</v>
      </c>
      <c r="E17" s="241">
        <f t="shared" si="2"/>
        <v>0</v>
      </c>
      <c r="F17" s="284">
        <v>17894.0</v>
      </c>
      <c r="G17" s="285">
        <f t="shared" si="3"/>
        <v>0</v>
      </c>
      <c r="H17" s="284">
        <v>0.0</v>
      </c>
      <c r="I17" s="286">
        <f t="shared" si="4"/>
        <v>0</v>
      </c>
      <c r="J17" s="290"/>
      <c r="K17" s="288">
        <v>4991.51</v>
      </c>
      <c r="L17" s="289">
        <v>17713.0</v>
      </c>
      <c r="M17" s="310">
        <f t="shared" si="5"/>
        <v>88414616.63</v>
      </c>
      <c r="N17" s="13">
        <v>9.0</v>
      </c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>
      <c r="A18" s="282">
        <v>11.0</v>
      </c>
      <c r="B18" s="294" t="str">
        <f t="shared" si="1"/>
        <v/>
      </c>
      <c r="C18" s="296"/>
      <c r="D18" s="284">
        <v>17710.0</v>
      </c>
      <c r="E18" s="241">
        <f t="shared" si="2"/>
        <v>0</v>
      </c>
      <c r="F18" s="284">
        <v>18002.0</v>
      </c>
      <c r="G18" s="285">
        <f t="shared" si="3"/>
        <v>0</v>
      </c>
      <c r="H18" s="284">
        <v>0.0</v>
      </c>
      <c r="I18" s="286">
        <f t="shared" si="4"/>
        <v>0</v>
      </c>
      <c r="J18" s="290"/>
      <c r="K18" s="288">
        <v>4596.78</v>
      </c>
      <c r="L18" s="289">
        <v>17717.0</v>
      </c>
      <c r="M18" s="310">
        <f t="shared" si="5"/>
        <v>81441151.26</v>
      </c>
      <c r="N18" s="13">
        <v>10.0</v>
      </c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>
      <c r="A19" s="282">
        <v>12.0</v>
      </c>
      <c r="B19" s="294" t="str">
        <f t="shared" si="1"/>
        <v/>
      </c>
      <c r="C19" s="296"/>
      <c r="D19" s="284">
        <v>17710.0</v>
      </c>
      <c r="E19" s="241">
        <f t="shared" si="2"/>
        <v>0</v>
      </c>
      <c r="F19" s="284">
        <v>17840.0</v>
      </c>
      <c r="G19" s="285">
        <f t="shared" si="3"/>
        <v>0</v>
      </c>
      <c r="H19" s="284">
        <v>0.0</v>
      </c>
      <c r="I19" s="286">
        <f t="shared" si="4"/>
        <v>0</v>
      </c>
      <c r="J19" s="290"/>
      <c r="K19" s="288">
        <v>899.37</v>
      </c>
      <c r="L19" s="289">
        <v>17717.0</v>
      </c>
      <c r="M19" s="310">
        <f t="shared" si="5"/>
        <v>15934138.29</v>
      </c>
      <c r="N19" s="13">
        <v>11.0</v>
      </c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>
      <c r="A20" s="282">
        <v>13.0</v>
      </c>
      <c r="B20" s="294" t="str">
        <f t="shared" si="1"/>
        <v/>
      </c>
      <c r="C20" s="296"/>
      <c r="D20" s="284">
        <v>17710.0</v>
      </c>
      <c r="E20" s="241">
        <f t="shared" si="2"/>
        <v>0</v>
      </c>
      <c r="F20" s="284">
        <v>17840.0</v>
      </c>
      <c r="G20" s="285">
        <f t="shared" si="3"/>
        <v>0</v>
      </c>
      <c r="H20" s="284">
        <v>0.0</v>
      </c>
      <c r="I20" s="286">
        <f t="shared" si="4"/>
        <v>0</v>
      </c>
      <c r="J20" s="290"/>
      <c r="K20" s="288">
        <v>899.37</v>
      </c>
      <c r="L20" s="289">
        <v>17717.0</v>
      </c>
      <c r="M20" s="310">
        <f t="shared" si="5"/>
        <v>15934138.29</v>
      </c>
      <c r="N20" s="13">
        <v>12.0</v>
      </c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>
      <c r="A21" s="282">
        <v>288.0</v>
      </c>
      <c r="B21" s="294" t="str">
        <f t="shared" si="1"/>
        <v/>
      </c>
      <c r="C21" s="309"/>
      <c r="D21" s="284">
        <v>16439.0</v>
      </c>
      <c r="E21" s="310">
        <f t="shared" si="2"/>
        <v>0</v>
      </c>
      <c r="F21" s="284">
        <v>16535.0</v>
      </c>
      <c r="G21" s="310">
        <f t="shared" si="3"/>
        <v>0</v>
      </c>
      <c r="H21" s="284">
        <v>0.0</v>
      </c>
      <c r="I21" s="311">
        <f t="shared" si="4"/>
        <v>0</v>
      </c>
      <c r="J21" s="290"/>
      <c r="K21" s="309"/>
      <c r="L21" s="312">
        <v>17900.0</v>
      </c>
      <c r="M21" s="310">
        <f t="shared" si="5"/>
        <v>0</v>
      </c>
      <c r="N21" s="13">
        <v>28.0</v>
      </c>
      <c r="O21" s="313"/>
      <c r="P21" s="314" t="s">
        <v>123</v>
      </c>
      <c r="Q21" s="326">
        <v>100.0</v>
      </c>
      <c r="R21" s="315">
        <f>Q21*L46</f>
        <v>1771006.665</v>
      </c>
      <c r="S21" s="42"/>
      <c r="T21" s="42"/>
      <c r="U21" s="42"/>
      <c r="V21" s="42"/>
      <c r="W21" s="42"/>
      <c r="X21" s="42"/>
      <c r="Y21" s="42"/>
      <c r="Z21" s="42"/>
      <c r="AA21" s="42"/>
    </row>
    <row r="22">
      <c r="A22" s="282">
        <v>289.0</v>
      </c>
      <c r="B22" s="294"/>
      <c r="C22" s="309"/>
      <c r="D22" s="284">
        <v>16439.0</v>
      </c>
      <c r="E22" s="310">
        <f t="shared" si="2"/>
        <v>0</v>
      </c>
      <c r="F22" s="284">
        <v>16535.0</v>
      </c>
      <c r="G22" s="310">
        <f t="shared" si="3"/>
        <v>0</v>
      </c>
      <c r="H22" s="284">
        <v>0.0</v>
      </c>
      <c r="I22" s="311">
        <f t="shared" si="4"/>
        <v>0</v>
      </c>
      <c r="J22" s="290"/>
      <c r="K22" s="309"/>
      <c r="L22" s="312">
        <v>17900.0</v>
      </c>
      <c r="M22" s="310">
        <f t="shared" si="5"/>
        <v>0</v>
      </c>
      <c r="N22" s="13">
        <v>29.0</v>
      </c>
      <c r="O22" s="42"/>
      <c r="P22" s="316"/>
      <c r="Q22" s="316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>
      <c r="A23" s="282">
        <v>290.0</v>
      </c>
      <c r="B23" s="294"/>
      <c r="C23" s="309"/>
      <c r="D23" s="284">
        <v>16439.0</v>
      </c>
      <c r="E23" s="310">
        <f t="shared" si="2"/>
        <v>0</v>
      </c>
      <c r="F23" s="284">
        <v>16535.0</v>
      </c>
      <c r="G23" s="310">
        <f t="shared" si="3"/>
        <v>0</v>
      </c>
      <c r="H23" s="284">
        <v>0.0</v>
      </c>
      <c r="I23" s="311">
        <f t="shared" si="4"/>
        <v>0</v>
      </c>
      <c r="J23" s="290"/>
      <c r="K23" s="309"/>
      <c r="L23" s="312">
        <v>17680.0</v>
      </c>
      <c r="M23" s="310">
        <f t="shared" si="5"/>
        <v>0</v>
      </c>
      <c r="N23" s="13">
        <v>30.0</v>
      </c>
      <c r="O23" s="313"/>
      <c r="P23" s="317" t="s">
        <v>5</v>
      </c>
      <c r="Q23" s="276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>
      <c r="A24" s="282">
        <v>291.0</v>
      </c>
      <c r="B24" s="294"/>
      <c r="C24" s="309"/>
      <c r="D24" s="284">
        <v>16343.0</v>
      </c>
      <c r="E24" s="310">
        <f t="shared" si="2"/>
        <v>0</v>
      </c>
      <c r="F24" s="284">
        <v>16535.0</v>
      </c>
      <c r="G24" s="310">
        <f t="shared" si="3"/>
        <v>0</v>
      </c>
      <c r="H24" s="284">
        <v>0.0</v>
      </c>
      <c r="I24" s="311">
        <f t="shared" si="4"/>
        <v>0</v>
      </c>
      <c r="J24" s="290"/>
      <c r="K24" s="309"/>
      <c r="L24" s="312">
        <v>17750.0</v>
      </c>
      <c r="M24" s="310">
        <f t="shared" si="5"/>
        <v>0</v>
      </c>
      <c r="N24" s="13">
        <v>31.0</v>
      </c>
      <c r="O24" s="313"/>
      <c r="P24" s="310" t="s">
        <v>8</v>
      </c>
      <c r="Q24" s="319">
        <v>1.3265E7</v>
      </c>
      <c r="R24" s="42"/>
      <c r="S24" s="316"/>
      <c r="T24" s="316"/>
      <c r="U24" s="42"/>
      <c r="V24" s="42"/>
      <c r="W24" s="42"/>
      <c r="X24" s="42"/>
      <c r="Y24" s="42"/>
      <c r="Z24" s="42"/>
      <c r="AA24" s="42"/>
    </row>
    <row r="25">
      <c r="A25" s="282">
        <v>292.0</v>
      </c>
      <c r="B25" s="294"/>
      <c r="C25" s="309"/>
      <c r="D25" s="284">
        <v>16343.0</v>
      </c>
      <c r="E25" s="310">
        <f t="shared" si="2"/>
        <v>0</v>
      </c>
      <c r="F25" s="284">
        <v>16535.0</v>
      </c>
      <c r="G25" s="310">
        <f t="shared" si="3"/>
        <v>0</v>
      </c>
      <c r="H25" s="284">
        <v>0.0</v>
      </c>
      <c r="I25" s="311">
        <f t="shared" si="4"/>
        <v>0</v>
      </c>
      <c r="J25" s="290"/>
      <c r="K25" s="309"/>
      <c r="L25" s="289">
        <v>17850.0</v>
      </c>
      <c r="M25" s="310">
        <f t="shared" si="5"/>
        <v>0</v>
      </c>
      <c r="N25" s="42"/>
      <c r="O25" s="313"/>
      <c r="P25" s="310" t="s">
        <v>32</v>
      </c>
      <c r="Q25" s="322">
        <v>0.0</v>
      </c>
      <c r="R25" s="313"/>
      <c r="S25" s="290"/>
      <c r="T25" s="333"/>
      <c r="U25" s="42"/>
      <c r="V25" s="42"/>
      <c r="W25" s="42"/>
      <c r="X25" s="42"/>
      <c r="Y25" s="42"/>
      <c r="Z25" s="42"/>
      <c r="AA25" s="42"/>
    </row>
    <row r="26">
      <c r="A26" s="282">
        <v>293.0</v>
      </c>
      <c r="B26" s="294"/>
      <c r="C26" s="309"/>
      <c r="D26" s="284">
        <v>16343.0</v>
      </c>
      <c r="E26" s="310">
        <f t="shared" si="2"/>
        <v>0</v>
      </c>
      <c r="F26" s="284">
        <v>15280.0</v>
      </c>
      <c r="G26" s="310">
        <f t="shared" si="3"/>
        <v>0</v>
      </c>
      <c r="H26" s="284">
        <v>0.0</v>
      </c>
      <c r="I26" s="311">
        <f t="shared" si="4"/>
        <v>0</v>
      </c>
      <c r="J26" s="290"/>
      <c r="K26" s="309"/>
      <c r="L26" s="289">
        <v>17850.0</v>
      </c>
      <c r="M26" s="310">
        <f t="shared" si="5"/>
        <v>0</v>
      </c>
      <c r="N26" s="42"/>
      <c r="O26" s="313"/>
      <c r="P26" s="310" t="s">
        <v>14</v>
      </c>
      <c r="Q26" s="324"/>
      <c r="R26" s="42"/>
      <c r="S26" s="316"/>
      <c r="T26" s="316"/>
      <c r="U26" s="42"/>
      <c r="V26" s="42"/>
      <c r="W26" s="42"/>
      <c r="X26" s="42"/>
      <c r="Y26" s="42"/>
      <c r="Z26" s="42"/>
      <c r="AA26" s="42"/>
    </row>
    <row r="27">
      <c r="A27" s="282">
        <v>294.0</v>
      </c>
      <c r="B27" s="294"/>
      <c r="C27" s="309"/>
      <c r="D27" s="284">
        <v>16343.0</v>
      </c>
      <c r="E27" s="310">
        <f t="shared" si="2"/>
        <v>0</v>
      </c>
      <c r="F27" s="284">
        <v>15280.0</v>
      </c>
      <c r="G27" s="310">
        <f t="shared" si="3"/>
        <v>0</v>
      </c>
      <c r="H27" s="284">
        <v>0.0</v>
      </c>
      <c r="I27" s="311">
        <f t="shared" si="4"/>
        <v>0</v>
      </c>
      <c r="J27" s="290"/>
      <c r="K27" s="309"/>
      <c r="L27" s="289">
        <v>17700.0</v>
      </c>
      <c r="M27" s="310">
        <f t="shared" si="5"/>
        <v>0</v>
      </c>
      <c r="N27" s="42"/>
      <c r="O27" s="313"/>
      <c r="P27" s="325" t="s">
        <v>17</v>
      </c>
      <c r="Q27" s="325">
        <f>SUM(Q24+Q25+Q26)</f>
        <v>13265000</v>
      </c>
      <c r="R27" s="313"/>
      <c r="S27" s="290"/>
      <c r="T27" s="335"/>
      <c r="U27" s="42"/>
      <c r="V27" s="42"/>
      <c r="W27" s="42"/>
      <c r="X27" s="42"/>
      <c r="Y27" s="42"/>
      <c r="Z27" s="42"/>
      <c r="AA27" s="42"/>
    </row>
    <row r="28">
      <c r="A28" s="282">
        <v>295.0</v>
      </c>
      <c r="B28" s="294" t="str">
        <f t="shared" ref="B28:B41" si="6">C28</f>
        <v/>
      </c>
      <c r="C28" s="309"/>
      <c r="D28" s="284">
        <v>16343.0</v>
      </c>
      <c r="E28" s="310">
        <f t="shared" si="2"/>
        <v>0</v>
      </c>
      <c r="F28" s="284">
        <v>15280.0</v>
      </c>
      <c r="G28" s="310">
        <f t="shared" si="3"/>
        <v>0</v>
      </c>
      <c r="H28" s="284">
        <v>0.0</v>
      </c>
      <c r="I28" s="311">
        <f t="shared" si="4"/>
        <v>0</v>
      </c>
      <c r="J28" s="290"/>
      <c r="K28" s="309"/>
      <c r="L28" s="289">
        <v>17700.0</v>
      </c>
      <c r="M28" s="310">
        <f t="shared" si="5"/>
        <v>0</v>
      </c>
      <c r="N28" s="42"/>
      <c r="O28" s="313"/>
      <c r="P28" s="327" t="s">
        <v>124</v>
      </c>
      <c r="Q28" s="276"/>
      <c r="R28" s="42"/>
      <c r="S28" s="316"/>
      <c r="T28" s="316"/>
      <c r="U28" s="42"/>
      <c r="V28" s="42"/>
      <c r="W28" s="42"/>
      <c r="X28" s="42"/>
      <c r="Y28" s="42"/>
      <c r="Z28" s="42"/>
      <c r="AA28" s="42"/>
    </row>
    <row r="29">
      <c r="A29" s="282">
        <v>296.0</v>
      </c>
      <c r="B29" s="294" t="str">
        <f t="shared" si="6"/>
        <v/>
      </c>
      <c r="C29" s="309"/>
      <c r="D29" s="284">
        <v>16343.0</v>
      </c>
      <c r="E29" s="310">
        <f t="shared" si="2"/>
        <v>0</v>
      </c>
      <c r="F29" s="284">
        <v>15280.0</v>
      </c>
      <c r="G29" s="310">
        <f t="shared" si="3"/>
        <v>0</v>
      </c>
      <c r="H29" s="284">
        <v>0.0</v>
      </c>
      <c r="I29" s="311">
        <f t="shared" si="4"/>
        <v>0</v>
      </c>
      <c r="J29" s="290"/>
      <c r="K29" s="309"/>
      <c r="L29" s="289">
        <v>17700.0</v>
      </c>
      <c r="M29" s="310">
        <f t="shared" si="5"/>
        <v>0</v>
      </c>
      <c r="N29" s="42"/>
      <c r="O29" s="313"/>
      <c r="P29" s="310" t="s">
        <v>8</v>
      </c>
      <c r="Q29" s="329">
        <v>2.0171E7</v>
      </c>
      <c r="R29" s="313"/>
      <c r="S29" s="330"/>
      <c r="T29" s="338"/>
      <c r="U29" s="42"/>
      <c r="V29" s="42"/>
      <c r="W29" s="42"/>
      <c r="X29" s="42"/>
      <c r="Y29" s="42"/>
      <c r="Z29" s="42"/>
      <c r="AA29" s="42"/>
    </row>
    <row r="30">
      <c r="A30" s="282">
        <v>297.0</v>
      </c>
      <c r="B30" s="294" t="str">
        <f t="shared" si="6"/>
        <v/>
      </c>
      <c r="C30" s="309"/>
      <c r="D30" s="284">
        <v>16343.0</v>
      </c>
      <c r="E30" s="310">
        <f t="shared" si="2"/>
        <v>0</v>
      </c>
      <c r="F30" s="284">
        <v>15280.0</v>
      </c>
      <c r="G30" s="310">
        <f t="shared" si="3"/>
        <v>0</v>
      </c>
      <c r="H30" s="284">
        <v>0.0</v>
      </c>
      <c r="I30" s="311">
        <f t="shared" si="4"/>
        <v>0</v>
      </c>
      <c r="J30" s="290"/>
      <c r="K30" s="309"/>
      <c r="L30" s="289">
        <v>17875.0</v>
      </c>
      <c r="M30" s="310">
        <f t="shared" si="5"/>
        <v>0</v>
      </c>
      <c r="N30" s="42"/>
      <c r="O30" s="313"/>
      <c r="P30" s="310" t="s">
        <v>32</v>
      </c>
      <c r="Q30" s="332"/>
      <c r="R30" s="42"/>
      <c r="S30" s="42"/>
      <c r="T30" s="308"/>
      <c r="U30" s="42"/>
      <c r="V30" s="42"/>
      <c r="W30" s="42"/>
      <c r="X30" s="42"/>
      <c r="Y30" s="42"/>
      <c r="Z30" s="42"/>
      <c r="AA30" s="42"/>
    </row>
    <row r="31">
      <c r="A31" s="282">
        <v>298.0</v>
      </c>
      <c r="B31" s="294" t="str">
        <f t="shared" si="6"/>
        <v/>
      </c>
      <c r="C31" s="309"/>
      <c r="D31" s="284">
        <v>16343.0</v>
      </c>
      <c r="E31" s="310">
        <f t="shared" si="2"/>
        <v>0</v>
      </c>
      <c r="F31" s="284">
        <v>15280.0</v>
      </c>
      <c r="G31" s="310">
        <f t="shared" si="3"/>
        <v>0</v>
      </c>
      <c r="H31" s="284">
        <v>0.0</v>
      </c>
      <c r="I31" s="311">
        <f t="shared" si="4"/>
        <v>0</v>
      </c>
      <c r="J31" s="290"/>
      <c r="K31" s="309"/>
      <c r="L31" s="289">
        <v>17900.0</v>
      </c>
      <c r="M31" s="310">
        <f t="shared" si="5"/>
        <v>0</v>
      </c>
      <c r="N31" s="42"/>
      <c r="O31" s="313"/>
      <c r="P31" s="310" t="s">
        <v>16</v>
      </c>
      <c r="Q31" s="334">
        <v>1600000.0</v>
      </c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>
      <c r="A32" s="282">
        <v>299.0</v>
      </c>
      <c r="B32" s="294" t="str">
        <f t="shared" si="6"/>
        <v/>
      </c>
      <c r="C32" s="309"/>
      <c r="D32" s="284">
        <v>16343.0</v>
      </c>
      <c r="E32" s="310">
        <f t="shared" si="2"/>
        <v>0</v>
      </c>
      <c r="F32" s="284">
        <v>15280.0</v>
      </c>
      <c r="G32" s="310">
        <f t="shared" si="3"/>
        <v>0</v>
      </c>
      <c r="H32" s="284">
        <v>0.0</v>
      </c>
      <c r="I32" s="311">
        <f t="shared" si="4"/>
        <v>0</v>
      </c>
      <c r="J32" s="290"/>
      <c r="K32" s="309"/>
      <c r="L32" s="289">
        <v>17880.0</v>
      </c>
      <c r="M32" s="310">
        <f t="shared" si="5"/>
        <v>0</v>
      </c>
      <c r="N32" s="42"/>
      <c r="O32" s="313"/>
      <c r="P32" s="310" t="s">
        <v>17</v>
      </c>
      <c r="Q32" s="310">
        <f>SUM(Q29:Q31)</f>
        <v>21771000</v>
      </c>
      <c r="R32" s="336" t="s">
        <v>41</v>
      </c>
      <c r="S32" s="42"/>
      <c r="T32" s="42"/>
      <c r="U32" s="42"/>
      <c r="V32" s="42"/>
      <c r="W32" s="42"/>
      <c r="X32" s="42"/>
      <c r="Y32" s="42"/>
      <c r="Z32" s="42"/>
      <c r="AA32" s="42"/>
    </row>
    <row r="33">
      <c r="A33" s="282">
        <v>300.0</v>
      </c>
      <c r="B33" s="294" t="str">
        <f t="shared" si="6"/>
        <v/>
      </c>
      <c r="C33" s="309"/>
      <c r="D33" s="284">
        <v>16343.0</v>
      </c>
      <c r="E33" s="310">
        <f t="shared" si="2"/>
        <v>0</v>
      </c>
      <c r="F33" s="284">
        <v>15280.0</v>
      </c>
      <c r="G33" s="310">
        <f t="shared" si="3"/>
        <v>0</v>
      </c>
      <c r="H33" s="284">
        <v>0.0</v>
      </c>
      <c r="I33" s="311">
        <f t="shared" si="4"/>
        <v>0</v>
      </c>
      <c r="J33" s="290"/>
      <c r="K33" s="309"/>
      <c r="L33" s="289">
        <v>15657.0</v>
      </c>
      <c r="M33" s="310">
        <f t="shared" si="5"/>
        <v>0</v>
      </c>
      <c r="N33" s="42"/>
      <c r="O33" s="313"/>
      <c r="P33" s="337" t="s">
        <v>18</v>
      </c>
      <c r="Q33" s="337">
        <f>Q32-Q27</f>
        <v>8506000</v>
      </c>
      <c r="R33" s="42"/>
      <c r="S33" s="339" t="s">
        <v>128</v>
      </c>
      <c r="T33" s="42"/>
      <c r="U33" s="42"/>
      <c r="V33" s="42"/>
      <c r="W33" s="42"/>
      <c r="X33" s="42"/>
      <c r="Y33" s="42"/>
      <c r="Z33" s="42"/>
      <c r="AA33" s="42"/>
    </row>
    <row r="34">
      <c r="A34" s="282">
        <v>301.0</v>
      </c>
      <c r="B34" s="294" t="str">
        <f t="shared" si="6"/>
        <v/>
      </c>
      <c r="C34" s="309"/>
      <c r="D34" s="284">
        <v>16343.0</v>
      </c>
      <c r="E34" s="310">
        <f t="shared" si="2"/>
        <v>0</v>
      </c>
      <c r="F34" s="284">
        <v>15280.0</v>
      </c>
      <c r="G34" s="310">
        <f t="shared" si="3"/>
        <v>0</v>
      </c>
      <c r="H34" s="284">
        <v>0.0</v>
      </c>
      <c r="I34" s="311">
        <f t="shared" si="4"/>
        <v>0</v>
      </c>
      <c r="J34" s="290"/>
      <c r="K34" s="309"/>
      <c r="L34" s="289">
        <v>15657.0</v>
      </c>
      <c r="M34" s="310">
        <f t="shared" si="5"/>
        <v>0</v>
      </c>
      <c r="N34" s="42"/>
      <c r="O34" s="42"/>
      <c r="P34" s="340"/>
      <c r="Q34" s="340"/>
      <c r="R34" s="42"/>
      <c r="S34" s="341">
        <v>0.01</v>
      </c>
      <c r="T34" s="42"/>
      <c r="U34" s="42"/>
      <c r="V34" s="42"/>
      <c r="W34" s="42"/>
      <c r="X34" s="42"/>
      <c r="Y34" s="42"/>
      <c r="Z34" s="42"/>
      <c r="AA34" s="42"/>
    </row>
    <row r="35">
      <c r="A35" s="282">
        <v>302.0</v>
      </c>
      <c r="B35" s="294" t="str">
        <f t="shared" si="6"/>
        <v/>
      </c>
      <c r="C35" s="309"/>
      <c r="D35" s="284">
        <v>16343.0</v>
      </c>
      <c r="E35" s="310">
        <f t="shared" si="2"/>
        <v>0</v>
      </c>
      <c r="F35" s="284">
        <v>15280.0</v>
      </c>
      <c r="G35" s="310">
        <f t="shared" si="3"/>
        <v>0</v>
      </c>
      <c r="H35" s="284">
        <v>0.0</v>
      </c>
      <c r="I35" s="311">
        <f t="shared" si="4"/>
        <v>0</v>
      </c>
      <c r="J35" s="290"/>
      <c r="K35" s="309"/>
      <c r="L35" s="289">
        <v>15657.0</v>
      </c>
      <c r="M35" s="310">
        <f t="shared" si="5"/>
        <v>0</v>
      </c>
      <c r="N35" s="42"/>
      <c r="O35" s="313"/>
      <c r="P35" s="342" t="s">
        <v>125</v>
      </c>
      <c r="Q35" s="276"/>
      <c r="R35" s="42"/>
      <c r="S35" s="344"/>
      <c r="T35" s="42"/>
      <c r="U35" s="42"/>
      <c r="V35" s="42"/>
      <c r="W35" s="42"/>
      <c r="X35" s="42"/>
      <c r="Y35" s="42"/>
      <c r="Z35" s="42"/>
      <c r="AA35" s="42"/>
    </row>
    <row r="36">
      <c r="A36" s="282">
        <v>303.0</v>
      </c>
      <c r="B36" s="294" t="str">
        <f t="shared" si="6"/>
        <v/>
      </c>
      <c r="C36" s="309"/>
      <c r="D36" s="284">
        <v>16343.0</v>
      </c>
      <c r="E36" s="310">
        <f t="shared" si="2"/>
        <v>0</v>
      </c>
      <c r="F36" s="284">
        <v>15280.0</v>
      </c>
      <c r="G36" s="310">
        <f t="shared" si="3"/>
        <v>0</v>
      </c>
      <c r="H36" s="284">
        <v>0.0</v>
      </c>
      <c r="I36" s="311">
        <f t="shared" si="4"/>
        <v>0</v>
      </c>
      <c r="J36" s="290"/>
      <c r="K36" s="309"/>
      <c r="L36" s="289">
        <v>15647.0</v>
      </c>
      <c r="M36" s="310">
        <f t="shared" si="5"/>
        <v>0</v>
      </c>
      <c r="N36" s="42"/>
      <c r="O36" s="313"/>
      <c r="P36" s="310" t="s">
        <v>22</v>
      </c>
      <c r="Q36" s="334">
        <v>1.3144E7</v>
      </c>
      <c r="R36" s="42"/>
      <c r="S36" s="345">
        <f>S34+S35</f>
        <v>0.01</v>
      </c>
      <c r="T36" s="42"/>
      <c r="U36" s="42"/>
      <c r="V36" s="42"/>
      <c r="W36" s="42"/>
      <c r="X36" s="42"/>
      <c r="Y36" s="42"/>
      <c r="Z36" s="42"/>
      <c r="AA36" s="42"/>
    </row>
    <row r="37">
      <c r="A37" s="282">
        <v>304.0</v>
      </c>
      <c r="B37" s="294" t="str">
        <f t="shared" si="6"/>
        <v/>
      </c>
      <c r="C37" s="309"/>
      <c r="D37" s="284">
        <v>16343.0</v>
      </c>
      <c r="E37" s="310">
        <f t="shared" si="2"/>
        <v>0</v>
      </c>
      <c r="F37" s="284">
        <v>15280.0</v>
      </c>
      <c r="G37" s="310">
        <f t="shared" si="3"/>
        <v>0</v>
      </c>
      <c r="H37" s="284">
        <v>0.0</v>
      </c>
      <c r="I37" s="311">
        <f t="shared" si="4"/>
        <v>0</v>
      </c>
      <c r="J37" s="290"/>
      <c r="K37" s="309"/>
      <c r="L37" s="289">
        <v>15380.0</v>
      </c>
      <c r="M37" s="310">
        <f t="shared" si="5"/>
        <v>0</v>
      </c>
      <c r="N37" s="42"/>
      <c r="O37" s="313"/>
      <c r="P37" s="310" t="s">
        <v>23</v>
      </c>
      <c r="Q37" s="334">
        <v>10000.0</v>
      </c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>
      <c r="A38" s="282">
        <v>305.0</v>
      </c>
      <c r="B38" s="294" t="str">
        <f t="shared" si="6"/>
        <v/>
      </c>
      <c r="C38" s="309"/>
      <c r="D38" s="284">
        <v>16343.0</v>
      </c>
      <c r="E38" s="310">
        <f t="shared" si="2"/>
        <v>0</v>
      </c>
      <c r="F38" s="284">
        <v>15280.0</v>
      </c>
      <c r="G38" s="310">
        <f t="shared" si="3"/>
        <v>0</v>
      </c>
      <c r="H38" s="284">
        <v>0.0</v>
      </c>
      <c r="I38" s="311">
        <f t="shared" si="4"/>
        <v>0</v>
      </c>
      <c r="J38" s="290"/>
      <c r="K38" s="309"/>
      <c r="L38" s="289">
        <v>14765.0</v>
      </c>
      <c r="M38" s="310">
        <f t="shared" si="5"/>
        <v>0</v>
      </c>
      <c r="N38" s="42"/>
      <c r="O38" s="313"/>
      <c r="P38" s="310" t="s">
        <v>24</v>
      </c>
      <c r="Q38" s="334">
        <v>10000.0</v>
      </c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>
      <c r="A39" s="282">
        <v>306.0</v>
      </c>
      <c r="B39" s="294" t="str">
        <f t="shared" si="6"/>
        <v/>
      </c>
      <c r="C39" s="309"/>
      <c r="D39" s="284">
        <v>15516.0</v>
      </c>
      <c r="E39" s="310">
        <f t="shared" si="2"/>
        <v>0</v>
      </c>
      <c r="F39" s="284">
        <v>15280.0</v>
      </c>
      <c r="G39" s="310">
        <f t="shared" si="3"/>
        <v>0</v>
      </c>
      <c r="H39" s="284">
        <v>0.0</v>
      </c>
      <c r="I39" s="311">
        <f t="shared" si="4"/>
        <v>0</v>
      </c>
      <c r="J39" s="290"/>
      <c r="K39" s="309"/>
      <c r="L39" s="289">
        <v>14765.0</v>
      </c>
      <c r="M39" s="310">
        <f t="shared" si="5"/>
        <v>0</v>
      </c>
      <c r="N39" s="42"/>
      <c r="O39" s="313"/>
      <c r="P39" s="310" t="s">
        <v>25</v>
      </c>
      <c r="Q39" s="334">
        <v>10000.0</v>
      </c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>
      <c r="A40" s="282">
        <v>307.0</v>
      </c>
      <c r="B40" s="294" t="str">
        <f t="shared" si="6"/>
        <v/>
      </c>
      <c r="C40" s="309"/>
      <c r="D40" s="284">
        <v>15090.0</v>
      </c>
      <c r="E40" s="310">
        <f t="shared" si="2"/>
        <v>0</v>
      </c>
      <c r="F40" s="284">
        <v>15280.0</v>
      </c>
      <c r="G40" s="310">
        <f t="shared" si="3"/>
        <v>0</v>
      </c>
      <c r="H40" s="284">
        <v>0.0</v>
      </c>
      <c r="I40" s="311">
        <f t="shared" si="4"/>
        <v>0</v>
      </c>
      <c r="J40" s="290"/>
      <c r="K40" s="309"/>
      <c r="L40" s="289">
        <v>14775.0</v>
      </c>
      <c r="M40" s="310">
        <f t="shared" si="5"/>
        <v>0</v>
      </c>
      <c r="N40" s="42"/>
      <c r="O40" s="313"/>
      <c r="P40" s="310" t="s">
        <v>26</v>
      </c>
      <c r="Q40" s="334">
        <v>81000.0</v>
      </c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>
      <c r="A41" s="282">
        <v>308.0</v>
      </c>
      <c r="B41" s="294" t="str">
        <f t="shared" si="6"/>
        <v/>
      </c>
      <c r="C41" s="309"/>
      <c r="D41" s="284">
        <v>15090.0</v>
      </c>
      <c r="E41" s="310">
        <f t="shared" si="2"/>
        <v>0</v>
      </c>
      <c r="F41" s="284">
        <v>15280.0</v>
      </c>
      <c r="G41" s="310">
        <f t="shared" si="3"/>
        <v>0</v>
      </c>
      <c r="H41" s="284">
        <v>0.0</v>
      </c>
      <c r="I41" s="311">
        <f t="shared" si="4"/>
        <v>0</v>
      </c>
      <c r="J41" s="290"/>
      <c r="K41" s="309"/>
      <c r="L41" s="289">
        <v>15380.0</v>
      </c>
      <c r="M41" s="310">
        <f t="shared" si="5"/>
        <v>0</v>
      </c>
      <c r="N41" s="42"/>
      <c r="O41" s="313"/>
      <c r="P41" s="284" t="s">
        <v>126</v>
      </c>
      <c r="Q41" s="334">
        <v>10000.0</v>
      </c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>
      <c r="A42" s="125"/>
      <c r="B42" s="313"/>
      <c r="C42" s="309"/>
      <c r="D42" s="284">
        <v>15090.0</v>
      </c>
      <c r="E42" s="310">
        <f t="shared" si="2"/>
        <v>0</v>
      </c>
      <c r="F42" s="284">
        <v>15280.0</v>
      </c>
      <c r="G42" s="310">
        <f t="shared" si="3"/>
        <v>0</v>
      </c>
      <c r="H42" s="284">
        <v>0.0</v>
      </c>
      <c r="I42" s="311">
        <f t="shared" si="4"/>
        <v>0</v>
      </c>
      <c r="J42" s="290"/>
      <c r="K42" s="309"/>
      <c r="L42" s="289">
        <v>15380.0</v>
      </c>
      <c r="M42" s="310">
        <f t="shared" si="5"/>
        <v>0</v>
      </c>
      <c r="N42" s="42"/>
      <c r="O42" s="313"/>
      <c r="P42" s="151" t="s">
        <v>29</v>
      </c>
      <c r="Q42" s="37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>
      <c r="A43" s="125"/>
      <c r="B43" s="313"/>
      <c r="C43" s="309"/>
      <c r="D43" s="284">
        <v>15090.0</v>
      </c>
      <c r="E43" s="310">
        <f t="shared" si="2"/>
        <v>0</v>
      </c>
      <c r="F43" s="284">
        <v>15280.0</v>
      </c>
      <c r="G43" s="310">
        <v>0.0</v>
      </c>
      <c r="H43" s="284">
        <v>0.0</v>
      </c>
      <c r="I43" s="311">
        <f t="shared" si="4"/>
        <v>0</v>
      </c>
      <c r="J43" s="290"/>
      <c r="K43" s="309"/>
      <c r="L43" s="289">
        <v>15380.0</v>
      </c>
      <c r="M43" s="310">
        <f t="shared" si="5"/>
        <v>0</v>
      </c>
      <c r="N43" s="42"/>
      <c r="O43" s="313"/>
      <c r="P43" s="151" t="s">
        <v>30</v>
      </c>
      <c r="Q43" s="346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>
      <c r="A44" s="125"/>
      <c r="B44" s="313"/>
      <c r="C44" s="309"/>
      <c r="D44" s="284">
        <v>15090.0</v>
      </c>
      <c r="E44" s="310">
        <f t="shared" si="2"/>
        <v>0</v>
      </c>
      <c r="F44" s="284">
        <v>15280.0</v>
      </c>
      <c r="G44" s="310">
        <f t="shared" ref="G44:G47" si="7">F44*C44</f>
        <v>0</v>
      </c>
      <c r="H44" s="284">
        <v>0.0</v>
      </c>
      <c r="I44" s="311">
        <f t="shared" si="4"/>
        <v>0</v>
      </c>
      <c r="J44" s="290"/>
      <c r="K44" s="309"/>
      <c r="L44" s="289">
        <v>15380.0</v>
      </c>
      <c r="M44" s="310">
        <f t="shared" si="5"/>
        <v>0</v>
      </c>
      <c r="N44" s="42"/>
      <c r="O44" s="313"/>
      <c r="P44" s="159"/>
      <c r="Q44" s="346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>
      <c r="A45" s="125"/>
      <c r="B45" s="313"/>
      <c r="C45" s="296"/>
      <c r="D45" s="284">
        <v>15090.0</v>
      </c>
      <c r="E45" s="310">
        <f t="shared" si="2"/>
        <v>0</v>
      </c>
      <c r="F45" s="284">
        <v>15280.0</v>
      </c>
      <c r="G45" s="310">
        <f t="shared" si="7"/>
        <v>0</v>
      </c>
      <c r="H45" s="284">
        <v>0.0</v>
      </c>
      <c r="I45" s="347">
        <f t="shared" si="4"/>
        <v>0</v>
      </c>
      <c r="J45" s="159"/>
      <c r="K45" s="295"/>
      <c r="L45" s="159"/>
      <c r="M45" s="159"/>
      <c r="N45" s="42"/>
      <c r="O45" s="313"/>
      <c r="P45" s="159"/>
      <c r="Q45" s="346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>
      <c r="A46" s="125"/>
      <c r="B46" s="313"/>
      <c r="C46" s="296"/>
      <c r="D46" s="284">
        <v>15090.0</v>
      </c>
      <c r="E46" s="310">
        <f t="shared" si="2"/>
        <v>0</v>
      </c>
      <c r="F46" s="284">
        <v>15280.0</v>
      </c>
      <c r="G46" s="310">
        <f t="shared" si="7"/>
        <v>0</v>
      </c>
      <c r="H46" s="284">
        <v>0.0</v>
      </c>
      <c r="I46" s="286">
        <f t="shared" si="4"/>
        <v>0</v>
      </c>
      <c r="J46" s="348" t="s">
        <v>45</v>
      </c>
      <c r="K46" s="349">
        <f>SUM(K8:K45)</f>
        <v>110534.77</v>
      </c>
      <c r="L46" s="350">
        <f>M46/K46</f>
        <v>17710.06665</v>
      </c>
      <c r="M46" s="351">
        <f>SUM(M8:M45)</f>
        <v>1957578144</v>
      </c>
      <c r="N46" s="42"/>
      <c r="O46" s="313"/>
      <c r="P46" s="163" t="s">
        <v>17</v>
      </c>
      <c r="Q46" s="352">
        <f>SUM(Q36:Q45)</f>
        <v>13265000</v>
      </c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>
      <c r="A47" s="125"/>
      <c r="B47" s="313"/>
      <c r="C47" s="296"/>
      <c r="D47" s="284">
        <v>15090.0</v>
      </c>
      <c r="E47" s="310">
        <f t="shared" si="2"/>
        <v>0</v>
      </c>
      <c r="F47" s="284">
        <v>15280.0</v>
      </c>
      <c r="G47" s="310">
        <f t="shared" si="7"/>
        <v>0</v>
      </c>
      <c r="H47" s="284">
        <v>0.0</v>
      </c>
      <c r="I47" s="286">
        <f t="shared" si="4"/>
        <v>0</v>
      </c>
      <c r="J47" s="348" t="s">
        <v>129</v>
      </c>
      <c r="K47" s="349">
        <f>K46*L47</f>
        <v>77.374339</v>
      </c>
      <c r="L47" s="353">
        <v>7.0E-4</v>
      </c>
      <c r="M47" s="354"/>
      <c r="N47" s="42"/>
      <c r="O47" s="313"/>
      <c r="P47" s="355" t="s">
        <v>127</v>
      </c>
      <c r="Q47" s="276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>
      <c r="A48" s="282">
        <f t="shared" ref="A48:C48" si="8">SUM(A8:A47)</f>
        <v>6349</v>
      </c>
      <c r="B48" s="323">
        <f t="shared" si="8"/>
        <v>112867.13</v>
      </c>
      <c r="C48" s="356">
        <f t="shared" si="8"/>
        <v>112867.13</v>
      </c>
      <c r="D48" s="290"/>
      <c r="E48" s="357">
        <f>SUM(E8:E47)</f>
        <v>1998876872</v>
      </c>
      <c r="F48" s="290"/>
      <c r="G48" s="357">
        <f>SUM(G8:G47)</f>
        <v>1999999811</v>
      </c>
      <c r="H48" s="357">
        <f>E48*H7</f>
        <v>1399213.811</v>
      </c>
      <c r="I48" s="359">
        <f>G48-E48-H48</f>
        <v>-276275.2106</v>
      </c>
      <c r="J48" s="348" t="s">
        <v>130</v>
      </c>
      <c r="K48" s="349">
        <f>K46-K47</f>
        <v>110457.3957</v>
      </c>
      <c r="L48" s="360"/>
      <c r="M48" s="354"/>
      <c r="N48" s="42"/>
      <c r="O48" s="313"/>
      <c r="P48" s="310" t="s">
        <v>22</v>
      </c>
      <c r="Q48" s="334">
        <v>2.0044E7</v>
      </c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>
      <c r="A49" s="125"/>
      <c r="B49" s="258"/>
      <c r="C49" s="361"/>
      <c r="D49" s="42"/>
      <c r="E49" s="42"/>
      <c r="F49" s="42"/>
      <c r="G49" s="42"/>
      <c r="H49" s="42"/>
      <c r="I49" s="313"/>
      <c r="J49" s="362" t="s">
        <v>131</v>
      </c>
      <c r="K49" s="363">
        <f>K48-C48</f>
        <v>-2409.734339</v>
      </c>
      <c r="L49" s="360"/>
      <c r="M49" s="354"/>
      <c r="N49" s="42"/>
      <c r="O49" s="313"/>
      <c r="P49" s="310" t="s">
        <v>23</v>
      </c>
      <c r="Q49" s="334">
        <v>10000.0</v>
      </c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>
      <c r="A50" s="125"/>
      <c r="B50" s="258"/>
      <c r="C50" s="361"/>
      <c r="D50" s="42"/>
      <c r="E50" s="42"/>
      <c r="F50" s="42"/>
      <c r="G50" s="42"/>
      <c r="H50" s="42"/>
      <c r="I50" s="42"/>
      <c r="J50" s="42"/>
      <c r="K50" s="304"/>
      <c r="L50" s="42"/>
      <c r="M50" s="42"/>
      <c r="N50" s="42"/>
      <c r="O50" s="313"/>
      <c r="P50" s="310" t="s">
        <v>24</v>
      </c>
      <c r="Q50" s="334">
        <v>10000.0</v>
      </c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>
      <c r="A51" s="125"/>
      <c r="B51" s="258"/>
      <c r="C51" s="361"/>
      <c r="D51" s="42"/>
      <c r="E51" s="42"/>
      <c r="F51" s="42"/>
      <c r="G51" s="42"/>
      <c r="H51" s="42"/>
      <c r="I51" s="364"/>
      <c r="J51" s="42"/>
      <c r="K51" s="304"/>
      <c r="L51" s="42"/>
      <c r="M51" s="42"/>
      <c r="N51" s="42"/>
      <c r="O51" s="313"/>
      <c r="P51" s="310" t="s">
        <v>25</v>
      </c>
      <c r="Q51" s="334">
        <v>10000.0</v>
      </c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>
      <c r="A52" s="125"/>
      <c r="B52" s="258"/>
      <c r="C52" s="361"/>
      <c r="D52" s="42"/>
      <c r="E52" s="42"/>
      <c r="F52" s="42"/>
      <c r="G52" s="42"/>
      <c r="H52" s="42"/>
      <c r="I52" s="42"/>
      <c r="J52" s="42"/>
      <c r="K52" s="304"/>
      <c r="L52" s="42"/>
      <c r="M52" s="42"/>
      <c r="N52" s="13" t="s">
        <v>41</v>
      </c>
      <c r="O52" s="313"/>
      <c r="P52" s="310" t="s">
        <v>26</v>
      </c>
      <c r="Q52" s="334">
        <v>87000.0</v>
      </c>
      <c r="R52" s="308"/>
      <c r="S52" s="336" t="s">
        <v>41</v>
      </c>
      <c r="T52" s="42"/>
      <c r="U52" s="42"/>
      <c r="V52" s="42"/>
      <c r="W52" s="42"/>
      <c r="X52" s="42"/>
      <c r="Y52" s="42"/>
      <c r="Z52" s="42"/>
      <c r="AA52" s="42"/>
    </row>
    <row r="53">
      <c r="A53" s="125"/>
      <c r="B53" s="258"/>
      <c r="C53" s="365"/>
      <c r="D53" s="42"/>
      <c r="E53" s="42"/>
      <c r="F53" s="42"/>
      <c r="G53" s="42"/>
      <c r="H53" s="42"/>
      <c r="I53" s="42"/>
      <c r="J53" s="42"/>
      <c r="K53" s="304"/>
      <c r="L53" s="42"/>
      <c r="M53" s="42"/>
      <c r="N53" s="42"/>
      <c r="O53" s="42"/>
      <c r="P53" s="151" t="s">
        <v>126</v>
      </c>
      <c r="Q53" s="334">
        <v>10000.0</v>
      </c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>
      <c r="A54" s="125"/>
      <c r="B54" s="258"/>
      <c r="C54" s="361"/>
      <c r="D54" s="42"/>
      <c r="E54" s="42"/>
      <c r="F54" s="42"/>
      <c r="G54" s="42"/>
      <c r="H54" s="42"/>
      <c r="I54" s="42"/>
      <c r="J54" s="42"/>
      <c r="K54" s="304"/>
      <c r="L54" s="42"/>
      <c r="M54" s="42"/>
      <c r="N54" s="42"/>
      <c r="O54" s="42"/>
      <c r="P54" s="151" t="s">
        <v>29</v>
      </c>
      <c r="Q54" s="324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>
      <c r="A55" s="125"/>
      <c r="B55" s="258"/>
      <c r="C55" s="361"/>
      <c r="D55" s="42"/>
      <c r="E55" s="42"/>
      <c r="F55" s="42"/>
      <c r="G55" s="42"/>
      <c r="H55" s="42"/>
      <c r="I55" s="42"/>
      <c r="J55" s="42"/>
      <c r="K55" s="304"/>
      <c r="L55" s="42"/>
      <c r="M55" s="42"/>
      <c r="N55" s="42"/>
      <c r="O55" s="42"/>
      <c r="P55" s="151" t="s">
        <v>30</v>
      </c>
      <c r="Q55" s="324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>
      <c r="A56" s="125"/>
      <c r="B56" s="258"/>
      <c r="C56" s="361"/>
      <c r="D56" s="42"/>
      <c r="E56" s="42"/>
      <c r="F56" s="42"/>
      <c r="G56" s="42"/>
      <c r="H56" s="42"/>
      <c r="I56" s="42"/>
      <c r="J56" s="42"/>
      <c r="K56" s="304"/>
      <c r="L56" s="42"/>
      <c r="M56" s="42"/>
      <c r="N56" s="42"/>
      <c r="O56" s="42"/>
      <c r="P56" s="151" t="s">
        <v>41</v>
      </c>
      <c r="Q56" s="324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>
      <c r="A57" s="125"/>
      <c r="B57" s="258"/>
      <c r="C57" s="361"/>
      <c r="D57" s="42"/>
      <c r="E57" s="42"/>
      <c r="F57" s="42"/>
      <c r="G57" s="42"/>
      <c r="H57" s="42"/>
      <c r="I57" s="42"/>
      <c r="J57" s="42"/>
      <c r="K57" s="304"/>
      <c r="L57" s="42"/>
      <c r="M57" s="42"/>
      <c r="N57" s="42"/>
      <c r="O57" s="42"/>
      <c r="P57" s="151" t="s">
        <v>41</v>
      </c>
      <c r="Q57" s="324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>
      <c r="A58" s="125"/>
      <c r="B58" s="258"/>
      <c r="C58" s="361"/>
      <c r="D58" s="42"/>
      <c r="E58" s="42"/>
      <c r="F58" s="42"/>
      <c r="G58" s="42"/>
      <c r="H58" s="42"/>
      <c r="I58" s="42"/>
      <c r="J58" s="42"/>
      <c r="K58" s="304"/>
      <c r="L58" s="42"/>
      <c r="M58" s="42"/>
      <c r="N58" s="42"/>
      <c r="O58" s="42"/>
      <c r="P58" s="163" t="s">
        <v>17</v>
      </c>
      <c r="Q58" s="366">
        <f>SUM(Q48:Q57)</f>
        <v>20171000</v>
      </c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>
      <c r="A59" s="125"/>
      <c r="B59" s="258"/>
      <c r="C59" s="361"/>
      <c r="D59" s="42"/>
      <c r="E59" s="42"/>
      <c r="F59" s="42"/>
      <c r="G59" s="42"/>
      <c r="H59" s="42"/>
      <c r="I59" s="42"/>
      <c r="J59" s="42"/>
      <c r="K59" s="304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</row>
    <row r="60">
      <c r="A60" s="125"/>
      <c r="B60" s="258"/>
      <c r="C60" s="361"/>
      <c r="D60" s="42"/>
      <c r="E60" s="42"/>
      <c r="F60" s="42"/>
      <c r="G60" s="42"/>
      <c r="H60" s="42"/>
      <c r="I60" s="42"/>
      <c r="J60" s="42"/>
      <c r="K60" s="304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>
      <c r="A61" s="125"/>
      <c r="B61" s="258"/>
      <c r="C61" s="361"/>
      <c r="D61" s="42"/>
      <c r="E61" s="42"/>
      <c r="F61" s="42"/>
      <c r="G61" s="42"/>
      <c r="H61" s="42"/>
      <c r="I61" s="42"/>
      <c r="J61" s="42"/>
      <c r="K61" s="304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>
      <c r="A62" s="125"/>
      <c r="B62" s="258"/>
      <c r="C62" s="361"/>
      <c r="D62" s="42"/>
      <c r="E62" s="42"/>
      <c r="F62" s="42"/>
      <c r="G62" s="42"/>
      <c r="H62" s="42"/>
      <c r="I62" s="42"/>
      <c r="J62" s="42"/>
      <c r="K62" s="304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>
      <c r="A63" s="125"/>
      <c r="B63" s="258"/>
      <c r="C63" s="361"/>
      <c r="D63" s="42"/>
      <c r="E63" s="42"/>
      <c r="F63" s="42"/>
      <c r="G63" s="42"/>
      <c r="H63" s="42"/>
      <c r="I63" s="42"/>
      <c r="J63" s="42"/>
      <c r="K63" s="304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</row>
    <row r="64">
      <c r="A64" s="125"/>
      <c r="B64" s="258"/>
      <c r="C64" s="361"/>
      <c r="D64" s="42"/>
      <c r="E64" s="42"/>
      <c r="F64" s="42"/>
      <c r="G64" s="42"/>
      <c r="H64" s="42"/>
      <c r="I64" s="42"/>
      <c r="J64" s="42"/>
      <c r="K64" s="304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>
      <c r="A65" s="125"/>
      <c r="B65" s="258"/>
      <c r="C65" s="361"/>
      <c r="D65" s="42"/>
      <c r="E65" s="42"/>
      <c r="F65" s="42"/>
      <c r="G65" s="42"/>
      <c r="H65" s="42"/>
      <c r="I65" s="42"/>
      <c r="J65" s="42"/>
      <c r="K65" s="304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>
      <c r="A66" s="125"/>
      <c r="B66" s="258"/>
      <c r="C66" s="361"/>
      <c r="D66" s="42"/>
      <c r="E66" s="42"/>
      <c r="F66" s="42"/>
      <c r="G66" s="42"/>
      <c r="H66" s="42"/>
      <c r="I66" s="42"/>
      <c r="J66" s="42"/>
      <c r="K66" s="304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>
      <c r="A67" s="125"/>
      <c r="B67" s="258"/>
      <c r="C67" s="361"/>
      <c r="D67" s="42"/>
      <c r="E67" s="42"/>
      <c r="F67" s="42"/>
      <c r="G67" s="42"/>
      <c r="H67" s="42"/>
      <c r="I67" s="42"/>
      <c r="J67" s="42"/>
      <c r="K67" s="304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>
      <c r="A68" s="125"/>
      <c r="B68" s="258"/>
      <c r="C68" s="361"/>
      <c r="D68" s="42"/>
      <c r="E68" s="42"/>
      <c r="F68" s="42"/>
      <c r="G68" s="42"/>
      <c r="H68" s="42"/>
      <c r="I68" s="42"/>
      <c r="J68" s="304"/>
      <c r="K68" s="304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>
      <c r="A69" s="125"/>
      <c r="B69" s="258"/>
      <c r="C69" s="361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</row>
    <row r="70">
      <c r="A70" s="125"/>
      <c r="B70" s="258"/>
      <c r="C70" s="361"/>
      <c r="D70" s="42"/>
      <c r="E70" s="42"/>
      <c r="F70" s="42"/>
      <c r="G70" s="42"/>
      <c r="H70" s="42"/>
      <c r="I70" s="42"/>
      <c r="J70" s="42"/>
      <c r="K70" s="304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</row>
    <row r="71">
      <c r="A71" s="125"/>
      <c r="B71" s="258"/>
      <c r="C71" s="361"/>
      <c r="D71" s="42"/>
      <c r="E71" s="42"/>
      <c r="F71" s="42"/>
      <c r="G71" s="42"/>
      <c r="H71" s="42"/>
      <c r="I71" s="42"/>
      <c r="J71" s="42"/>
      <c r="K71" s="304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</row>
    <row r="72">
      <c r="A72" s="125"/>
      <c r="B72" s="258"/>
      <c r="C72" s="361"/>
      <c r="D72" s="42"/>
      <c r="E72" s="42"/>
      <c r="F72" s="42"/>
      <c r="G72" s="42"/>
      <c r="H72" s="42"/>
      <c r="I72" s="42"/>
      <c r="J72" s="42"/>
      <c r="K72" s="304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>
      <c r="A73" s="125"/>
      <c r="B73" s="258"/>
      <c r="C73" s="361"/>
      <c r="D73" s="42"/>
      <c r="E73" s="42"/>
      <c r="F73" s="42"/>
      <c r="G73" s="42"/>
      <c r="H73" s="42"/>
      <c r="I73" s="42"/>
      <c r="J73" s="42"/>
      <c r="K73" s="304"/>
      <c r="L73" s="304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</row>
    <row r="74">
      <c r="A74" s="125"/>
      <c r="B74" s="258"/>
      <c r="C74" s="361"/>
      <c r="D74" s="42"/>
      <c r="E74" s="42"/>
      <c r="F74" s="42"/>
      <c r="G74" s="42"/>
      <c r="H74" s="42"/>
      <c r="I74" s="42"/>
      <c r="J74" s="42"/>
      <c r="K74" s="304"/>
      <c r="L74" s="304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</row>
    <row r="75">
      <c r="A75" s="125"/>
      <c r="B75" s="258"/>
      <c r="C75" s="361"/>
      <c r="D75" s="42"/>
      <c r="E75" s="42"/>
      <c r="F75" s="42"/>
      <c r="G75" s="42"/>
      <c r="H75" s="42"/>
      <c r="I75" s="42"/>
      <c r="J75" s="42"/>
      <c r="K75" s="304"/>
      <c r="L75" s="304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>
      <c r="A76" s="125"/>
      <c r="B76" s="258"/>
      <c r="C76" s="361"/>
      <c r="D76" s="42"/>
      <c r="E76" s="42"/>
      <c r="F76" s="42"/>
      <c r="G76" s="42"/>
      <c r="H76" s="42"/>
      <c r="I76" s="42"/>
      <c r="J76" s="42"/>
      <c r="K76" s="304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</row>
    <row r="77">
      <c r="A77" s="125"/>
      <c r="B77" s="258"/>
      <c r="C77" s="361"/>
      <c r="D77" s="42"/>
      <c r="E77" s="42"/>
      <c r="F77" s="42"/>
      <c r="G77" s="42"/>
      <c r="H77" s="42"/>
      <c r="I77" s="42"/>
      <c r="J77" s="42"/>
      <c r="K77" s="304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>
      <c r="A78" s="125"/>
      <c r="B78" s="258"/>
      <c r="C78" s="361"/>
      <c r="D78" s="42"/>
      <c r="E78" s="42"/>
      <c r="F78" s="42"/>
      <c r="G78" s="42"/>
      <c r="H78" s="42"/>
      <c r="I78" s="42"/>
      <c r="J78" s="42"/>
      <c r="K78" s="304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</row>
    <row r="79">
      <c r="A79" s="125"/>
      <c r="B79" s="258"/>
      <c r="C79" s="361"/>
      <c r="D79" s="42"/>
      <c r="E79" s="42"/>
      <c r="F79" s="42"/>
      <c r="G79" s="42"/>
      <c r="H79" s="42"/>
      <c r="I79" s="42"/>
      <c r="J79" s="42"/>
      <c r="K79" s="304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</row>
    <row r="80">
      <c r="A80" s="125"/>
      <c r="B80" s="258"/>
      <c r="C80" s="361"/>
      <c r="D80" s="42"/>
      <c r="E80" s="42"/>
      <c r="F80" s="42"/>
      <c r="G80" s="42"/>
      <c r="H80" s="42"/>
      <c r="I80" s="42"/>
      <c r="J80" s="42"/>
      <c r="K80" s="304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</row>
    <row r="81">
      <c r="A81" s="125"/>
      <c r="B81" s="258"/>
      <c r="C81" s="361"/>
      <c r="D81" s="42"/>
      <c r="E81" s="42"/>
      <c r="F81" s="42"/>
      <c r="G81" s="42"/>
      <c r="H81" s="42"/>
      <c r="I81" s="42"/>
      <c r="J81" s="42"/>
      <c r="K81" s="304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</row>
    <row r="82">
      <c r="A82" s="125"/>
      <c r="B82" s="258"/>
      <c r="C82" s="361"/>
      <c r="D82" s="42"/>
      <c r="E82" s="42"/>
      <c r="F82" s="42"/>
      <c r="G82" s="42"/>
      <c r="H82" s="42"/>
      <c r="I82" s="42"/>
      <c r="J82" s="42"/>
      <c r="K82" s="304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</row>
    <row r="83">
      <c r="A83" s="125"/>
      <c r="B83" s="258"/>
      <c r="C83" s="361"/>
      <c r="D83" s="42"/>
      <c r="E83" s="42"/>
      <c r="F83" s="42"/>
      <c r="G83" s="42"/>
      <c r="H83" s="42"/>
      <c r="I83" s="42"/>
      <c r="J83" s="42"/>
      <c r="K83" s="304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</row>
    <row r="84">
      <c r="A84" s="125"/>
      <c r="B84" s="258"/>
      <c r="C84" s="361"/>
      <c r="D84" s="42"/>
      <c r="E84" s="42"/>
      <c r="F84" s="42"/>
      <c r="G84" s="42"/>
      <c r="H84" s="42"/>
      <c r="I84" s="42"/>
      <c r="J84" s="42"/>
      <c r="K84" s="304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</row>
    <row r="85">
      <c r="A85" s="125"/>
      <c r="B85" s="258"/>
      <c r="C85" s="361"/>
      <c r="D85" s="42"/>
      <c r="E85" s="42"/>
      <c r="F85" s="42"/>
      <c r="G85" s="42"/>
      <c r="H85" s="42"/>
      <c r="I85" s="42"/>
      <c r="J85" s="42"/>
      <c r="K85" s="304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</row>
    <row r="86">
      <c r="A86" s="125"/>
      <c r="B86" s="258"/>
      <c r="C86" s="361"/>
      <c r="D86" s="42"/>
      <c r="E86" s="42"/>
      <c r="F86" s="42"/>
      <c r="G86" s="42"/>
      <c r="H86" s="42"/>
      <c r="I86" s="42"/>
      <c r="J86" s="42"/>
      <c r="K86" s="304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</row>
    <row r="87">
      <c r="A87" s="125"/>
      <c r="B87" s="258"/>
      <c r="C87" s="361"/>
      <c r="D87" s="42"/>
      <c r="E87" s="42"/>
      <c r="F87" s="42"/>
      <c r="G87" s="42"/>
      <c r="H87" s="42"/>
      <c r="I87" s="42"/>
      <c r="J87" s="42"/>
      <c r="K87" s="304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</row>
    <row r="88">
      <c r="A88" s="125"/>
      <c r="B88" s="258"/>
      <c r="C88" s="361"/>
      <c r="D88" s="42"/>
      <c r="E88" s="42"/>
      <c r="F88" s="42"/>
      <c r="G88" s="42"/>
      <c r="H88" s="42"/>
      <c r="I88" s="42"/>
      <c r="J88" s="42"/>
      <c r="K88" s="304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</row>
    <row r="89">
      <c r="A89" s="125"/>
      <c r="B89" s="258"/>
      <c r="C89" s="361"/>
      <c r="D89" s="42"/>
      <c r="E89" s="42"/>
      <c r="F89" s="42"/>
      <c r="G89" s="42"/>
      <c r="H89" s="42"/>
      <c r="I89" s="42"/>
      <c r="J89" s="42"/>
      <c r="K89" s="304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</row>
    <row r="90">
      <c r="A90" s="125"/>
      <c r="B90" s="258"/>
      <c r="C90" s="361"/>
      <c r="D90" s="42"/>
      <c r="E90" s="42"/>
      <c r="F90" s="42"/>
      <c r="G90" s="42"/>
      <c r="H90" s="42"/>
      <c r="I90" s="42"/>
      <c r="J90" s="42"/>
      <c r="K90" s="304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</row>
    <row r="91">
      <c r="A91" s="125"/>
      <c r="B91" s="258"/>
      <c r="C91" s="361"/>
      <c r="D91" s="42"/>
      <c r="E91" s="42"/>
      <c r="F91" s="42"/>
      <c r="G91" s="42"/>
      <c r="H91" s="42"/>
      <c r="I91" s="42"/>
      <c r="J91" s="42"/>
      <c r="K91" s="304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</row>
    <row r="92">
      <c r="A92" s="125"/>
      <c r="B92" s="258"/>
      <c r="C92" s="361"/>
      <c r="D92" s="42"/>
      <c r="E92" s="42"/>
      <c r="F92" s="42"/>
      <c r="G92" s="42"/>
      <c r="H92" s="42"/>
      <c r="I92" s="42"/>
      <c r="J92" s="42"/>
      <c r="K92" s="304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</row>
    <row r="93">
      <c r="A93" s="125"/>
      <c r="B93" s="258"/>
      <c r="C93" s="361"/>
      <c r="D93" s="42"/>
      <c r="E93" s="42"/>
      <c r="F93" s="42"/>
      <c r="G93" s="42"/>
      <c r="H93" s="42"/>
      <c r="I93" s="42"/>
      <c r="J93" s="42"/>
      <c r="K93" s="304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</row>
    <row r="94">
      <c r="A94" s="125"/>
      <c r="B94" s="258"/>
      <c r="C94" s="361"/>
      <c r="D94" s="42"/>
      <c r="E94" s="42"/>
      <c r="F94" s="42"/>
      <c r="G94" s="42"/>
      <c r="H94" s="42"/>
      <c r="I94" s="42"/>
      <c r="J94" s="42"/>
      <c r="K94" s="304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</row>
    <row r="95">
      <c r="A95" s="125"/>
      <c r="B95" s="258"/>
      <c r="C95" s="361"/>
      <c r="D95" s="42"/>
      <c r="E95" s="42"/>
      <c r="F95" s="42"/>
      <c r="G95" s="42"/>
      <c r="H95" s="42"/>
      <c r="I95" s="42"/>
      <c r="J95" s="42"/>
      <c r="K95" s="304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</row>
    <row r="96">
      <c r="A96" s="125"/>
      <c r="B96" s="258"/>
      <c r="C96" s="361"/>
      <c r="D96" s="42"/>
      <c r="E96" s="42"/>
      <c r="F96" s="42"/>
      <c r="G96" s="42"/>
      <c r="H96" s="42"/>
      <c r="I96" s="42"/>
      <c r="J96" s="42"/>
      <c r="K96" s="304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</row>
    <row r="97">
      <c r="A97" s="125"/>
      <c r="B97" s="258"/>
      <c r="C97" s="361"/>
      <c r="D97" s="42"/>
      <c r="E97" s="42"/>
      <c r="F97" s="42"/>
      <c r="G97" s="42"/>
      <c r="H97" s="42"/>
      <c r="I97" s="42"/>
      <c r="J97" s="42"/>
      <c r="K97" s="304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</row>
    <row r="98">
      <c r="A98" s="125"/>
      <c r="B98" s="258"/>
      <c r="C98" s="361"/>
      <c r="D98" s="42"/>
      <c r="E98" s="42"/>
      <c r="F98" s="42"/>
      <c r="G98" s="42"/>
      <c r="H98" s="42"/>
      <c r="I98" s="42"/>
      <c r="J98" s="42"/>
      <c r="K98" s="304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</row>
    <row r="99">
      <c r="A99" s="125"/>
      <c r="B99" s="258"/>
      <c r="C99" s="361"/>
      <c r="D99" s="42"/>
      <c r="E99" s="42"/>
      <c r="F99" s="42"/>
      <c r="G99" s="42"/>
      <c r="H99" s="42"/>
      <c r="I99" s="42"/>
      <c r="J99" s="42"/>
      <c r="K99" s="304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</row>
    <row r="100">
      <c r="A100" s="125"/>
      <c r="B100" s="258"/>
      <c r="C100" s="361"/>
      <c r="D100" s="42"/>
      <c r="E100" s="42"/>
      <c r="F100" s="42"/>
      <c r="G100" s="42"/>
      <c r="H100" s="42"/>
      <c r="I100" s="42"/>
      <c r="J100" s="42"/>
      <c r="K100" s="304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</row>
    <row r="101">
      <c r="A101" s="125"/>
      <c r="B101" s="258"/>
      <c r="C101" s="361"/>
      <c r="D101" s="42"/>
      <c r="E101" s="42"/>
      <c r="F101" s="42"/>
      <c r="G101" s="42"/>
      <c r="H101" s="42"/>
      <c r="I101" s="42"/>
      <c r="J101" s="42"/>
      <c r="K101" s="304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</row>
    <row r="102">
      <c r="A102" s="125"/>
      <c r="B102" s="258"/>
      <c r="C102" s="361"/>
      <c r="D102" s="42"/>
      <c r="E102" s="42"/>
      <c r="F102" s="42"/>
      <c r="G102" s="42"/>
      <c r="H102" s="42"/>
      <c r="I102" s="42"/>
      <c r="J102" s="42"/>
      <c r="K102" s="304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</row>
    <row r="103">
      <c r="A103" s="125"/>
      <c r="B103" s="258"/>
      <c r="C103" s="361"/>
      <c r="D103" s="42"/>
      <c r="E103" s="42"/>
      <c r="F103" s="42"/>
      <c r="G103" s="42"/>
      <c r="H103" s="42"/>
      <c r="I103" s="42"/>
      <c r="J103" s="42"/>
      <c r="K103" s="304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</row>
    <row r="104">
      <c r="A104" s="125"/>
      <c r="B104" s="258"/>
      <c r="C104" s="361"/>
      <c r="D104" s="42"/>
      <c r="E104" s="42"/>
      <c r="F104" s="42"/>
      <c r="G104" s="42"/>
      <c r="H104" s="42"/>
      <c r="I104" s="42"/>
      <c r="J104" s="42"/>
      <c r="K104" s="304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</row>
    <row r="105">
      <c r="A105" s="125"/>
      <c r="B105" s="258"/>
      <c r="C105" s="361"/>
      <c r="D105" s="42"/>
      <c r="E105" s="42"/>
      <c r="F105" s="42"/>
      <c r="G105" s="42"/>
      <c r="H105" s="42"/>
      <c r="I105" s="42"/>
      <c r="J105" s="42"/>
      <c r="K105" s="304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</row>
    <row r="106">
      <c r="A106" s="125"/>
      <c r="B106" s="258"/>
      <c r="C106" s="361"/>
      <c r="D106" s="42"/>
      <c r="E106" s="42"/>
      <c r="F106" s="42"/>
      <c r="G106" s="42"/>
      <c r="H106" s="42"/>
      <c r="I106" s="42"/>
      <c r="J106" s="42"/>
      <c r="K106" s="304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</row>
    <row r="107">
      <c r="A107" s="125"/>
      <c r="B107" s="258"/>
      <c r="C107" s="361"/>
      <c r="D107" s="42"/>
      <c r="E107" s="42"/>
      <c r="F107" s="42"/>
      <c r="G107" s="42"/>
      <c r="H107" s="42"/>
      <c r="I107" s="42"/>
      <c r="J107" s="42"/>
      <c r="K107" s="304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</row>
    <row r="108">
      <c r="A108" s="125"/>
      <c r="B108" s="258"/>
      <c r="C108" s="361"/>
      <c r="D108" s="42"/>
      <c r="E108" s="42"/>
      <c r="F108" s="42"/>
      <c r="G108" s="42"/>
      <c r="H108" s="42"/>
      <c r="I108" s="42"/>
      <c r="J108" s="42"/>
      <c r="K108" s="304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</row>
    <row r="109">
      <c r="A109" s="125"/>
      <c r="B109" s="258"/>
      <c r="C109" s="361"/>
      <c r="D109" s="42"/>
      <c r="E109" s="42"/>
      <c r="F109" s="42"/>
      <c r="G109" s="42"/>
      <c r="H109" s="42"/>
      <c r="I109" s="42"/>
      <c r="J109" s="42"/>
      <c r="K109" s="304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</row>
    <row r="110">
      <c r="A110" s="125"/>
      <c r="B110" s="258"/>
      <c r="C110" s="361"/>
      <c r="D110" s="42"/>
      <c r="E110" s="42"/>
      <c r="F110" s="42"/>
      <c r="G110" s="42"/>
      <c r="H110" s="42"/>
      <c r="I110" s="42"/>
      <c r="J110" s="42"/>
      <c r="K110" s="304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</row>
    <row r="111">
      <c r="A111" s="125"/>
      <c r="B111" s="258"/>
      <c r="C111" s="361"/>
      <c r="D111" s="42"/>
      <c r="E111" s="42"/>
      <c r="F111" s="42"/>
      <c r="G111" s="42"/>
      <c r="H111" s="42"/>
      <c r="I111" s="42"/>
      <c r="J111" s="42"/>
      <c r="K111" s="304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</row>
    <row r="112">
      <c r="A112" s="125"/>
      <c r="B112" s="258"/>
      <c r="C112" s="361"/>
      <c r="D112" s="42"/>
      <c r="E112" s="42"/>
      <c r="F112" s="42"/>
      <c r="G112" s="42"/>
      <c r="H112" s="42"/>
      <c r="I112" s="42"/>
      <c r="J112" s="42"/>
      <c r="K112" s="304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</row>
    <row r="113">
      <c r="A113" s="125"/>
      <c r="B113" s="258"/>
      <c r="C113" s="361"/>
      <c r="D113" s="42"/>
      <c r="E113" s="42"/>
      <c r="F113" s="42"/>
      <c r="G113" s="42"/>
      <c r="H113" s="42"/>
      <c r="I113" s="42"/>
      <c r="J113" s="42"/>
      <c r="K113" s="304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</row>
    <row r="114">
      <c r="A114" s="125"/>
      <c r="B114" s="258"/>
      <c r="C114" s="361"/>
      <c r="D114" s="42"/>
      <c r="E114" s="42"/>
      <c r="F114" s="42"/>
      <c r="G114" s="42"/>
      <c r="H114" s="42"/>
      <c r="I114" s="42"/>
      <c r="J114" s="42"/>
      <c r="K114" s="304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</row>
    <row r="115">
      <c r="A115" s="125"/>
      <c r="B115" s="258"/>
      <c r="C115" s="361"/>
      <c r="D115" s="42"/>
      <c r="E115" s="42"/>
      <c r="F115" s="42"/>
      <c r="G115" s="42"/>
      <c r="H115" s="42"/>
      <c r="I115" s="42"/>
      <c r="J115" s="42"/>
      <c r="K115" s="304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</row>
    <row r="116">
      <c r="A116" s="125"/>
      <c r="B116" s="258"/>
      <c r="C116" s="361"/>
      <c r="D116" s="42"/>
      <c r="E116" s="42"/>
      <c r="F116" s="42"/>
      <c r="G116" s="42"/>
      <c r="H116" s="42"/>
      <c r="I116" s="42"/>
      <c r="J116" s="42"/>
      <c r="K116" s="304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</row>
    <row r="117">
      <c r="A117" s="125"/>
      <c r="B117" s="258"/>
      <c r="C117" s="361"/>
      <c r="D117" s="42"/>
      <c r="E117" s="42"/>
      <c r="F117" s="42"/>
      <c r="G117" s="42"/>
      <c r="H117" s="42"/>
      <c r="I117" s="42"/>
      <c r="J117" s="42"/>
      <c r="K117" s="304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</row>
    <row r="118">
      <c r="A118" s="125"/>
      <c r="B118" s="258"/>
      <c r="C118" s="361"/>
      <c r="D118" s="42"/>
      <c r="E118" s="42"/>
      <c r="F118" s="42"/>
      <c r="G118" s="42"/>
      <c r="H118" s="42"/>
      <c r="I118" s="42"/>
      <c r="J118" s="42"/>
      <c r="K118" s="304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</row>
    <row r="119">
      <c r="A119" s="125"/>
      <c r="B119" s="258"/>
      <c r="C119" s="361"/>
      <c r="D119" s="42"/>
      <c r="E119" s="42"/>
      <c r="F119" s="42"/>
      <c r="G119" s="42"/>
      <c r="H119" s="42"/>
      <c r="I119" s="42"/>
      <c r="J119" s="42"/>
      <c r="K119" s="304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</row>
    <row r="120">
      <c r="A120" s="125"/>
      <c r="B120" s="258"/>
      <c r="C120" s="361"/>
      <c r="D120" s="42"/>
      <c r="E120" s="42"/>
      <c r="F120" s="42"/>
      <c r="G120" s="42"/>
      <c r="H120" s="42"/>
      <c r="I120" s="42"/>
      <c r="J120" s="42"/>
      <c r="K120" s="304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</row>
    <row r="121">
      <c r="A121" s="125"/>
      <c r="B121" s="258"/>
      <c r="C121" s="361"/>
      <c r="D121" s="42"/>
      <c r="E121" s="42"/>
      <c r="F121" s="42"/>
      <c r="G121" s="42"/>
      <c r="H121" s="42"/>
      <c r="I121" s="42"/>
      <c r="J121" s="42"/>
      <c r="K121" s="304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</row>
    <row r="122">
      <c r="A122" s="125"/>
      <c r="B122" s="258"/>
      <c r="C122" s="361"/>
      <c r="D122" s="42"/>
      <c r="E122" s="42"/>
      <c r="F122" s="42"/>
      <c r="G122" s="42"/>
      <c r="H122" s="42"/>
      <c r="I122" s="42"/>
      <c r="J122" s="42"/>
      <c r="K122" s="304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</row>
    <row r="123">
      <c r="A123" s="125"/>
      <c r="B123" s="258"/>
      <c r="C123" s="361"/>
      <c r="D123" s="42"/>
      <c r="E123" s="42"/>
      <c r="F123" s="42"/>
      <c r="G123" s="42"/>
      <c r="H123" s="42"/>
      <c r="I123" s="42"/>
      <c r="J123" s="42"/>
      <c r="K123" s="304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</row>
    <row r="124">
      <c r="A124" s="125"/>
      <c r="B124" s="258"/>
      <c r="C124" s="361"/>
      <c r="D124" s="42"/>
      <c r="E124" s="42"/>
      <c r="F124" s="42"/>
      <c r="G124" s="42"/>
      <c r="H124" s="42"/>
      <c r="I124" s="42"/>
      <c r="J124" s="42"/>
      <c r="K124" s="304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</row>
    <row r="125">
      <c r="A125" s="125"/>
      <c r="B125" s="258"/>
      <c r="C125" s="361"/>
      <c r="D125" s="42"/>
      <c r="E125" s="42"/>
      <c r="F125" s="42"/>
      <c r="G125" s="42"/>
      <c r="H125" s="42"/>
      <c r="I125" s="42"/>
      <c r="J125" s="42"/>
      <c r="K125" s="304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</row>
    <row r="126">
      <c r="A126" s="125"/>
      <c r="B126" s="258"/>
      <c r="C126" s="361"/>
      <c r="D126" s="42"/>
      <c r="E126" s="42"/>
      <c r="F126" s="42"/>
      <c r="G126" s="42"/>
      <c r="H126" s="42"/>
      <c r="I126" s="42"/>
      <c r="J126" s="42"/>
      <c r="K126" s="304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</row>
    <row r="127">
      <c r="A127" s="125"/>
      <c r="B127" s="258"/>
      <c r="C127" s="361"/>
      <c r="D127" s="42"/>
      <c r="E127" s="42"/>
      <c r="F127" s="42"/>
      <c r="G127" s="42"/>
      <c r="H127" s="42"/>
      <c r="I127" s="42"/>
      <c r="J127" s="42"/>
      <c r="K127" s="304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</row>
    <row r="128">
      <c r="A128" s="125"/>
      <c r="B128" s="258"/>
      <c r="C128" s="361"/>
      <c r="D128" s="42"/>
      <c r="E128" s="42"/>
      <c r="F128" s="42"/>
      <c r="G128" s="42"/>
      <c r="H128" s="42"/>
      <c r="I128" s="42"/>
      <c r="J128" s="42"/>
      <c r="K128" s="304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</row>
    <row r="129">
      <c r="A129" s="125"/>
      <c r="B129" s="258"/>
      <c r="C129" s="361"/>
      <c r="D129" s="42"/>
      <c r="E129" s="42"/>
      <c r="F129" s="42"/>
      <c r="G129" s="42"/>
      <c r="H129" s="42"/>
      <c r="I129" s="42"/>
      <c r="J129" s="42"/>
      <c r="K129" s="304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</row>
    <row r="130">
      <c r="A130" s="125"/>
      <c r="B130" s="258"/>
      <c r="C130" s="361"/>
      <c r="D130" s="42"/>
      <c r="E130" s="42"/>
      <c r="F130" s="42"/>
      <c r="G130" s="42"/>
      <c r="H130" s="42"/>
      <c r="I130" s="42"/>
      <c r="J130" s="42"/>
      <c r="K130" s="304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</row>
    <row r="131">
      <c r="A131" s="125"/>
      <c r="B131" s="258"/>
      <c r="C131" s="361"/>
      <c r="D131" s="42"/>
      <c r="E131" s="42"/>
      <c r="F131" s="42"/>
      <c r="G131" s="42"/>
      <c r="H131" s="42"/>
      <c r="I131" s="42"/>
      <c r="J131" s="42"/>
      <c r="K131" s="304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</row>
    <row r="132">
      <c r="A132" s="125"/>
      <c r="B132" s="258"/>
      <c r="C132" s="361"/>
      <c r="D132" s="42"/>
      <c r="E132" s="42"/>
      <c r="F132" s="42"/>
      <c r="G132" s="42"/>
      <c r="H132" s="42"/>
      <c r="I132" s="42"/>
      <c r="J132" s="42"/>
      <c r="K132" s="304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</row>
    <row r="133">
      <c r="A133" s="125"/>
      <c r="B133" s="258"/>
      <c r="C133" s="361"/>
      <c r="D133" s="42"/>
      <c r="E133" s="42"/>
      <c r="F133" s="42"/>
      <c r="G133" s="42"/>
      <c r="H133" s="42"/>
      <c r="I133" s="42"/>
      <c r="J133" s="42"/>
      <c r="K133" s="304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</row>
    <row r="134">
      <c r="A134" s="125"/>
      <c r="B134" s="258"/>
      <c r="C134" s="361"/>
      <c r="D134" s="42"/>
      <c r="E134" s="42"/>
      <c r="F134" s="42"/>
      <c r="G134" s="42"/>
      <c r="H134" s="42"/>
      <c r="I134" s="42"/>
      <c r="J134" s="42"/>
      <c r="K134" s="304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</row>
    <row r="135">
      <c r="A135" s="125"/>
      <c r="B135" s="258"/>
      <c r="C135" s="361"/>
      <c r="D135" s="42"/>
      <c r="E135" s="42"/>
      <c r="F135" s="42"/>
      <c r="G135" s="42"/>
      <c r="H135" s="42"/>
      <c r="I135" s="42"/>
      <c r="J135" s="42"/>
      <c r="K135" s="304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</row>
    <row r="136">
      <c r="A136" s="125"/>
      <c r="B136" s="258"/>
      <c r="C136" s="361"/>
      <c r="D136" s="42"/>
      <c r="E136" s="42"/>
      <c r="F136" s="42"/>
      <c r="G136" s="42"/>
      <c r="H136" s="42"/>
      <c r="I136" s="42"/>
      <c r="J136" s="42"/>
      <c r="K136" s="304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</row>
    <row r="137">
      <c r="A137" s="125"/>
      <c r="B137" s="258"/>
      <c r="C137" s="361"/>
      <c r="D137" s="42"/>
      <c r="E137" s="42"/>
      <c r="F137" s="42"/>
      <c r="G137" s="42"/>
      <c r="H137" s="42"/>
      <c r="I137" s="42"/>
      <c r="J137" s="42"/>
      <c r="K137" s="304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</row>
    <row r="138">
      <c r="A138" s="125"/>
      <c r="B138" s="258"/>
      <c r="C138" s="361"/>
      <c r="D138" s="42"/>
      <c r="E138" s="42"/>
      <c r="F138" s="42"/>
      <c r="G138" s="42"/>
      <c r="H138" s="42"/>
      <c r="I138" s="42"/>
      <c r="J138" s="42"/>
      <c r="K138" s="304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</row>
    <row r="139">
      <c r="A139" s="125"/>
      <c r="B139" s="258"/>
      <c r="C139" s="361"/>
      <c r="D139" s="42"/>
      <c r="E139" s="42"/>
      <c r="F139" s="42"/>
      <c r="G139" s="42"/>
      <c r="H139" s="42"/>
      <c r="I139" s="42"/>
      <c r="J139" s="42"/>
      <c r="K139" s="304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</row>
    <row r="140">
      <c r="A140" s="125"/>
      <c r="B140" s="258"/>
      <c r="C140" s="361"/>
      <c r="D140" s="42"/>
      <c r="E140" s="42"/>
      <c r="F140" s="42"/>
      <c r="G140" s="42"/>
      <c r="H140" s="42"/>
      <c r="I140" s="42"/>
      <c r="J140" s="42"/>
      <c r="K140" s="304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</row>
    <row r="141">
      <c r="A141" s="125"/>
      <c r="B141" s="258"/>
      <c r="C141" s="361"/>
      <c r="D141" s="42"/>
      <c r="E141" s="42"/>
      <c r="F141" s="42"/>
      <c r="G141" s="42"/>
      <c r="H141" s="42"/>
      <c r="I141" s="42"/>
      <c r="J141" s="42"/>
      <c r="K141" s="304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</row>
    <row r="142">
      <c r="A142" s="125"/>
      <c r="B142" s="258"/>
      <c r="C142" s="361"/>
      <c r="D142" s="42"/>
      <c r="E142" s="42"/>
      <c r="F142" s="42"/>
      <c r="G142" s="42"/>
      <c r="H142" s="42"/>
      <c r="I142" s="42"/>
      <c r="J142" s="42"/>
      <c r="K142" s="304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</row>
    <row r="143">
      <c r="A143" s="125"/>
      <c r="B143" s="258"/>
      <c r="C143" s="361"/>
      <c r="D143" s="42"/>
      <c r="E143" s="42"/>
      <c r="F143" s="42"/>
      <c r="G143" s="42"/>
      <c r="H143" s="42"/>
      <c r="I143" s="42"/>
      <c r="J143" s="42"/>
      <c r="K143" s="304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</row>
    <row r="144">
      <c r="A144" s="125"/>
      <c r="B144" s="258"/>
      <c r="C144" s="361"/>
      <c r="D144" s="42"/>
      <c r="E144" s="42"/>
      <c r="F144" s="42"/>
      <c r="G144" s="42"/>
      <c r="H144" s="42"/>
      <c r="I144" s="42"/>
      <c r="J144" s="42"/>
      <c r="K144" s="304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</row>
    <row r="145">
      <c r="A145" s="125"/>
      <c r="B145" s="258"/>
      <c r="C145" s="361"/>
      <c r="D145" s="42"/>
      <c r="E145" s="42"/>
      <c r="F145" s="42"/>
      <c r="G145" s="42"/>
      <c r="H145" s="42"/>
      <c r="I145" s="42"/>
      <c r="J145" s="42"/>
      <c r="K145" s="304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</row>
    <row r="146">
      <c r="A146" s="125"/>
      <c r="B146" s="258"/>
      <c r="C146" s="361"/>
      <c r="D146" s="42"/>
      <c r="E146" s="42"/>
      <c r="F146" s="42"/>
      <c r="G146" s="42"/>
      <c r="H146" s="42"/>
      <c r="I146" s="42"/>
      <c r="J146" s="42"/>
      <c r="K146" s="304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</row>
    <row r="147">
      <c r="A147" s="125"/>
      <c r="B147" s="258"/>
      <c r="C147" s="361"/>
      <c r="D147" s="42"/>
      <c r="E147" s="42"/>
      <c r="F147" s="42"/>
      <c r="G147" s="42"/>
      <c r="H147" s="42"/>
      <c r="I147" s="42"/>
      <c r="J147" s="42"/>
      <c r="K147" s="304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</row>
    <row r="148">
      <c r="A148" s="125"/>
      <c r="B148" s="258"/>
      <c r="C148" s="361"/>
      <c r="D148" s="42"/>
      <c r="E148" s="42"/>
      <c r="F148" s="42"/>
      <c r="G148" s="42"/>
      <c r="H148" s="42"/>
      <c r="I148" s="42"/>
      <c r="J148" s="42"/>
      <c r="K148" s="304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</row>
    <row r="149">
      <c r="A149" s="125"/>
      <c r="B149" s="258"/>
      <c r="C149" s="361"/>
      <c r="D149" s="42"/>
      <c r="E149" s="42"/>
      <c r="F149" s="42"/>
      <c r="G149" s="42"/>
      <c r="H149" s="42"/>
      <c r="I149" s="42"/>
      <c r="J149" s="42"/>
      <c r="K149" s="304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</row>
    <row r="150">
      <c r="A150" s="125"/>
      <c r="B150" s="258"/>
      <c r="C150" s="361"/>
      <c r="D150" s="42"/>
      <c r="E150" s="42"/>
      <c r="F150" s="42"/>
      <c r="G150" s="42"/>
      <c r="H150" s="42"/>
      <c r="I150" s="42"/>
      <c r="J150" s="42"/>
      <c r="K150" s="304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</row>
    <row r="151">
      <c r="A151" s="125"/>
      <c r="B151" s="258"/>
      <c r="C151" s="361"/>
      <c r="D151" s="42"/>
      <c r="E151" s="42"/>
      <c r="F151" s="42"/>
      <c r="G151" s="42"/>
      <c r="H151" s="42"/>
      <c r="I151" s="42"/>
      <c r="J151" s="42"/>
      <c r="K151" s="304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</row>
    <row r="152">
      <c r="A152" s="125"/>
      <c r="B152" s="258"/>
      <c r="C152" s="361"/>
      <c r="D152" s="42"/>
      <c r="E152" s="42"/>
      <c r="F152" s="42"/>
      <c r="G152" s="42"/>
      <c r="H152" s="42"/>
      <c r="I152" s="42"/>
      <c r="J152" s="42"/>
      <c r="K152" s="304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</row>
    <row r="153">
      <c r="A153" s="125"/>
      <c r="B153" s="258"/>
      <c r="C153" s="361"/>
      <c r="D153" s="42"/>
      <c r="E153" s="42"/>
      <c r="F153" s="42"/>
      <c r="G153" s="42"/>
      <c r="H153" s="42"/>
      <c r="I153" s="42"/>
      <c r="J153" s="42"/>
      <c r="K153" s="304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</row>
    <row r="154">
      <c r="A154" s="125"/>
      <c r="B154" s="258"/>
      <c r="C154" s="361"/>
      <c r="D154" s="42"/>
      <c r="E154" s="42"/>
      <c r="F154" s="42"/>
      <c r="G154" s="42"/>
      <c r="H154" s="42"/>
      <c r="I154" s="42"/>
      <c r="J154" s="42"/>
      <c r="K154" s="304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</row>
    <row r="155">
      <c r="A155" s="125"/>
      <c r="B155" s="258"/>
      <c r="C155" s="361"/>
      <c r="D155" s="42"/>
      <c r="E155" s="42"/>
      <c r="F155" s="42"/>
      <c r="G155" s="42"/>
      <c r="H155" s="42"/>
      <c r="I155" s="42"/>
      <c r="J155" s="42"/>
      <c r="K155" s="304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</row>
    <row r="156">
      <c r="A156" s="125"/>
      <c r="B156" s="258"/>
      <c r="C156" s="361"/>
      <c r="D156" s="42"/>
      <c r="E156" s="42"/>
      <c r="F156" s="42"/>
      <c r="G156" s="42"/>
      <c r="H156" s="42"/>
      <c r="I156" s="42"/>
      <c r="J156" s="42"/>
      <c r="K156" s="304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</row>
    <row r="157">
      <c r="A157" s="125"/>
      <c r="B157" s="258"/>
      <c r="C157" s="361"/>
      <c r="D157" s="42"/>
      <c r="E157" s="42"/>
      <c r="F157" s="42"/>
      <c r="G157" s="42"/>
      <c r="H157" s="42"/>
      <c r="I157" s="42"/>
      <c r="J157" s="42"/>
      <c r="K157" s="304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</row>
    <row r="158">
      <c r="A158" s="125"/>
      <c r="B158" s="258"/>
      <c r="C158" s="361"/>
      <c r="D158" s="42"/>
      <c r="E158" s="42"/>
      <c r="F158" s="42"/>
      <c r="G158" s="42"/>
      <c r="H158" s="42"/>
      <c r="I158" s="42"/>
      <c r="J158" s="42"/>
      <c r="K158" s="304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</row>
    <row r="159">
      <c r="A159" s="125"/>
      <c r="B159" s="258"/>
      <c r="C159" s="361"/>
      <c r="D159" s="42"/>
      <c r="E159" s="42"/>
      <c r="F159" s="42"/>
      <c r="G159" s="42"/>
      <c r="H159" s="42"/>
      <c r="I159" s="42"/>
      <c r="J159" s="42"/>
      <c r="K159" s="304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</row>
    <row r="160">
      <c r="A160" s="125"/>
      <c r="B160" s="258"/>
      <c r="C160" s="361"/>
      <c r="D160" s="42"/>
      <c r="E160" s="42"/>
      <c r="F160" s="42"/>
      <c r="G160" s="42"/>
      <c r="H160" s="42"/>
      <c r="I160" s="42"/>
      <c r="J160" s="42"/>
      <c r="K160" s="304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</row>
    <row r="161">
      <c r="A161" s="125"/>
      <c r="B161" s="258"/>
      <c r="C161" s="361"/>
      <c r="D161" s="42"/>
      <c r="E161" s="42"/>
      <c r="F161" s="42"/>
      <c r="G161" s="42"/>
      <c r="H161" s="42"/>
      <c r="I161" s="42"/>
      <c r="J161" s="42"/>
      <c r="K161" s="304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</row>
    <row r="162">
      <c r="A162" s="125"/>
      <c r="B162" s="258"/>
      <c r="C162" s="361"/>
      <c r="D162" s="42"/>
      <c r="E162" s="42"/>
      <c r="F162" s="42"/>
      <c r="G162" s="42"/>
      <c r="H162" s="42"/>
      <c r="I162" s="42"/>
      <c r="J162" s="42"/>
      <c r="K162" s="304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</row>
    <row r="163">
      <c r="A163" s="125"/>
      <c r="B163" s="258"/>
      <c r="C163" s="361"/>
      <c r="D163" s="42"/>
      <c r="E163" s="42"/>
      <c r="F163" s="42"/>
      <c r="G163" s="42"/>
      <c r="H163" s="42"/>
      <c r="I163" s="42"/>
      <c r="J163" s="42"/>
      <c r="K163" s="304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</row>
    <row r="164">
      <c r="A164" s="125"/>
      <c r="B164" s="258"/>
      <c r="C164" s="361"/>
      <c r="D164" s="42"/>
      <c r="E164" s="42"/>
      <c r="F164" s="42"/>
      <c r="G164" s="42"/>
      <c r="H164" s="42"/>
      <c r="I164" s="42"/>
      <c r="J164" s="42"/>
      <c r="K164" s="304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</row>
    <row r="165">
      <c r="A165" s="125"/>
      <c r="B165" s="258"/>
      <c r="C165" s="361"/>
      <c r="D165" s="42"/>
      <c r="E165" s="42"/>
      <c r="F165" s="42"/>
      <c r="G165" s="42"/>
      <c r="H165" s="42"/>
      <c r="I165" s="42"/>
      <c r="J165" s="42"/>
      <c r="K165" s="304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</row>
    <row r="166">
      <c r="A166" s="125"/>
      <c r="B166" s="258"/>
      <c r="C166" s="361"/>
      <c r="D166" s="42"/>
      <c r="E166" s="42"/>
      <c r="F166" s="42"/>
      <c r="G166" s="42"/>
      <c r="H166" s="42"/>
      <c r="I166" s="42"/>
      <c r="J166" s="42"/>
      <c r="K166" s="304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</row>
    <row r="167">
      <c r="A167" s="125"/>
      <c r="B167" s="258"/>
      <c r="C167" s="361"/>
      <c r="D167" s="42"/>
      <c r="E167" s="42"/>
      <c r="F167" s="42"/>
      <c r="G167" s="42"/>
      <c r="H167" s="42"/>
      <c r="I167" s="42"/>
      <c r="J167" s="42"/>
      <c r="K167" s="304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</row>
    <row r="168">
      <c r="A168" s="125"/>
      <c r="B168" s="258"/>
      <c r="C168" s="361"/>
      <c r="D168" s="42"/>
      <c r="E168" s="42"/>
      <c r="F168" s="42"/>
      <c r="G168" s="42"/>
      <c r="H168" s="42"/>
      <c r="I168" s="42"/>
      <c r="J168" s="42"/>
      <c r="K168" s="304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</row>
    <row r="169">
      <c r="A169" s="125"/>
      <c r="B169" s="258"/>
      <c r="C169" s="361"/>
      <c r="D169" s="42"/>
      <c r="E169" s="42"/>
      <c r="F169" s="42"/>
      <c r="G169" s="42"/>
      <c r="H169" s="42"/>
      <c r="I169" s="42"/>
      <c r="J169" s="42"/>
      <c r="K169" s="304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</row>
    <row r="170">
      <c r="A170" s="125"/>
      <c r="B170" s="258"/>
      <c r="C170" s="361"/>
      <c r="D170" s="42"/>
      <c r="E170" s="42"/>
      <c r="F170" s="42"/>
      <c r="G170" s="42"/>
      <c r="H170" s="42"/>
      <c r="I170" s="42"/>
      <c r="J170" s="42"/>
      <c r="K170" s="304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</row>
    <row r="171">
      <c r="A171" s="125"/>
      <c r="B171" s="258"/>
      <c r="C171" s="361"/>
      <c r="D171" s="42"/>
      <c r="E171" s="42"/>
      <c r="F171" s="42"/>
      <c r="G171" s="42"/>
      <c r="H171" s="42"/>
      <c r="I171" s="42"/>
      <c r="J171" s="42"/>
      <c r="K171" s="304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</row>
    <row r="172">
      <c r="A172" s="125"/>
      <c r="B172" s="258"/>
      <c r="C172" s="361"/>
      <c r="D172" s="42"/>
      <c r="E172" s="42"/>
      <c r="F172" s="42"/>
      <c r="G172" s="42"/>
      <c r="H172" s="42"/>
      <c r="I172" s="42"/>
      <c r="J172" s="42"/>
      <c r="K172" s="304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</row>
    <row r="173">
      <c r="A173" s="125"/>
      <c r="B173" s="258"/>
      <c r="C173" s="361"/>
      <c r="D173" s="42"/>
      <c r="E173" s="42"/>
      <c r="F173" s="42"/>
      <c r="G173" s="42"/>
      <c r="H173" s="42"/>
      <c r="I173" s="42"/>
      <c r="J173" s="42"/>
      <c r="K173" s="304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</row>
    <row r="174">
      <c r="A174" s="125"/>
      <c r="B174" s="258"/>
      <c r="C174" s="361"/>
      <c r="D174" s="42"/>
      <c r="E174" s="42"/>
      <c r="F174" s="42"/>
      <c r="G174" s="42"/>
      <c r="H174" s="42"/>
      <c r="I174" s="42"/>
      <c r="J174" s="42"/>
      <c r="K174" s="304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</row>
    <row r="175">
      <c r="A175" s="125"/>
      <c r="B175" s="258"/>
      <c r="C175" s="361"/>
      <c r="D175" s="42"/>
      <c r="E175" s="42"/>
      <c r="F175" s="42"/>
      <c r="G175" s="42"/>
      <c r="H175" s="42"/>
      <c r="I175" s="42"/>
      <c r="J175" s="42"/>
      <c r="K175" s="304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</row>
    <row r="176">
      <c r="A176" s="125"/>
      <c r="B176" s="258"/>
      <c r="C176" s="361"/>
      <c r="D176" s="42"/>
      <c r="E176" s="42"/>
      <c r="F176" s="42"/>
      <c r="G176" s="42"/>
      <c r="H176" s="42"/>
      <c r="I176" s="42"/>
      <c r="J176" s="42"/>
      <c r="K176" s="304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</row>
    <row r="177">
      <c r="A177" s="125"/>
      <c r="B177" s="258"/>
      <c r="C177" s="361"/>
      <c r="D177" s="42"/>
      <c r="E177" s="42"/>
      <c r="F177" s="42"/>
      <c r="G177" s="42"/>
      <c r="H177" s="42"/>
      <c r="I177" s="42"/>
      <c r="J177" s="42"/>
      <c r="K177" s="304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</row>
    <row r="178">
      <c r="A178" s="125"/>
      <c r="B178" s="258"/>
      <c r="C178" s="361"/>
      <c r="D178" s="42"/>
      <c r="E178" s="42"/>
      <c r="F178" s="42"/>
      <c r="G178" s="42"/>
      <c r="H178" s="42"/>
      <c r="I178" s="42"/>
      <c r="J178" s="42"/>
      <c r="K178" s="304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</row>
    <row r="179">
      <c r="A179" s="125"/>
      <c r="B179" s="258"/>
      <c r="C179" s="361"/>
      <c r="D179" s="42"/>
      <c r="E179" s="42"/>
      <c r="F179" s="42"/>
      <c r="G179" s="42"/>
      <c r="H179" s="42"/>
      <c r="I179" s="42"/>
      <c r="J179" s="42"/>
      <c r="K179" s="304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</row>
    <row r="180">
      <c r="A180" s="125"/>
      <c r="B180" s="258"/>
      <c r="C180" s="361"/>
      <c r="D180" s="42"/>
      <c r="E180" s="42"/>
      <c r="F180" s="42"/>
      <c r="G180" s="42"/>
      <c r="H180" s="42"/>
      <c r="I180" s="42"/>
      <c r="J180" s="42"/>
      <c r="K180" s="304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</row>
    <row r="181">
      <c r="A181" s="125"/>
      <c r="B181" s="258"/>
      <c r="C181" s="361"/>
      <c r="D181" s="42"/>
      <c r="E181" s="42"/>
      <c r="F181" s="42"/>
      <c r="G181" s="42"/>
      <c r="H181" s="42"/>
      <c r="I181" s="42"/>
      <c r="J181" s="42"/>
      <c r="K181" s="304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</row>
    <row r="182">
      <c r="A182" s="125"/>
      <c r="B182" s="258"/>
      <c r="C182" s="361"/>
      <c r="D182" s="42"/>
      <c r="E182" s="42"/>
      <c r="F182" s="42"/>
      <c r="G182" s="42"/>
      <c r="H182" s="42"/>
      <c r="I182" s="42"/>
      <c r="J182" s="42"/>
      <c r="K182" s="304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</row>
    <row r="183">
      <c r="A183" s="125"/>
      <c r="B183" s="258"/>
      <c r="C183" s="361"/>
      <c r="D183" s="42"/>
      <c r="E183" s="42"/>
      <c r="F183" s="42"/>
      <c r="G183" s="42"/>
      <c r="H183" s="42"/>
      <c r="I183" s="42"/>
      <c r="J183" s="42"/>
      <c r="K183" s="304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</row>
    <row r="184">
      <c r="A184" s="125"/>
      <c r="B184" s="258"/>
      <c r="C184" s="361"/>
      <c r="D184" s="42"/>
      <c r="E184" s="42"/>
      <c r="F184" s="42"/>
      <c r="G184" s="42"/>
      <c r="H184" s="42"/>
      <c r="I184" s="42"/>
      <c r="J184" s="42"/>
      <c r="K184" s="304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</row>
    <row r="185">
      <c r="A185" s="125"/>
      <c r="B185" s="258"/>
      <c r="C185" s="361"/>
      <c r="D185" s="42"/>
      <c r="E185" s="42"/>
      <c r="F185" s="42"/>
      <c r="G185" s="42"/>
      <c r="H185" s="42"/>
      <c r="I185" s="42"/>
      <c r="J185" s="42"/>
      <c r="K185" s="304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</row>
    <row r="186">
      <c r="A186" s="125"/>
      <c r="B186" s="258"/>
      <c r="C186" s="361"/>
      <c r="D186" s="42"/>
      <c r="E186" s="42"/>
      <c r="F186" s="42"/>
      <c r="G186" s="42"/>
      <c r="H186" s="42"/>
      <c r="I186" s="42"/>
      <c r="J186" s="42"/>
      <c r="K186" s="304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</row>
    <row r="187">
      <c r="A187" s="125"/>
      <c r="B187" s="258"/>
      <c r="C187" s="361"/>
      <c r="D187" s="42"/>
      <c r="E187" s="42"/>
      <c r="F187" s="42"/>
      <c r="G187" s="42"/>
      <c r="H187" s="42"/>
      <c r="I187" s="42"/>
      <c r="J187" s="42"/>
      <c r="K187" s="304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</row>
    <row r="188">
      <c r="A188" s="125"/>
      <c r="B188" s="258"/>
      <c r="C188" s="361"/>
      <c r="D188" s="42"/>
      <c r="E188" s="42"/>
      <c r="F188" s="42"/>
      <c r="G188" s="42"/>
      <c r="H188" s="42"/>
      <c r="I188" s="42"/>
      <c r="J188" s="42"/>
      <c r="K188" s="304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</row>
    <row r="189">
      <c r="A189" s="125"/>
      <c r="B189" s="258"/>
      <c r="C189" s="361"/>
      <c r="D189" s="42"/>
      <c r="E189" s="42"/>
      <c r="F189" s="42"/>
      <c r="G189" s="42"/>
      <c r="H189" s="42"/>
      <c r="I189" s="42"/>
      <c r="J189" s="42"/>
      <c r="K189" s="304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</row>
    <row r="190">
      <c r="A190" s="125"/>
      <c r="B190" s="258"/>
      <c r="C190" s="361"/>
      <c r="D190" s="42"/>
      <c r="E190" s="42"/>
      <c r="F190" s="42"/>
      <c r="G190" s="42"/>
      <c r="H190" s="42"/>
      <c r="I190" s="42"/>
      <c r="J190" s="42"/>
      <c r="K190" s="304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</row>
    <row r="191">
      <c r="A191" s="125"/>
      <c r="B191" s="258"/>
      <c r="C191" s="361"/>
      <c r="D191" s="42"/>
      <c r="E191" s="42"/>
      <c r="F191" s="42"/>
      <c r="G191" s="42"/>
      <c r="H191" s="42"/>
      <c r="I191" s="42"/>
      <c r="J191" s="42"/>
      <c r="K191" s="304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</row>
    <row r="192">
      <c r="A192" s="125"/>
      <c r="B192" s="258"/>
      <c r="C192" s="361"/>
      <c r="D192" s="42"/>
      <c r="E192" s="42"/>
      <c r="F192" s="42"/>
      <c r="G192" s="42"/>
      <c r="H192" s="42"/>
      <c r="I192" s="42"/>
      <c r="J192" s="42"/>
      <c r="K192" s="304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</row>
    <row r="193">
      <c r="A193" s="125"/>
      <c r="B193" s="258"/>
      <c r="C193" s="361"/>
      <c r="D193" s="42"/>
      <c r="E193" s="42"/>
      <c r="F193" s="42"/>
      <c r="G193" s="42"/>
      <c r="H193" s="42"/>
      <c r="I193" s="42"/>
      <c r="J193" s="42"/>
      <c r="K193" s="304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</row>
    <row r="194">
      <c r="A194" s="125"/>
      <c r="B194" s="258"/>
      <c r="C194" s="361"/>
      <c r="D194" s="42"/>
      <c r="E194" s="42"/>
      <c r="F194" s="42"/>
      <c r="G194" s="42"/>
      <c r="H194" s="42"/>
      <c r="I194" s="42"/>
      <c r="J194" s="42"/>
      <c r="K194" s="304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</row>
    <row r="195">
      <c r="A195" s="125"/>
      <c r="B195" s="258"/>
      <c r="C195" s="361"/>
      <c r="D195" s="42"/>
      <c r="E195" s="42"/>
      <c r="F195" s="42"/>
      <c r="G195" s="42"/>
      <c r="H195" s="42"/>
      <c r="I195" s="42"/>
      <c r="J195" s="42"/>
      <c r="K195" s="304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</row>
    <row r="196">
      <c r="A196" s="125"/>
      <c r="B196" s="258"/>
      <c r="C196" s="361"/>
      <c r="D196" s="42"/>
      <c r="E196" s="42"/>
      <c r="F196" s="42"/>
      <c r="G196" s="42"/>
      <c r="H196" s="42"/>
      <c r="I196" s="42"/>
      <c r="J196" s="42"/>
      <c r="K196" s="304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</row>
    <row r="197">
      <c r="A197" s="125"/>
      <c r="B197" s="258"/>
      <c r="C197" s="361"/>
      <c r="D197" s="42"/>
      <c r="E197" s="42"/>
      <c r="F197" s="42"/>
      <c r="G197" s="42"/>
      <c r="H197" s="42"/>
      <c r="I197" s="42"/>
      <c r="J197" s="42"/>
      <c r="K197" s="304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</row>
    <row r="198">
      <c r="A198" s="125"/>
      <c r="B198" s="258"/>
      <c r="C198" s="361"/>
      <c r="D198" s="42"/>
      <c r="E198" s="42"/>
      <c r="F198" s="42"/>
      <c r="G198" s="42"/>
      <c r="H198" s="42"/>
      <c r="I198" s="42"/>
      <c r="J198" s="42"/>
      <c r="K198" s="304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</row>
    <row r="199">
      <c r="A199" s="125"/>
      <c r="B199" s="258"/>
      <c r="C199" s="361"/>
      <c r="D199" s="42"/>
      <c r="E199" s="42"/>
      <c r="F199" s="42"/>
      <c r="G199" s="42"/>
      <c r="H199" s="42"/>
      <c r="I199" s="42"/>
      <c r="J199" s="42"/>
      <c r="K199" s="304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</row>
    <row r="200">
      <c r="A200" s="125"/>
      <c r="B200" s="258"/>
      <c r="C200" s="361"/>
      <c r="D200" s="42"/>
      <c r="E200" s="42"/>
      <c r="F200" s="42"/>
      <c r="G200" s="42"/>
      <c r="H200" s="42"/>
      <c r="I200" s="42"/>
      <c r="J200" s="42"/>
      <c r="K200" s="304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</row>
    <row r="201">
      <c r="A201" s="125"/>
      <c r="B201" s="258"/>
      <c r="C201" s="361"/>
      <c r="D201" s="42"/>
      <c r="E201" s="42"/>
      <c r="F201" s="42"/>
      <c r="G201" s="42"/>
      <c r="H201" s="42"/>
      <c r="I201" s="42"/>
      <c r="J201" s="42"/>
      <c r="K201" s="304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</row>
    <row r="202">
      <c r="A202" s="125"/>
      <c r="B202" s="258"/>
      <c r="C202" s="361"/>
      <c r="D202" s="42"/>
      <c r="E202" s="42"/>
      <c r="F202" s="42"/>
      <c r="G202" s="42"/>
      <c r="H202" s="42"/>
      <c r="I202" s="42"/>
      <c r="J202" s="42"/>
      <c r="K202" s="304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</row>
    <row r="203">
      <c r="A203" s="125"/>
      <c r="B203" s="258"/>
      <c r="C203" s="361"/>
      <c r="D203" s="42"/>
      <c r="E203" s="42"/>
      <c r="F203" s="42"/>
      <c r="G203" s="42"/>
      <c r="H203" s="42"/>
      <c r="I203" s="42"/>
      <c r="J203" s="42"/>
      <c r="K203" s="304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</row>
    <row r="204">
      <c r="A204" s="125"/>
      <c r="B204" s="258"/>
      <c r="C204" s="361"/>
      <c r="D204" s="42"/>
      <c r="E204" s="42"/>
      <c r="F204" s="42"/>
      <c r="G204" s="42"/>
      <c r="H204" s="42"/>
      <c r="I204" s="42"/>
      <c r="J204" s="42"/>
      <c r="K204" s="304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</row>
    <row r="205">
      <c r="A205" s="125"/>
      <c r="B205" s="258"/>
      <c r="C205" s="361"/>
      <c r="D205" s="42"/>
      <c r="E205" s="42"/>
      <c r="F205" s="42"/>
      <c r="G205" s="42"/>
      <c r="H205" s="42"/>
      <c r="I205" s="42"/>
      <c r="J205" s="42"/>
      <c r="K205" s="304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</row>
    <row r="206">
      <c r="A206" s="125"/>
      <c r="B206" s="258"/>
      <c r="C206" s="361"/>
      <c r="D206" s="42"/>
      <c r="E206" s="42"/>
      <c r="F206" s="42"/>
      <c r="G206" s="42"/>
      <c r="H206" s="42"/>
      <c r="I206" s="42"/>
      <c r="J206" s="42"/>
      <c r="K206" s="304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</row>
    <row r="207">
      <c r="A207" s="125"/>
      <c r="B207" s="258"/>
      <c r="C207" s="361"/>
      <c r="D207" s="42"/>
      <c r="E207" s="42"/>
      <c r="F207" s="42"/>
      <c r="G207" s="42"/>
      <c r="H207" s="42"/>
      <c r="I207" s="42"/>
      <c r="J207" s="42"/>
      <c r="K207" s="304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</row>
    <row r="208">
      <c r="A208" s="125"/>
      <c r="B208" s="258"/>
      <c r="C208" s="361"/>
      <c r="D208" s="42"/>
      <c r="E208" s="42"/>
      <c r="F208" s="42"/>
      <c r="G208" s="42"/>
      <c r="H208" s="42"/>
      <c r="I208" s="42"/>
      <c r="J208" s="42"/>
      <c r="K208" s="304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</row>
    <row r="209">
      <c r="A209" s="125"/>
      <c r="B209" s="258"/>
      <c r="C209" s="361"/>
      <c r="D209" s="42"/>
      <c r="E209" s="42"/>
      <c r="F209" s="42"/>
      <c r="G209" s="42"/>
      <c r="H209" s="42"/>
      <c r="I209" s="42"/>
      <c r="J209" s="42"/>
      <c r="K209" s="304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</row>
    <row r="210">
      <c r="A210" s="125"/>
      <c r="B210" s="258"/>
      <c r="C210" s="361"/>
      <c r="D210" s="42"/>
      <c r="E210" s="42"/>
      <c r="F210" s="42"/>
      <c r="G210" s="42"/>
      <c r="H210" s="42"/>
      <c r="I210" s="42"/>
      <c r="J210" s="42"/>
      <c r="K210" s="304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</row>
    <row r="211">
      <c r="A211" s="125"/>
      <c r="B211" s="258"/>
      <c r="C211" s="361"/>
      <c r="D211" s="42"/>
      <c r="E211" s="42"/>
      <c r="F211" s="42"/>
      <c r="G211" s="42"/>
      <c r="H211" s="42"/>
      <c r="I211" s="42"/>
      <c r="J211" s="42"/>
      <c r="K211" s="304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</row>
    <row r="212">
      <c r="A212" s="125"/>
      <c r="B212" s="258"/>
      <c r="C212" s="361"/>
      <c r="D212" s="42"/>
      <c r="E212" s="42"/>
      <c r="F212" s="42"/>
      <c r="G212" s="42"/>
      <c r="H212" s="42"/>
      <c r="I212" s="42"/>
      <c r="J212" s="42"/>
      <c r="K212" s="304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</row>
    <row r="213">
      <c r="A213" s="125"/>
      <c r="B213" s="258"/>
      <c r="C213" s="361"/>
      <c r="D213" s="42"/>
      <c r="E213" s="42"/>
      <c r="F213" s="42"/>
      <c r="G213" s="42"/>
      <c r="H213" s="42"/>
      <c r="I213" s="42"/>
      <c r="J213" s="42"/>
      <c r="K213" s="304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</row>
    <row r="214">
      <c r="A214" s="125"/>
      <c r="B214" s="258"/>
      <c r="C214" s="361"/>
      <c r="D214" s="42"/>
      <c r="E214" s="42"/>
      <c r="F214" s="42"/>
      <c r="G214" s="42"/>
      <c r="H214" s="42"/>
      <c r="I214" s="42"/>
      <c r="J214" s="42"/>
      <c r="K214" s="304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</row>
    <row r="215">
      <c r="A215" s="125"/>
      <c r="B215" s="258"/>
      <c r="C215" s="361"/>
      <c r="D215" s="42"/>
      <c r="E215" s="42"/>
      <c r="F215" s="42"/>
      <c r="G215" s="42"/>
      <c r="H215" s="42"/>
      <c r="I215" s="42"/>
      <c r="J215" s="42"/>
      <c r="K215" s="304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</row>
    <row r="216">
      <c r="A216" s="125"/>
      <c r="B216" s="258"/>
      <c r="C216" s="361"/>
      <c r="D216" s="42"/>
      <c r="E216" s="42"/>
      <c r="F216" s="42"/>
      <c r="G216" s="42"/>
      <c r="H216" s="42"/>
      <c r="I216" s="42"/>
      <c r="J216" s="42"/>
      <c r="K216" s="304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</row>
    <row r="217">
      <c r="A217" s="125"/>
      <c r="B217" s="258"/>
      <c r="C217" s="361"/>
      <c r="D217" s="42"/>
      <c r="E217" s="42"/>
      <c r="F217" s="42"/>
      <c r="G217" s="42"/>
      <c r="H217" s="42"/>
      <c r="I217" s="42"/>
      <c r="J217" s="42"/>
      <c r="K217" s="304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</row>
    <row r="218">
      <c r="A218" s="125"/>
      <c r="B218" s="258"/>
      <c r="C218" s="361"/>
      <c r="D218" s="42"/>
      <c r="E218" s="42"/>
      <c r="F218" s="42"/>
      <c r="G218" s="42"/>
      <c r="H218" s="42"/>
      <c r="I218" s="42"/>
      <c r="J218" s="42"/>
      <c r="K218" s="304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</row>
    <row r="219">
      <c r="A219" s="125"/>
      <c r="B219" s="258"/>
      <c r="C219" s="361"/>
      <c r="D219" s="42"/>
      <c r="E219" s="42"/>
      <c r="F219" s="42"/>
      <c r="G219" s="42"/>
      <c r="H219" s="42"/>
      <c r="I219" s="42"/>
      <c r="J219" s="42"/>
      <c r="K219" s="304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</row>
    <row r="220">
      <c r="A220" s="125"/>
      <c r="B220" s="258"/>
      <c r="C220" s="361"/>
      <c r="D220" s="42"/>
      <c r="E220" s="42"/>
      <c r="F220" s="42"/>
      <c r="G220" s="42"/>
      <c r="H220" s="42"/>
      <c r="I220" s="42"/>
      <c r="J220" s="42"/>
      <c r="K220" s="304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</row>
    <row r="221">
      <c r="A221" s="125"/>
      <c r="B221" s="258"/>
      <c r="C221" s="361"/>
      <c r="D221" s="42"/>
      <c r="E221" s="42"/>
      <c r="F221" s="42"/>
      <c r="G221" s="42"/>
      <c r="H221" s="42"/>
      <c r="I221" s="42"/>
      <c r="J221" s="42"/>
      <c r="K221" s="304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</row>
    <row r="222">
      <c r="A222" s="125"/>
      <c r="B222" s="258"/>
      <c r="C222" s="361"/>
      <c r="D222" s="42"/>
      <c r="E222" s="42"/>
      <c r="F222" s="42"/>
      <c r="G222" s="42"/>
      <c r="H222" s="42"/>
      <c r="I222" s="42"/>
      <c r="J222" s="42"/>
      <c r="K222" s="304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</row>
    <row r="223">
      <c r="A223" s="125"/>
      <c r="B223" s="258"/>
      <c r="C223" s="361"/>
      <c r="D223" s="42"/>
      <c r="E223" s="42"/>
      <c r="F223" s="42"/>
      <c r="G223" s="42"/>
      <c r="H223" s="42"/>
      <c r="I223" s="42"/>
      <c r="J223" s="42"/>
      <c r="K223" s="304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</row>
    <row r="224">
      <c r="A224" s="125"/>
      <c r="B224" s="258"/>
      <c r="C224" s="361"/>
      <c r="D224" s="42"/>
      <c r="E224" s="42"/>
      <c r="F224" s="42"/>
      <c r="G224" s="42"/>
      <c r="H224" s="42"/>
      <c r="I224" s="42"/>
      <c r="J224" s="42"/>
      <c r="K224" s="304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</row>
    <row r="225">
      <c r="A225" s="125"/>
      <c r="B225" s="258"/>
      <c r="C225" s="361"/>
      <c r="D225" s="42"/>
      <c r="E225" s="42"/>
      <c r="F225" s="42"/>
      <c r="G225" s="42"/>
      <c r="H225" s="42"/>
      <c r="I225" s="42"/>
      <c r="J225" s="42"/>
      <c r="K225" s="304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</row>
    <row r="226">
      <c r="A226" s="125"/>
      <c r="B226" s="258"/>
      <c r="C226" s="361"/>
      <c r="D226" s="42"/>
      <c r="E226" s="42"/>
      <c r="F226" s="42"/>
      <c r="G226" s="42"/>
      <c r="H226" s="42"/>
      <c r="I226" s="42"/>
      <c r="J226" s="42"/>
      <c r="K226" s="304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</row>
    <row r="227">
      <c r="A227" s="125"/>
      <c r="B227" s="258"/>
      <c r="C227" s="361"/>
      <c r="D227" s="42"/>
      <c r="E227" s="42"/>
      <c r="F227" s="42"/>
      <c r="G227" s="42"/>
      <c r="H227" s="42"/>
      <c r="I227" s="42"/>
      <c r="J227" s="42"/>
      <c r="K227" s="304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</row>
    <row r="228">
      <c r="A228" s="125"/>
      <c r="B228" s="258"/>
      <c r="C228" s="361"/>
      <c r="D228" s="42"/>
      <c r="E228" s="42"/>
      <c r="F228" s="42"/>
      <c r="G228" s="42"/>
      <c r="H228" s="42"/>
      <c r="I228" s="42"/>
      <c r="J228" s="42"/>
      <c r="K228" s="304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</row>
    <row r="229">
      <c r="A229" s="125"/>
      <c r="B229" s="258"/>
      <c r="C229" s="361"/>
      <c r="D229" s="42"/>
      <c r="E229" s="42"/>
      <c r="F229" s="42"/>
      <c r="G229" s="42"/>
      <c r="H229" s="42"/>
      <c r="I229" s="42"/>
      <c r="J229" s="42"/>
      <c r="K229" s="304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</row>
    <row r="230">
      <c r="A230" s="125"/>
      <c r="B230" s="258"/>
      <c r="C230" s="361"/>
      <c r="D230" s="42"/>
      <c r="E230" s="42"/>
      <c r="F230" s="42"/>
      <c r="G230" s="42"/>
      <c r="H230" s="42"/>
      <c r="I230" s="42"/>
      <c r="J230" s="42"/>
      <c r="K230" s="304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</row>
    <row r="231">
      <c r="A231" s="125"/>
      <c r="B231" s="258"/>
      <c r="C231" s="361"/>
      <c r="D231" s="42"/>
      <c r="E231" s="42"/>
      <c r="F231" s="42"/>
      <c r="G231" s="42"/>
      <c r="H231" s="42"/>
      <c r="I231" s="42"/>
      <c r="J231" s="42"/>
      <c r="K231" s="304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</row>
    <row r="232">
      <c r="A232" s="125"/>
      <c r="B232" s="258"/>
      <c r="C232" s="361"/>
      <c r="D232" s="42"/>
      <c r="E232" s="42"/>
      <c r="F232" s="42"/>
      <c r="G232" s="42"/>
      <c r="H232" s="42"/>
      <c r="I232" s="42"/>
      <c r="J232" s="42"/>
      <c r="K232" s="304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</row>
    <row r="233">
      <c r="A233" s="125"/>
      <c r="B233" s="258"/>
      <c r="C233" s="361"/>
      <c r="D233" s="42"/>
      <c r="E233" s="42"/>
      <c r="F233" s="42"/>
      <c r="G233" s="42"/>
      <c r="H233" s="42"/>
      <c r="I233" s="42"/>
      <c r="J233" s="42"/>
      <c r="K233" s="304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</row>
    <row r="234">
      <c r="A234" s="125"/>
      <c r="B234" s="258"/>
      <c r="C234" s="361"/>
      <c r="D234" s="42"/>
      <c r="E234" s="42"/>
      <c r="F234" s="42"/>
      <c r="G234" s="42"/>
      <c r="H234" s="42"/>
      <c r="I234" s="42"/>
      <c r="J234" s="42"/>
      <c r="K234" s="304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</row>
    <row r="235">
      <c r="A235" s="125"/>
      <c r="B235" s="258"/>
      <c r="C235" s="361"/>
      <c r="D235" s="42"/>
      <c r="E235" s="42"/>
      <c r="F235" s="42"/>
      <c r="G235" s="42"/>
      <c r="H235" s="42"/>
      <c r="I235" s="42"/>
      <c r="J235" s="42"/>
      <c r="K235" s="304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</row>
    <row r="236">
      <c r="A236" s="125"/>
      <c r="B236" s="267"/>
      <c r="C236" s="361"/>
      <c r="D236" s="42"/>
      <c r="E236" s="42"/>
      <c r="F236" s="42"/>
      <c r="G236" s="42"/>
      <c r="H236" s="42"/>
      <c r="I236" s="42"/>
      <c r="J236" s="42"/>
      <c r="K236" s="304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</row>
    <row r="237">
      <c r="A237" s="125"/>
      <c r="B237" s="267"/>
      <c r="C237" s="361"/>
      <c r="D237" s="42"/>
      <c r="E237" s="42"/>
      <c r="F237" s="42"/>
      <c r="G237" s="42"/>
      <c r="H237" s="42"/>
      <c r="I237" s="42"/>
      <c r="J237" s="42"/>
      <c r="K237" s="304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</row>
    <row r="238">
      <c r="A238" s="125"/>
      <c r="B238" s="267"/>
      <c r="C238" s="361"/>
      <c r="D238" s="42"/>
      <c r="E238" s="42"/>
      <c r="F238" s="42"/>
      <c r="G238" s="42"/>
      <c r="H238" s="42"/>
      <c r="I238" s="42"/>
      <c r="J238" s="42"/>
      <c r="K238" s="304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</row>
    <row r="239">
      <c r="A239" s="125"/>
      <c r="B239" s="267"/>
      <c r="C239" s="361"/>
      <c r="D239" s="42"/>
      <c r="E239" s="42"/>
      <c r="F239" s="42"/>
      <c r="G239" s="42"/>
      <c r="H239" s="42"/>
      <c r="I239" s="42"/>
      <c r="J239" s="42"/>
      <c r="K239" s="304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</row>
    <row r="240">
      <c r="A240" s="125"/>
      <c r="B240" s="267"/>
      <c r="C240" s="361"/>
      <c r="D240" s="42"/>
      <c r="E240" s="42"/>
      <c r="F240" s="42"/>
      <c r="G240" s="42"/>
      <c r="H240" s="42"/>
      <c r="I240" s="42"/>
      <c r="J240" s="42"/>
      <c r="K240" s="304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</row>
    <row r="241">
      <c r="A241" s="125"/>
      <c r="B241" s="267"/>
      <c r="C241" s="361"/>
      <c r="D241" s="42"/>
      <c r="E241" s="42"/>
      <c r="F241" s="42"/>
      <c r="G241" s="42"/>
      <c r="H241" s="42"/>
      <c r="I241" s="42"/>
      <c r="J241" s="42"/>
      <c r="K241" s="304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</row>
    <row r="242">
      <c r="A242" s="125"/>
      <c r="B242" s="267"/>
      <c r="C242" s="361"/>
      <c r="D242" s="42"/>
      <c r="E242" s="42"/>
      <c r="F242" s="42"/>
      <c r="G242" s="42"/>
      <c r="H242" s="42"/>
      <c r="I242" s="42"/>
      <c r="J242" s="42"/>
      <c r="K242" s="304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</row>
    <row r="243">
      <c r="A243" s="125"/>
      <c r="B243" s="267"/>
      <c r="C243" s="361"/>
      <c r="D243" s="42"/>
      <c r="E243" s="42"/>
      <c r="F243" s="42"/>
      <c r="G243" s="42"/>
      <c r="H243" s="42"/>
      <c r="I243" s="42"/>
      <c r="J243" s="42"/>
      <c r="K243" s="304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</row>
    <row r="244">
      <c r="A244" s="125"/>
      <c r="B244" s="267"/>
      <c r="C244" s="361"/>
      <c r="D244" s="42"/>
      <c r="E244" s="42"/>
      <c r="F244" s="42"/>
      <c r="G244" s="42"/>
      <c r="H244" s="42"/>
      <c r="I244" s="42"/>
      <c r="J244" s="42"/>
      <c r="K244" s="304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</row>
    <row r="245">
      <c r="A245" s="125"/>
      <c r="B245" s="267"/>
      <c r="C245" s="361"/>
      <c r="D245" s="42"/>
      <c r="E245" s="42"/>
      <c r="F245" s="42"/>
      <c r="G245" s="42"/>
      <c r="H245" s="42"/>
      <c r="I245" s="42"/>
      <c r="J245" s="42"/>
      <c r="K245" s="304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</row>
    <row r="246">
      <c r="A246" s="125"/>
      <c r="B246" s="267"/>
      <c r="C246" s="361"/>
      <c r="D246" s="42"/>
      <c r="E246" s="42"/>
      <c r="F246" s="42"/>
      <c r="G246" s="42"/>
      <c r="H246" s="42"/>
      <c r="I246" s="42"/>
      <c r="J246" s="42"/>
      <c r="K246" s="304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</row>
    <row r="247">
      <c r="A247" s="125"/>
      <c r="B247" s="267"/>
      <c r="C247" s="361"/>
      <c r="D247" s="42"/>
      <c r="E247" s="42"/>
      <c r="F247" s="42"/>
      <c r="G247" s="42"/>
      <c r="H247" s="42"/>
      <c r="I247" s="42"/>
      <c r="J247" s="42"/>
      <c r="K247" s="304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</row>
    <row r="248">
      <c r="A248" s="125"/>
      <c r="B248" s="267"/>
      <c r="C248" s="361"/>
      <c r="D248" s="42"/>
      <c r="E248" s="42"/>
      <c r="F248" s="42"/>
      <c r="G248" s="42"/>
      <c r="H248" s="42"/>
      <c r="I248" s="42"/>
      <c r="J248" s="42"/>
      <c r="K248" s="304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</row>
    <row r="249">
      <c r="A249" s="125"/>
      <c r="B249" s="267"/>
      <c r="C249" s="361"/>
      <c r="D249" s="42"/>
      <c r="E249" s="42"/>
      <c r="F249" s="42"/>
      <c r="G249" s="42"/>
      <c r="H249" s="42"/>
      <c r="I249" s="42"/>
      <c r="J249" s="42"/>
      <c r="K249" s="304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</row>
    <row r="250">
      <c r="A250" s="125"/>
      <c r="B250" s="267"/>
      <c r="C250" s="361"/>
      <c r="D250" s="42"/>
      <c r="E250" s="42"/>
      <c r="F250" s="42"/>
      <c r="G250" s="42"/>
      <c r="H250" s="42"/>
      <c r="I250" s="42"/>
      <c r="J250" s="42"/>
      <c r="K250" s="304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</row>
    <row r="251">
      <c r="A251" s="125"/>
      <c r="B251" s="267"/>
      <c r="C251" s="361"/>
      <c r="D251" s="42"/>
      <c r="E251" s="42"/>
      <c r="F251" s="42"/>
      <c r="G251" s="42"/>
      <c r="H251" s="42"/>
      <c r="I251" s="42"/>
      <c r="J251" s="42"/>
      <c r="K251" s="304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</row>
    <row r="252">
      <c r="A252" s="125"/>
      <c r="B252" s="267"/>
      <c r="C252" s="361"/>
      <c r="D252" s="42"/>
      <c r="E252" s="42"/>
      <c r="F252" s="42"/>
      <c r="G252" s="42"/>
      <c r="H252" s="42"/>
      <c r="I252" s="42"/>
      <c r="J252" s="42"/>
      <c r="K252" s="304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</row>
    <row r="253">
      <c r="A253" s="125"/>
      <c r="B253" s="267"/>
      <c r="C253" s="361"/>
      <c r="D253" s="42"/>
      <c r="E253" s="42"/>
      <c r="F253" s="42"/>
      <c r="G253" s="42"/>
      <c r="H253" s="42"/>
      <c r="I253" s="42"/>
      <c r="J253" s="42"/>
      <c r="K253" s="304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</row>
    <row r="254">
      <c r="A254" s="125"/>
      <c r="B254" s="267"/>
      <c r="C254" s="361"/>
      <c r="D254" s="42"/>
      <c r="E254" s="42"/>
      <c r="F254" s="42"/>
      <c r="G254" s="42"/>
      <c r="H254" s="42"/>
      <c r="I254" s="42"/>
      <c r="J254" s="42"/>
      <c r="K254" s="304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</row>
    <row r="255">
      <c r="A255" s="125"/>
      <c r="B255" s="267"/>
      <c r="C255" s="361"/>
      <c r="D255" s="42"/>
      <c r="E255" s="42"/>
      <c r="F255" s="42"/>
      <c r="G255" s="42"/>
      <c r="H255" s="42"/>
      <c r="I255" s="42"/>
      <c r="J255" s="42"/>
      <c r="K255" s="304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</row>
    <row r="256">
      <c r="A256" s="125"/>
      <c r="B256" s="267"/>
      <c r="C256" s="361"/>
      <c r="D256" s="42"/>
      <c r="E256" s="42"/>
      <c r="F256" s="42"/>
      <c r="G256" s="42"/>
      <c r="H256" s="42"/>
      <c r="I256" s="42"/>
      <c r="J256" s="42"/>
      <c r="K256" s="304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</row>
    <row r="257">
      <c r="A257" s="125"/>
      <c r="B257" s="267"/>
      <c r="C257" s="361"/>
      <c r="D257" s="42"/>
      <c r="E257" s="42"/>
      <c r="F257" s="42"/>
      <c r="G257" s="42"/>
      <c r="H257" s="42"/>
      <c r="I257" s="42"/>
      <c r="J257" s="42"/>
      <c r="K257" s="304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</row>
    <row r="258">
      <c r="A258" s="125"/>
      <c r="B258" s="267"/>
      <c r="C258" s="361"/>
      <c r="D258" s="42"/>
      <c r="E258" s="42"/>
      <c r="F258" s="42"/>
      <c r="G258" s="42"/>
      <c r="H258" s="42"/>
      <c r="I258" s="42"/>
      <c r="J258" s="42"/>
      <c r="K258" s="304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</row>
    <row r="259">
      <c r="A259" s="125"/>
      <c r="B259" s="267"/>
      <c r="C259" s="361"/>
      <c r="D259" s="42"/>
      <c r="E259" s="42"/>
      <c r="F259" s="42"/>
      <c r="G259" s="42"/>
      <c r="H259" s="42"/>
      <c r="I259" s="42"/>
      <c r="J259" s="42"/>
      <c r="K259" s="304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</row>
    <row r="260">
      <c r="A260" s="125"/>
      <c r="B260" s="267"/>
      <c r="C260" s="361"/>
      <c r="D260" s="42"/>
      <c r="E260" s="42"/>
      <c r="F260" s="42"/>
      <c r="G260" s="42"/>
      <c r="H260" s="42"/>
      <c r="I260" s="42"/>
      <c r="J260" s="42"/>
      <c r="K260" s="304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</row>
    <row r="261">
      <c r="A261" s="125"/>
      <c r="B261" s="267"/>
      <c r="C261" s="361"/>
      <c r="D261" s="42"/>
      <c r="E261" s="42"/>
      <c r="F261" s="42"/>
      <c r="G261" s="42"/>
      <c r="H261" s="42"/>
      <c r="I261" s="42"/>
      <c r="J261" s="42"/>
      <c r="K261" s="304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</row>
    <row r="262">
      <c r="A262" s="125"/>
      <c r="B262" s="267"/>
      <c r="C262" s="361"/>
      <c r="D262" s="42"/>
      <c r="E262" s="42"/>
      <c r="F262" s="42"/>
      <c r="G262" s="42"/>
      <c r="H262" s="42"/>
      <c r="I262" s="42"/>
      <c r="J262" s="42"/>
      <c r="K262" s="304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</row>
    <row r="263">
      <c r="A263" s="125"/>
      <c r="B263" s="267"/>
      <c r="C263" s="361"/>
      <c r="D263" s="42"/>
      <c r="E263" s="42"/>
      <c r="F263" s="42"/>
      <c r="G263" s="42"/>
      <c r="H263" s="42"/>
      <c r="I263" s="42"/>
      <c r="J263" s="42"/>
      <c r="K263" s="304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</row>
    <row r="264">
      <c r="A264" s="125"/>
      <c r="B264" s="267"/>
      <c r="C264" s="361"/>
      <c r="D264" s="42"/>
      <c r="E264" s="42"/>
      <c r="F264" s="42"/>
      <c r="G264" s="42"/>
      <c r="H264" s="42"/>
      <c r="I264" s="42"/>
      <c r="J264" s="42"/>
      <c r="K264" s="304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</row>
    <row r="265">
      <c r="A265" s="125"/>
      <c r="B265" s="267"/>
      <c r="C265" s="361"/>
      <c r="D265" s="42"/>
      <c r="E265" s="42"/>
      <c r="F265" s="42"/>
      <c r="G265" s="42"/>
      <c r="H265" s="42"/>
      <c r="I265" s="42"/>
      <c r="J265" s="42"/>
      <c r="K265" s="304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</row>
    <row r="266">
      <c r="A266" s="125"/>
      <c r="B266" s="267"/>
      <c r="C266" s="361"/>
      <c r="D266" s="42"/>
      <c r="E266" s="42"/>
      <c r="F266" s="42"/>
      <c r="G266" s="42"/>
      <c r="H266" s="42"/>
      <c r="I266" s="42"/>
      <c r="J266" s="42"/>
      <c r="K266" s="304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</row>
    <row r="267">
      <c r="A267" s="125"/>
      <c r="B267" s="267"/>
      <c r="C267" s="361"/>
      <c r="D267" s="42"/>
      <c r="E267" s="42"/>
      <c r="F267" s="42"/>
      <c r="G267" s="42"/>
      <c r="H267" s="42"/>
      <c r="I267" s="42"/>
      <c r="J267" s="42"/>
      <c r="K267" s="304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</row>
    <row r="268">
      <c r="A268" s="125"/>
      <c r="B268" s="267"/>
      <c r="C268" s="361"/>
      <c r="D268" s="42"/>
      <c r="E268" s="42"/>
      <c r="F268" s="42"/>
      <c r="G268" s="42"/>
      <c r="H268" s="42"/>
      <c r="I268" s="42"/>
      <c r="J268" s="42"/>
      <c r="K268" s="304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</row>
    <row r="269">
      <c r="A269" s="125"/>
      <c r="B269" s="267"/>
      <c r="C269" s="361"/>
      <c r="D269" s="42"/>
      <c r="E269" s="42"/>
      <c r="F269" s="42"/>
      <c r="G269" s="42"/>
      <c r="H269" s="42"/>
      <c r="I269" s="42"/>
      <c r="J269" s="42"/>
      <c r="K269" s="304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</row>
    <row r="270">
      <c r="A270" s="125"/>
      <c r="B270" s="267"/>
      <c r="C270" s="361"/>
      <c r="D270" s="42"/>
      <c r="E270" s="42"/>
      <c r="F270" s="42"/>
      <c r="G270" s="42"/>
      <c r="H270" s="42"/>
      <c r="I270" s="42"/>
      <c r="J270" s="42"/>
      <c r="K270" s="304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</row>
    <row r="271">
      <c r="A271" s="125"/>
      <c r="B271" s="267"/>
      <c r="C271" s="361"/>
      <c r="D271" s="42"/>
      <c r="E271" s="42"/>
      <c r="F271" s="42"/>
      <c r="G271" s="42"/>
      <c r="H271" s="42"/>
      <c r="I271" s="42"/>
      <c r="J271" s="42"/>
      <c r="K271" s="304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</row>
    <row r="272">
      <c r="A272" s="125"/>
      <c r="B272" s="267"/>
      <c r="C272" s="361"/>
      <c r="D272" s="42"/>
      <c r="E272" s="42"/>
      <c r="F272" s="42"/>
      <c r="G272" s="42"/>
      <c r="H272" s="42"/>
      <c r="I272" s="42"/>
      <c r="J272" s="42"/>
      <c r="K272" s="304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</row>
    <row r="273">
      <c r="A273" s="125"/>
      <c r="B273" s="267"/>
      <c r="C273" s="361"/>
      <c r="D273" s="42"/>
      <c r="E273" s="42"/>
      <c r="F273" s="42"/>
      <c r="G273" s="42"/>
      <c r="H273" s="42"/>
      <c r="I273" s="42"/>
      <c r="J273" s="42"/>
      <c r="K273" s="304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</row>
    <row r="274">
      <c r="A274" s="125"/>
      <c r="B274" s="267"/>
      <c r="C274" s="361"/>
      <c r="D274" s="42"/>
      <c r="E274" s="42"/>
      <c r="F274" s="42"/>
      <c r="G274" s="42"/>
      <c r="H274" s="42"/>
      <c r="I274" s="42"/>
      <c r="J274" s="42"/>
      <c r="K274" s="304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</row>
    <row r="275">
      <c r="A275" s="125"/>
      <c r="B275" s="267"/>
      <c r="C275" s="361"/>
      <c r="D275" s="42"/>
      <c r="E275" s="42"/>
      <c r="F275" s="42"/>
      <c r="G275" s="42"/>
      <c r="H275" s="42"/>
      <c r="I275" s="42"/>
      <c r="J275" s="42"/>
      <c r="K275" s="304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</row>
    <row r="276">
      <c r="A276" s="125"/>
      <c r="B276" s="267"/>
      <c r="C276" s="361"/>
      <c r="D276" s="42"/>
      <c r="E276" s="42"/>
      <c r="F276" s="42"/>
      <c r="G276" s="42"/>
      <c r="H276" s="42"/>
      <c r="I276" s="42"/>
      <c r="J276" s="42"/>
      <c r="K276" s="304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</row>
    <row r="277">
      <c r="A277" s="125"/>
      <c r="B277" s="267"/>
      <c r="C277" s="361"/>
      <c r="D277" s="42"/>
      <c r="E277" s="42"/>
      <c r="F277" s="42"/>
      <c r="G277" s="42"/>
      <c r="H277" s="42"/>
      <c r="I277" s="42"/>
      <c r="J277" s="42"/>
      <c r="K277" s="304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</row>
    <row r="278">
      <c r="A278" s="125"/>
      <c r="B278" s="267"/>
      <c r="C278" s="361"/>
      <c r="D278" s="42"/>
      <c r="E278" s="42"/>
      <c r="F278" s="42"/>
      <c r="G278" s="42"/>
      <c r="H278" s="42"/>
      <c r="I278" s="42"/>
      <c r="J278" s="42"/>
      <c r="K278" s="304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</row>
    <row r="279">
      <c r="A279" s="125"/>
      <c r="B279" s="267"/>
      <c r="C279" s="361"/>
      <c r="D279" s="42"/>
      <c r="E279" s="42"/>
      <c r="F279" s="42"/>
      <c r="G279" s="42"/>
      <c r="H279" s="42"/>
      <c r="I279" s="42"/>
      <c r="J279" s="42"/>
      <c r="K279" s="304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</row>
    <row r="280">
      <c r="A280" s="125"/>
      <c r="B280" s="267"/>
      <c r="C280" s="361"/>
      <c r="D280" s="42"/>
      <c r="E280" s="42"/>
      <c r="F280" s="42"/>
      <c r="G280" s="42"/>
      <c r="H280" s="42"/>
      <c r="I280" s="42"/>
      <c r="J280" s="42"/>
      <c r="K280" s="304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</row>
    <row r="281">
      <c r="A281" s="125"/>
      <c r="B281" s="267"/>
      <c r="C281" s="361"/>
      <c r="D281" s="42"/>
      <c r="E281" s="42"/>
      <c r="F281" s="42"/>
      <c r="G281" s="42"/>
      <c r="H281" s="42"/>
      <c r="I281" s="42"/>
      <c r="J281" s="42"/>
      <c r="K281" s="304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</row>
    <row r="282">
      <c r="A282" s="125"/>
      <c r="B282" s="267"/>
      <c r="C282" s="361"/>
      <c r="D282" s="42"/>
      <c r="E282" s="42"/>
      <c r="F282" s="42"/>
      <c r="G282" s="42"/>
      <c r="H282" s="42"/>
      <c r="I282" s="42"/>
      <c r="J282" s="42"/>
      <c r="K282" s="304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</row>
    <row r="283">
      <c r="A283" s="125"/>
      <c r="B283" s="267"/>
      <c r="C283" s="361"/>
      <c r="D283" s="42"/>
      <c r="E283" s="42"/>
      <c r="F283" s="42"/>
      <c r="G283" s="42"/>
      <c r="H283" s="42"/>
      <c r="I283" s="42"/>
      <c r="J283" s="42"/>
      <c r="K283" s="304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</row>
    <row r="284">
      <c r="A284" s="125"/>
      <c r="B284" s="267"/>
      <c r="C284" s="361"/>
      <c r="D284" s="42"/>
      <c r="E284" s="42"/>
      <c r="F284" s="42"/>
      <c r="G284" s="42"/>
      <c r="H284" s="42"/>
      <c r="I284" s="42"/>
      <c r="J284" s="42"/>
      <c r="K284" s="304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</row>
    <row r="285">
      <c r="A285" s="125"/>
      <c r="B285" s="267"/>
      <c r="C285" s="361"/>
      <c r="D285" s="42"/>
      <c r="E285" s="42"/>
      <c r="F285" s="42"/>
      <c r="G285" s="42"/>
      <c r="H285" s="42"/>
      <c r="I285" s="42"/>
      <c r="J285" s="42"/>
      <c r="K285" s="304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</row>
    <row r="286">
      <c r="A286" s="125"/>
      <c r="B286" s="267"/>
      <c r="C286" s="361"/>
      <c r="D286" s="42"/>
      <c r="E286" s="42"/>
      <c r="F286" s="42"/>
      <c r="G286" s="42"/>
      <c r="H286" s="42"/>
      <c r="I286" s="42"/>
      <c r="J286" s="42"/>
      <c r="K286" s="304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</row>
    <row r="287">
      <c r="A287" s="125"/>
      <c r="B287" s="267"/>
      <c r="C287" s="361"/>
      <c r="D287" s="42"/>
      <c r="E287" s="42"/>
      <c r="F287" s="42"/>
      <c r="G287" s="42"/>
      <c r="H287" s="42"/>
      <c r="I287" s="42"/>
      <c r="J287" s="42"/>
      <c r="K287" s="304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</row>
    <row r="288">
      <c r="A288" s="125"/>
      <c r="B288" s="267"/>
      <c r="C288" s="361"/>
      <c r="D288" s="42"/>
      <c r="E288" s="42"/>
      <c r="F288" s="42"/>
      <c r="G288" s="42"/>
      <c r="H288" s="42"/>
      <c r="I288" s="42"/>
      <c r="J288" s="42"/>
      <c r="K288" s="304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</row>
    <row r="289">
      <c r="A289" s="125"/>
      <c r="B289" s="267"/>
      <c r="C289" s="361"/>
      <c r="D289" s="42"/>
      <c r="E289" s="42"/>
      <c r="F289" s="42"/>
      <c r="G289" s="42"/>
      <c r="H289" s="42"/>
      <c r="I289" s="42"/>
      <c r="J289" s="42"/>
      <c r="K289" s="304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</row>
    <row r="290">
      <c r="A290" s="125"/>
      <c r="B290" s="267"/>
      <c r="C290" s="361"/>
      <c r="D290" s="42"/>
      <c r="E290" s="42"/>
      <c r="F290" s="42"/>
      <c r="G290" s="42"/>
      <c r="H290" s="42"/>
      <c r="I290" s="42"/>
      <c r="J290" s="42"/>
      <c r="K290" s="304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</row>
    <row r="291">
      <c r="A291" s="125"/>
      <c r="B291" s="267"/>
      <c r="C291" s="361"/>
      <c r="D291" s="42"/>
      <c r="E291" s="42"/>
      <c r="F291" s="42"/>
      <c r="G291" s="42"/>
      <c r="H291" s="42"/>
      <c r="I291" s="42"/>
      <c r="J291" s="42"/>
      <c r="K291" s="304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</row>
    <row r="292">
      <c r="A292" s="125"/>
      <c r="B292" s="267"/>
      <c r="C292" s="361"/>
      <c r="D292" s="42"/>
      <c r="E292" s="42"/>
      <c r="F292" s="42"/>
      <c r="G292" s="42"/>
      <c r="H292" s="42"/>
      <c r="I292" s="42"/>
      <c r="J292" s="42"/>
      <c r="K292" s="304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</row>
    <row r="293">
      <c r="A293" s="125"/>
      <c r="B293" s="267"/>
      <c r="C293" s="361"/>
      <c r="D293" s="42"/>
      <c r="E293" s="42"/>
      <c r="F293" s="42"/>
      <c r="G293" s="42"/>
      <c r="H293" s="42"/>
      <c r="I293" s="42"/>
      <c r="J293" s="42"/>
      <c r="K293" s="304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</row>
    <row r="294">
      <c r="A294" s="125"/>
      <c r="B294" s="267"/>
      <c r="C294" s="361"/>
      <c r="D294" s="42"/>
      <c r="E294" s="42"/>
      <c r="F294" s="42"/>
      <c r="G294" s="42"/>
      <c r="H294" s="42"/>
      <c r="I294" s="42"/>
      <c r="J294" s="42"/>
      <c r="K294" s="304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</row>
    <row r="295">
      <c r="A295" s="125"/>
      <c r="B295" s="267"/>
      <c r="C295" s="361"/>
      <c r="D295" s="42"/>
      <c r="E295" s="42"/>
      <c r="F295" s="42"/>
      <c r="G295" s="42"/>
      <c r="H295" s="42"/>
      <c r="I295" s="42"/>
      <c r="J295" s="42"/>
      <c r="K295" s="304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</row>
    <row r="296">
      <c r="A296" s="125"/>
      <c r="B296" s="267"/>
      <c r="C296" s="361"/>
      <c r="D296" s="42"/>
      <c r="E296" s="42"/>
      <c r="F296" s="42"/>
      <c r="G296" s="42"/>
      <c r="H296" s="42"/>
      <c r="I296" s="42"/>
      <c r="J296" s="42"/>
      <c r="K296" s="304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</row>
    <row r="297">
      <c r="A297" s="125"/>
      <c r="B297" s="267"/>
      <c r="C297" s="361"/>
      <c r="D297" s="42"/>
      <c r="E297" s="42"/>
      <c r="F297" s="42"/>
      <c r="G297" s="42"/>
      <c r="H297" s="42"/>
      <c r="I297" s="42"/>
      <c r="J297" s="42"/>
      <c r="K297" s="304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</row>
    <row r="298">
      <c r="A298" s="125"/>
      <c r="B298" s="267"/>
      <c r="C298" s="361"/>
      <c r="D298" s="42"/>
      <c r="E298" s="42"/>
      <c r="F298" s="42"/>
      <c r="G298" s="42"/>
      <c r="H298" s="42"/>
      <c r="I298" s="42"/>
      <c r="J298" s="42"/>
      <c r="K298" s="304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</row>
    <row r="299">
      <c r="A299" s="125"/>
      <c r="B299" s="267"/>
      <c r="C299" s="361"/>
      <c r="D299" s="42"/>
      <c r="E299" s="42"/>
      <c r="F299" s="42"/>
      <c r="G299" s="42"/>
      <c r="H299" s="42"/>
      <c r="I299" s="42"/>
      <c r="J299" s="42"/>
      <c r="K299" s="304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</row>
    <row r="300">
      <c r="A300" s="125"/>
      <c r="B300" s="267"/>
      <c r="C300" s="361"/>
      <c r="D300" s="42"/>
      <c r="E300" s="42"/>
      <c r="F300" s="42"/>
      <c r="G300" s="42"/>
      <c r="H300" s="42"/>
      <c r="I300" s="42"/>
      <c r="J300" s="42"/>
      <c r="K300" s="304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</row>
    <row r="301">
      <c r="A301" s="125"/>
      <c r="B301" s="267"/>
      <c r="C301" s="361"/>
      <c r="D301" s="42"/>
      <c r="E301" s="42"/>
      <c r="F301" s="42"/>
      <c r="G301" s="42"/>
      <c r="H301" s="42"/>
      <c r="I301" s="42"/>
      <c r="J301" s="42"/>
      <c r="K301" s="304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</row>
    <row r="302">
      <c r="A302" s="125"/>
      <c r="B302" s="267"/>
      <c r="C302" s="361"/>
      <c r="D302" s="42"/>
      <c r="E302" s="42"/>
      <c r="F302" s="42"/>
      <c r="G302" s="42"/>
      <c r="H302" s="42"/>
      <c r="I302" s="42"/>
      <c r="J302" s="42"/>
      <c r="K302" s="304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</row>
    <row r="303">
      <c r="A303" s="125"/>
      <c r="B303" s="267"/>
      <c r="C303" s="361"/>
      <c r="D303" s="42"/>
      <c r="E303" s="42"/>
      <c r="F303" s="42"/>
      <c r="G303" s="42"/>
      <c r="H303" s="42"/>
      <c r="I303" s="42"/>
      <c r="J303" s="42"/>
      <c r="K303" s="304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</row>
    <row r="304">
      <c r="A304" s="125"/>
      <c r="B304" s="267"/>
      <c r="C304" s="361"/>
      <c r="D304" s="42"/>
      <c r="E304" s="42"/>
      <c r="F304" s="42"/>
      <c r="G304" s="42"/>
      <c r="H304" s="42"/>
      <c r="I304" s="42"/>
      <c r="J304" s="42"/>
      <c r="K304" s="304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</row>
    <row r="305">
      <c r="A305" s="125"/>
      <c r="B305" s="267"/>
      <c r="C305" s="361"/>
      <c r="D305" s="42"/>
      <c r="E305" s="42"/>
      <c r="F305" s="42"/>
      <c r="G305" s="42"/>
      <c r="H305" s="42"/>
      <c r="I305" s="42"/>
      <c r="J305" s="42"/>
      <c r="K305" s="304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</row>
    <row r="306">
      <c r="A306" s="125"/>
      <c r="B306" s="267"/>
      <c r="C306" s="361"/>
      <c r="D306" s="42"/>
      <c r="E306" s="42"/>
      <c r="F306" s="42"/>
      <c r="G306" s="42"/>
      <c r="H306" s="42"/>
      <c r="I306" s="42"/>
      <c r="J306" s="42"/>
      <c r="K306" s="304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</row>
    <row r="307">
      <c r="A307" s="125"/>
      <c r="B307" s="267"/>
      <c r="C307" s="361"/>
      <c r="D307" s="42"/>
      <c r="E307" s="42"/>
      <c r="F307" s="42"/>
      <c r="G307" s="42"/>
      <c r="H307" s="42"/>
      <c r="I307" s="42"/>
      <c r="J307" s="42"/>
      <c r="K307" s="304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</row>
    <row r="308">
      <c r="A308" s="125"/>
      <c r="B308" s="267"/>
      <c r="C308" s="361"/>
      <c r="D308" s="42"/>
      <c r="E308" s="42"/>
      <c r="F308" s="42"/>
      <c r="G308" s="42"/>
      <c r="H308" s="42"/>
      <c r="I308" s="42"/>
      <c r="J308" s="42"/>
      <c r="K308" s="304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</row>
    <row r="309">
      <c r="A309" s="125"/>
      <c r="B309" s="267"/>
      <c r="C309" s="361"/>
      <c r="D309" s="42"/>
      <c r="E309" s="42"/>
      <c r="F309" s="42"/>
      <c r="G309" s="42"/>
      <c r="H309" s="42"/>
      <c r="I309" s="42"/>
      <c r="J309" s="42"/>
      <c r="K309" s="304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</row>
    <row r="310">
      <c r="A310" s="125"/>
      <c r="B310" s="267"/>
      <c r="C310" s="361"/>
      <c r="D310" s="42"/>
      <c r="E310" s="42"/>
      <c r="F310" s="42"/>
      <c r="G310" s="42"/>
      <c r="H310" s="42"/>
      <c r="I310" s="42"/>
      <c r="J310" s="42"/>
      <c r="K310" s="304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</row>
    <row r="311">
      <c r="A311" s="125"/>
      <c r="B311" s="267"/>
      <c r="C311" s="361"/>
      <c r="D311" s="42"/>
      <c r="E311" s="42"/>
      <c r="F311" s="42"/>
      <c r="G311" s="42"/>
      <c r="H311" s="42"/>
      <c r="I311" s="42"/>
      <c r="J311" s="42"/>
      <c r="K311" s="304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</row>
    <row r="312">
      <c r="A312" s="125"/>
      <c r="B312" s="267"/>
      <c r="C312" s="361"/>
      <c r="D312" s="42"/>
      <c r="E312" s="42"/>
      <c r="F312" s="42"/>
      <c r="G312" s="42"/>
      <c r="H312" s="42"/>
      <c r="I312" s="42"/>
      <c r="J312" s="42"/>
      <c r="K312" s="304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</row>
    <row r="313">
      <c r="A313" s="125"/>
      <c r="B313" s="267"/>
      <c r="C313" s="361"/>
      <c r="D313" s="42"/>
      <c r="E313" s="42"/>
      <c r="F313" s="42"/>
      <c r="G313" s="42"/>
      <c r="H313" s="42"/>
      <c r="I313" s="42"/>
      <c r="J313" s="42"/>
      <c r="K313" s="304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</row>
    <row r="314">
      <c r="A314" s="125"/>
      <c r="B314" s="267"/>
      <c r="C314" s="361"/>
      <c r="D314" s="42"/>
      <c r="E314" s="42"/>
      <c r="F314" s="42"/>
      <c r="G314" s="42"/>
      <c r="H314" s="42"/>
      <c r="I314" s="42"/>
      <c r="J314" s="42"/>
      <c r="K314" s="304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</row>
    <row r="315">
      <c r="A315" s="125"/>
      <c r="B315" s="267"/>
      <c r="C315" s="361"/>
      <c r="D315" s="42"/>
      <c r="E315" s="42"/>
      <c r="F315" s="42"/>
      <c r="G315" s="42"/>
      <c r="H315" s="42"/>
      <c r="I315" s="42"/>
      <c r="J315" s="42"/>
      <c r="K315" s="304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</row>
    <row r="316">
      <c r="A316" s="125"/>
      <c r="B316" s="267"/>
      <c r="C316" s="361"/>
      <c r="D316" s="42"/>
      <c r="E316" s="42"/>
      <c r="F316" s="42"/>
      <c r="G316" s="42"/>
      <c r="H316" s="42"/>
      <c r="I316" s="42"/>
      <c r="J316" s="42"/>
      <c r="K316" s="304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</row>
    <row r="317">
      <c r="A317" s="125"/>
      <c r="B317" s="267"/>
      <c r="C317" s="361"/>
      <c r="D317" s="42"/>
      <c r="E317" s="42"/>
      <c r="F317" s="42"/>
      <c r="G317" s="42"/>
      <c r="H317" s="42"/>
      <c r="I317" s="42"/>
      <c r="J317" s="42"/>
      <c r="K317" s="304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</row>
    <row r="318">
      <c r="A318" s="125"/>
      <c r="B318" s="267"/>
      <c r="C318" s="361"/>
      <c r="D318" s="42"/>
      <c r="E318" s="42"/>
      <c r="F318" s="42"/>
      <c r="G318" s="42"/>
      <c r="H318" s="42"/>
      <c r="I318" s="42"/>
      <c r="J318" s="42"/>
      <c r="K318" s="304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</row>
    <row r="319">
      <c r="A319" s="125"/>
      <c r="B319" s="267"/>
      <c r="C319" s="361"/>
      <c r="D319" s="42"/>
      <c r="E319" s="42"/>
      <c r="F319" s="42"/>
      <c r="G319" s="42"/>
      <c r="H319" s="42"/>
      <c r="I319" s="42"/>
      <c r="J319" s="42"/>
      <c r="K319" s="304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</row>
    <row r="320">
      <c r="A320" s="125"/>
      <c r="B320" s="267"/>
      <c r="C320" s="361"/>
      <c r="D320" s="42"/>
      <c r="E320" s="42"/>
      <c r="F320" s="42"/>
      <c r="G320" s="42"/>
      <c r="H320" s="42"/>
      <c r="I320" s="42"/>
      <c r="J320" s="42"/>
      <c r="K320" s="304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</row>
    <row r="321">
      <c r="A321" s="125"/>
      <c r="B321" s="267"/>
      <c r="C321" s="361"/>
      <c r="D321" s="42"/>
      <c r="E321" s="42"/>
      <c r="F321" s="42"/>
      <c r="G321" s="42"/>
      <c r="H321" s="42"/>
      <c r="I321" s="42"/>
      <c r="J321" s="42"/>
      <c r="K321" s="304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</row>
    <row r="322">
      <c r="A322" s="125"/>
      <c r="B322" s="267"/>
      <c r="C322" s="361"/>
      <c r="D322" s="42"/>
      <c r="E322" s="42"/>
      <c r="F322" s="42"/>
      <c r="G322" s="42"/>
      <c r="H322" s="42"/>
      <c r="I322" s="42"/>
      <c r="J322" s="42"/>
      <c r="K322" s="304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</row>
    <row r="323">
      <c r="A323" s="125"/>
      <c r="B323" s="267"/>
      <c r="C323" s="361"/>
      <c r="D323" s="42"/>
      <c r="E323" s="42"/>
      <c r="F323" s="42"/>
      <c r="G323" s="42"/>
      <c r="H323" s="42"/>
      <c r="I323" s="42"/>
      <c r="J323" s="42"/>
      <c r="K323" s="304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</row>
    <row r="324">
      <c r="A324" s="125"/>
      <c r="B324" s="267"/>
      <c r="C324" s="361"/>
      <c r="D324" s="42"/>
      <c r="E324" s="42"/>
      <c r="F324" s="42"/>
      <c r="G324" s="42"/>
      <c r="H324" s="42"/>
      <c r="I324" s="42"/>
      <c r="J324" s="42"/>
      <c r="K324" s="304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</row>
    <row r="325">
      <c r="A325" s="125"/>
      <c r="B325" s="267"/>
      <c r="C325" s="361"/>
      <c r="D325" s="42"/>
      <c r="E325" s="42"/>
      <c r="F325" s="42"/>
      <c r="G325" s="42"/>
      <c r="H325" s="42"/>
      <c r="I325" s="42"/>
      <c r="J325" s="42"/>
      <c r="K325" s="304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</row>
    <row r="326">
      <c r="A326" s="125"/>
      <c r="B326" s="267"/>
      <c r="C326" s="361"/>
      <c r="D326" s="42"/>
      <c r="E326" s="42"/>
      <c r="F326" s="42"/>
      <c r="G326" s="42"/>
      <c r="H326" s="42"/>
      <c r="I326" s="42"/>
      <c r="J326" s="42"/>
      <c r="K326" s="304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</row>
    <row r="327">
      <c r="A327" s="125"/>
      <c r="B327" s="267"/>
      <c r="C327" s="361"/>
      <c r="D327" s="42"/>
      <c r="E327" s="42"/>
      <c r="F327" s="42"/>
      <c r="G327" s="42"/>
      <c r="H327" s="42"/>
      <c r="I327" s="42"/>
      <c r="J327" s="42"/>
      <c r="K327" s="304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</row>
    <row r="328">
      <c r="A328" s="125"/>
      <c r="B328" s="267"/>
      <c r="C328" s="361"/>
      <c r="D328" s="42"/>
      <c r="E328" s="42"/>
      <c r="F328" s="42"/>
      <c r="G328" s="42"/>
      <c r="H328" s="42"/>
      <c r="I328" s="42"/>
      <c r="J328" s="42"/>
      <c r="K328" s="304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</row>
    <row r="329">
      <c r="A329" s="125"/>
      <c r="B329" s="267"/>
      <c r="C329" s="361"/>
      <c r="D329" s="42"/>
      <c r="E329" s="42"/>
      <c r="F329" s="42"/>
      <c r="G329" s="42"/>
      <c r="H329" s="42"/>
      <c r="I329" s="42"/>
      <c r="J329" s="42"/>
      <c r="K329" s="304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</row>
    <row r="330">
      <c r="A330" s="125"/>
      <c r="B330" s="267"/>
      <c r="C330" s="361"/>
      <c r="D330" s="42"/>
      <c r="E330" s="42"/>
      <c r="F330" s="42"/>
      <c r="G330" s="42"/>
      <c r="H330" s="42"/>
      <c r="I330" s="42"/>
      <c r="J330" s="42"/>
      <c r="K330" s="304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</row>
    <row r="331">
      <c r="A331" s="125"/>
      <c r="B331" s="267"/>
      <c r="C331" s="361"/>
      <c r="D331" s="42"/>
      <c r="E331" s="42"/>
      <c r="F331" s="42"/>
      <c r="G331" s="42"/>
      <c r="H331" s="42"/>
      <c r="I331" s="42"/>
      <c r="J331" s="42"/>
      <c r="K331" s="304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</row>
    <row r="332">
      <c r="A332" s="125"/>
      <c r="B332" s="267"/>
      <c r="C332" s="361"/>
      <c r="D332" s="42"/>
      <c r="E332" s="42"/>
      <c r="F332" s="42"/>
      <c r="G332" s="42"/>
      <c r="H332" s="42"/>
      <c r="I332" s="42"/>
      <c r="J332" s="42"/>
      <c r="K332" s="304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</row>
    <row r="333">
      <c r="A333" s="125"/>
      <c r="B333" s="267"/>
      <c r="C333" s="361"/>
      <c r="D333" s="42"/>
      <c r="E333" s="42"/>
      <c r="F333" s="42"/>
      <c r="G333" s="42"/>
      <c r="H333" s="42"/>
      <c r="I333" s="42"/>
      <c r="J333" s="42"/>
      <c r="K333" s="304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</row>
    <row r="334">
      <c r="A334" s="125"/>
      <c r="B334" s="267"/>
      <c r="C334" s="361"/>
      <c r="D334" s="42"/>
      <c r="E334" s="42"/>
      <c r="F334" s="42"/>
      <c r="G334" s="42"/>
      <c r="H334" s="42"/>
      <c r="I334" s="42"/>
      <c r="J334" s="42"/>
      <c r="K334" s="304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</row>
    <row r="335">
      <c r="A335" s="125"/>
      <c r="B335" s="267"/>
      <c r="C335" s="361"/>
      <c r="D335" s="42"/>
      <c r="E335" s="42"/>
      <c r="F335" s="42"/>
      <c r="G335" s="42"/>
      <c r="H335" s="42"/>
      <c r="I335" s="42"/>
      <c r="J335" s="42"/>
      <c r="K335" s="304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</row>
    <row r="336">
      <c r="A336" s="125"/>
      <c r="B336" s="267"/>
      <c r="C336" s="361"/>
      <c r="D336" s="42"/>
      <c r="E336" s="42"/>
      <c r="F336" s="42"/>
      <c r="G336" s="42"/>
      <c r="H336" s="42"/>
      <c r="I336" s="42"/>
      <c r="J336" s="42"/>
      <c r="K336" s="304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</row>
    <row r="337">
      <c r="A337" s="125"/>
      <c r="B337" s="267"/>
      <c r="C337" s="361"/>
      <c r="D337" s="42"/>
      <c r="E337" s="42"/>
      <c r="F337" s="42"/>
      <c r="G337" s="42"/>
      <c r="H337" s="42"/>
      <c r="I337" s="42"/>
      <c r="J337" s="42"/>
      <c r="K337" s="304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</row>
    <row r="338">
      <c r="A338" s="125"/>
      <c r="B338" s="267"/>
      <c r="C338" s="361"/>
      <c r="D338" s="42"/>
      <c r="E338" s="42"/>
      <c r="F338" s="42"/>
      <c r="G338" s="42"/>
      <c r="H338" s="42"/>
      <c r="I338" s="42"/>
      <c r="J338" s="42"/>
      <c r="K338" s="304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</row>
    <row r="339">
      <c r="A339" s="125"/>
      <c r="B339" s="267"/>
      <c r="C339" s="361"/>
      <c r="D339" s="42"/>
      <c r="E339" s="42"/>
      <c r="F339" s="42"/>
      <c r="G339" s="42"/>
      <c r="H339" s="42"/>
      <c r="I339" s="42"/>
      <c r="J339" s="42"/>
      <c r="K339" s="304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</row>
    <row r="340">
      <c r="A340" s="125"/>
      <c r="B340" s="267"/>
      <c r="C340" s="361"/>
      <c r="D340" s="42"/>
      <c r="E340" s="42"/>
      <c r="F340" s="42"/>
      <c r="G340" s="42"/>
      <c r="H340" s="42"/>
      <c r="I340" s="42"/>
      <c r="J340" s="42"/>
      <c r="K340" s="304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</row>
    <row r="341">
      <c r="A341" s="125"/>
      <c r="B341" s="267"/>
      <c r="C341" s="361"/>
      <c r="D341" s="42"/>
      <c r="E341" s="42"/>
      <c r="F341" s="42"/>
      <c r="G341" s="42"/>
      <c r="H341" s="42"/>
      <c r="I341" s="42"/>
      <c r="J341" s="42"/>
      <c r="K341" s="304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</row>
    <row r="342">
      <c r="A342" s="125"/>
      <c r="B342" s="267"/>
      <c r="C342" s="361"/>
      <c r="D342" s="42"/>
      <c r="E342" s="42"/>
      <c r="F342" s="42"/>
      <c r="G342" s="42"/>
      <c r="H342" s="42"/>
      <c r="I342" s="42"/>
      <c r="J342" s="42"/>
      <c r="K342" s="304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</row>
    <row r="343">
      <c r="A343" s="125"/>
      <c r="B343" s="267"/>
      <c r="C343" s="361"/>
      <c r="D343" s="42"/>
      <c r="E343" s="42"/>
      <c r="F343" s="42"/>
      <c r="G343" s="42"/>
      <c r="H343" s="42"/>
      <c r="I343" s="42"/>
      <c r="J343" s="42"/>
      <c r="K343" s="304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</row>
    <row r="344">
      <c r="A344" s="125"/>
      <c r="B344" s="267"/>
      <c r="C344" s="361"/>
      <c r="D344" s="42"/>
      <c r="E344" s="42"/>
      <c r="F344" s="42"/>
      <c r="G344" s="42"/>
      <c r="H344" s="42"/>
      <c r="I344" s="42"/>
      <c r="J344" s="42"/>
      <c r="K344" s="304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</row>
    <row r="345">
      <c r="A345" s="125"/>
      <c r="B345" s="267"/>
      <c r="C345" s="361"/>
      <c r="D345" s="42"/>
      <c r="E345" s="42"/>
      <c r="F345" s="42"/>
      <c r="G345" s="42"/>
      <c r="H345" s="42"/>
      <c r="I345" s="42"/>
      <c r="J345" s="42"/>
      <c r="K345" s="304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</row>
    <row r="346">
      <c r="A346" s="125"/>
      <c r="B346" s="267"/>
      <c r="C346" s="361"/>
      <c r="D346" s="42"/>
      <c r="E346" s="42"/>
      <c r="F346" s="42"/>
      <c r="G346" s="42"/>
      <c r="H346" s="42"/>
      <c r="I346" s="42"/>
      <c r="J346" s="42"/>
      <c r="K346" s="304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</row>
    <row r="347">
      <c r="A347" s="125"/>
      <c r="B347" s="267"/>
      <c r="C347" s="361"/>
      <c r="D347" s="42"/>
      <c r="E347" s="42"/>
      <c r="F347" s="42"/>
      <c r="G347" s="42"/>
      <c r="H347" s="42"/>
      <c r="I347" s="42"/>
      <c r="J347" s="42"/>
      <c r="K347" s="304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</row>
    <row r="348">
      <c r="A348" s="125"/>
      <c r="B348" s="267"/>
      <c r="C348" s="361"/>
      <c r="D348" s="42"/>
      <c r="E348" s="42"/>
      <c r="F348" s="42"/>
      <c r="G348" s="42"/>
      <c r="H348" s="42"/>
      <c r="I348" s="42"/>
      <c r="J348" s="42"/>
      <c r="K348" s="304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</row>
    <row r="349">
      <c r="A349" s="125"/>
      <c r="B349" s="267"/>
      <c r="C349" s="361"/>
      <c r="D349" s="42"/>
      <c r="E349" s="42"/>
      <c r="F349" s="42"/>
      <c r="G349" s="42"/>
      <c r="H349" s="42"/>
      <c r="I349" s="42"/>
      <c r="J349" s="42"/>
      <c r="K349" s="304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</row>
    <row r="350">
      <c r="A350" s="125"/>
      <c r="B350" s="267"/>
      <c r="C350" s="361"/>
      <c r="D350" s="42"/>
      <c r="E350" s="42"/>
      <c r="F350" s="42"/>
      <c r="G350" s="42"/>
      <c r="H350" s="42"/>
      <c r="I350" s="42"/>
      <c r="J350" s="42"/>
      <c r="K350" s="304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</row>
    <row r="351">
      <c r="A351" s="125"/>
      <c r="B351" s="267"/>
      <c r="C351" s="361"/>
      <c r="D351" s="42"/>
      <c r="E351" s="42"/>
      <c r="F351" s="42"/>
      <c r="G351" s="42"/>
      <c r="H351" s="42"/>
      <c r="I351" s="42"/>
      <c r="J351" s="42"/>
      <c r="K351" s="304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</row>
    <row r="352">
      <c r="A352" s="125"/>
      <c r="B352" s="267"/>
      <c r="C352" s="361"/>
      <c r="D352" s="42"/>
      <c r="E352" s="42"/>
      <c r="F352" s="42"/>
      <c r="G352" s="42"/>
      <c r="H352" s="42"/>
      <c r="I352" s="42"/>
      <c r="J352" s="42"/>
      <c r="K352" s="304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</row>
    <row r="353">
      <c r="A353" s="125"/>
      <c r="B353" s="267"/>
      <c r="C353" s="361"/>
      <c r="D353" s="42"/>
      <c r="E353" s="42"/>
      <c r="F353" s="42"/>
      <c r="G353" s="42"/>
      <c r="H353" s="42"/>
      <c r="I353" s="42"/>
      <c r="J353" s="42"/>
      <c r="K353" s="304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</row>
    <row r="354">
      <c r="A354" s="125"/>
      <c r="B354" s="267"/>
      <c r="C354" s="361"/>
      <c r="D354" s="42"/>
      <c r="E354" s="42"/>
      <c r="F354" s="42"/>
      <c r="G354" s="42"/>
      <c r="H354" s="42"/>
      <c r="I354" s="42"/>
      <c r="J354" s="42"/>
      <c r="K354" s="304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</row>
    <row r="355">
      <c r="A355" s="125"/>
      <c r="B355" s="267"/>
      <c r="C355" s="361"/>
      <c r="D355" s="42"/>
      <c r="E355" s="42"/>
      <c r="F355" s="42"/>
      <c r="G355" s="42"/>
      <c r="H355" s="42"/>
      <c r="I355" s="42"/>
      <c r="J355" s="42"/>
      <c r="K355" s="304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</row>
    <row r="356">
      <c r="A356" s="125"/>
      <c r="B356" s="267"/>
      <c r="C356" s="361"/>
      <c r="D356" s="42"/>
      <c r="E356" s="42"/>
      <c r="F356" s="42"/>
      <c r="G356" s="42"/>
      <c r="H356" s="42"/>
      <c r="I356" s="42"/>
      <c r="J356" s="42"/>
      <c r="K356" s="304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</row>
    <row r="357">
      <c r="A357" s="125"/>
      <c r="B357" s="267"/>
      <c r="C357" s="361"/>
      <c r="D357" s="42"/>
      <c r="E357" s="42"/>
      <c r="F357" s="42"/>
      <c r="G357" s="42"/>
      <c r="H357" s="42"/>
      <c r="I357" s="42"/>
      <c r="J357" s="42"/>
      <c r="K357" s="304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</row>
    <row r="358">
      <c r="A358" s="125"/>
      <c r="B358" s="267"/>
      <c r="C358" s="361"/>
      <c r="D358" s="42"/>
      <c r="E358" s="42"/>
      <c r="F358" s="42"/>
      <c r="G358" s="42"/>
      <c r="H358" s="42"/>
      <c r="I358" s="42"/>
      <c r="J358" s="42"/>
      <c r="K358" s="304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</row>
    <row r="359">
      <c r="A359" s="125"/>
      <c r="B359" s="267"/>
      <c r="C359" s="361"/>
      <c r="D359" s="42"/>
      <c r="E359" s="42"/>
      <c r="F359" s="42"/>
      <c r="G359" s="42"/>
      <c r="H359" s="42"/>
      <c r="I359" s="42"/>
      <c r="J359" s="42"/>
      <c r="K359" s="304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</row>
    <row r="360">
      <c r="A360" s="125"/>
      <c r="B360" s="267"/>
      <c r="C360" s="361"/>
      <c r="D360" s="42"/>
      <c r="E360" s="42"/>
      <c r="F360" s="42"/>
      <c r="G360" s="42"/>
      <c r="H360" s="42"/>
      <c r="I360" s="42"/>
      <c r="J360" s="42"/>
      <c r="K360" s="304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</row>
    <row r="361">
      <c r="A361" s="125"/>
      <c r="B361" s="267"/>
      <c r="C361" s="361"/>
      <c r="D361" s="42"/>
      <c r="E361" s="42"/>
      <c r="F361" s="42"/>
      <c r="G361" s="42"/>
      <c r="H361" s="42"/>
      <c r="I361" s="42"/>
      <c r="J361" s="42"/>
      <c r="K361" s="304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</row>
    <row r="362">
      <c r="A362" s="125"/>
      <c r="B362" s="267"/>
      <c r="C362" s="361"/>
      <c r="D362" s="42"/>
      <c r="E362" s="42"/>
      <c r="F362" s="42"/>
      <c r="G362" s="42"/>
      <c r="H362" s="42"/>
      <c r="I362" s="42"/>
      <c r="J362" s="42"/>
      <c r="K362" s="304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</row>
    <row r="363">
      <c r="A363" s="125"/>
      <c r="B363" s="267"/>
      <c r="C363" s="361"/>
      <c r="D363" s="42"/>
      <c r="E363" s="42"/>
      <c r="F363" s="42"/>
      <c r="G363" s="42"/>
      <c r="H363" s="42"/>
      <c r="I363" s="42"/>
      <c r="J363" s="42"/>
      <c r="K363" s="304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</row>
    <row r="364">
      <c r="A364" s="125"/>
      <c r="B364" s="267"/>
      <c r="C364" s="361"/>
      <c r="D364" s="42"/>
      <c r="E364" s="42"/>
      <c r="F364" s="42"/>
      <c r="G364" s="42"/>
      <c r="H364" s="42"/>
      <c r="I364" s="42"/>
      <c r="J364" s="42"/>
      <c r="K364" s="304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</row>
    <row r="365">
      <c r="A365" s="125"/>
      <c r="B365" s="267"/>
      <c r="C365" s="361"/>
      <c r="D365" s="42"/>
      <c r="E365" s="42"/>
      <c r="F365" s="42"/>
      <c r="G365" s="42"/>
      <c r="H365" s="42"/>
      <c r="I365" s="42"/>
      <c r="J365" s="42"/>
      <c r="K365" s="304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</row>
    <row r="366">
      <c r="A366" s="125"/>
      <c r="B366" s="267"/>
      <c r="C366" s="361"/>
      <c r="D366" s="42"/>
      <c r="E366" s="42"/>
      <c r="F366" s="42"/>
      <c r="G366" s="42"/>
      <c r="H366" s="42"/>
      <c r="I366" s="42"/>
      <c r="J366" s="42"/>
      <c r="K366" s="304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</row>
    <row r="367">
      <c r="A367" s="125"/>
      <c r="B367" s="267"/>
      <c r="C367" s="361"/>
      <c r="D367" s="42"/>
      <c r="E367" s="42"/>
      <c r="F367" s="42"/>
      <c r="G367" s="42"/>
      <c r="H367" s="42"/>
      <c r="I367" s="42"/>
      <c r="J367" s="42"/>
      <c r="K367" s="304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</row>
    <row r="368">
      <c r="A368" s="125"/>
      <c r="B368" s="267"/>
      <c r="C368" s="361"/>
      <c r="D368" s="42"/>
      <c r="E368" s="42"/>
      <c r="F368" s="42"/>
      <c r="G368" s="42"/>
      <c r="H368" s="42"/>
      <c r="I368" s="42"/>
      <c r="J368" s="42"/>
      <c r="K368" s="304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</row>
    <row r="369">
      <c r="A369" s="125"/>
      <c r="B369" s="267"/>
      <c r="C369" s="361"/>
      <c r="D369" s="42"/>
      <c r="E369" s="42"/>
      <c r="F369" s="42"/>
      <c r="G369" s="42"/>
      <c r="H369" s="42"/>
      <c r="I369" s="42"/>
      <c r="J369" s="42"/>
      <c r="K369" s="304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</row>
    <row r="370">
      <c r="A370" s="125"/>
      <c r="B370" s="267"/>
      <c r="C370" s="361"/>
      <c r="D370" s="42"/>
      <c r="E370" s="42"/>
      <c r="F370" s="42"/>
      <c r="G370" s="42"/>
      <c r="H370" s="42"/>
      <c r="I370" s="42"/>
      <c r="J370" s="42"/>
      <c r="K370" s="304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</row>
    <row r="371">
      <c r="A371" s="125"/>
      <c r="B371" s="267"/>
      <c r="C371" s="361"/>
      <c r="D371" s="42"/>
      <c r="E371" s="42"/>
      <c r="F371" s="42"/>
      <c r="G371" s="42"/>
      <c r="H371" s="42"/>
      <c r="I371" s="42"/>
      <c r="J371" s="42"/>
      <c r="K371" s="304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</row>
    <row r="372">
      <c r="A372" s="125"/>
      <c r="B372" s="267"/>
      <c r="C372" s="361"/>
      <c r="D372" s="42"/>
      <c r="E372" s="42"/>
      <c r="F372" s="42"/>
      <c r="G372" s="42"/>
      <c r="H372" s="42"/>
      <c r="I372" s="42"/>
      <c r="J372" s="42"/>
      <c r="K372" s="304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</row>
    <row r="373">
      <c r="A373" s="125"/>
      <c r="B373" s="267"/>
      <c r="C373" s="361"/>
      <c r="D373" s="42"/>
      <c r="E373" s="42"/>
      <c r="F373" s="42"/>
      <c r="G373" s="42"/>
      <c r="H373" s="42"/>
      <c r="I373" s="42"/>
      <c r="J373" s="42"/>
      <c r="K373" s="304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</row>
    <row r="374">
      <c r="A374" s="125"/>
      <c r="B374" s="267"/>
      <c r="C374" s="361"/>
      <c r="D374" s="42"/>
      <c r="E374" s="42"/>
      <c r="F374" s="42"/>
      <c r="G374" s="42"/>
      <c r="H374" s="42"/>
      <c r="I374" s="42"/>
      <c r="J374" s="42"/>
      <c r="K374" s="304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</row>
    <row r="375">
      <c r="A375" s="125"/>
      <c r="B375" s="267"/>
      <c r="C375" s="361"/>
      <c r="D375" s="42"/>
      <c r="E375" s="42"/>
      <c r="F375" s="42"/>
      <c r="G375" s="42"/>
      <c r="H375" s="42"/>
      <c r="I375" s="42"/>
      <c r="J375" s="42"/>
      <c r="K375" s="304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</row>
    <row r="376">
      <c r="A376" s="125"/>
      <c r="B376" s="267"/>
      <c r="C376" s="361"/>
      <c r="D376" s="42"/>
      <c r="E376" s="42"/>
      <c r="F376" s="42"/>
      <c r="G376" s="42"/>
      <c r="H376" s="42"/>
      <c r="I376" s="42"/>
      <c r="J376" s="42"/>
      <c r="K376" s="304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</row>
    <row r="377">
      <c r="A377" s="125"/>
      <c r="B377" s="267"/>
      <c r="C377" s="361"/>
      <c r="D377" s="42"/>
      <c r="E377" s="42"/>
      <c r="F377" s="42"/>
      <c r="G377" s="42"/>
      <c r="H377" s="42"/>
      <c r="I377" s="42"/>
      <c r="J377" s="42"/>
      <c r="K377" s="304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</row>
    <row r="378">
      <c r="A378" s="125"/>
      <c r="B378" s="267"/>
      <c r="C378" s="361"/>
      <c r="D378" s="42"/>
      <c r="E378" s="42"/>
      <c r="F378" s="42"/>
      <c r="G378" s="42"/>
      <c r="H378" s="42"/>
      <c r="I378" s="42"/>
      <c r="J378" s="42"/>
      <c r="K378" s="304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</row>
    <row r="379">
      <c r="A379" s="125"/>
      <c r="B379" s="267"/>
      <c r="C379" s="361"/>
      <c r="D379" s="42"/>
      <c r="E379" s="42"/>
      <c r="F379" s="42"/>
      <c r="G379" s="42"/>
      <c r="H379" s="42"/>
      <c r="I379" s="42"/>
      <c r="J379" s="42"/>
      <c r="K379" s="304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</row>
    <row r="380">
      <c r="A380" s="125"/>
      <c r="B380" s="267"/>
      <c r="C380" s="361"/>
      <c r="D380" s="42"/>
      <c r="E380" s="42"/>
      <c r="F380" s="42"/>
      <c r="G380" s="42"/>
      <c r="H380" s="42"/>
      <c r="I380" s="42"/>
      <c r="J380" s="42"/>
      <c r="K380" s="304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</row>
    <row r="381">
      <c r="A381" s="125"/>
      <c r="B381" s="267"/>
      <c r="C381" s="361"/>
      <c r="D381" s="42"/>
      <c r="E381" s="42"/>
      <c r="F381" s="42"/>
      <c r="G381" s="42"/>
      <c r="H381" s="42"/>
      <c r="I381" s="42"/>
      <c r="J381" s="42"/>
      <c r="K381" s="304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</row>
    <row r="382">
      <c r="A382" s="125"/>
      <c r="B382" s="267"/>
      <c r="C382" s="361"/>
      <c r="D382" s="42"/>
      <c r="E382" s="42"/>
      <c r="F382" s="42"/>
      <c r="G382" s="42"/>
      <c r="H382" s="42"/>
      <c r="I382" s="42"/>
      <c r="J382" s="42"/>
      <c r="K382" s="304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</row>
    <row r="383">
      <c r="A383" s="125"/>
      <c r="B383" s="267"/>
      <c r="C383" s="361"/>
      <c r="D383" s="42"/>
      <c r="E383" s="42"/>
      <c r="F383" s="42"/>
      <c r="G383" s="42"/>
      <c r="H383" s="42"/>
      <c r="I383" s="42"/>
      <c r="J383" s="42"/>
      <c r="K383" s="304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</row>
    <row r="384">
      <c r="A384" s="125"/>
      <c r="B384" s="267"/>
      <c r="C384" s="361"/>
      <c r="D384" s="42"/>
      <c r="E384" s="42"/>
      <c r="F384" s="42"/>
      <c r="G384" s="42"/>
      <c r="H384" s="42"/>
      <c r="I384" s="42"/>
      <c r="J384" s="42"/>
      <c r="K384" s="304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</row>
    <row r="385">
      <c r="A385" s="125"/>
      <c r="B385" s="267"/>
      <c r="C385" s="361"/>
      <c r="D385" s="42"/>
      <c r="E385" s="42"/>
      <c r="F385" s="42"/>
      <c r="G385" s="42"/>
      <c r="H385" s="42"/>
      <c r="I385" s="42"/>
      <c r="J385" s="42"/>
      <c r="K385" s="304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</row>
    <row r="386">
      <c r="A386" s="125"/>
      <c r="B386" s="267"/>
      <c r="C386" s="361"/>
      <c r="D386" s="42"/>
      <c r="E386" s="42"/>
      <c r="F386" s="42"/>
      <c r="G386" s="42"/>
      <c r="H386" s="42"/>
      <c r="I386" s="42"/>
      <c r="J386" s="42"/>
      <c r="K386" s="304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</row>
    <row r="387">
      <c r="A387" s="125"/>
      <c r="B387" s="267"/>
      <c r="C387" s="361"/>
      <c r="D387" s="42"/>
      <c r="E387" s="42"/>
      <c r="F387" s="42"/>
      <c r="G387" s="42"/>
      <c r="H387" s="42"/>
      <c r="I387" s="42"/>
      <c r="J387" s="42"/>
      <c r="K387" s="304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</row>
    <row r="388">
      <c r="A388" s="125"/>
      <c r="B388" s="267"/>
      <c r="C388" s="361"/>
      <c r="D388" s="42"/>
      <c r="E388" s="42"/>
      <c r="F388" s="42"/>
      <c r="G388" s="42"/>
      <c r="H388" s="42"/>
      <c r="I388" s="42"/>
      <c r="J388" s="42"/>
      <c r="K388" s="304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</row>
    <row r="389">
      <c r="A389" s="125"/>
      <c r="B389" s="267"/>
      <c r="C389" s="361"/>
      <c r="D389" s="42"/>
      <c r="E389" s="42"/>
      <c r="F389" s="42"/>
      <c r="G389" s="42"/>
      <c r="H389" s="42"/>
      <c r="I389" s="42"/>
      <c r="J389" s="42"/>
      <c r="K389" s="304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</row>
    <row r="390">
      <c r="A390" s="125"/>
      <c r="B390" s="267"/>
      <c r="C390" s="361"/>
      <c r="D390" s="42"/>
      <c r="E390" s="42"/>
      <c r="F390" s="42"/>
      <c r="G390" s="42"/>
      <c r="H390" s="42"/>
      <c r="I390" s="42"/>
      <c r="J390" s="42"/>
      <c r="K390" s="304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</row>
    <row r="391">
      <c r="A391" s="125"/>
      <c r="B391" s="267"/>
      <c r="C391" s="361"/>
      <c r="D391" s="42"/>
      <c r="E391" s="42"/>
      <c r="F391" s="42"/>
      <c r="G391" s="42"/>
      <c r="H391" s="42"/>
      <c r="I391" s="42"/>
      <c r="J391" s="42"/>
      <c r="K391" s="304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</row>
    <row r="392">
      <c r="A392" s="125"/>
      <c r="B392" s="267"/>
      <c r="C392" s="361"/>
      <c r="D392" s="42"/>
      <c r="E392" s="42"/>
      <c r="F392" s="42"/>
      <c r="G392" s="42"/>
      <c r="H392" s="42"/>
      <c r="I392" s="42"/>
      <c r="J392" s="42"/>
      <c r="K392" s="304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</row>
    <row r="393">
      <c r="A393" s="125"/>
      <c r="B393" s="267"/>
      <c r="C393" s="361"/>
      <c r="D393" s="42"/>
      <c r="E393" s="42"/>
      <c r="F393" s="42"/>
      <c r="G393" s="42"/>
      <c r="H393" s="42"/>
      <c r="I393" s="42"/>
      <c r="J393" s="42"/>
      <c r="K393" s="304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</row>
    <row r="394">
      <c r="A394" s="125"/>
      <c r="B394" s="267"/>
      <c r="C394" s="361"/>
      <c r="D394" s="42"/>
      <c r="E394" s="42"/>
      <c r="F394" s="42"/>
      <c r="G394" s="42"/>
      <c r="H394" s="42"/>
      <c r="I394" s="42"/>
      <c r="J394" s="42"/>
      <c r="K394" s="304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</row>
    <row r="395">
      <c r="A395" s="125"/>
      <c r="B395" s="267"/>
      <c r="C395" s="361"/>
      <c r="D395" s="42"/>
      <c r="E395" s="42"/>
      <c r="F395" s="42"/>
      <c r="G395" s="42"/>
      <c r="H395" s="42"/>
      <c r="I395" s="42"/>
      <c r="J395" s="42"/>
      <c r="K395" s="304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</row>
    <row r="396">
      <c r="A396" s="125"/>
      <c r="B396" s="267"/>
      <c r="C396" s="361"/>
      <c r="D396" s="42"/>
      <c r="E396" s="42"/>
      <c r="F396" s="42"/>
      <c r="G396" s="42"/>
      <c r="H396" s="42"/>
      <c r="I396" s="42"/>
      <c r="J396" s="42"/>
      <c r="K396" s="304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</row>
    <row r="397">
      <c r="A397" s="125"/>
      <c r="B397" s="267"/>
      <c r="C397" s="361"/>
      <c r="D397" s="42"/>
      <c r="E397" s="42"/>
      <c r="F397" s="42"/>
      <c r="G397" s="42"/>
      <c r="H397" s="42"/>
      <c r="I397" s="42"/>
      <c r="J397" s="42"/>
      <c r="K397" s="304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</row>
    <row r="398">
      <c r="A398" s="125"/>
      <c r="B398" s="267"/>
      <c r="C398" s="361"/>
      <c r="D398" s="42"/>
      <c r="E398" s="42"/>
      <c r="F398" s="42"/>
      <c r="G398" s="42"/>
      <c r="H398" s="42"/>
      <c r="I398" s="42"/>
      <c r="J398" s="42"/>
      <c r="K398" s="304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</row>
    <row r="399">
      <c r="A399" s="125"/>
      <c r="B399" s="267"/>
      <c r="C399" s="361"/>
      <c r="D399" s="42"/>
      <c r="E399" s="42"/>
      <c r="F399" s="42"/>
      <c r="G399" s="42"/>
      <c r="H399" s="42"/>
      <c r="I399" s="42"/>
      <c r="J399" s="42"/>
      <c r="K399" s="304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</row>
    <row r="400">
      <c r="A400" s="125"/>
      <c r="B400" s="267"/>
      <c r="C400" s="361"/>
      <c r="D400" s="42"/>
      <c r="E400" s="42"/>
      <c r="F400" s="42"/>
      <c r="G400" s="42"/>
      <c r="H400" s="42"/>
      <c r="I400" s="42"/>
      <c r="J400" s="42"/>
      <c r="K400" s="304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</row>
    <row r="401">
      <c r="A401" s="125"/>
      <c r="B401" s="267"/>
      <c r="C401" s="361"/>
      <c r="D401" s="42"/>
      <c r="E401" s="42"/>
      <c r="F401" s="42"/>
      <c r="G401" s="42"/>
      <c r="H401" s="42"/>
      <c r="I401" s="42"/>
      <c r="J401" s="42"/>
      <c r="K401" s="304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</row>
    <row r="402">
      <c r="A402" s="125"/>
      <c r="B402" s="267"/>
      <c r="C402" s="361"/>
      <c r="D402" s="42"/>
      <c r="E402" s="42"/>
      <c r="F402" s="42"/>
      <c r="G402" s="42"/>
      <c r="H402" s="42"/>
      <c r="I402" s="42"/>
      <c r="J402" s="42"/>
      <c r="K402" s="304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</row>
    <row r="403">
      <c r="A403" s="125"/>
      <c r="B403" s="267"/>
      <c r="C403" s="361"/>
      <c r="D403" s="42"/>
      <c r="E403" s="42"/>
      <c r="F403" s="42"/>
      <c r="G403" s="42"/>
      <c r="H403" s="42"/>
      <c r="I403" s="42"/>
      <c r="J403" s="42"/>
      <c r="K403" s="304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</row>
    <row r="404">
      <c r="A404" s="125"/>
      <c r="B404" s="267"/>
      <c r="C404" s="361"/>
      <c r="D404" s="42"/>
      <c r="E404" s="42"/>
      <c r="F404" s="42"/>
      <c r="G404" s="42"/>
      <c r="H404" s="42"/>
      <c r="I404" s="42"/>
      <c r="J404" s="42"/>
      <c r="K404" s="304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</row>
    <row r="405">
      <c r="A405" s="125"/>
      <c r="B405" s="267"/>
      <c r="C405" s="361"/>
      <c r="D405" s="42"/>
      <c r="E405" s="42"/>
      <c r="F405" s="42"/>
      <c r="G405" s="42"/>
      <c r="H405" s="42"/>
      <c r="I405" s="42"/>
      <c r="J405" s="42"/>
      <c r="K405" s="304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</row>
    <row r="406">
      <c r="A406" s="125"/>
      <c r="B406" s="267"/>
      <c r="C406" s="361"/>
      <c r="D406" s="42"/>
      <c r="E406" s="42"/>
      <c r="F406" s="42"/>
      <c r="G406" s="42"/>
      <c r="H406" s="42"/>
      <c r="I406" s="42"/>
      <c r="J406" s="42"/>
      <c r="K406" s="304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</row>
    <row r="407">
      <c r="A407" s="125"/>
      <c r="B407" s="267"/>
      <c r="C407" s="361"/>
      <c r="D407" s="42"/>
      <c r="E407" s="42"/>
      <c r="F407" s="42"/>
      <c r="G407" s="42"/>
      <c r="H407" s="42"/>
      <c r="I407" s="42"/>
      <c r="J407" s="42"/>
      <c r="K407" s="304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</row>
    <row r="408">
      <c r="A408" s="125"/>
      <c r="B408" s="267"/>
      <c r="C408" s="361"/>
      <c r="D408" s="42"/>
      <c r="E408" s="42"/>
      <c r="F408" s="42"/>
      <c r="G408" s="42"/>
      <c r="H408" s="42"/>
      <c r="I408" s="42"/>
      <c r="J408" s="42"/>
      <c r="K408" s="304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</row>
    <row r="409">
      <c r="A409" s="125"/>
      <c r="B409" s="267"/>
      <c r="C409" s="361"/>
      <c r="D409" s="42"/>
      <c r="E409" s="42"/>
      <c r="F409" s="42"/>
      <c r="G409" s="42"/>
      <c r="H409" s="42"/>
      <c r="I409" s="42"/>
      <c r="J409" s="42"/>
      <c r="K409" s="304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</row>
    <row r="410">
      <c r="A410" s="125"/>
      <c r="B410" s="267"/>
      <c r="C410" s="361"/>
      <c r="D410" s="42"/>
      <c r="E410" s="42"/>
      <c r="F410" s="42"/>
      <c r="G410" s="42"/>
      <c r="H410" s="42"/>
      <c r="I410" s="42"/>
      <c r="J410" s="42"/>
      <c r="K410" s="304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</row>
    <row r="411">
      <c r="A411" s="125"/>
      <c r="B411" s="267"/>
      <c r="C411" s="361"/>
      <c r="D411" s="42"/>
      <c r="E411" s="42"/>
      <c r="F411" s="42"/>
      <c r="G411" s="42"/>
      <c r="H411" s="42"/>
      <c r="I411" s="42"/>
      <c r="J411" s="42"/>
      <c r="K411" s="304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</row>
    <row r="412">
      <c r="A412" s="125"/>
      <c r="B412" s="267"/>
      <c r="C412" s="361"/>
      <c r="D412" s="42"/>
      <c r="E412" s="42"/>
      <c r="F412" s="42"/>
      <c r="G412" s="42"/>
      <c r="H412" s="42"/>
      <c r="I412" s="42"/>
      <c r="J412" s="42"/>
      <c r="K412" s="304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</row>
    <row r="413">
      <c r="A413" s="125"/>
      <c r="B413" s="267"/>
      <c r="C413" s="361"/>
      <c r="D413" s="42"/>
      <c r="E413" s="42"/>
      <c r="F413" s="42"/>
      <c r="G413" s="42"/>
      <c r="H413" s="42"/>
      <c r="I413" s="42"/>
      <c r="J413" s="42"/>
      <c r="K413" s="304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</row>
    <row r="414">
      <c r="A414" s="125"/>
      <c r="B414" s="267"/>
      <c r="C414" s="361"/>
      <c r="D414" s="42"/>
      <c r="E414" s="42"/>
      <c r="F414" s="42"/>
      <c r="G414" s="42"/>
      <c r="H414" s="42"/>
      <c r="I414" s="42"/>
      <c r="J414" s="42"/>
      <c r="K414" s="304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</row>
    <row r="415">
      <c r="A415" s="125"/>
      <c r="B415" s="267"/>
      <c r="C415" s="361"/>
      <c r="D415" s="42"/>
      <c r="E415" s="42"/>
      <c r="F415" s="42"/>
      <c r="G415" s="42"/>
      <c r="H415" s="42"/>
      <c r="I415" s="42"/>
      <c r="J415" s="42"/>
      <c r="K415" s="304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</row>
    <row r="416">
      <c r="A416" s="125"/>
      <c r="B416" s="267"/>
      <c r="C416" s="361"/>
      <c r="D416" s="42"/>
      <c r="E416" s="42"/>
      <c r="F416" s="42"/>
      <c r="G416" s="42"/>
      <c r="H416" s="42"/>
      <c r="I416" s="42"/>
      <c r="J416" s="42"/>
      <c r="K416" s="304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</row>
    <row r="417">
      <c r="A417" s="125"/>
      <c r="B417" s="267"/>
      <c r="C417" s="361"/>
      <c r="D417" s="42"/>
      <c r="E417" s="42"/>
      <c r="F417" s="42"/>
      <c r="G417" s="42"/>
      <c r="H417" s="42"/>
      <c r="I417" s="42"/>
      <c r="J417" s="42"/>
      <c r="K417" s="304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</row>
    <row r="418">
      <c r="A418" s="125"/>
      <c r="B418" s="267"/>
      <c r="C418" s="361"/>
      <c r="D418" s="42"/>
      <c r="E418" s="42"/>
      <c r="F418" s="42"/>
      <c r="G418" s="42"/>
      <c r="H418" s="42"/>
      <c r="I418" s="42"/>
      <c r="J418" s="42"/>
      <c r="K418" s="304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</row>
    <row r="419">
      <c r="A419" s="125"/>
      <c r="B419" s="267"/>
      <c r="C419" s="361"/>
      <c r="D419" s="42"/>
      <c r="E419" s="42"/>
      <c r="F419" s="42"/>
      <c r="G419" s="42"/>
      <c r="H419" s="42"/>
      <c r="I419" s="42"/>
      <c r="J419" s="42"/>
      <c r="K419" s="304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</row>
    <row r="420">
      <c r="A420" s="125"/>
      <c r="B420" s="267"/>
      <c r="C420" s="361"/>
      <c r="D420" s="42"/>
      <c r="E420" s="42"/>
      <c r="F420" s="42"/>
      <c r="G420" s="42"/>
      <c r="H420" s="42"/>
      <c r="I420" s="42"/>
      <c r="J420" s="42"/>
      <c r="K420" s="304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</row>
    <row r="421">
      <c r="A421" s="125"/>
      <c r="B421" s="267"/>
      <c r="C421" s="361"/>
      <c r="D421" s="42"/>
      <c r="E421" s="42"/>
      <c r="F421" s="42"/>
      <c r="G421" s="42"/>
      <c r="H421" s="42"/>
      <c r="I421" s="42"/>
      <c r="J421" s="42"/>
      <c r="K421" s="304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</row>
    <row r="422">
      <c r="A422" s="125"/>
      <c r="B422" s="267"/>
      <c r="C422" s="361"/>
      <c r="D422" s="42"/>
      <c r="E422" s="42"/>
      <c r="F422" s="42"/>
      <c r="G422" s="42"/>
      <c r="H422" s="42"/>
      <c r="I422" s="42"/>
      <c r="J422" s="42"/>
      <c r="K422" s="304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</row>
    <row r="423">
      <c r="A423" s="125"/>
      <c r="B423" s="267"/>
      <c r="C423" s="361"/>
      <c r="D423" s="42"/>
      <c r="E423" s="42"/>
      <c r="F423" s="42"/>
      <c r="G423" s="42"/>
      <c r="H423" s="42"/>
      <c r="I423" s="42"/>
      <c r="J423" s="42"/>
      <c r="K423" s="304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</row>
    <row r="424">
      <c r="A424" s="125"/>
      <c r="B424" s="267"/>
      <c r="C424" s="361"/>
      <c r="D424" s="42"/>
      <c r="E424" s="42"/>
      <c r="F424" s="42"/>
      <c r="G424" s="42"/>
      <c r="H424" s="42"/>
      <c r="I424" s="42"/>
      <c r="J424" s="42"/>
      <c r="K424" s="304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</row>
    <row r="425">
      <c r="A425" s="125"/>
      <c r="B425" s="267"/>
      <c r="C425" s="361"/>
      <c r="D425" s="42"/>
      <c r="E425" s="42"/>
      <c r="F425" s="42"/>
      <c r="G425" s="42"/>
      <c r="H425" s="42"/>
      <c r="I425" s="42"/>
      <c r="J425" s="42"/>
      <c r="K425" s="304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</row>
    <row r="426">
      <c r="A426" s="125"/>
      <c r="B426" s="267"/>
      <c r="C426" s="361"/>
      <c r="D426" s="42"/>
      <c r="E426" s="42"/>
      <c r="F426" s="42"/>
      <c r="G426" s="42"/>
      <c r="H426" s="42"/>
      <c r="I426" s="42"/>
      <c r="J426" s="42"/>
      <c r="K426" s="304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</row>
    <row r="427">
      <c r="A427" s="125"/>
      <c r="B427" s="267"/>
      <c r="C427" s="361"/>
      <c r="D427" s="42"/>
      <c r="E427" s="42"/>
      <c r="F427" s="42"/>
      <c r="G427" s="42"/>
      <c r="H427" s="42"/>
      <c r="I427" s="42"/>
      <c r="J427" s="42"/>
      <c r="K427" s="304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</row>
    <row r="428">
      <c r="A428" s="125"/>
      <c r="B428" s="267"/>
      <c r="C428" s="361"/>
      <c r="D428" s="42"/>
      <c r="E428" s="42"/>
      <c r="F428" s="42"/>
      <c r="G428" s="42"/>
      <c r="H428" s="42"/>
      <c r="I428" s="42"/>
      <c r="J428" s="42"/>
      <c r="K428" s="304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</row>
    <row r="429">
      <c r="A429" s="125"/>
      <c r="B429" s="267"/>
      <c r="C429" s="361"/>
      <c r="D429" s="42"/>
      <c r="E429" s="42"/>
      <c r="F429" s="42"/>
      <c r="G429" s="42"/>
      <c r="H429" s="42"/>
      <c r="I429" s="42"/>
      <c r="J429" s="42"/>
      <c r="K429" s="304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</row>
    <row r="430">
      <c r="A430" s="125"/>
      <c r="B430" s="267"/>
      <c r="C430" s="361"/>
      <c r="D430" s="42"/>
      <c r="E430" s="42"/>
      <c r="F430" s="42"/>
      <c r="G430" s="42"/>
      <c r="H430" s="42"/>
      <c r="I430" s="42"/>
      <c r="J430" s="42"/>
      <c r="K430" s="304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</row>
    <row r="431">
      <c r="A431" s="125"/>
      <c r="B431" s="267"/>
      <c r="C431" s="361"/>
      <c r="D431" s="42"/>
      <c r="E431" s="42"/>
      <c r="F431" s="42"/>
      <c r="G431" s="42"/>
      <c r="H431" s="42"/>
      <c r="I431" s="42"/>
      <c r="J431" s="42"/>
      <c r="K431" s="304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</row>
    <row r="432">
      <c r="A432" s="125"/>
      <c r="B432" s="267"/>
      <c r="C432" s="361"/>
      <c r="D432" s="42"/>
      <c r="E432" s="42"/>
      <c r="F432" s="42"/>
      <c r="G432" s="42"/>
      <c r="H432" s="42"/>
      <c r="I432" s="42"/>
      <c r="J432" s="42"/>
      <c r="K432" s="304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</row>
    <row r="433">
      <c r="A433" s="125"/>
      <c r="B433" s="267"/>
      <c r="C433" s="361"/>
      <c r="D433" s="42"/>
      <c r="E433" s="42"/>
      <c r="F433" s="42"/>
      <c r="G433" s="42"/>
      <c r="H433" s="42"/>
      <c r="I433" s="42"/>
      <c r="J433" s="42"/>
      <c r="K433" s="304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</row>
    <row r="434">
      <c r="A434" s="125"/>
      <c r="B434" s="267"/>
      <c r="C434" s="361"/>
      <c r="D434" s="42"/>
      <c r="E434" s="42"/>
      <c r="F434" s="42"/>
      <c r="G434" s="42"/>
      <c r="H434" s="42"/>
      <c r="I434" s="42"/>
      <c r="J434" s="42"/>
      <c r="K434" s="304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</row>
    <row r="435">
      <c r="A435" s="125"/>
      <c r="B435" s="267"/>
      <c r="C435" s="361"/>
      <c r="D435" s="42"/>
      <c r="E435" s="42"/>
      <c r="F435" s="42"/>
      <c r="G435" s="42"/>
      <c r="H435" s="42"/>
      <c r="I435" s="42"/>
      <c r="J435" s="42"/>
      <c r="K435" s="304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</row>
    <row r="436">
      <c r="A436" s="125"/>
      <c r="B436" s="267"/>
      <c r="C436" s="361"/>
      <c r="D436" s="42"/>
      <c r="E436" s="42"/>
      <c r="F436" s="42"/>
      <c r="G436" s="42"/>
      <c r="H436" s="42"/>
      <c r="I436" s="42"/>
      <c r="J436" s="42"/>
      <c r="K436" s="304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</row>
    <row r="437">
      <c r="A437" s="125"/>
      <c r="B437" s="267"/>
      <c r="C437" s="361"/>
      <c r="D437" s="42"/>
      <c r="E437" s="42"/>
      <c r="F437" s="42"/>
      <c r="G437" s="42"/>
      <c r="H437" s="42"/>
      <c r="I437" s="42"/>
      <c r="J437" s="42"/>
      <c r="K437" s="304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</row>
    <row r="438">
      <c r="A438" s="125"/>
      <c r="B438" s="267"/>
      <c r="C438" s="361"/>
      <c r="D438" s="42"/>
      <c r="E438" s="42"/>
      <c r="F438" s="42"/>
      <c r="G438" s="42"/>
      <c r="H438" s="42"/>
      <c r="I438" s="42"/>
      <c r="J438" s="42"/>
      <c r="K438" s="304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</row>
    <row r="439">
      <c r="A439" s="125"/>
      <c r="B439" s="267"/>
      <c r="C439" s="361"/>
      <c r="D439" s="42"/>
      <c r="E439" s="42"/>
      <c r="F439" s="42"/>
      <c r="G439" s="42"/>
      <c r="H439" s="42"/>
      <c r="I439" s="42"/>
      <c r="J439" s="42"/>
      <c r="K439" s="304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</row>
    <row r="440">
      <c r="A440" s="125"/>
      <c r="B440" s="267"/>
      <c r="C440" s="361"/>
      <c r="D440" s="42"/>
      <c r="E440" s="42"/>
      <c r="F440" s="42"/>
      <c r="G440" s="42"/>
      <c r="H440" s="42"/>
      <c r="I440" s="42"/>
      <c r="J440" s="42"/>
      <c r="K440" s="304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</row>
    <row r="441">
      <c r="A441" s="125"/>
      <c r="B441" s="267"/>
      <c r="C441" s="361"/>
      <c r="D441" s="42"/>
      <c r="E441" s="42"/>
      <c r="F441" s="42"/>
      <c r="G441" s="42"/>
      <c r="H441" s="42"/>
      <c r="I441" s="42"/>
      <c r="J441" s="42"/>
      <c r="K441" s="304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</row>
    <row r="442">
      <c r="A442" s="125"/>
      <c r="B442" s="267"/>
      <c r="C442" s="361"/>
      <c r="D442" s="42"/>
      <c r="E442" s="42"/>
      <c r="F442" s="42"/>
      <c r="G442" s="42"/>
      <c r="H442" s="42"/>
      <c r="I442" s="42"/>
      <c r="J442" s="42"/>
      <c r="K442" s="304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</row>
    <row r="443">
      <c r="A443" s="125"/>
      <c r="B443" s="267"/>
      <c r="C443" s="361"/>
      <c r="D443" s="42"/>
      <c r="E443" s="42"/>
      <c r="F443" s="42"/>
      <c r="G443" s="42"/>
      <c r="H443" s="42"/>
      <c r="I443" s="42"/>
      <c r="J443" s="42"/>
      <c r="K443" s="304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</row>
    <row r="444">
      <c r="A444" s="125"/>
      <c r="B444" s="267"/>
      <c r="C444" s="361"/>
      <c r="D444" s="42"/>
      <c r="E444" s="42"/>
      <c r="F444" s="42"/>
      <c r="G444" s="42"/>
      <c r="H444" s="42"/>
      <c r="I444" s="42"/>
      <c r="J444" s="42"/>
      <c r="K444" s="304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</row>
    <row r="445">
      <c r="A445" s="125"/>
      <c r="B445" s="267"/>
      <c r="C445" s="361"/>
      <c r="D445" s="42"/>
      <c r="E445" s="42"/>
      <c r="F445" s="42"/>
      <c r="G445" s="42"/>
      <c r="H445" s="42"/>
      <c r="I445" s="42"/>
      <c r="J445" s="42"/>
      <c r="K445" s="304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</row>
    <row r="446">
      <c r="A446" s="125"/>
      <c r="B446" s="267"/>
      <c r="C446" s="361"/>
      <c r="D446" s="42"/>
      <c r="E446" s="42"/>
      <c r="F446" s="42"/>
      <c r="G446" s="42"/>
      <c r="H446" s="42"/>
      <c r="I446" s="42"/>
      <c r="J446" s="42"/>
      <c r="K446" s="304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</row>
    <row r="447">
      <c r="A447" s="125"/>
      <c r="B447" s="267"/>
      <c r="C447" s="361"/>
      <c r="D447" s="42"/>
      <c r="E447" s="42"/>
      <c r="F447" s="42"/>
      <c r="G447" s="42"/>
      <c r="H447" s="42"/>
      <c r="I447" s="42"/>
      <c r="J447" s="42"/>
      <c r="K447" s="304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</row>
    <row r="448">
      <c r="A448" s="125"/>
      <c r="B448" s="267"/>
      <c r="C448" s="361"/>
      <c r="D448" s="42"/>
      <c r="E448" s="42"/>
      <c r="F448" s="42"/>
      <c r="G448" s="42"/>
      <c r="H448" s="42"/>
      <c r="I448" s="42"/>
      <c r="J448" s="42"/>
      <c r="K448" s="304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</row>
    <row r="449">
      <c r="A449" s="125"/>
      <c r="B449" s="267"/>
      <c r="C449" s="361"/>
      <c r="D449" s="42"/>
      <c r="E449" s="42"/>
      <c r="F449" s="42"/>
      <c r="G449" s="42"/>
      <c r="H449" s="42"/>
      <c r="I449" s="42"/>
      <c r="J449" s="42"/>
      <c r="K449" s="304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</row>
    <row r="450">
      <c r="A450" s="125"/>
      <c r="B450" s="267"/>
      <c r="C450" s="361"/>
      <c r="D450" s="42"/>
      <c r="E450" s="42"/>
      <c r="F450" s="42"/>
      <c r="G450" s="42"/>
      <c r="H450" s="42"/>
      <c r="I450" s="42"/>
      <c r="J450" s="42"/>
      <c r="K450" s="304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</row>
    <row r="451">
      <c r="A451" s="125"/>
      <c r="B451" s="267"/>
      <c r="C451" s="361"/>
      <c r="D451" s="42"/>
      <c r="E451" s="42"/>
      <c r="F451" s="42"/>
      <c r="G451" s="42"/>
      <c r="H451" s="42"/>
      <c r="I451" s="42"/>
      <c r="J451" s="42"/>
      <c r="K451" s="304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</row>
    <row r="452">
      <c r="A452" s="125"/>
      <c r="B452" s="267"/>
      <c r="C452" s="361"/>
      <c r="D452" s="42"/>
      <c r="E452" s="42"/>
      <c r="F452" s="42"/>
      <c r="G452" s="42"/>
      <c r="H452" s="42"/>
      <c r="I452" s="42"/>
      <c r="J452" s="42"/>
      <c r="K452" s="304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</row>
    <row r="453">
      <c r="A453" s="125"/>
      <c r="B453" s="267"/>
      <c r="C453" s="361"/>
      <c r="D453" s="42"/>
      <c r="E453" s="42"/>
      <c r="F453" s="42"/>
      <c r="G453" s="42"/>
      <c r="H453" s="42"/>
      <c r="I453" s="42"/>
      <c r="J453" s="42"/>
      <c r="K453" s="304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</row>
    <row r="454">
      <c r="A454" s="125"/>
      <c r="B454" s="267"/>
      <c r="C454" s="361"/>
      <c r="D454" s="42"/>
      <c r="E454" s="42"/>
      <c r="F454" s="42"/>
      <c r="G454" s="42"/>
      <c r="H454" s="42"/>
      <c r="I454" s="42"/>
      <c r="J454" s="42"/>
      <c r="K454" s="304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</row>
    <row r="455">
      <c r="A455" s="125"/>
      <c r="B455" s="267"/>
      <c r="C455" s="361"/>
      <c r="D455" s="42"/>
      <c r="E455" s="42"/>
      <c r="F455" s="42"/>
      <c r="G455" s="42"/>
      <c r="H455" s="42"/>
      <c r="I455" s="42"/>
      <c r="J455" s="42"/>
      <c r="K455" s="304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</row>
    <row r="456">
      <c r="A456" s="125"/>
      <c r="B456" s="267"/>
      <c r="C456" s="361"/>
      <c r="D456" s="42"/>
      <c r="E456" s="42"/>
      <c r="F456" s="42"/>
      <c r="G456" s="42"/>
      <c r="H456" s="42"/>
      <c r="I456" s="42"/>
      <c r="J456" s="42"/>
      <c r="K456" s="304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</row>
    <row r="457">
      <c r="A457" s="125"/>
      <c r="B457" s="267"/>
      <c r="C457" s="361"/>
      <c r="D457" s="42"/>
      <c r="E457" s="42"/>
      <c r="F457" s="42"/>
      <c r="G457" s="42"/>
      <c r="H457" s="42"/>
      <c r="I457" s="42"/>
      <c r="J457" s="42"/>
      <c r="K457" s="304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</row>
    <row r="458">
      <c r="A458" s="125"/>
      <c r="B458" s="267"/>
      <c r="C458" s="361"/>
      <c r="D458" s="42"/>
      <c r="E458" s="42"/>
      <c r="F458" s="42"/>
      <c r="G458" s="42"/>
      <c r="H458" s="42"/>
      <c r="I458" s="42"/>
      <c r="J458" s="42"/>
      <c r="K458" s="304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</row>
    <row r="459">
      <c r="A459" s="125"/>
      <c r="B459" s="267"/>
      <c r="C459" s="361"/>
      <c r="D459" s="42"/>
      <c r="E459" s="42"/>
      <c r="F459" s="42"/>
      <c r="G459" s="42"/>
      <c r="H459" s="42"/>
      <c r="I459" s="42"/>
      <c r="J459" s="42"/>
      <c r="K459" s="304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</row>
    <row r="460">
      <c r="A460" s="125"/>
      <c r="B460" s="267"/>
      <c r="C460" s="361"/>
      <c r="D460" s="42"/>
      <c r="E460" s="42"/>
      <c r="F460" s="42"/>
      <c r="G460" s="42"/>
      <c r="H460" s="42"/>
      <c r="I460" s="42"/>
      <c r="J460" s="42"/>
      <c r="K460" s="304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</row>
    <row r="461">
      <c r="A461" s="125"/>
      <c r="B461" s="267"/>
      <c r="C461" s="361"/>
      <c r="D461" s="42"/>
      <c r="E461" s="42"/>
      <c r="F461" s="42"/>
      <c r="G461" s="42"/>
      <c r="H461" s="42"/>
      <c r="I461" s="42"/>
      <c r="J461" s="42"/>
      <c r="K461" s="304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</row>
    <row r="462">
      <c r="A462" s="125"/>
      <c r="B462" s="267"/>
      <c r="C462" s="361"/>
      <c r="D462" s="42"/>
      <c r="E462" s="42"/>
      <c r="F462" s="42"/>
      <c r="G462" s="42"/>
      <c r="H462" s="42"/>
      <c r="I462" s="42"/>
      <c r="J462" s="42"/>
      <c r="K462" s="304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</row>
    <row r="463">
      <c r="A463" s="125"/>
      <c r="B463" s="267"/>
      <c r="C463" s="361"/>
      <c r="D463" s="42"/>
      <c r="E463" s="42"/>
      <c r="F463" s="42"/>
      <c r="G463" s="42"/>
      <c r="H463" s="42"/>
      <c r="I463" s="42"/>
      <c r="J463" s="42"/>
      <c r="K463" s="304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</row>
    <row r="464">
      <c r="A464" s="125"/>
      <c r="B464" s="267"/>
      <c r="C464" s="361"/>
      <c r="D464" s="42"/>
      <c r="E464" s="42"/>
      <c r="F464" s="42"/>
      <c r="G464" s="42"/>
      <c r="H464" s="42"/>
      <c r="I464" s="42"/>
      <c r="J464" s="42"/>
      <c r="K464" s="304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</row>
    <row r="465">
      <c r="A465" s="125"/>
      <c r="B465" s="267"/>
      <c r="C465" s="361"/>
      <c r="D465" s="42"/>
      <c r="E465" s="42"/>
      <c r="F465" s="42"/>
      <c r="G465" s="42"/>
      <c r="H465" s="42"/>
      <c r="I465" s="42"/>
      <c r="J465" s="42"/>
      <c r="K465" s="304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</row>
    <row r="466">
      <c r="A466" s="125"/>
      <c r="B466" s="267"/>
      <c r="C466" s="361"/>
      <c r="D466" s="42"/>
      <c r="E466" s="42"/>
      <c r="F466" s="42"/>
      <c r="G466" s="42"/>
      <c r="H466" s="42"/>
      <c r="I466" s="42"/>
      <c r="J466" s="42"/>
      <c r="K466" s="304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</row>
    <row r="467">
      <c r="A467" s="125"/>
      <c r="B467" s="267"/>
      <c r="C467" s="361"/>
      <c r="D467" s="42"/>
      <c r="E467" s="42"/>
      <c r="F467" s="42"/>
      <c r="G467" s="42"/>
      <c r="H467" s="42"/>
      <c r="I467" s="42"/>
      <c r="J467" s="42"/>
      <c r="K467" s="304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</row>
    <row r="468">
      <c r="A468" s="125"/>
      <c r="B468" s="267"/>
      <c r="C468" s="361"/>
      <c r="D468" s="42"/>
      <c r="E468" s="42"/>
      <c r="F468" s="42"/>
      <c r="G468" s="42"/>
      <c r="H468" s="42"/>
      <c r="I468" s="42"/>
      <c r="J468" s="42"/>
      <c r="K468" s="304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</row>
    <row r="469">
      <c r="A469" s="125"/>
      <c r="B469" s="267"/>
      <c r="C469" s="361"/>
      <c r="D469" s="42"/>
      <c r="E469" s="42"/>
      <c r="F469" s="42"/>
      <c r="G469" s="42"/>
      <c r="H469" s="42"/>
      <c r="I469" s="42"/>
      <c r="J469" s="42"/>
      <c r="K469" s="304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</row>
    <row r="470">
      <c r="A470" s="125"/>
      <c r="B470" s="267"/>
      <c r="C470" s="361"/>
      <c r="D470" s="42"/>
      <c r="E470" s="42"/>
      <c r="F470" s="42"/>
      <c r="G470" s="42"/>
      <c r="H470" s="42"/>
      <c r="I470" s="42"/>
      <c r="J470" s="42"/>
      <c r="K470" s="304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</row>
    <row r="471">
      <c r="A471" s="125"/>
      <c r="B471" s="267"/>
      <c r="C471" s="361"/>
      <c r="D471" s="42"/>
      <c r="E471" s="42"/>
      <c r="F471" s="42"/>
      <c r="G471" s="42"/>
      <c r="H471" s="42"/>
      <c r="I471" s="42"/>
      <c r="J471" s="42"/>
      <c r="K471" s="304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</row>
    <row r="472">
      <c r="A472" s="125"/>
      <c r="B472" s="267"/>
      <c r="C472" s="361"/>
      <c r="D472" s="42"/>
      <c r="E472" s="42"/>
      <c r="F472" s="42"/>
      <c r="G472" s="42"/>
      <c r="H472" s="42"/>
      <c r="I472" s="42"/>
      <c r="J472" s="42"/>
      <c r="K472" s="304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</row>
    <row r="473">
      <c r="A473" s="125"/>
      <c r="B473" s="267"/>
      <c r="C473" s="361"/>
      <c r="D473" s="42"/>
      <c r="E473" s="42"/>
      <c r="F473" s="42"/>
      <c r="G473" s="42"/>
      <c r="H473" s="42"/>
      <c r="I473" s="42"/>
      <c r="J473" s="42"/>
      <c r="K473" s="304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</row>
    <row r="474">
      <c r="A474" s="125"/>
      <c r="B474" s="267"/>
      <c r="C474" s="361"/>
      <c r="D474" s="42"/>
      <c r="E474" s="42"/>
      <c r="F474" s="42"/>
      <c r="G474" s="42"/>
      <c r="H474" s="42"/>
      <c r="I474" s="42"/>
      <c r="J474" s="42"/>
      <c r="K474" s="304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</row>
    <row r="475">
      <c r="A475" s="125"/>
      <c r="B475" s="267"/>
      <c r="C475" s="361"/>
      <c r="D475" s="42"/>
      <c r="E475" s="42"/>
      <c r="F475" s="42"/>
      <c r="G475" s="42"/>
      <c r="H475" s="42"/>
      <c r="I475" s="42"/>
      <c r="J475" s="42"/>
      <c r="K475" s="304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</row>
    <row r="476">
      <c r="A476" s="125"/>
      <c r="B476" s="267"/>
      <c r="C476" s="361"/>
      <c r="D476" s="42"/>
      <c r="E476" s="42"/>
      <c r="F476" s="42"/>
      <c r="G476" s="42"/>
      <c r="H476" s="42"/>
      <c r="I476" s="42"/>
      <c r="J476" s="42"/>
      <c r="K476" s="304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</row>
    <row r="477">
      <c r="A477" s="125"/>
      <c r="B477" s="267"/>
      <c r="C477" s="361"/>
      <c r="D477" s="42"/>
      <c r="E477" s="42"/>
      <c r="F477" s="42"/>
      <c r="G477" s="42"/>
      <c r="H477" s="42"/>
      <c r="I477" s="42"/>
      <c r="J477" s="42"/>
      <c r="K477" s="304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</row>
    <row r="478">
      <c r="A478" s="125"/>
      <c r="B478" s="267"/>
      <c r="C478" s="361"/>
      <c r="D478" s="42"/>
      <c r="E478" s="42"/>
      <c r="F478" s="42"/>
      <c r="G478" s="42"/>
      <c r="H478" s="42"/>
      <c r="I478" s="42"/>
      <c r="J478" s="42"/>
      <c r="K478" s="304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</row>
    <row r="479">
      <c r="A479" s="125"/>
      <c r="B479" s="267"/>
      <c r="C479" s="361"/>
      <c r="D479" s="42"/>
      <c r="E479" s="42"/>
      <c r="F479" s="42"/>
      <c r="G479" s="42"/>
      <c r="H479" s="42"/>
      <c r="I479" s="42"/>
      <c r="J479" s="42"/>
      <c r="K479" s="304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</row>
    <row r="480">
      <c r="A480" s="125"/>
      <c r="B480" s="267"/>
      <c r="C480" s="361"/>
      <c r="D480" s="42"/>
      <c r="E480" s="42"/>
      <c r="F480" s="42"/>
      <c r="G480" s="42"/>
      <c r="H480" s="42"/>
      <c r="I480" s="42"/>
      <c r="J480" s="42"/>
      <c r="K480" s="304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</row>
    <row r="481">
      <c r="A481" s="125"/>
      <c r="B481" s="267"/>
      <c r="C481" s="361"/>
      <c r="D481" s="42"/>
      <c r="E481" s="42"/>
      <c r="F481" s="42"/>
      <c r="G481" s="42"/>
      <c r="H481" s="42"/>
      <c r="I481" s="42"/>
      <c r="J481" s="42"/>
      <c r="K481" s="304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</row>
    <row r="482">
      <c r="A482" s="125"/>
      <c r="B482" s="267"/>
      <c r="C482" s="361"/>
      <c r="D482" s="42"/>
      <c r="E482" s="42"/>
      <c r="F482" s="42"/>
      <c r="G482" s="42"/>
      <c r="H482" s="42"/>
      <c r="I482" s="42"/>
      <c r="J482" s="42"/>
      <c r="K482" s="304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</row>
    <row r="483">
      <c r="A483" s="125"/>
      <c r="B483" s="267"/>
      <c r="C483" s="361"/>
      <c r="D483" s="42"/>
      <c r="E483" s="42"/>
      <c r="F483" s="42"/>
      <c r="G483" s="42"/>
      <c r="H483" s="42"/>
      <c r="I483" s="42"/>
      <c r="J483" s="42"/>
      <c r="K483" s="304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</row>
    <row r="484">
      <c r="A484" s="125"/>
      <c r="B484" s="267"/>
      <c r="C484" s="361"/>
      <c r="D484" s="42"/>
      <c r="E484" s="42"/>
      <c r="F484" s="42"/>
      <c r="G484" s="42"/>
      <c r="H484" s="42"/>
      <c r="I484" s="42"/>
      <c r="J484" s="42"/>
      <c r="K484" s="304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</row>
    <row r="485">
      <c r="A485" s="125"/>
      <c r="B485" s="267"/>
      <c r="C485" s="361"/>
      <c r="D485" s="42"/>
      <c r="E485" s="42"/>
      <c r="F485" s="42"/>
      <c r="G485" s="42"/>
      <c r="H485" s="42"/>
      <c r="I485" s="42"/>
      <c r="J485" s="42"/>
      <c r="K485" s="304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</row>
    <row r="486">
      <c r="A486" s="125"/>
      <c r="B486" s="267"/>
      <c r="C486" s="361"/>
      <c r="D486" s="42"/>
      <c r="E486" s="42"/>
      <c r="F486" s="42"/>
      <c r="G486" s="42"/>
      <c r="H486" s="42"/>
      <c r="I486" s="42"/>
      <c r="J486" s="42"/>
      <c r="K486" s="304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</row>
    <row r="487">
      <c r="A487" s="125"/>
      <c r="B487" s="267"/>
      <c r="C487" s="361"/>
      <c r="D487" s="42"/>
      <c r="E487" s="42"/>
      <c r="F487" s="42"/>
      <c r="G487" s="42"/>
      <c r="H487" s="42"/>
      <c r="I487" s="42"/>
      <c r="J487" s="42"/>
      <c r="K487" s="304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</row>
    <row r="488">
      <c r="A488" s="125"/>
      <c r="B488" s="267"/>
      <c r="C488" s="361"/>
      <c r="D488" s="42"/>
      <c r="E488" s="42"/>
      <c r="F488" s="42"/>
      <c r="G488" s="42"/>
      <c r="H488" s="42"/>
      <c r="I488" s="42"/>
      <c r="J488" s="42"/>
      <c r="K488" s="304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</row>
    <row r="489">
      <c r="A489" s="125"/>
      <c r="B489" s="267"/>
      <c r="C489" s="361"/>
      <c r="D489" s="42"/>
      <c r="E489" s="42"/>
      <c r="F489" s="42"/>
      <c r="G489" s="42"/>
      <c r="H489" s="42"/>
      <c r="I489" s="42"/>
      <c r="J489" s="42"/>
      <c r="K489" s="304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</row>
    <row r="490">
      <c r="A490" s="125"/>
      <c r="B490" s="267"/>
      <c r="C490" s="361"/>
      <c r="D490" s="42"/>
      <c r="E490" s="42"/>
      <c r="F490" s="42"/>
      <c r="G490" s="42"/>
      <c r="H490" s="42"/>
      <c r="I490" s="42"/>
      <c r="J490" s="42"/>
      <c r="K490" s="304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</row>
    <row r="491">
      <c r="A491" s="125"/>
      <c r="B491" s="267"/>
      <c r="C491" s="361"/>
      <c r="D491" s="42"/>
      <c r="E491" s="42"/>
      <c r="F491" s="42"/>
      <c r="G491" s="42"/>
      <c r="H491" s="42"/>
      <c r="I491" s="42"/>
      <c r="J491" s="42"/>
      <c r="K491" s="304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</row>
    <row r="492">
      <c r="A492" s="125"/>
      <c r="B492" s="267"/>
      <c r="C492" s="361"/>
      <c r="D492" s="42"/>
      <c r="E492" s="42"/>
      <c r="F492" s="42"/>
      <c r="G492" s="42"/>
      <c r="H492" s="42"/>
      <c r="I492" s="42"/>
      <c r="J492" s="42"/>
      <c r="K492" s="304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</row>
    <row r="493">
      <c r="A493" s="125"/>
      <c r="B493" s="267"/>
      <c r="C493" s="361"/>
      <c r="D493" s="42"/>
      <c r="E493" s="42"/>
      <c r="F493" s="42"/>
      <c r="G493" s="42"/>
      <c r="H493" s="42"/>
      <c r="I493" s="42"/>
      <c r="J493" s="42"/>
      <c r="K493" s="304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</row>
    <row r="494">
      <c r="A494" s="125"/>
      <c r="B494" s="267"/>
      <c r="C494" s="361"/>
      <c r="D494" s="42"/>
      <c r="E494" s="42"/>
      <c r="F494" s="42"/>
      <c r="G494" s="42"/>
      <c r="H494" s="42"/>
      <c r="I494" s="42"/>
      <c r="J494" s="42"/>
      <c r="K494" s="304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</row>
    <row r="495">
      <c r="A495" s="125"/>
      <c r="B495" s="267"/>
      <c r="C495" s="361"/>
      <c r="D495" s="42"/>
      <c r="E495" s="42"/>
      <c r="F495" s="42"/>
      <c r="G495" s="42"/>
      <c r="H495" s="42"/>
      <c r="I495" s="42"/>
      <c r="J495" s="42"/>
      <c r="K495" s="304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</row>
    <row r="496">
      <c r="A496" s="125"/>
      <c r="B496" s="267"/>
      <c r="C496" s="361"/>
      <c r="D496" s="42"/>
      <c r="E496" s="42"/>
      <c r="F496" s="42"/>
      <c r="G496" s="42"/>
      <c r="H496" s="42"/>
      <c r="I496" s="42"/>
      <c r="J496" s="42"/>
      <c r="K496" s="304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</row>
    <row r="497">
      <c r="A497" s="125"/>
      <c r="B497" s="267"/>
      <c r="C497" s="361"/>
      <c r="D497" s="42"/>
      <c r="E497" s="42"/>
      <c r="F497" s="42"/>
      <c r="G497" s="42"/>
      <c r="H497" s="42"/>
      <c r="I497" s="42"/>
      <c r="J497" s="42"/>
      <c r="K497" s="304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</row>
    <row r="498">
      <c r="A498" s="125"/>
      <c r="B498" s="267"/>
      <c r="C498" s="361"/>
      <c r="D498" s="42"/>
      <c r="E498" s="42"/>
      <c r="F498" s="42"/>
      <c r="G498" s="42"/>
      <c r="H498" s="42"/>
      <c r="I498" s="42"/>
      <c r="J498" s="42"/>
      <c r="K498" s="304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</row>
    <row r="499">
      <c r="A499" s="125"/>
      <c r="B499" s="267"/>
      <c r="C499" s="361"/>
      <c r="D499" s="42"/>
      <c r="E499" s="42"/>
      <c r="F499" s="42"/>
      <c r="G499" s="42"/>
      <c r="H499" s="42"/>
      <c r="I499" s="42"/>
      <c r="J499" s="42"/>
      <c r="K499" s="304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</row>
    <row r="500">
      <c r="A500" s="125"/>
      <c r="B500" s="267"/>
      <c r="C500" s="361"/>
      <c r="D500" s="42"/>
      <c r="E500" s="42"/>
      <c r="F500" s="42"/>
      <c r="G500" s="42"/>
      <c r="H500" s="42"/>
      <c r="I500" s="42"/>
      <c r="J500" s="42"/>
      <c r="K500" s="304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</row>
    <row r="501">
      <c r="A501" s="125"/>
      <c r="B501" s="267"/>
      <c r="C501" s="361"/>
      <c r="D501" s="42"/>
      <c r="E501" s="42"/>
      <c r="F501" s="42"/>
      <c r="G501" s="42"/>
      <c r="H501" s="42"/>
      <c r="I501" s="42"/>
      <c r="J501" s="42"/>
      <c r="K501" s="304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</row>
    <row r="502">
      <c r="A502" s="125"/>
      <c r="B502" s="267"/>
      <c r="C502" s="361"/>
      <c r="D502" s="42"/>
      <c r="E502" s="42"/>
      <c r="F502" s="42"/>
      <c r="G502" s="42"/>
      <c r="H502" s="42"/>
      <c r="I502" s="42"/>
      <c r="J502" s="42"/>
      <c r="K502" s="304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</row>
    <row r="503">
      <c r="A503" s="125"/>
      <c r="B503" s="267"/>
      <c r="C503" s="361"/>
      <c r="D503" s="42"/>
      <c r="E503" s="42"/>
      <c r="F503" s="42"/>
      <c r="G503" s="42"/>
      <c r="H503" s="42"/>
      <c r="I503" s="42"/>
      <c r="J503" s="42"/>
      <c r="K503" s="304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</row>
    <row r="504">
      <c r="A504" s="125"/>
      <c r="B504" s="267"/>
      <c r="C504" s="361"/>
      <c r="D504" s="42"/>
      <c r="E504" s="42"/>
      <c r="F504" s="42"/>
      <c r="G504" s="42"/>
      <c r="H504" s="42"/>
      <c r="I504" s="42"/>
      <c r="J504" s="42"/>
      <c r="K504" s="304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</row>
    <row r="505">
      <c r="A505" s="125"/>
      <c r="B505" s="267"/>
      <c r="C505" s="361"/>
      <c r="D505" s="42"/>
      <c r="E505" s="42"/>
      <c r="F505" s="42"/>
      <c r="G505" s="42"/>
      <c r="H505" s="42"/>
      <c r="I505" s="42"/>
      <c r="J505" s="42"/>
      <c r="K505" s="304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</row>
    <row r="506">
      <c r="A506" s="125"/>
      <c r="B506" s="267"/>
      <c r="C506" s="361"/>
      <c r="D506" s="42"/>
      <c r="E506" s="42"/>
      <c r="F506" s="42"/>
      <c r="G506" s="42"/>
      <c r="H506" s="42"/>
      <c r="I506" s="42"/>
      <c r="J506" s="42"/>
      <c r="K506" s="304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</row>
    <row r="507">
      <c r="A507" s="125"/>
      <c r="B507" s="267"/>
      <c r="C507" s="361"/>
      <c r="D507" s="42"/>
      <c r="E507" s="42"/>
      <c r="F507" s="42"/>
      <c r="G507" s="42"/>
      <c r="H507" s="42"/>
      <c r="I507" s="42"/>
      <c r="J507" s="42"/>
      <c r="K507" s="304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</row>
    <row r="508">
      <c r="A508" s="125"/>
      <c r="B508" s="267"/>
      <c r="C508" s="361"/>
      <c r="D508" s="42"/>
      <c r="E508" s="42"/>
      <c r="F508" s="42"/>
      <c r="G508" s="42"/>
      <c r="H508" s="42"/>
      <c r="I508" s="42"/>
      <c r="J508" s="42"/>
      <c r="K508" s="304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</row>
    <row r="509">
      <c r="A509" s="125"/>
      <c r="B509" s="267"/>
      <c r="C509" s="361"/>
      <c r="D509" s="42"/>
      <c r="E509" s="42"/>
      <c r="F509" s="42"/>
      <c r="G509" s="42"/>
      <c r="H509" s="42"/>
      <c r="I509" s="42"/>
      <c r="J509" s="42"/>
      <c r="K509" s="304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</row>
    <row r="510">
      <c r="A510" s="125"/>
      <c r="B510" s="267"/>
      <c r="C510" s="361"/>
      <c r="D510" s="42"/>
      <c r="E510" s="42"/>
      <c r="F510" s="42"/>
      <c r="G510" s="42"/>
      <c r="H510" s="42"/>
      <c r="I510" s="42"/>
      <c r="J510" s="42"/>
      <c r="K510" s="304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</row>
    <row r="511">
      <c r="A511" s="125"/>
      <c r="B511" s="267"/>
      <c r="C511" s="361"/>
      <c r="D511" s="42"/>
      <c r="E511" s="42"/>
      <c r="F511" s="42"/>
      <c r="G511" s="42"/>
      <c r="H511" s="42"/>
      <c r="I511" s="42"/>
      <c r="J511" s="42"/>
      <c r="K511" s="304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</row>
    <row r="512">
      <c r="A512" s="125"/>
      <c r="B512" s="267"/>
      <c r="C512" s="361"/>
      <c r="D512" s="42"/>
      <c r="E512" s="42"/>
      <c r="F512" s="42"/>
      <c r="G512" s="42"/>
      <c r="H512" s="42"/>
      <c r="I512" s="42"/>
      <c r="J512" s="42"/>
      <c r="K512" s="304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</row>
    <row r="513">
      <c r="A513" s="125"/>
      <c r="B513" s="267"/>
      <c r="C513" s="361"/>
      <c r="D513" s="42"/>
      <c r="E513" s="42"/>
      <c r="F513" s="42"/>
      <c r="G513" s="42"/>
      <c r="H513" s="42"/>
      <c r="I513" s="42"/>
      <c r="J513" s="42"/>
      <c r="K513" s="304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</row>
    <row r="514">
      <c r="A514" s="125"/>
      <c r="B514" s="267"/>
      <c r="C514" s="361"/>
      <c r="D514" s="42"/>
      <c r="E514" s="42"/>
      <c r="F514" s="42"/>
      <c r="G514" s="42"/>
      <c r="H514" s="42"/>
      <c r="I514" s="42"/>
      <c r="J514" s="42"/>
      <c r="K514" s="304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</row>
    <row r="515">
      <c r="A515" s="125"/>
      <c r="B515" s="267"/>
      <c r="C515" s="361"/>
      <c r="D515" s="42"/>
      <c r="E515" s="42"/>
      <c r="F515" s="42"/>
      <c r="G515" s="42"/>
      <c r="H515" s="42"/>
      <c r="I515" s="42"/>
      <c r="J515" s="42"/>
      <c r="K515" s="304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</row>
    <row r="516">
      <c r="A516" s="125"/>
      <c r="B516" s="267"/>
      <c r="C516" s="361"/>
      <c r="D516" s="42"/>
      <c r="E516" s="42"/>
      <c r="F516" s="42"/>
      <c r="G516" s="42"/>
      <c r="H516" s="42"/>
      <c r="I516" s="42"/>
      <c r="J516" s="42"/>
      <c r="K516" s="304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</row>
    <row r="517">
      <c r="A517" s="125"/>
      <c r="B517" s="267"/>
      <c r="C517" s="361"/>
      <c r="D517" s="42"/>
      <c r="E517" s="42"/>
      <c r="F517" s="42"/>
      <c r="G517" s="42"/>
      <c r="H517" s="42"/>
      <c r="I517" s="42"/>
      <c r="J517" s="42"/>
      <c r="K517" s="304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</row>
    <row r="518">
      <c r="A518" s="125"/>
      <c r="B518" s="267"/>
      <c r="C518" s="361"/>
      <c r="D518" s="42"/>
      <c r="E518" s="42"/>
      <c r="F518" s="42"/>
      <c r="G518" s="42"/>
      <c r="H518" s="42"/>
      <c r="I518" s="42"/>
      <c r="J518" s="42"/>
      <c r="K518" s="304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</row>
    <row r="519">
      <c r="A519" s="125"/>
      <c r="B519" s="267"/>
      <c r="C519" s="361"/>
      <c r="D519" s="42"/>
      <c r="E519" s="42"/>
      <c r="F519" s="42"/>
      <c r="G519" s="42"/>
      <c r="H519" s="42"/>
      <c r="I519" s="42"/>
      <c r="J519" s="42"/>
      <c r="K519" s="304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</row>
    <row r="520">
      <c r="A520" s="125"/>
      <c r="B520" s="267"/>
      <c r="C520" s="361"/>
      <c r="D520" s="42"/>
      <c r="E520" s="42"/>
      <c r="F520" s="42"/>
      <c r="G520" s="42"/>
      <c r="H520" s="42"/>
      <c r="I520" s="42"/>
      <c r="J520" s="42"/>
      <c r="K520" s="304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</row>
    <row r="521">
      <c r="A521" s="125"/>
      <c r="B521" s="267"/>
      <c r="C521" s="361"/>
      <c r="D521" s="42"/>
      <c r="E521" s="42"/>
      <c r="F521" s="42"/>
      <c r="G521" s="42"/>
      <c r="H521" s="42"/>
      <c r="I521" s="42"/>
      <c r="J521" s="42"/>
      <c r="K521" s="304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</row>
    <row r="522">
      <c r="A522" s="125"/>
      <c r="B522" s="267"/>
      <c r="C522" s="361"/>
      <c r="D522" s="42"/>
      <c r="E522" s="42"/>
      <c r="F522" s="42"/>
      <c r="G522" s="42"/>
      <c r="H522" s="42"/>
      <c r="I522" s="42"/>
      <c r="J522" s="42"/>
      <c r="K522" s="304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</row>
    <row r="523">
      <c r="A523" s="125"/>
      <c r="B523" s="267"/>
      <c r="C523" s="361"/>
      <c r="D523" s="42"/>
      <c r="E523" s="42"/>
      <c r="F523" s="42"/>
      <c r="G523" s="42"/>
      <c r="H523" s="42"/>
      <c r="I523" s="42"/>
      <c r="J523" s="42"/>
      <c r="K523" s="304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</row>
    <row r="524">
      <c r="A524" s="125"/>
      <c r="B524" s="267"/>
      <c r="C524" s="361"/>
      <c r="D524" s="42"/>
      <c r="E524" s="42"/>
      <c r="F524" s="42"/>
      <c r="G524" s="42"/>
      <c r="H524" s="42"/>
      <c r="I524" s="42"/>
      <c r="J524" s="42"/>
      <c r="K524" s="304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</row>
    <row r="525">
      <c r="A525" s="125"/>
      <c r="B525" s="267"/>
      <c r="C525" s="361"/>
      <c r="D525" s="42"/>
      <c r="E525" s="42"/>
      <c r="F525" s="42"/>
      <c r="G525" s="42"/>
      <c r="H525" s="42"/>
      <c r="I525" s="42"/>
      <c r="J525" s="42"/>
      <c r="K525" s="304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</row>
    <row r="526">
      <c r="A526" s="125"/>
      <c r="B526" s="267"/>
      <c r="C526" s="361"/>
      <c r="D526" s="42"/>
      <c r="E526" s="42"/>
      <c r="F526" s="42"/>
      <c r="G526" s="42"/>
      <c r="H526" s="42"/>
      <c r="I526" s="42"/>
      <c r="J526" s="42"/>
      <c r="K526" s="304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</row>
    <row r="527">
      <c r="A527" s="125"/>
      <c r="B527" s="267"/>
      <c r="C527" s="361"/>
      <c r="D527" s="42"/>
      <c r="E527" s="42"/>
      <c r="F527" s="42"/>
      <c r="G527" s="42"/>
      <c r="H527" s="42"/>
      <c r="I527" s="42"/>
      <c r="J527" s="42"/>
      <c r="K527" s="304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</row>
    <row r="528">
      <c r="A528" s="125"/>
      <c r="B528" s="267"/>
      <c r="C528" s="361"/>
      <c r="D528" s="42"/>
      <c r="E528" s="42"/>
      <c r="F528" s="42"/>
      <c r="G528" s="42"/>
      <c r="H528" s="42"/>
      <c r="I528" s="42"/>
      <c r="J528" s="42"/>
      <c r="K528" s="304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</row>
    <row r="529">
      <c r="A529" s="125"/>
      <c r="B529" s="267"/>
      <c r="C529" s="361"/>
      <c r="D529" s="42"/>
      <c r="E529" s="42"/>
      <c r="F529" s="42"/>
      <c r="G529" s="42"/>
      <c r="H529" s="42"/>
      <c r="I529" s="42"/>
      <c r="J529" s="42"/>
      <c r="K529" s="304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</row>
    <row r="530">
      <c r="A530" s="125"/>
      <c r="B530" s="267"/>
      <c r="C530" s="361"/>
      <c r="D530" s="42"/>
      <c r="E530" s="42"/>
      <c r="F530" s="42"/>
      <c r="G530" s="42"/>
      <c r="H530" s="42"/>
      <c r="I530" s="42"/>
      <c r="J530" s="42"/>
      <c r="K530" s="304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</row>
    <row r="531">
      <c r="A531" s="125"/>
      <c r="B531" s="267"/>
      <c r="C531" s="361"/>
      <c r="D531" s="42"/>
      <c r="E531" s="42"/>
      <c r="F531" s="42"/>
      <c r="G531" s="42"/>
      <c r="H531" s="42"/>
      <c r="I531" s="42"/>
      <c r="J531" s="42"/>
      <c r="K531" s="304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</row>
    <row r="532">
      <c r="A532" s="125"/>
      <c r="B532" s="267"/>
      <c r="C532" s="361"/>
      <c r="D532" s="42"/>
      <c r="E532" s="42"/>
      <c r="F532" s="42"/>
      <c r="G532" s="42"/>
      <c r="H532" s="42"/>
      <c r="I532" s="42"/>
      <c r="J532" s="42"/>
      <c r="K532" s="304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</row>
    <row r="533">
      <c r="A533" s="125"/>
      <c r="B533" s="267"/>
      <c r="C533" s="361"/>
      <c r="D533" s="42"/>
      <c r="E533" s="42"/>
      <c r="F533" s="42"/>
      <c r="G533" s="42"/>
      <c r="H533" s="42"/>
      <c r="I533" s="42"/>
      <c r="J533" s="42"/>
      <c r="K533" s="304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</row>
    <row r="534">
      <c r="A534" s="125"/>
      <c r="B534" s="267"/>
      <c r="C534" s="361"/>
      <c r="D534" s="42"/>
      <c r="E534" s="42"/>
      <c r="F534" s="42"/>
      <c r="G534" s="42"/>
      <c r="H534" s="42"/>
      <c r="I534" s="42"/>
      <c r="J534" s="42"/>
      <c r="K534" s="304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</row>
    <row r="535">
      <c r="A535" s="125"/>
      <c r="B535" s="267"/>
      <c r="C535" s="361"/>
      <c r="D535" s="42"/>
      <c r="E535" s="42"/>
      <c r="F535" s="42"/>
      <c r="G535" s="42"/>
      <c r="H535" s="42"/>
      <c r="I535" s="42"/>
      <c r="J535" s="42"/>
      <c r="K535" s="304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</row>
    <row r="536">
      <c r="A536" s="125"/>
      <c r="B536" s="267"/>
      <c r="C536" s="361"/>
      <c r="D536" s="42"/>
      <c r="E536" s="42"/>
      <c r="F536" s="42"/>
      <c r="G536" s="42"/>
      <c r="H536" s="42"/>
      <c r="I536" s="42"/>
      <c r="J536" s="42"/>
      <c r="K536" s="304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</row>
    <row r="537">
      <c r="A537" s="125"/>
      <c r="B537" s="267"/>
      <c r="C537" s="361"/>
      <c r="D537" s="42"/>
      <c r="E537" s="42"/>
      <c r="F537" s="42"/>
      <c r="G537" s="42"/>
      <c r="H537" s="42"/>
      <c r="I537" s="42"/>
      <c r="J537" s="42"/>
      <c r="K537" s="304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</row>
    <row r="538">
      <c r="A538" s="125"/>
      <c r="B538" s="267"/>
      <c r="C538" s="361"/>
      <c r="D538" s="42"/>
      <c r="E538" s="42"/>
      <c r="F538" s="42"/>
      <c r="G538" s="42"/>
      <c r="H538" s="42"/>
      <c r="I538" s="42"/>
      <c r="J538" s="42"/>
      <c r="K538" s="304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</row>
    <row r="539">
      <c r="A539" s="125"/>
      <c r="B539" s="267"/>
      <c r="C539" s="361"/>
      <c r="D539" s="42"/>
      <c r="E539" s="42"/>
      <c r="F539" s="42"/>
      <c r="G539" s="42"/>
      <c r="H539" s="42"/>
      <c r="I539" s="42"/>
      <c r="J539" s="42"/>
      <c r="K539" s="304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</row>
    <row r="540">
      <c r="A540" s="125"/>
      <c r="B540" s="267"/>
      <c r="C540" s="361"/>
      <c r="D540" s="42"/>
      <c r="E540" s="42"/>
      <c r="F540" s="42"/>
      <c r="G540" s="42"/>
      <c r="H540" s="42"/>
      <c r="I540" s="42"/>
      <c r="J540" s="42"/>
      <c r="K540" s="304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</row>
    <row r="541">
      <c r="A541" s="125"/>
      <c r="B541" s="267"/>
      <c r="C541" s="361"/>
      <c r="D541" s="42"/>
      <c r="E541" s="42"/>
      <c r="F541" s="42"/>
      <c r="G541" s="42"/>
      <c r="H541" s="42"/>
      <c r="I541" s="42"/>
      <c r="J541" s="42"/>
      <c r="K541" s="304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</row>
    <row r="542">
      <c r="A542" s="125"/>
      <c r="B542" s="267"/>
      <c r="C542" s="361"/>
      <c r="D542" s="42"/>
      <c r="E542" s="42"/>
      <c r="F542" s="42"/>
      <c r="G542" s="42"/>
      <c r="H542" s="42"/>
      <c r="I542" s="42"/>
      <c r="J542" s="42"/>
      <c r="K542" s="304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</row>
    <row r="543">
      <c r="A543" s="125"/>
      <c r="B543" s="267"/>
      <c r="C543" s="361"/>
      <c r="D543" s="42"/>
      <c r="E543" s="42"/>
      <c r="F543" s="42"/>
      <c r="G543" s="42"/>
      <c r="H543" s="42"/>
      <c r="I543" s="42"/>
      <c r="J543" s="42"/>
      <c r="K543" s="304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</row>
    <row r="544">
      <c r="A544" s="125"/>
      <c r="B544" s="267"/>
      <c r="C544" s="361"/>
      <c r="D544" s="42"/>
      <c r="E544" s="42"/>
      <c r="F544" s="42"/>
      <c r="G544" s="42"/>
      <c r="H544" s="42"/>
      <c r="I544" s="42"/>
      <c r="J544" s="42"/>
      <c r="K544" s="304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</row>
    <row r="545">
      <c r="A545" s="125"/>
      <c r="B545" s="267"/>
      <c r="C545" s="361"/>
      <c r="D545" s="42"/>
      <c r="E545" s="42"/>
      <c r="F545" s="42"/>
      <c r="G545" s="42"/>
      <c r="H545" s="42"/>
      <c r="I545" s="42"/>
      <c r="J545" s="42"/>
      <c r="K545" s="304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</row>
    <row r="546">
      <c r="A546" s="125"/>
      <c r="B546" s="267"/>
      <c r="C546" s="361"/>
      <c r="D546" s="42"/>
      <c r="E546" s="42"/>
      <c r="F546" s="42"/>
      <c r="G546" s="42"/>
      <c r="H546" s="42"/>
      <c r="I546" s="42"/>
      <c r="J546" s="42"/>
      <c r="K546" s="304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</row>
    <row r="547">
      <c r="A547" s="125"/>
      <c r="B547" s="267"/>
      <c r="C547" s="361"/>
      <c r="D547" s="42"/>
      <c r="E547" s="42"/>
      <c r="F547" s="42"/>
      <c r="G547" s="42"/>
      <c r="H547" s="42"/>
      <c r="I547" s="42"/>
      <c r="J547" s="42"/>
      <c r="K547" s="304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</row>
    <row r="548">
      <c r="A548" s="125"/>
      <c r="B548" s="267"/>
      <c r="C548" s="361"/>
      <c r="D548" s="42"/>
      <c r="E548" s="42"/>
      <c r="F548" s="42"/>
      <c r="G548" s="42"/>
      <c r="H548" s="42"/>
      <c r="I548" s="42"/>
      <c r="J548" s="42"/>
      <c r="K548" s="304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</row>
    <row r="549">
      <c r="A549" s="125"/>
      <c r="B549" s="267"/>
      <c r="C549" s="361"/>
      <c r="D549" s="42"/>
      <c r="E549" s="42"/>
      <c r="F549" s="42"/>
      <c r="G549" s="42"/>
      <c r="H549" s="42"/>
      <c r="I549" s="42"/>
      <c r="J549" s="42"/>
      <c r="K549" s="304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</row>
    <row r="550">
      <c r="A550" s="125"/>
      <c r="B550" s="267"/>
      <c r="C550" s="361"/>
      <c r="D550" s="42"/>
      <c r="E550" s="42"/>
      <c r="F550" s="42"/>
      <c r="G550" s="42"/>
      <c r="H550" s="42"/>
      <c r="I550" s="42"/>
      <c r="J550" s="42"/>
      <c r="K550" s="304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</row>
    <row r="551">
      <c r="A551" s="125"/>
      <c r="B551" s="267"/>
      <c r="C551" s="361"/>
      <c r="D551" s="42"/>
      <c r="E551" s="42"/>
      <c r="F551" s="42"/>
      <c r="G551" s="42"/>
      <c r="H551" s="42"/>
      <c r="I551" s="42"/>
      <c r="J551" s="42"/>
      <c r="K551" s="304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</row>
    <row r="552">
      <c r="A552" s="125"/>
      <c r="B552" s="267"/>
      <c r="C552" s="361"/>
      <c r="D552" s="42"/>
      <c r="E552" s="42"/>
      <c r="F552" s="42"/>
      <c r="G552" s="42"/>
      <c r="H552" s="42"/>
      <c r="I552" s="42"/>
      <c r="J552" s="42"/>
      <c r="K552" s="304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</row>
    <row r="553">
      <c r="A553" s="125"/>
      <c r="B553" s="267"/>
      <c r="C553" s="361"/>
      <c r="D553" s="42"/>
      <c r="E553" s="42"/>
      <c r="F553" s="42"/>
      <c r="G553" s="42"/>
      <c r="H553" s="42"/>
      <c r="I553" s="42"/>
      <c r="J553" s="42"/>
      <c r="K553" s="304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</row>
    <row r="554">
      <c r="A554" s="125"/>
      <c r="B554" s="267"/>
      <c r="C554" s="361"/>
      <c r="D554" s="42"/>
      <c r="E554" s="42"/>
      <c r="F554" s="42"/>
      <c r="G554" s="42"/>
      <c r="H554" s="42"/>
      <c r="I554" s="42"/>
      <c r="J554" s="42"/>
      <c r="K554" s="304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</row>
    <row r="555">
      <c r="A555" s="125"/>
      <c r="B555" s="267"/>
      <c r="C555" s="361"/>
      <c r="D555" s="42"/>
      <c r="E555" s="42"/>
      <c r="F555" s="42"/>
      <c r="G555" s="42"/>
      <c r="H555" s="42"/>
      <c r="I555" s="42"/>
      <c r="J555" s="42"/>
      <c r="K555" s="304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</row>
    <row r="556">
      <c r="A556" s="125"/>
      <c r="B556" s="267"/>
      <c r="C556" s="361"/>
      <c r="D556" s="42"/>
      <c r="E556" s="42"/>
      <c r="F556" s="42"/>
      <c r="G556" s="42"/>
      <c r="H556" s="42"/>
      <c r="I556" s="42"/>
      <c r="J556" s="42"/>
      <c r="K556" s="304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</row>
    <row r="557">
      <c r="A557" s="125"/>
      <c r="B557" s="267"/>
      <c r="C557" s="361"/>
      <c r="D557" s="42"/>
      <c r="E557" s="42"/>
      <c r="F557" s="42"/>
      <c r="G557" s="42"/>
      <c r="H557" s="42"/>
      <c r="I557" s="42"/>
      <c r="J557" s="42"/>
      <c r="K557" s="304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</row>
    <row r="558">
      <c r="A558" s="125"/>
      <c r="B558" s="267"/>
      <c r="C558" s="361"/>
      <c r="D558" s="42"/>
      <c r="E558" s="42"/>
      <c r="F558" s="42"/>
      <c r="G558" s="42"/>
      <c r="H558" s="42"/>
      <c r="I558" s="42"/>
      <c r="J558" s="42"/>
      <c r="K558" s="304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</row>
    <row r="559">
      <c r="A559" s="125"/>
      <c r="B559" s="267"/>
      <c r="C559" s="361"/>
      <c r="D559" s="42"/>
      <c r="E559" s="42"/>
      <c r="F559" s="42"/>
      <c r="G559" s="42"/>
      <c r="H559" s="42"/>
      <c r="I559" s="42"/>
      <c r="J559" s="42"/>
      <c r="K559" s="304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</row>
    <row r="560">
      <c r="A560" s="125"/>
      <c r="B560" s="267"/>
      <c r="C560" s="361"/>
      <c r="D560" s="42"/>
      <c r="E560" s="42"/>
      <c r="F560" s="42"/>
      <c r="G560" s="42"/>
      <c r="H560" s="42"/>
      <c r="I560" s="42"/>
      <c r="J560" s="42"/>
      <c r="K560" s="304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</row>
    <row r="561">
      <c r="A561" s="125"/>
      <c r="B561" s="267"/>
      <c r="C561" s="361"/>
      <c r="D561" s="42"/>
      <c r="E561" s="42"/>
      <c r="F561" s="42"/>
      <c r="G561" s="42"/>
      <c r="H561" s="42"/>
      <c r="I561" s="42"/>
      <c r="J561" s="42"/>
      <c r="K561" s="304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</row>
    <row r="562">
      <c r="A562" s="125"/>
      <c r="B562" s="267"/>
      <c r="C562" s="361"/>
      <c r="D562" s="42"/>
      <c r="E562" s="42"/>
      <c r="F562" s="42"/>
      <c r="G562" s="42"/>
      <c r="H562" s="42"/>
      <c r="I562" s="42"/>
      <c r="J562" s="42"/>
      <c r="K562" s="304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</row>
    <row r="563">
      <c r="A563" s="125"/>
      <c r="B563" s="267"/>
      <c r="C563" s="361"/>
      <c r="D563" s="42"/>
      <c r="E563" s="42"/>
      <c r="F563" s="42"/>
      <c r="G563" s="42"/>
      <c r="H563" s="42"/>
      <c r="I563" s="42"/>
      <c r="J563" s="42"/>
      <c r="K563" s="304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</row>
    <row r="564">
      <c r="A564" s="125"/>
      <c r="B564" s="267"/>
      <c r="C564" s="361"/>
      <c r="D564" s="42"/>
      <c r="E564" s="42"/>
      <c r="F564" s="42"/>
      <c r="G564" s="42"/>
      <c r="H564" s="42"/>
      <c r="I564" s="42"/>
      <c r="J564" s="42"/>
      <c r="K564" s="304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</row>
    <row r="565">
      <c r="A565" s="125"/>
      <c r="B565" s="267"/>
      <c r="C565" s="361"/>
      <c r="D565" s="42"/>
      <c r="E565" s="42"/>
      <c r="F565" s="42"/>
      <c r="G565" s="42"/>
      <c r="H565" s="42"/>
      <c r="I565" s="42"/>
      <c r="J565" s="42"/>
      <c r="K565" s="304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</row>
    <row r="566">
      <c r="A566" s="125"/>
      <c r="B566" s="267"/>
      <c r="C566" s="361"/>
      <c r="D566" s="42"/>
      <c r="E566" s="42"/>
      <c r="F566" s="42"/>
      <c r="G566" s="42"/>
      <c r="H566" s="42"/>
      <c r="I566" s="42"/>
      <c r="J566" s="42"/>
      <c r="K566" s="304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</row>
    <row r="567">
      <c r="A567" s="125"/>
      <c r="B567" s="267"/>
      <c r="C567" s="361"/>
      <c r="D567" s="42"/>
      <c r="E567" s="42"/>
      <c r="F567" s="42"/>
      <c r="G567" s="42"/>
      <c r="H567" s="42"/>
      <c r="I567" s="42"/>
      <c r="J567" s="42"/>
      <c r="K567" s="304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</row>
    <row r="568">
      <c r="A568" s="125"/>
      <c r="B568" s="267"/>
      <c r="C568" s="361"/>
      <c r="D568" s="42"/>
      <c r="E568" s="42"/>
      <c r="F568" s="42"/>
      <c r="G568" s="42"/>
      <c r="H568" s="42"/>
      <c r="I568" s="42"/>
      <c r="J568" s="42"/>
      <c r="K568" s="304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</row>
    <row r="569">
      <c r="A569" s="125"/>
      <c r="B569" s="267"/>
      <c r="C569" s="361"/>
      <c r="D569" s="42"/>
      <c r="E569" s="42"/>
      <c r="F569" s="42"/>
      <c r="G569" s="42"/>
      <c r="H569" s="42"/>
      <c r="I569" s="42"/>
      <c r="J569" s="42"/>
      <c r="K569" s="304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</row>
    <row r="570">
      <c r="A570" s="125"/>
      <c r="B570" s="267"/>
      <c r="C570" s="361"/>
      <c r="D570" s="42"/>
      <c r="E570" s="42"/>
      <c r="F570" s="42"/>
      <c r="G570" s="42"/>
      <c r="H570" s="42"/>
      <c r="I570" s="42"/>
      <c r="J570" s="42"/>
      <c r="K570" s="304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</row>
    <row r="571">
      <c r="A571" s="125"/>
      <c r="B571" s="267"/>
      <c r="C571" s="361"/>
      <c r="D571" s="42"/>
      <c r="E571" s="42"/>
      <c r="F571" s="42"/>
      <c r="G571" s="42"/>
      <c r="H571" s="42"/>
      <c r="I571" s="42"/>
      <c r="J571" s="42"/>
      <c r="K571" s="304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</row>
    <row r="572">
      <c r="A572" s="125"/>
      <c r="B572" s="267"/>
      <c r="C572" s="361"/>
      <c r="D572" s="42"/>
      <c r="E572" s="42"/>
      <c r="F572" s="42"/>
      <c r="G572" s="42"/>
      <c r="H572" s="42"/>
      <c r="I572" s="42"/>
      <c r="J572" s="42"/>
      <c r="K572" s="304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</row>
    <row r="573">
      <c r="A573" s="125"/>
      <c r="B573" s="267"/>
      <c r="C573" s="361"/>
      <c r="D573" s="42"/>
      <c r="E573" s="42"/>
      <c r="F573" s="42"/>
      <c r="G573" s="42"/>
      <c r="H573" s="42"/>
      <c r="I573" s="42"/>
      <c r="J573" s="42"/>
      <c r="K573" s="304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</row>
    <row r="574">
      <c r="A574" s="125"/>
      <c r="B574" s="267"/>
      <c r="C574" s="361"/>
      <c r="D574" s="42"/>
      <c r="E574" s="42"/>
      <c r="F574" s="42"/>
      <c r="G574" s="42"/>
      <c r="H574" s="42"/>
      <c r="I574" s="42"/>
      <c r="J574" s="42"/>
      <c r="K574" s="304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</row>
    <row r="575">
      <c r="A575" s="125"/>
      <c r="B575" s="267"/>
      <c r="C575" s="361"/>
      <c r="D575" s="42"/>
      <c r="E575" s="42"/>
      <c r="F575" s="42"/>
      <c r="G575" s="42"/>
      <c r="H575" s="42"/>
      <c r="I575" s="42"/>
      <c r="J575" s="42"/>
      <c r="K575" s="304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</row>
    <row r="576">
      <c r="A576" s="125"/>
      <c r="B576" s="267"/>
      <c r="C576" s="361"/>
      <c r="D576" s="42"/>
      <c r="E576" s="42"/>
      <c r="F576" s="42"/>
      <c r="G576" s="42"/>
      <c r="H576" s="42"/>
      <c r="I576" s="42"/>
      <c r="J576" s="42"/>
      <c r="K576" s="304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</row>
    <row r="577">
      <c r="A577" s="125"/>
      <c r="B577" s="267"/>
      <c r="C577" s="361"/>
      <c r="D577" s="42"/>
      <c r="E577" s="42"/>
      <c r="F577" s="42"/>
      <c r="G577" s="42"/>
      <c r="H577" s="42"/>
      <c r="I577" s="42"/>
      <c r="J577" s="42"/>
      <c r="K577" s="304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</row>
    <row r="578">
      <c r="A578" s="125"/>
      <c r="B578" s="267"/>
      <c r="C578" s="361"/>
      <c r="D578" s="42"/>
      <c r="E578" s="42"/>
      <c r="F578" s="42"/>
      <c r="G578" s="42"/>
      <c r="H578" s="42"/>
      <c r="I578" s="42"/>
      <c r="J578" s="42"/>
      <c r="K578" s="304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</row>
    <row r="579">
      <c r="A579" s="125"/>
      <c r="B579" s="267"/>
      <c r="C579" s="361"/>
      <c r="D579" s="42"/>
      <c r="E579" s="42"/>
      <c r="F579" s="42"/>
      <c r="G579" s="42"/>
      <c r="H579" s="42"/>
      <c r="I579" s="42"/>
      <c r="J579" s="42"/>
      <c r="K579" s="304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</row>
    <row r="580">
      <c r="A580" s="125"/>
      <c r="B580" s="267"/>
      <c r="C580" s="361"/>
      <c r="D580" s="42"/>
      <c r="E580" s="42"/>
      <c r="F580" s="42"/>
      <c r="G580" s="42"/>
      <c r="H580" s="42"/>
      <c r="I580" s="42"/>
      <c r="J580" s="42"/>
      <c r="K580" s="304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</row>
    <row r="581">
      <c r="A581" s="125"/>
      <c r="B581" s="267"/>
      <c r="C581" s="361"/>
      <c r="D581" s="42"/>
      <c r="E581" s="42"/>
      <c r="F581" s="42"/>
      <c r="G581" s="42"/>
      <c r="H581" s="42"/>
      <c r="I581" s="42"/>
      <c r="J581" s="42"/>
      <c r="K581" s="304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</row>
    <row r="582">
      <c r="A582" s="125"/>
      <c r="B582" s="267"/>
      <c r="C582" s="361"/>
      <c r="D582" s="42"/>
      <c r="E582" s="42"/>
      <c r="F582" s="42"/>
      <c r="G582" s="42"/>
      <c r="H582" s="42"/>
      <c r="I582" s="42"/>
      <c r="J582" s="42"/>
      <c r="K582" s="304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</row>
    <row r="583">
      <c r="A583" s="125"/>
      <c r="B583" s="267"/>
      <c r="C583" s="361"/>
      <c r="D583" s="42"/>
      <c r="E583" s="42"/>
      <c r="F583" s="42"/>
      <c r="G583" s="42"/>
      <c r="H583" s="42"/>
      <c r="I583" s="42"/>
      <c r="J583" s="42"/>
      <c r="K583" s="304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</row>
    <row r="584">
      <c r="A584" s="125"/>
      <c r="B584" s="267"/>
      <c r="C584" s="361"/>
      <c r="D584" s="42"/>
      <c r="E584" s="42"/>
      <c r="F584" s="42"/>
      <c r="G584" s="42"/>
      <c r="H584" s="42"/>
      <c r="I584" s="42"/>
      <c r="J584" s="42"/>
      <c r="K584" s="304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</row>
    <row r="585">
      <c r="A585" s="125"/>
      <c r="B585" s="267"/>
      <c r="C585" s="361"/>
      <c r="D585" s="42"/>
      <c r="E585" s="42"/>
      <c r="F585" s="42"/>
      <c r="G585" s="42"/>
      <c r="H585" s="42"/>
      <c r="I585" s="42"/>
      <c r="J585" s="42"/>
      <c r="K585" s="304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</row>
    <row r="586">
      <c r="A586" s="125"/>
      <c r="B586" s="267"/>
      <c r="C586" s="361"/>
      <c r="D586" s="42"/>
      <c r="E586" s="42"/>
      <c r="F586" s="42"/>
      <c r="G586" s="42"/>
      <c r="H586" s="42"/>
      <c r="I586" s="42"/>
      <c r="J586" s="42"/>
      <c r="K586" s="304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</row>
    <row r="587">
      <c r="A587" s="125"/>
      <c r="B587" s="267"/>
      <c r="C587" s="361"/>
      <c r="D587" s="42"/>
      <c r="E587" s="42"/>
      <c r="F587" s="42"/>
      <c r="G587" s="42"/>
      <c r="H587" s="42"/>
      <c r="I587" s="42"/>
      <c r="J587" s="42"/>
      <c r="K587" s="304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</row>
    <row r="588">
      <c r="A588" s="125"/>
      <c r="B588" s="267"/>
      <c r="C588" s="361"/>
      <c r="D588" s="42"/>
      <c r="E588" s="42"/>
      <c r="F588" s="42"/>
      <c r="G588" s="42"/>
      <c r="H588" s="42"/>
      <c r="I588" s="42"/>
      <c r="J588" s="42"/>
      <c r="K588" s="304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</row>
    <row r="589">
      <c r="A589" s="125"/>
      <c r="B589" s="267"/>
      <c r="C589" s="361"/>
      <c r="D589" s="42"/>
      <c r="E589" s="42"/>
      <c r="F589" s="42"/>
      <c r="G589" s="42"/>
      <c r="H589" s="42"/>
      <c r="I589" s="42"/>
      <c r="J589" s="42"/>
      <c r="K589" s="304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</row>
    <row r="590">
      <c r="A590" s="125"/>
      <c r="B590" s="267"/>
      <c r="C590" s="361"/>
      <c r="D590" s="42"/>
      <c r="E590" s="42"/>
      <c r="F590" s="42"/>
      <c r="G590" s="42"/>
      <c r="H590" s="42"/>
      <c r="I590" s="42"/>
      <c r="J590" s="42"/>
      <c r="K590" s="304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</row>
    <row r="591">
      <c r="A591" s="125"/>
      <c r="B591" s="267"/>
      <c r="C591" s="361"/>
      <c r="D591" s="42"/>
      <c r="E591" s="42"/>
      <c r="F591" s="42"/>
      <c r="G591" s="42"/>
      <c r="H591" s="42"/>
      <c r="I591" s="42"/>
      <c r="J591" s="42"/>
      <c r="K591" s="304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</row>
    <row r="592">
      <c r="A592" s="125"/>
      <c r="B592" s="267"/>
      <c r="C592" s="361"/>
      <c r="D592" s="42"/>
      <c r="E592" s="42"/>
      <c r="F592" s="42"/>
      <c r="G592" s="42"/>
      <c r="H592" s="42"/>
      <c r="I592" s="42"/>
      <c r="J592" s="42"/>
      <c r="K592" s="304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</row>
    <row r="593">
      <c r="A593" s="125"/>
      <c r="B593" s="267"/>
      <c r="C593" s="361"/>
      <c r="D593" s="42"/>
      <c r="E593" s="42"/>
      <c r="F593" s="42"/>
      <c r="G593" s="42"/>
      <c r="H593" s="42"/>
      <c r="I593" s="42"/>
      <c r="J593" s="42"/>
      <c r="K593" s="304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</row>
    <row r="594">
      <c r="A594" s="125"/>
      <c r="B594" s="267"/>
      <c r="C594" s="361"/>
      <c r="D594" s="42"/>
      <c r="E594" s="42"/>
      <c r="F594" s="42"/>
      <c r="G594" s="42"/>
      <c r="H594" s="42"/>
      <c r="I594" s="42"/>
      <c r="J594" s="42"/>
      <c r="K594" s="304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</row>
    <row r="595">
      <c r="A595" s="125"/>
      <c r="B595" s="267"/>
      <c r="C595" s="361"/>
      <c r="D595" s="42"/>
      <c r="E595" s="42"/>
      <c r="F595" s="42"/>
      <c r="G595" s="42"/>
      <c r="H595" s="42"/>
      <c r="I595" s="42"/>
      <c r="J595" s="42"/>
      <c r="K595" s="304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</row>
    <row r="596">
      <c r="A596" s="125"/>
      <c r="B596" s="267"/>
      <c r="C596" s="361"/>
      <c r="D596" s="42"/>
      <c r="E596" s="42"/>
      <c r="F596" s="42"/>
      <c r="G596" s="42"/>
      <c r="H596" s="42"/>
      <c r="I596" s="42"/>
      <c r="J596" s="42"/>
      <c r="K596" s="304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</row>
    <row r="597">
      <c r="A597" s="125"/>
      <c r="B597" s="267"/>
      <c r="C597" s="361"/>
      <c r="D597" s="42"/>
      <c r="E597" s="42"/>
      <c r="F597" s="42"/>
      <c r="G597" s="42"/>
      <c r="H597" s="42"/>
      <c r="I597" s="42"/>
      <c r="J597" s="42"/>
      <c r="K597" s="304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</row>
    <row r="598">
      <c r="A598" s="125"/>
      <c r="B598" s="267"/>
      <c r="C598" s="361"/>
      <c r="D598" s="42"/>
      <c r="E598" s="42"/>
      <c r="F598" s="42"/>
      <c r="G598" s="42"/>
      <c r="H598" s="42"/>
      <c r="I598" s="42"/>
      <c r="J598" s="42"/>
      <c r="K598" s="304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</row>
    <row r="599">
      <c r="A599" s="125"/>
      <c r="B599" s="267"/>
      <c r="C599" s="361"/>
      <c r="D599" s="42"/>
      <c r="E599" s="42"/>
      <c r="F599" s="42"/>
      <c r="G599" s="42"/>
      <c r="H599" s="42"/>
      <c r="I599" s="42"/>
      <c r="J599" s="42"/>
      <c r="K599" s="304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</row>
    <row r="600">
      <c r="A600" s="125"/>
      <c r="B600" s="267"/>
      <c r="C600" s="361"/>
      <c r="D600" s="42"/>
      <c r="E600" s="42"/>
      <c r="F600" s="42"/>
      <c r="G600" s="42"/>
      <c r="H600" s="42"/>
      <c r="I600" s="42"/>
      <c r="J600" s="42"/>
      <c r="K600" s="304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</row>
    <row r="601">
      <c r="A601" s="125"/>
      <c r="B601" s="267"/>
      <c r="C601" s="361"/>
      <c r="D601" s="42"/>
      <c r="E601" s="42"/>
      <c r="F601" s="42"/>
      <c r="G601" s="42"/>
      <c r="H601" s="42"/>
      <c r="I601" s="42"/>
      <c r="J601" s="42"/>
      <c r="K601" s="304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</row>
    <row r="602">
      <c r="A602" s="125"/>
      <c r="B602" s="267"/>
      <c r="C602" s="361"/>
      <c r="D602" s="42"/>
      <c r="E602" s="42"/>
      <c r="F602" s="42"/>
      <c r="G602" s="42"/>
      <c r="H602" s="42"/>
      <c r="I602" s="42"/>
      <c r="J602" s="42"/>
      <c r="K602" s="304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</row>
    <row r="603">
      <c r="A603" s="125"/>
      <c r="B603" s="267"/>
      <c r="C603" s="361"/>
      <c r="D603" s="42"/>
      <c r="E603" s="42"/>
      <c r="F603" s="42"/>
      <c r="G603" s="42"/>
      <c r="H603" s="42"/>
      <c r="I603" s="42"/>
      <c r="J603" s="42"/>
      <c r="K603" s="304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</row>
    <row r="604">
      <c r="A604" s="125"/>
      <c r="B604" s="267"/>
      <c r="C604" s="361"/>
      <c r="D604" s="42"/>
      <c r="E604" s="42"/>
      <c r="F604" s="42"/>
      <c r="G604" s="42"/>
      <c r="H604" s="42"/>
      <c r="I604" s="42"/>
      <c r="J604" s="42"/>
      <c r="K604" s="304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</row>
    <row r="605">
      <c r="A605" s="125"/>
      <c r="B605" s="267"/>
      <c r="C605" s="361"/>
      <c r="D605" s="42"/>
      <c r="E605" s="42"/>
      <c r="F605" s="42"/>
      <c r="G605" s="42"/>
      <c r="H605" s="42"/>
      <c r="I605" s="42"/>
      <c r="J605" s="42"/>
      <c r="K605" s="304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</row>
    <row r="606">
      <c r="A606" s="125"/>
      <c r="B606" s="267"/>
      <c r="C606" s="361"/>
      <c r="D606" s="42"/>
      <c r="E606" s="42"/>
      <c r="F606" s="42"/>
      <c r="G606" s="42"/>
      <c r="H606" s="42"/>
      <c r="I606" s="42"/>
      <c r="J606" s="42"/>
      <c r="K606" s="304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</row>
    <row r="607">
      <c r="A607" s="125"/>
      <c r="B607" s="267"/>
      <c r="C607" s="361"/>
      <c r="D607" s="42"/>
      <c r="E607" s="42"/>
      <c r="F607" s="42"/>
      <c r="G607" s="42"/>
      <c r="H607" s="42"/>
      <c r="I607" s="42"/>
      <c r="J607" s="42"/>
      <c r="K607" s="304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</row>
    <row r="608">
      <c r="A608" s="125"/>
      <c r="B608" s="267"/>
      <c r="C608" s="361"/>
      <c r="D608" s="42"/>
      <c r="E608" s="42"/>
      <c r="F608" s="42"/>
      <c r="G608" s="42"/>
      <c r="H608" s="42"/>
      <c r="I608" s="42"/>
      <c r="J608" s="42"/>
      <c r="K608" s="304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</row>
    <row r="609">
      <c r="A609" s="125"/>
      <c r="B609" s="267"/>
      <c r="C609" s="361"/>
      <c r="D609" s="42"/>
      <c r="E609" s="42"/>
      <c r="F609" s="42"/>
      <c r="G609" s="42"/>
      <c r="H609" s="42"/>
      <c r="I609" s="42"/>
      <c r="J609" s="42"/>
      <c r="K609" s="304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</row>
    <row r="610">
      <c r="A610" s="125"/>
      <c r="B610" s="267"/>
      <c r="C610" s="361"/>
      <c r="D610" s="42"/>
      <c r="E610" s="42"/>
      <c r="F610" s="42"/>
      <c r="G610" s="42"/>
      <c r="H610" s="42"/>
      <c r="I610" s="42"/>
      <c r="J610" s="42"/>
      <c r="K610" s="304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</row>
    <row r="611">
      <c r="A611" s="125"/>
      <c r="B611" s="267"/>
      <c r="C611" s="361"/>
      <c r="D611" s="42"/>
      <c r="E611" s="42"/>
      <c r="F611" s="42"/>
      <c r="G611" s="42"/>
      <c r="H611" s="42"/>
      <c r="I611" s="42"/>
      <c r="J611" s="42"/>
      <c r="K611" s="304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</row>
    <row r="612">
      <c r="A612" s="125"/>
      <c r="B612" s="267"/>
      <c r="C612" s="361"/>
      <c r="D612" s="42"/>
      <c r="E612" s="42"/>
      <c r="F612" s="42"/>
      <c r="G612" s="42"/>
      <c r="H612" s="42"/>
      <c r="I612" s="42"/>
      <c r="J612" s="42"/>
      <c r="K612" s="304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</row>
    <row r="613">
      <c r="A613" s="125"/>
      <c r="B613" s="267"/>
      <c r="C613" s="361"/>
      <c r="D613" s="42"/>
      <c r="E613" s="42"/>
      <c r="F613" s="42"/>
      <c r="G613" s="42"/>
      <c r="H613" s="42"/>
      <c r="I613" s="42"/>
      <c r="J613" s="42"/>
      <c r="K613" s="304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</row>
    <row r="614">
      <c r="A614" s="125"/>
      <c r="B614" s="267"/>
      <c r="C614" s="361"/>
      <c r="D614" s="42"/>
      <c r="E614" s="42"/>
      <c r="F614" s="42"/>
      <c r="G614" s="42"/>
      <c r="H614" s="42"/>
      <c r="I614" s="42"/>
      <c r="J614" s="42"/>
      <c r="K614" s="304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</row>
    <row r="615">
      <c r="A615" s="125"/>
      <c r="B615" s="267"/>
      <c r="C615" s="361"/>
      <c r="D615" s="42"/>
      <c r="E615" s="42"/>
      <c r="F615" s="42"/>
      <c r="G615" s="42"/>
      <c r="H615" s="42"/>
      <c r="I615" s="42"/>
      <c r="J615" s="42"/>
      <c r="K615" s="304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</row>
    <row r="616">
      <c r="A616" s="125"/>
      <c r="B616" s="267"/>
      <c r="C616" s="361"/>
      <c r="D616" s="42"/>
      <c r="E616" s="42"/>
      <c r="F616" s="42"/>
      <c r="G616" s="42"/>
      <c r="H616" s="42"/>
      <c r="I616" s="42"/>
      <c r="J616" s="42"/>
      <c r="K616" s="304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</row>
    <row r="617">
      <c r="A617" s="125"/>
      <c r="B617" s="267"/>
      <c r="C617" s="361"/>
      <c r="D617" s="42"/>
      <c r="E617" s="42"/>
      <c r="F617" s="42"/>
      <c r="G617" s="42"/>
      <c r="H617" s="42"/>
      <c r="I617" s="42"/>
      <c r="J617" s="42"/>
      <c r="K617" s="304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</row>
    <row r="618">
      <c r="A618" s="125"/>
      <c r="B618" s="267"/>
      <c r="C618" s="361"/>
      <c r="D618" s="42"/>
      <c r="E618" s="42"/>
      <c r="F618" s="42"/>
      <c r="G618" s="42"/>
      <c r="H618" s="42"/>
      <c r="I618" s="42"/>
      <c r="J618" s="42"/>
      <c r="K618" s="304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</row>
    <row r="619">
      <c r="A619" s="125"/>
      <c r="B619" s="267"/>
      <c r="C619" s="361"/>
      <c r="D619" s="42"/>
      <c r="E619" s="42"/>
      <c r="F619" s="42"/>
      <c r="G619" s="42"/>
      <c r="H619" s="42"/>
      <c r="I619" s="42"/>
      <c r="J619" s="42"/>
      <c r="K619" s="304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</row>
    <row r="620">
      <c r="A620" s="125"/>
      <c r="B620" s="267"/>
      <c r="C620" s="361"/>
      <c r="D620" s="42"/>
      <c r="E620" s="42"/>
      <c r="F620" s="42"/>
      <c r="G620" s="42"/>
      <c r="H620" s="42"/>
      <c r="I620" s="42"/>
      <c r="J620" s="42"/>
      <c r="K620" s="304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</row>
    <row r="621">
      <c r="A621" s="125"/>
      <c r="B621" s="267"/>
      <c r="C621" s="361"/>
      <c r="D621" s="42"/>
      <c r="E621" s="42"/>
      <c r="F621" s="42"/>
      <c r="G621" s="42"/>
      <c r="H621" s="42"/>
      <c r="I621" s="42"/>
      <c r="J621" s="42"/>
      <c r="K621" s="304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</row>
    <row r="622">
      <c r="A622" s="125"/>
      <c r="B622" s="267"/>
      <c r="C622" s="361"/>
      <c r="D622" s="42"/>
      <c r="E622" s="42"/>
      <c r="F622" s="42"/>
      <c r="G622" s="42"/>
      <c r="H622" s="42"/>
      <c r="I622" s="42"/>
      <c r="J622" s="42"/>
      <c r="K622" s="304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</row>
    <row r="623">
      <c r="A623" s="125"/>
      <c r="B623" s="267"/>
      <c r="C623" s="361"/>
      <c r="D623" s="42"/>
      <c r="E623" s="42"/>
      <c r="F623" s="42"/>
      <c r="G623" s="42"/>
      <c r="H623" s="42"/>
      <c r="I623" s="42"/>
      <c r="J623" s="42"/>
      <c r="K623" s="304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</row>
    <row r="624">
      <c r="A624" s="125"/>
      <c r="B624" s="267"/>
      <c r="C624" s="361"/>
      <c r="D624" s="42"/>
      <c r="E624" s="42"/>
      <c r="F624" s="42"/>
      <c r="G624" s="42"/>
      <c r="H624" s="42"/>
      <c r="I624" s="42"/>
      <c r="J624" s="42"/>
      <c r="K624" s="304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</row>
    <row r="625">
      <c r="A625" s="125"/>
      <c r="B625" s="267"/>
      <c r="C625" s="361"/>
      <c r="D625" s="42"/>
      <c r="E625" s="42"/>
      <c r="F625" s="42"/>
      <c r="G625" s="42"/>
      <c r="H625" s="42"/>
      <c r="I625" s="42"/>
      <c r="J625" s="42"/>
      <c r="K625" s="304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</row>
    <row r="626">
      <c r="A626" s="125"/>
      <c r="B626" s="267"/>
      <c r="C626" s="361"/>
      <c r="D626" s="42"/>
      <c r="E626" s="42"/>
      <c r="F626" s="42"/>
      <c r="G626" s="42"/>
      <c r="H626" s="42"/>
      <c r="I626" s="42"/>
      <c r="J626" s="42"/>
      <c r="K626" s="304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</row>
    <row r="627">
      <c r="A627" s="125"/>
      <c r="B627" s="267"/>
      <c r="C627" s="361"/>
      <c r="D627" s="42"/>
      <c r="E627" s="42"/>
      <c r="F627" s="42"/>
      <c r="G627" s="42"/>
      <c r="H627" s="42"/>
      <c r="I627" s="42"/>
      <c r="J627" s="42"/>
      <c r="K627" s="304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</row>
    <row r="628">
      <c r="A628" s="125"/>
      <c r="B628" s="267"/>
      <c r="C628" s="361"/>
      <c r="D628" s="42"/>
      <c r="E628" s="42"/>
      <c r="F628" s="42"/>
      <c r="G628" s="42"/>
      <c r="H628" s="42"/>
      <c r="I628" s="42"/>
      <c r="J628" s="42"/>
      <c r="K628" s="304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</row>
    <row r="629">
      <c r="A629" s="125"/>
      <c r="B629" s="267"/>
      <c r="C629" s="361"/>
      <c r="D629" s="42"/>
      <c r="E629" s="42"/>
      <c r="F629" s="42"/>
      <c r="G629" s="42"/>
      <c r="H629" s="42"/>
      <c r="I629" s="42"/>
      <c r="J629" s="42"/>
      <c r="K629" s="304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</row>
    <row r="630">
      <c r="A630" s="125"/>
      <c r="B630" s="267"/>
      <c r="C630" s="361"/>
      <c r="D630" s="42"/>
      <c r="E630" s="42"/>
      <c r="F630" s="42"/>
      <c r="G630" s="42"/>
      <c r="H630" s="42"/>
      <c r="I630" s="42"/>
      <c r="J630" s="42"/>
      <c r="K630" s="304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</row>
    <row r="631">
      <c r="A631" s="125"/>
      <c r="B631" s="267"/>
      <c r="C631" s="361"/>
      <c r="D631" s="42"/>
      <c r="E631" s="42"/>
      <c r="F631" s="42"/>
      <c r="G631" s="42"/>
      <c r="H631" s="42"/>
      <c r="I631" s="42"/>
      <c r="J631" s="42"/>
      <c r="K631" s="304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</row>
    <row r="632">
      <c r="A632" s="125"/>
      <c r="B632" s="267"/>
      <c r="C632" s="361"/>
      <c r="D632" s="42"/>
      <c r="E632" s="42"/>
      <c r="F632" s="42"/>
      <c r="G632" s="42"/>
      <c r="H632" s="42"/>
      <c r="I632" s="42"/>
      <c r="J632" s="42"/>
      <c r="K632" s="304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</row>
    <row r="633">
      <c r="A633" s="125"/>
      <c r="B633" s="267"/>
      <c r="C633" s="361"/>
      <c r="D633" s="42"/>
      <c r="E633" s="42"/>
      <c r="F633" s="42"/>
      <c r="G633" s="42"/>
      <c r="H633" s="42"/>
      <c r="I633" s="42"/>
      <c r="J633" s="42"/>
      <c r="K633" s="304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</row>
    <row r="634">
      <c r="A634" s="125"/>
      <c r="B634" s="267"/>
      <c r="C634" s="361"/>
      <c r="D634" s="42"/>
      <c r="E634" s="42"/>
      <c r="F634" s="42"/>
      <c r="G634" s="42"/>
      <c r="H634" s="42"/>
      <c r="I634" s="42"/>
      <c r="J634" s="42"/>
      <c r="K634" s="304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</row>
    <row r="635">
      <c r="A635" s="125"/>
      <c r="B635" s="267"/>
      <c r="C635" s="361"/>
      <c r="D635" s="42"/>
      <c r="E635" s="42"/>
      <c r="F635" s="42"/>
      <c r="G635" s="42"/>
      <c r="H635" s="42"/>
      <c r="I635" s="42"/>
      <c r="J635" s="42"/>
      <c r="K635" s="304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</row>
    <row r="636">
      <c r="A636" s="125"/>
      <c r="B636" s="267"/>
      <c r="C636" s="361"/>
      <c r="D636" s="42"/>
      <c r="E636" s="42"/>
      <c r="F636" s="42"/>
      <c r="G636" s="42"/>
      <c r="H636" s="42"/>
      <c r="I636" s="42"/>
      <c r="J636" s="42"/>
      <c r="K636" s="304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</row>
    <row r="637">
      <c r="A637" s="125"/>
      <c r="B637" s="267"/>
      <c r="C637" s="361"/>
      <c r="D637" s="42"/>
      <c r="E637" s="42"/>
      <c r="F637" s="42"/>
      <c r="G637" s="42"/>
      <c r="H637" s="42"/>
      <c r="I637" s="42"/>
      <c r="J637" s="42"/>
      <c r="K637" s="304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</row>
    <row r="638">
      <c r="A638" s="125"/>
      <c r="B638" s="267"/>
      <c r="C638" s="361"/>
      <c r="D638" s="42"/>
      <c r="E638" s="42"/>
      <c r="F638" s="42"/>
      <c r="G638" s="42"/>
      <c r="H638" s="42"/>
      <c r="I638" s="42"/>
      <c r="J638" s="42"/>
      <c r="K638" s="304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</row>
    <row r="639">
      <c r="A639" s="125"/>
      <c r="B639" s="267"/>
      <c r="C639" s="361"/>
      <c r="D639" s="42"/>
      <c r="E639" s="42"/>
      <c r="F639" s="42"/>
      <c r="G639" s="42"/>
      <c r="H639" s="42"/>
      <c r="I639" s="42"/>
      <c r="J639" s="42"/>
      <c r="K639" s="304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</row>
    <row r="640">
      <c r="A640" s="125"/>
      <c r="B640" s="267"/>
      <c r="C640" s="361"/>
      <c r="D640" s="42"/>
      <c r="E640" s="42"/>
      <c r="F640" s="42"/>
      <c r="G640" s="42"/>
      <c r="H640" s="42"/>
      <c r="I640" s="42"/>
      <c r="J640" s="42"/>
      <c r="K640" s="304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</row>
    <row r="641">
      <c r="A641" s="125"/>
      <c r="B641" s="267"/>
      <c r="C641" s="361"/>
      <c r="D641" s="42"/>
      <c r="E641" s="42"/>
      <c r="F641" s="42"/>
      <c r="G641" s="42"/>
      <c r="H641" s="42"/>
      <c r="I641" s="42"/>
      <c r="J641" s="42"/>
      <c r="K641" s="304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</row>
    <row r="642">
      <c r="A642" s="125"/>
      <c r="B642" s="267"/>
      <c r="C642" s="361"/>
      <c r="D642" s="42"/>
      <c r="E642" s="42"/>
      <c r="F642" s="42"/>
      <c r="G642" s="42"/>
      <c r="H642" s="42"/>
      <c r="I642" s="42"/>
      <c r="J642" s="42"/>
      <c r="K642" s="304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</row>
    <row r="643">
      <c r="A643" s="125"/>
      <c r="B643" s="267"/>
      <c r="C643" s="361"/>
      <c r="D643" s="42"/>
      <c r="E643" s="42"/>
      <c r="F643" s="42"/>
      <c r="G643" s="42"/>
      <c r="H643" s="42"/>
      <c r="I643" s="42"/>
      <c r="J643" s="42"/>
      <c r="K643" s="304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</row>
    <row r="644">
      <c r="A644" s="125"/>
      <c r="B644" s="267"/>
      <c r="C644" s="361"/>
      <c r="D644" s="42"/>
      <c r="E644" s="42"/>
      <c r="F644" s="42"/>
      <c r="G644" s="42"/>
      <c r="H644" s="42"/>
      <c r="I644" s="42"/>
      <c r="J644" s="42"/>
      <c r="K644" s="304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</row>
    <row r="645">
      <c r="A645" s="125"/>
      <c r="B645" s="267"/>
      <c r="C645" s="361"/>
      <c r="D645" s="42"/>
      <c r="E645" s="42"/>
      <c r="F645" s="42"/>
      <c r="G645" s="42"/>
      <c r="H645" s="42"/>
      <c r="I645" s="42"/>
      <c r="J645" s="42"/>
      <c r="K645" s="304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</row>
    <row r="646">
      <c r="A646" s="125"/>
      <c r="B646" s="267"/>
      <c r="C646" s="361"/>
      <c r="D646" s="42"/>
      <c r="E646" s="42"/>
      <c r="F646" s="42"/>
      <c r="G646" s="42"/>
      <c r="H646" s="42"/>
      <c r="I646" s="42"/>
      <c r="J646" s="42"/>
      <c r="K646" s="304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</row>
    <row r="647">
      <c r="A647" s="125"/>
      <c r="B647" s="267"/>
      <c r="C647" s="361"/>
      <c r="D647" s="42"/>
      <c r="E647" s="42"/>
      <c r="F647" s="42"/>
      <c r="G647" s="42"/>
      <c r="H647" s="42"/>
      <c r="I647" s="42"/>
      <c r="J647" s="42"/>
      <c r="K647" s="304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</row>
    <row r="648">
      <c r="A648" s="125"/>
      <c r="B648" s="267"/>
      <c r="C648" s="361"/>
      <c r="D648" s="42"/>
      <c r="E648" s="42"/>
      <c r="F648" s="42"/>
      <c r="G648" s="42"/>
      <c r="H648" s="42"/>
      <c r="I648" s="42"/>
      <c r="J648" s="42"/>
      <c r="K648" s="304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</row>
    <row r="649">
      <c r="A649" s="125"/>
      <c r="B649" s="267"/>
      <c r="C649" s="361"/>
      <c r="D649" s="42"/>
      <c r="E649" s="42"/>
      <c r="F649" s="42"/>
      <c r="G649" s="42"/>
      <c r="H649" s="42"/>
      <c r="I649" s="42"/>
      <c r="J649" s="42"/>
      <c r="K649" s="304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</row>
    <row r="650">
      <c r="A650" s="125"/>
      <c r="B650" s="267"/>
      <c r="C650" s="361"/>
      <c r="D650" s="42"/>
      <c r="E650" s="42"/>
      <c r="F650" s="42"/>
      <c r="G650" s="42"/>
      <c r="H650" s="42"/>
      <c r="I650" s="42"/>
      <c r="J650" s="42"/>
      <c r="K650" s="304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</row>
    <row r="651">
      <c r="A651" s="125"/>
      <c r="B651" s="267"/>
      <c r="C651" s="361"/>
      <c r="D651" s="42"/>
      <c r="E651" s="42"/>
      <c r="F651" s="42"/>
      <c r="G651" s="42"/>
      <c r="H651" s="42"/>
      <c r="I651" s="42"/>
      <c r="J651" s="42"/>
      <c r="K651" s="304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</row>
    <row r="652">
      <c r="A652" s="125"/>
      <c r="B652" s="267"/>
      <c r="C652" s="361"/>
      <c r="D652" s="42"/>
      <c r="E652" s="42"/>
      <c r="F652" s="42"/>
      <c r="G652" s="42"/>
      <c r="H652" s="42"/>
      <c r="I652" s="42"/>
      <c r="J652" s="42"/>
      <c r="K652" s="304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</row>
    <row r="653">
      <c r="A653" s="125"/>
      <c r="B653" s="267"/>
      <c r="C653" s="361"/>
      <c r="D653" s="42"/>
      <c r="E653" s="42"/>
      <c r="F653" s="42"/>
      <c r="G653" s="42"/>
      <c r="H653" s="42"/>
      <c r="I653" s="42"/>
      <c r="J653" s="42"/>
      <c r="K653" s="304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</row>
    <row r="654">
      <c r="A654" s="125"/>
      <c r="B654" s="267"/>
      <c r="C654" s="361"/>
      <c r="D654" s="42"/>
      <c r="E654" s="42"/>
      <c r="F654" s="42"/>
      <c r="G654" s="42"/>
      <c r="H654" s="42"/>
      <c r="I654" s="42"/>
      <c r="J654" s="42"/>
      <c r="K654" s="304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</row>
    <row r="655">
      <c r="A655" s="125"/>
      <c r="B655" s="267"/>
      <c r="C655" s="361"/>
      <c r="D655" s="42"/>
      <c r="E655" s="42"/>
      <c r="F655" s="42"/>
      <c r="G655" s="42"/>
      <c r="H655" s="42"/>
      <c r="I655" s="42"/>
      <c r="J655" s="42"/>
      <c r="K655" s="304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</row>
    <row r="656">
      <c r="A656" s="125"/>
      <c r="B656" s="267"/>
      <c r="C656" s="361"/>
      <c r="D656" s="42"/>
      <c r="E656" s="42"/>
      <c r="F656" s="42"/>
      <c r="G656" s="42"/>
      <c r="H656" s="42"/>
      <c r="I656" s="42"/>
      <c r="J656" s="42"/>
      <c r="K656" s="304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</row>
    <row r="657">
      <c r="A657" s="125"/>
      <c r="B657" s="267"/>
      <c r="C657" s="361"/>
      <c r="D657" s="42"/>
      <c r="E657" s="42"/>
      <c r="F657" s="42"/>
      <c r="G657" s="42"/>
      <c r="H657" s="42"/>
      <c r="I657" s="42"/>
      <c r="J657" s="42"/>
      <c r="K657" s="304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</row>
    <row r="658">
      <c r="A658" s="125"/>
      <c r="B658" s="267"/>
      <c r="C658" s="361"/>
      <c r="D658" s="42"/>
      <c r="E658" s="42"/>
      <c r="F658" s="42"/>
      <c r="G658" s="42"/>
      <c r="H658" s="42"/>
      <c r="I658" s="42"/>
      <c r="J658" s="42"/>
      <c r="K658" s="304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</row>
    <row r="659">
      <c r="A659" s="125"/>
      <c r="B659" s="267"/>
      <c r="C659" s="361"/>
      <c r="D659" s="42"/>
      <c r="E659" s="42"/>
      <c r="F659" s="42"/>
      <c r="G659" s="42"/>
      <c r="H659" s="42"/>
      <c r="I659" s="42"/>
      <c r="J659" s="42"/>
      <c r="K659" s="304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</row>
    <row r="660">
      <c r="A660" s="125"/>
      <c r="B660" s="267"/>
      <c r="C660" s="361"/>
      <c r="D660" s="42"/>
      <c r="E660" s="42"/>
      <c r="F660" s="42"/>
      <c r="G660" s="42"/>
      <c r="H660" s="42"/>
      <c r="I660" s="42"/>
      <c r="J660" s="42"/>
      <c r="K660" s="304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</row>
    <row r="661">
      <c r="A661" s="125"/>
      <c r="B661" s="267"/>
      <c r="C661" s="361"/>
      <c r="D661" s="42"/>
      <c r="E661" s="42"/>
      <c r="F661" s="42"/>
      <c r="G661" s="42"/>
      <c r="H661" s="42"/>
      <c r="I661" s="42"/>
      <c r="J661" s="42"/>
      <c r="K661" s="304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</row>
    <row r="662">
      <c r="A662" s="125"/>
      <c r="B662" s="267"/>
      <c r="C662" s="361"/>
      <c r="D662" s="42"/>
      <c r="E662" s="42"/>
      <c r="F662" s="42"/>
      <c r="G662" s="42"/>
      <c r="H662" s="42"/>
      <c r="I662" s="42"/>
      <c r="J662" s="42"/>
      <c r="K662" s="304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</row>
    <row r="663">
      <c r="A663" s="125"/>
      <c r="B663" s="267"/>
      <c r="C663" s="361"/>
      <c r="D663" s="42"/>
      <c r="E663" s="42"/>
      <c r="F663" s="42"/>
      <c r="G663" s="42"/>
      <c r="H663" s="42"/>
      <c r="I663" s="42"/>
      <c r="J663" s="42"/>
      <c r="K663" s="304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</row>
    <row r="664">
      <c r="A664" s="125"/>
      <c r="B664" s="267"/>
      <c r="C664" s="361"/>
      <c r="D664" s="42"/>
      <c r="E664" s="42"/>
      <c r="F664" s="42"/>
      <c r="G664" s="42"/>
      <c r="H664" s="42"/>
      <c r="I664" s="42"/>
      <c r="J664" s="42"/>
      <c r="K664" s="304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</row>
    <row r="665">
      <c r="A665" s="125"/>
      <c r="B665" s="267"/>
      <c r="C665" s="361"/>
      <c r="D665" s="42"/>
      <c r="E665" s="42"/>
      <c r="F665" s="42"/>
      <c r="G665" s="42"/>
      <c r="H665" s="42"/>
      <c r="I665" s="42"/>
      <c r="J665" s="42"/>
      <c r="K665" s="304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</row>
    <row r="666">
      <c r="A666" s="125"/>
      <c r="B666" s="267"/>
      <c r="C666" s="361"/>
      <c r="D666" s="42"/>
      <c r="E666" s="42"/>
      <c r="F666" s="42"/>
      <c r="G666" s="42"/>
      <c r="H666" s="42"/>
      <c r="I666" s="42"/>
      <c r="J666" s="42"/>
      <c r="K666" s="304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</row>
    <row r="667">
      <c r="A667" s="125"/>
      <c r="B667" s="267"/>
      <c r="C667" s="361"/>
      <c r="D667" s="42"/>
      <c r="E667" s="42"/>
      <c r="F667" s="42"/>
      <c r="G667" s="42"/>
      <c r="H667" s="42"/>
      <c r="I667" s="42"/>
      <c r="J667" s="42"/>
      <c r="K667" s="304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</row>
    <row r="668">
      <c r="A668" s="125"/>
      <c r="B668" s="267"/>
      <c r="C668" s="361"/>
      <c r="D668" s="42"/>
      <c r="E668" s="42"/>
      <c r="F668" s="42"/>
      <c r="G668" s="42"/>
      <c r="H668" s="42"/>
      <c r="I668" s="42"/>
      <c r="J668" s="42"/>
      <c r="K668" s="304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</row>
    <row r="669">
      <c r="A669" s="125"/>
      <c r="B669" s="267"/>
      <c r="C669" s="361"/>
      <c r="D669" s="42"/>
      <c r="E669" s="42"/>
      <c r="F669" s="42"/>
      <c r="G669" s="42"/>
      <c r="H669" s="42"/>
      <c r="I669" s="42"/>
      <c r="J669" s="42"/>
      <c r="K669" s="304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</row>
    <row r="670">
      <c r="A670" s="125"/>
      <c r="B670" s="267"/>
      <c r="C670" s="361"/>
      <c r="D670" s="42"/>
      <c r="E670" s="42"/>
      <c r="F670" s="42"/>
      <c r="G670" s="42"/>
      <c r="H670" s="42"/>
      <c r="I670" s="42"/>
      <c r="J670" s="42"/>
      <c r="K670" s="304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</row>
    <row r="671">
      <c r="A671" s="125"/>
      <c r="B671" s="267"/>
      <c r="C671" s="361"/>
      <c r="D671" s="42"/>
      <c r="E671" s="42"/>
      <c r="F671" s="42"/>
      <c r="G671" s="42"/>
      <c r="H671" s="42"/>
      <c r="I671" s="42"/>
      <c r="J671" s="42"/>
      <c r="K671" s="304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</row>
    <row r="672">
      <c r="A672" s="125"/>
      <c r="B672" s="267"/>
      <c r="C672" s="361"/>
      <c r="D672" s="42"/>
      <c r="E672" s="42"/>
      <c r="F672" s="42"/>
      <c r="G672" s="42"/>
      <c r="H672" s="42"/>
      <c r="I672" s="42"/>
      <c r="J672" s="42"/>
      <c r="K672" s="304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</row>
    <row r="673">
      <c r="A673" s="125"/>
      <c r="B673" s="267"/>
      <c r="C673" s="361"/>
      <c r="D673" s="42"/>
      <c r="E673" s="42"/>
      <c r="F673" s="42"/>
      <c r="G673" s="42"/>
      <c r="H673" s="42"/>
      <c r="I673" s="42"/>
      <c r="J673" s="42"/>
      <c r="K673" s="304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</row>
    <row r="674">
      <c r="A674" s="125"/>
      <c r="B674" s="267"/>
      <c r="C674" s="361"/>
      <c r="D674" s="42"/>
      <c r="E674" s="42"/>
      <c r="F674" s="42"/>
      <c r="G674" s="42"/>
      <c r="H674" s="42"/>
      <c r="I674" s="42"/>
      <c r="J674" s="42"/>
      <c r="K674" s="304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</row>
    <row r="675">
      <c r="A675" s="125"/>
      <c r="B675" s="267"/>
      <c r="C675" s="361"/>
      <c r="D675" s="42"/>
      <c r="E675" s="42"/>
      <c r="F675" s="42"/>
      <c r="G675" s="42"/>
      <c r="H675" s="42"/>
      <c r="I675" s="42"/>
      <c r="J675" s="42"/>
      <c r="K675" s="304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</row>
    <row r="676">
      <c r="A676" s="125"/>
      <c r="B676" s="267"/>
      <c r="C676" s="361"/>
      <c r="D676" s="42"/>
      <c r="E676" s="42"/>
      <c r="F676" s="42"/>
      <c r="G676" s="42"/>
      <c r="H676" s="42"/>
      <c r="I676" s="42"/>
      <c r="J676" s="42"/>
      <c r="K676" s="304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</row>
    <row r="677">
      <c r="A677" s="125"/>
      <c r="B677" s="267"/>
      <c r="C677" s="361"/>
      <c r="D677" s="42"/>
      <c r="E677" s="42"/>
      <c r="F677" s="42"/>
      <c r="G677" s="42"/>
      <c r="H677" s="42"/>
      <c r="I677" s="42"/>
      <c r="J677" s="42"/>
      <c r="K677" s="304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</row>
    <row r="678">
      <c r="A678" s="125"/>
      <c r="B678" s="267"/>
      <c r="C678" s="361"/>
      <c r="D678" s="42"/>
      <c r="E678" s="42"/>
      <c r="F678" s="42"/>
      <c r="G678" s="42"/>
      <c r="H678" s="42"/>
      <c r="I678" s="42"/>
      <c r="J678" s="42"/>
      <c r="K678" s="304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</row>
    <row r="679">
      <c r="A679" s="125"/>
      <c r="B679" s="267"/>
      <c r="C679" s="361"/>
      <c r="D679" s="42"/>
      <c r="E679" s="42"/>
      <c r="F679" s="42"/>
      <c r="G679" s="42"/>
      <c r="H679" s="42"/>
      <c r="I679" s="42"/>
      <c r="J679" s="42"/>
      <c r="K679" s="304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</row>
    <row r="680">
      <c r="A680" s="125"/>
      <c r="B680" s="267"/>
      <c r="C680" s="361"/>
      <c r="D680" s="42"/>
      <c r="E680" s="42"/>
      <c r="F680" s="42"/>
      <c r="G680" s="42"/>
      <c r="H680" s="42"/>
      <c r="I680" s="42"/>
      <c r="J680" s="42"/>
      <c r="K680" s="304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</row>
    <row r="681">
      <c r="A681" s="125"/>
      <c r="B681" s="267"/>
      <c r="C681" s="361"/>
      <c r="D681" s="42"/>
      <c r="E681" s="42"/>
      <c r="F681" s="42"/>
      <c r="G681" s="42"/>
      <c r="H681" s="42"/>
      <c r="I681" s="42"/>
      <c r="J681" s="42"/>
      <c r="K681" s="304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</row>
    <row r="682">
      <c r="A682" s="125"/>
      <c r="B682" s="267"/>
      <c r="C682" s="361"/>
      <c r="D682" s="42"/>
      <c r="E682" s="42"/>
      <c r="F682" s="42"/>
      <c r="G682" s="42"/>
      <c r="H682" s="42"/>
      <c r="I682" s="42"/>
      <c r="J682" s="42"/>
      <c r="K682" s="304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</row>
    <row r="683">
      <c r="A683" s="125"/>
      <c r="B683" s="267"/>
      <c r="C683" s="361"/>
      <c r="D683" s="42"/>
      <c r="E683" s="42"/>
      <c r="F683" s="42"/>
      <c r="G683" s="42"/>
      <c r="H683" s="42"/>
      <c r="I683" s="42"/>
      <c r="J683" s="42"/>
      <c r="K683" s="304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</row>
    <row r="684">
      <c r="A684" s="125"/>
      <c r="B684" s="267"/>
      <c r="C684" s="361"/>
      <c r="D684" s="42"/>
      <c r="E684" s="42"/>
      <c r="F684" s="42"/>
      <c r="G684" s="42"/>
      <c r="H684" s="42"/>
      <c r="I684" s="42"/>
      <c r="J684" s="42"/>
      <c r="K684" s="304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</row>
    <row r="685">
      <c r="A685" s="125"/>
      <c r="B685" s="267"/>
      <c r="C685" s="361"/>
      <c r="D685" s="42"/>
      <c r="E685" s="42"/>
      <c r="F685" s="42"/>
      <c r="G685" s="42"/>
      <c r="H685" s="42"/>
      <c r="I685" s="42"/>
      <c r="J685" s="42"/>
      <c r="K685" s="304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</row>
    <row r="686">
      <c r="A686" s="125"/>
      <c r="B686" s="267"/>
      <c r="C686" s="361"/>
      <c r="D686" s="42"/>
      <c r="E686" s="42"/>
      <c r="F686" s="42"/>
      <c r="G686" s="42"/>
      <c r="H686" s="42"/>
      <c r="I686" s="42"/>
      <c r="J686" s="42"/>
      <c r="K686" s="304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</row>
    <row r="687">
      <c r="A687" s="125"/>
      <c r="B687" s="267"/>
      <c r="C687" s="361"/>
      <c r="D687" s="42"/>
      <c r="E687" s="42"/>
      <c r="F687" s="42"/>
      <c r="G687" s="42"/>
      <c r="H687" s="42"/>
      <c r="I687" s="42"/>
      <c r="J687" s="42"/>
      <c r="K687" s="304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</row>
    <row r="688">
      <c r="A688" s="125"/>
      <c r="B688" s="267"/>
      <c r="C688" s="361"/>
      <c r="D688" s="42"/>
      <c r="E688" s="42"/>
      <c r="F688" s="42"/>
      <c r="G688" s="42"/>
      <c r="H688" s="42"/>
      <c r="I688" s="42"/>
      <c r="J688" s="42"/>
      <c r="K688" s="304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</row>
    <row r="689">
      <c r="A689" s="125"/>
      <c r="B689" s="267"/>
      <c r="C689" s="361"/>
      <c r="D689" s="42"/>
      <c r="E689" s="42"/>
      <c r="F689" s="42"/>
      <c r="G689" s="42"/>
      <c r="H689" s="42"/>
      <c r="I689" s="42"/>
      <c r="J689" s="42"/>
      <c r="K689" s="304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</row>
    <row r="690">
      <c r="A690" s="125"/>
      <c r="B690" s="267"/>
      <c r="C690" s="361"/>
      <c r="D690" s="42"/>
      <c r="E690" s="42"/>
      <c r="F690" s="42"/>
      <c r="G690" s="42"/>
      <c r="H690" s="42"/>
      <c r="I690" s="42"/>
      <c r="J690" s="42"/>
      <c r="K690" s="304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</row>
    <row r="691">
      <c r="A691" s="125"/>
      <c r="B691" s="267"/>
      <c r="C691" s="361"/>
      <c r="D691" s="42"/>
      <c r="E691" s="42"/>
      <c r="F691" s="42"/>
      <c r="G691" s="42"/>
      <c r="H691" s="42"/>
      <c r="I691" s="42"/>
      <c r="J691" s="42"/>
      <c r="K691" s="304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</row>
    <row r="692">
      <c r="A692" s="125"/>
      <c r="B692" s="267"/>
      <c r="C692" s="361"/>
      <c r="D692" s="42"/>
      <c r="E692" s="42"/>
      <c r="F692" s="42"/>
      <c r="G692" s="42"/>
      <c r="H692" s="42"/>
      <c r="I692" s="42"/>
      <c r="J692" s="42"/>
      <c r="K692" s="304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</row>
    <row r="693">
      <c r="A693" s="125"/>
      <c r="B693" s="267"/>
      <c r="C693" s="361"/>
      <c r="D693" s="42"/>
      <c r="E693" s="42"/>
      <c r="F693" s="42"/>
      <c r="G693" s="42"/>
      <c r="H693" s="42"/>
      <c r="I693" s="42"/>
      <c r="J693" s="42"/>
      <c r="K693" s="304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</row>
    <row r="694">
      <c r="A694" s="125"/>
      <c r="B694" s="267"/>
      <c r="C694" s="361"/>
      <c r="D694" s="42"/>
      <c r="E694" s="42"/>
      <c r="F694" s="42"/>
      <c r="G694" s="42"/>
      <c r="H694" s="42"/>
      <c r="I694" s="42"/>
      <c r="J694" s="42"/>
      <c r="K694" s="304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</row>
    <row r="695">
      <c r="A695" s="125"/>
      <c r="B695" s="267"/>
      <c r="C695" s="361"/>
      <c r="D695" s="42"/>
      <c r="E695" s="42"/>
      <c r="F695" s="42"/>
      <c r="G695" s="42"/>
      <c r="H695" s="42"/>
      <c r="I695" s="42"/>
      <c r="J695" s="42"/>
      <c r="K695" s="304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</row>
    <row r="696">
      <c r="A696" s="125"/>
      <c r="B696" s="267"/>
      <c r="C696" s="361"/>
      <c r="D696" s="42"/>
      <c r="E696" s="42"/>
      <c r="F696" s="42"/>
      <c r="G696" s="42"/>
      <c r="H696" s="42"/>
      <c r="I696" s="42"/>
      <c r="J696" s="42"/>
      <c r="K696" s="304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</row>
    <row r="697">
      <c r="A697" s="125"/>
      <c r="B697" s="267"/>
      <c r="C697" s="361"/>
      <c r="D697" s="42"/>
      <c r="E697" s="42"/>
      <c r="F697" s="42"/>
      <c r="G697" s="42"/>
      <c r="H697" s="42"/>
      <c r="I697" s="42"/>
      <c r="J697" s="42"/>
      <c r="K697" s="304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</row>
    <row r="698">
      <c r="A698" s="125"/>
      <c r="B698" s="267"/>
      <c r="C698" s="361"/>
      <c r="D698" s="42"/>
      <c r="E698" s="42"/>
      <c r="F698" s="42"/>
      <c r="G698" s="42"/>
      <c r="H698" s="42"/>
      <c r="I698" s="42"/>
      <c r="J698" s="42"/>
      <c r="K698" s="304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</row>
    <row r="699">
      <c r="A699" s="125"/>
      <c r="B699" s="267"/>
      <c r="C699" s="361"/>
      <c r="D699" s="42"/>
      <c r="E699" s="42"/>
      <c r="F699" s="42"/>
      <c r="G699" s="42"/>
      <c r="H699" s="42"/>
      <c r="I699" s="42"/>
      <c r="J699" s="42"/>
      <c r="K699" s="304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</row>
    <row r="700">
      <c r="A700" s="125"/>
      <c r="B700" s="267"/>
      <c r="C700" s="361"/>
      <c r="D700" s="42"/>
      <c r="E700" s="42"/>
      <c r="F700" s="42"/>
      <c r="G700" s="42"/>
      <c r="H700" s="42"/>
      <c r="I700" s="42"/>
      <c r="J700" s="42"/>
      <c r="K700" s="304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</row>
    <row r="701">
      <c r="A701" s="125"/>
      <c r="B701" s="267"/>
      <c r="C701" s="361"/>
      <c r="D701" s="42"/>
      <c r="E701" s="42"/>
      <c r="F701" s="42"/>
      <c r="G701" s="42"/>
      <c r="H701" s="42"/>
      <c r="I701" s="42"/>
      <c r="J701" s="42"/>
      <c r="K701" s="304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</row>
    <row r="702">
      <c r="A702" s="125"/>
      <c r="B702" s="267"/>
      <c r="C702" s="361"/>
      <c r="D702" s="42"/>
      <c r="E702" s="42"/>
      <c r="F702" s="42"/>
      <c r="G702" s="42"/>
      <c r="H702" s="42"/>
      <c r="I702" s="42"/>
      <c r="J702" s="42"/>
      <c r="K702" s="304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</row>
    <row r="703">
      <c r="A703" s="125"/>
      <c r="B703" s="267"/>
      <c r="C703" s="361"/>
      <c r="D703" s="42"/>
      <c r="E703" s="42"/>
      <c r="F703" s="42"/>
      <c r="G703" s="42"/>
      <c r="H703" s="42"/>
      <c r="I703" s="42"/>
      <c r="J703" s="42"/>
      <c r="K703" s="304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</row>
    <row r="704">
      <c r="A704" s="125"/>
      <c r="B704" s="267"/>
      <c r="C704" s="361"/>
      <c r="D704" s="42"/>
      <c r="E704" s="42"/>
      <c r="F704" s="42"/>
      <c r="G704" s="42"/>
      <c r="H704" s="42"/>
      <c r="I704" s="42"/>
      <c r="J704" s="42"/>
      <c r="K704" s="304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</row>
    <row r="705">
      <c r="A705" s="125"/>
      <c r="B705" s="267"/>
      <c r="C705" s="361"/>
      <c r="D705" s="42"/>
      <c r="E705" s="42"/>
      <c r="F705" s="42"/>
      <c r="G705" s="42"/>
      <c r="H705" s="42"/>
      <c r="I705" s="42"/>
      <c r="J705" s="42"/>
      <c r="K705" s="304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</row>
    <row r="706">
      <c r="A706" s="125"/>
      <c r="B706" s="267"/>
      <c r="C706" s="361"/>
      <c r="D706" s="42"/>
      <c r="E706" s="42"/>
      <c r="F706" s="42"/>
      <c r="G706" s="42"/>
      <c r="H706" s="42"/>
      <c r="I706" s="42"/>
      <c r="J706" s="42"/>
      <c r="K706" s="304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</row>
    <row r="707">
      <c r="A707" s="125"/>
      <c r="B707" s="267"/>
      <c r="C707" s="361"/>
      <c r="D707" s="42"/>
      <c r="E707" s="42"/>
      <c r="F707" s="42"/>
      <c r="G707" s="42"/>
      <c r="H707" s="42"/>
      <c r="I707" s="42"/>
      <c r="J707" s="42"/>
      <c r="K707" s="304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</row>
    <row r="708">
      <c r="A708" s="125"/>
      <c r="B708" s="267"/>
      <c r="C708" s="361"/>
      <c r="D708" s="42"/>
      <c r="E708" s="42"/>
      <c r="F708" s="42"/>
      <c r="G708" s="42"/>
      <c r="H708" s="42"/>
      <c r="I708" s="42"/>
      <c r="J708" s="42"/>
      <c r="K708" s="304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</row>
    <row r="709">
      <c r="A709" s="125"/>
      <c r="B709" s="267"/>
      <c r="C709" s="361"/>
      <c r="D709" s="42"/>
      <c r="E709" s="42"/>
      <c r="F709" s="42"/>
      <c r="G709" s="42"/>
      <c r="H709" s="42"/>
      <c r="I709" s="42"/>
      <c r="J709" s="42"/>
      <c r="K709" s="304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</row>
    <row r="710">
      <c r="A710" s="125"/>
      <c r="B710" s="267"/>
      <c r="C710" s="361"/>
      <c r="D710" s="42"/>
      <c r="E710" s="42"/>
      <c r="F710" s="42"/>
      <c r="G710" s="42"/>
      <c r="H710" s="42"/>
      <c r="I710" s="42"/>
      <c r="J710" s="42"/>
      <c r="K710" s="304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</row>
    <row r="711">
      <c r="A711" s="125"/>
      <c r="B711" s="267"/>
      <c r="C711" s="361"/>
      <c r="D711" s="42"/>
      <c r="E711" s="42"/>
      <c r="F711" s="42"/>
      <c r="G711" s="42"/>
      <c r="H711" s="42"/>
      <c r="I711" s="42"/>
      <c r="J711" s="42"/>
      <c r="K711" s="304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</row>
    <row r="712">
      <c r="A712" s="125"/>
      <c r="B712" s="267"/>
      <c r="C712" s="361"/>
      <c r="D712" s="42"/>
      <c r="E712" s="42"/>
      <c r="F712" s="42"/>
      <c r="G712" s="42"/>
      <c r="H712" s="42"/>
      <c r="I712" s="42"/>
      <c r="J712" s="42"/>
      <c r="K712" s="304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</row>
    <row r="713">
      <c r="A713" s="125"/>
      <c r="B713" s="267"/>
      <c r="C713" s="361"/>
      <c r="D713" s="42"/>
      <c r="E713" s="42"/>
      <c r="F713" s="42"/>
      <c r="G713" s="42"/>
      <c r="H713" s="42"/>
      <c r="I713" s="42"/>
      <c r="J713" s="42"/>
      <c r="K713" s="304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</row>
    <row r="714">
      <c r="A714" s="125"/>
      <c r="B714" s="267"/>
      <c r="C714" s="361"/>
      <c r="D714" s="42"/>
      <c r="E714" s="42"/>
      <c r="F714" s="42"/>
      <c r="G714" s="42"/>
      <c r="H714" s="42"/>
      <c r="I714" s="42"/>
      <c r="J714" s="42"/>
      <c r="K714" s="304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</row>
    <row r="715">
      <c r="A715" s="125"/>
      <c r="B715" s="267"/>
      <c r="C715" s="361"/>
      <c r="D715" s="42"/>
      <c r="E715" s="42"/>
      <c r="F715" s="42"/>
      <c r="G715" s="42"/>
      <c r="H715" s="42"/>
      <c r="I715" s="42"/>
      <c r="J715" s="42"/>
      <c r="K715" s="304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</row>
    <row r="716">
      <c r="A716" s="125"/>
      <c r="B716" s="267"/>
      <c r="C716" s="361"/>
      <c r="D716" s="42"/>
      <c r="E716" s="42"/>
      <c r="F716" s="42"/>
      <c r="G716" s="42"/>
      <c r="H716" s="42"/>
      <c r="I716" s="42"/>
      <c r="J716" s="42"/>
      <c r="K716" s="304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</row>
    <row r="717">
      <c r="A717" s="125"/>
      <c r="B717" s="267"/>
      <c r="C717" s="361"/>
      <c r="D717" s="42"/>
      <c r="E717" s="42"/>
      <c r="F717" s="42"/>
      <c r="G717" s="42"/>
      <c r="H717" s="42"/>
      <c r="I717" s="42"/>
      <c r="J717" s="42"/>
      <c r="K717" s="304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</row>
    <row r="718">
      <c r="A718" s="125"/>
      <c r="B718" s="267"/>
      <c r="C718" s="361"/>
      <c r="D718" s="42"/>
      <c r="E718" s="42"/>
      <c r="F718" s="42"/>
      <c r="G718" s="42"/>
      <c r="H718" s="42"/>
      <c r="I718" s="42"/>
      <c r="J718" s="42"/>
      <c r="K718" s="304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</row>
    <row r="719">
      <c r="A719" s="125"/>
      <c r="B719" s="267"/>
      <c r="C719" s="361"/>
      <c r="D719" s="42"/>
      <c r="E719" s="42"/>
      <c r="F719" s="42"/>
      <c r="G719" s="42"/>
      <c r="H719" s="42"/>
      <c r="I719" s="42"/>
      <c r="J719" s="42"/>
      <c r="K719" s="304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</row>
    <row r="720">
      <c r="A720" s="125"/>
      <c r="B720" s="267"/>
      <c r="C720" s="361"/>
      <c r="D720" s="42"/>
      <c r="E720" s="42"/>
      <c r="F720" s="42"/>
      <c r="G720" s="42"/>
      <c r="H720" s="42"/>
      <c r="I720" s="42"/>
      <c r="J720" s="42"/>
      <c r="K720" s="304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</row>
    <row r="721">
      <c r="A721" s="125"/>
      <c r="B721" s="267"/>
      <c r="C721" s="361"/>
      <c r="D721" s="42"/>
      <c r="E721" s="42"/>
      <c r="F721" s="42"/>
      <c r="G721" s="42"/>
      <c r="H721" s="42"/>
      <c r="I721" s="42"/>
      <c r="J721" s="42"/>
      <c r="K721" s="304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</row>
    <row r="722">
      <c r="A722" s="125"/>
      <c r="B722" s="267"/>
      <c r="C722" s="361"/>
      <c r="D722" s="42"/>
      <c r="E722" s="42"/>
      <c r="F722" s="42"/>
      <c r="G722" s="42"/>
      <c r="H722" s="42"/>
      <c r="I722" s="42"/>
      <c r="J722" s="42"/>
      <c r="K722" s="304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</row>
    <row r="723">
      <c r="A723" s="125"/>
      <c r="B723" s="267"/>
      <c r="C723" s="361"/>
      <c r="D723" s="42"/>
      <c r="E723" s="42"/>
      <c r="F723" s="42"/>
      <c r="G723" s="42"/>
      <c r="H723" s="42"/>
      <c r="I723" s="42"/>
      <c r="J723" s="42"/>
      <c r="K723" s="304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</row>
    <row r="724">
      <c r="A724" s="125"/>
      <c r="B724" s="267"/>
      <c r="C724" s="361"/>
      <c r="D724" s="42"/>
      <c r="E724" s="42"/>
      <c r="F724" s="42"/>
      <c r="G724" s="42"/>
      <c r="H724" s="42"/>
      <c r="I724" s="42"/>
      <c r="J724" s="42"/>
      <c r="K724" s="304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</row>
    <row r="725">
      <c r="A725" s="125"/>
      <c r="B725" s="267"/>
      <c r="C725" s="361"/>
      <c r="D725" s="42"/>
      <c r="E725" s="42"/>
      <c r="F725" s="42"/>
      <c r="G725" s="42"/>
      <c r="H725" s="42"/>
      <c r="I725" s="42"/>
      <c r="J725" s="42"/>
      <c r="K725" s="304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</row>
    <row r="726">
      <c r="A726" s="125"/>
      <c r="B726" s="267"/>
      <c r="C726" s="361"/>
      <c r="D726" s="42"/>
      <c r="E726" s="42"/>
      <c r="F726" s="42"/>
      <c r="G726" s="42"/>
      <c r="H726" s="42"/>
      <c r="I726" s="42"/>
      <c r="J726" s="42"/>
      <c r="K726" s="304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</row>
    <row r="727">
      <c r="A727" s="125"/>
      <c r="B727" s="267"/>
      <c r="C727" s="361"/>
      <c r="D727" s="42"/>
      <c r="E727" s="42"/>
      <c r="F727" s="42"/>
      <c r="G727" s="42"/>
      <c r="H727" s="42"/>
      <c r="I727" s="42"/>
      <c r="J727" s="42"/>
      <c r="K727" s="304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</row>
    <row r="728">
      <c r="A728" s="125"/>
      <c r="B728" s="267"/>
      <c r="C728" s="361"/>
      <c r="D728" s="42"/>
      <c r="E728" s="42"/>
      <c r="F728" s="42"/>
      <c r="G728" s="42"/>
      <c r="H728" s="42"/>
      <c r="I728" s="42"/>
      <c r="J728" s="42"/>
      <c r="K728" s="304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</row>
    <row r="729">
      <c r="A729" s="125"/>
      <c r="B729" s="267"/>
      <c r="C729" s="361"/>
      <c r="D729" s="42"/>
      <c r="E729" s="42"/>
      <c r="F729" s="42"/>
      <c r="G729" s="42"/>
      <c r="H729" s="42"/>
      <c r="I729" s="42"/>
      <c r="J729" s="42"/>
      <c r="K729" s="304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</row>
    <row r="730">
      <c r="A730" s="125"/>
      <c r="B730" s="267"/>
      <c r="C730" s="361"/>
      <c r="D730" s="42"/>
      <c r="E730" s="42"/>
      <c r="F730" s="42"/>
      <c r="G730" s="42"/>
      <c r="H730" s="42"/>
      <c r="I730" s="42"/>
      <c r="J730" s="42"/>
      <c r="K730" s="304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</row>
    <row r="731">
      <c r="A731" s="125"/>
      <c r="B731" s="267"/>
      <c r="C731" s="361"/>
      <c r="D731" s="42"/>
      <c r="E731" s="42"/>
      <c r="F731" s="42"/>
      <c r="G731" s="42"/>
      <c r="H731" s="42"/>
      <c r="I731" s="42"/>
      <c r="J731" s="42"/>
      <c r="K731" s="304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</row>
    <row r="732">
      <c r="A732" s="125"/>
      <c r="B732" s="267"/>
      <c r="C732" s="361"/>
      <c r="D732" s="42"/>
      <c r="E732" s="42"/>
      <c r="F732" s="42"/>
      <c r="G732" s="42"/>
      <c r="H732" s="42"/>
      <c r="I732" s="42"/>
      <c r="J732" s="42"/>
      <c r="K732" s="304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</row>
    <row r="733">
      <c r="A733" s="125"/>
      <c r="B733" s="267"/>
      <c r="C733" s="361"/>
      <c r="D733" s="42"/>
      <c r="E733" s="42"/>
      <c r="F733" s="42"/>
      <c r="G733" s="42"/>
      <c r="H733" s="42"/>
      <c r="I733" s="42"/>
      <c r="J733" s="42"/>
      <c r="K733" s="304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</row>
    <row r="734">
      <c r="A734" s="125"/>
      <c r="B734" s="267"/>
      <c r="C734" s="361"/>
      <c r="D734" s="42"/>
      <c r="E734" s="42"/>
      <c r="F734" s="42"/>
      <c r="G734" s="42"/>
      <c r="H734" s="42"/>
      <c r="I734" s="42"/>
      <c r="J734" s="42"/>
      <c r="K734" s="304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</row>
    <row r="735">
      <c r="A735" s="125"/>
      <c r="B735" s="267"/>
      <c r="C735" s="361"/>
      <c r="D735" s="42"/>
      <c r="E735" s="42"/>
      <c r="F735" s="42"/>
      <c r="G735" s="42"/>
      <c r="H735" s="42"/>
      <c r="I735" s="42"/>
      <c r="J735" s="42"/>
      <c r="K735" s="304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</row>
    <row r="736">
      <c r="A736" s="125"/>
      <c r="B736" s="267"/>
      <c r="C736" s="361"/>
      <c r="D736" s="42"/>
      <c r="E736" s="42"/>
      <c r="F736" s="42"/>
      <c r="G736" s="42"/>
      <c r="H736" s="42"/>
      <c r="I736" s="42"/>
      <c r="J736" s="42"/>
      <c r="K736" s="304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</row>
    <row r="737">
      <c r="A737" s="125"/>
      <c r="B737" s="267"/>
      <c r="C737" s="361"/>
      <c r="D737" s="42"/>
      <c r="E737" s="42"/>
      <c r="F737" s="42"/>
      <c r="G737" s="42"/>
      <c r="H737" s="42"/>
      <c r="I737" s="42"/>
      <c r="J737" s="42"/>
      <c r="K737" s="304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</row>
    <row r="738">
      <c r="A738" s="125"/>
      <c r="B738" s="267"/>
      <c r="C738" s="361"/>
      <c r="D738" s="42"/>
      <c r="E738" s="42"/>
      <c r="F738" s="42"/>
      <c r="G738" s="42"/>
      <c r="H738" s="42"/>
      <c r="I738" s="42"/>
      <c r="J738" s="42"/>
      <c r="K738" s="304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</row>
    <row r="739">
      <c r="A739" s="125"/>
      <c r="B739" s="267"/>
      <c r="C739" s="361"/>
      <c r="D739" s="42"/>
      <c r="E739" s="42"/>
      <c r="F739" s="42"/>
      <c r="G739" s="42"/>
      <c r="H739" s="42"/>
      <c r="I739" s="42"/>
      <c r="J739" s="42"/>
      <c r="K739" s="304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</row>
    <row r="740">
      <c r="A740" s="125"/>
      <c r="B740" s="267"/>
      <c r="C740" s="361"/>
      <c r="D740" s="42"/>
      <c r="E740" s="42"/>
      <c r="F740" s="42"/>
      <c r="G740" s="42"/>
      <c r="H740" s="42"/>
      <c r="I740" s="42"/>
      <c r="J740" s="42"/>
      <c r="K740" s="304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</row>
    <row r="741">
      <c r="A741" s="125"/>
      <c r="B741" s="267"/>
      <c r="C741" s="361"/>
      <c r="D741" s="42"/>
      <c r="E741" s="42"/>
      <c r="F741" s="42"/>
      <c r="G741" s="42"/>
      <c r="H741" s="42"/>
      <c r="I741" s="42"/>
      <c r="J741" s="42"/>
      <c r="K741" s="304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</row>
    <row r="742">
      <c r="A742" s="125"/>
      <c r="B742" s="267"/>
      <c r="C742" s="361"/>
      <c r="D742" s="42"/>
      <c r="E742" s="42"/>
      <c r="F742" s="42"/>
      <c r="G742" s="42"/>
      <c r="H742" s="42"/>
      <c r="I742" s="42"/>
      <c r="J742" s="42"/>
      <c r="K742" s="304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</row>
    <row r="743">
      <c r="A743" s="125"/>
      <c r="B743" s="267"/>
      <c r="C743" s="361"/>
      <c r="D743" s="42"/>
      <c r="E743" s="42"/>
      <c r="F743" s="42"/>
      <c r="G743" s="42"/>
      <c r="H743" s="42"/>
      <c r="I743" s="42"/>
      <c r="J743" s="42"/>
      <c r="K743" s="304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</row>
    <row r="744">
      <c r="A744" s="125"/>
      <c r="B744" s="267"/>
      <c r="C744" s="361"/>
      <c r="D744" s="42"/>
      <c r="E744" s="42"/>
      <c r="F744" s="42"/>
      <c r="G744" s="42"/>
      <c r="H744" s="42"/>
      <c r="I744" s="42"/>
      <c r="J744" s="42"/>
      <c r="K744" s="304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</row>
    <row r="745">
      <c r="A745" s="125"/>
      <c r="B745" s="267"/>
      <c r="C745" s="361"/>
      <c r="D745" s="42"/>
      <c r="E745" s="42"/>
      <c r="F745" s="42"/>
      <c r="G745" s="42"/>
      <c r="H745" s="42"/>
      <c r="I745" s="42"/>
      <c r="J745" s="42"/>
      <c r="K745" s="304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</row>
    <row r="746">
      <c r="A746" s="125"/>
      <c r="B746" s="267"/>
      <c r="C746" s="361"/>
      <c r="D746" s="42"/>
      <c r="E746" s="42"/>
      <c r="F746" s="42"/>
      <c r="G746" s="42"/>
      <c r="H746" s="42"/>
      <c r="I746" s="42"/>
      <c r="J746" s="42"/>
      <c r="K746" s="304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</row>
    <row r="747">
      <c r="A747" s="125"/>
      <c r="B747" s="267"/>
      <c r="C747" s="361"/>
      <c r="D747" s="42"/>
      <c r="E747" s="42"/>
      <c r="F747" s="42"/>
      <c r="G747" s="42"/>
      <c r="H747" s="42"/>
      <c r="I747" s="42"/>
      <c r="J747" s="42"/>
      <c r="K747" s="304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</row>
    <row r="748">
      <c r="A748" s="125"/>
      <c r="B748" s="267"/>
      <c r="C748" s="361"/>
      <c r="D748" s="42"/>
      <c r="E748" s="42"/>
      <c r="F748" s="42"/>
      <c r="G748" s="42"/>
      <c r="H748" s="42"/>
      <c r="I748" s="42"/>
      <c r="J748" s="42"/>
      <c r="K748" s="304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</row>
    <row r="749">
      <c r="A749" s="125"/>
      <c r="B749" s="267"/>
      <c r="C749" s="361"/>
      <c r="D749" s="42"/>
      <c r="E749" s="42"/>
      <c r="F749" s="42"/>
      <c r="G749" s="42"/>
      <c r="H749" s="42"/>
      <c r="I749" s="42"/>
      <c r="J749" s="42"/>
      <c r="K749" s="304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</row>
    <row r="750">
      <c r="A750" s="125"/>
      <c r="B750" s="267"/>
      <c r="C750" s="361"/>
      <c r="D750" s="42"/>
      <c r="E750" s="42"/>
      <c r="F750" s="42"/>
      <c r="G750" s="42"/>
      <c r="H750" s="42"/>
      <c r="I750" s="42"/>
      <c r="J750" s="42"/>
      <c r="K750" s="304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</row>
    <row r="751">
      <c r="A751" s="125"/>
      <c r="B751" s="267"/>
      <c r="C751" s="361"/>
      <c r="D751" s="42"/>
      <c r="E751" s="42"/>
      <c r="F751" s="42"/>
      <c r="G751" s="42"/>
      <c r="H751" s="42"/>
      <c r="I751" s="42"/>
      <c r="J751" s="42"/>
      <c r="K751" s="304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</row>
    <row r="752">
      <c r="A752" s="125"/>
      <c r="B752" s="267"/>
      <c r="C752" s="361"/>
      <c r="D752" s="42"/>
      <c r="E752" s="42"/>
      <c r="F752" s="42"/>
      <c r="G752" s="42"/>
      <c r="H752" s="42"/>
      <c r="I752" s="42"/>
      <c r="J752" s="42"/>
      <c r="K752" s="304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</row>
    <row r="753">
      <c r="A753" s="125"/>
      <c r="B753" s="267"/>
      <c r="C753" s="361"/>
      <c r="D753" s="42"/>
      <c r="E753" s="42"/>
      <c r="F753" s="42"/>
      <c r="G753" s="42"/>
      <c r="H753" s="42"/>
      <c r="I753" s="42"/>
      <c r="J753" s="42"/>
      <c r="K753" s="304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</row>
    <row r="754">
      <c r="A754" s="125"/>
      <c r="B754" s="267"/>
      <c r="C754" s="361"/>
      <c r="D754" s="42"/>
      <c r="E754" s="42"/>
      <c r="F754" s="42"/>
      <c r="G754" s="42"/>
      <c r="H754" s="42"/>
      <c r="I754" s="42"/>
      <c r="J754" s="42"/>
      <c r="K754" s="304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</row>
    <row r="755">
      <c r="A755" s="125"/>
      <c r="B755" s="267"/>
      <c r="C755" s="361"/>
      <c r="D755" s="42"/>
      <c r="E755" s="42"/>
      <c r="F755" s="42"/>
      <c r="G755" s="42"/>
      <c r="H755" s="42"/>
      <c r="I755" s="42"/>
      <c r="J755" s="42"/>
      <c r="K755" s="304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</row>
    <row r="756">
      <c r="A756" s="125"/>
      <c r="B756" s="267"/>
      <c r="C756" s="361"/>
      <c r="D756" s="42"/>
      <c r="E756" s="42"/>
      <c r="F756" s="42"/>
      <c r="G756" s="42"/>
      <c r="H756" s="42"/>
      <c r="I756" s="42"/>
      <c r="J756" s="42"/>
      <c r="K756" s="304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</row>
    <row r="757">
      <c r="A757" s="125"/>
      <c r="B757" s="267"/>
      <c r="C757" s="361"/>
      <c r="D757" s="42"/>
      <c r="E757" s="42"/>
      <c r="F757" s="42"/>
      <c r="G757" s="42"/>
      <c r="H757" s="42"/>
      <c r="I757" s="42"/>
      <c r="J757" s="42"/>
      <c r="K757" s="304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</row>
    <row r="758">
      <c r="A758" s="125"/>
      <c r="B758" s="267"/>
      <c r="C758" s="361"/>
      <c r="D758" s="42"/>
      <c r="E758" s="42"/>
      <c r="F758" s="42"/>
      <c r="G758" s="42"/>
      <c r="H758" s="42"/>
      <c r="I758" s="42"/>
      <c r="J758" s="42"/>
      <c r="K758" s="304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</row>
    <row r="759">
      <c r="A759" s="125"/>
      <c r="B759" s="267"/>
      <c r="C759" s="361"/>
      <c r="D759" s="42"/>
      <c r="E759" s="42"/>
      <c r="F759" s="42"/>
      <c r="G759" s="42"/>
      <c r="H759" s="42"/>
      <c r="I759" s="42"/>
      <c r="J759" s="42"/>
      <c r="K759" s="304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</row>
    <row r="760">
      <c r="A760" s="125"/>
      <c r="B760" s="267"/>
      <c r="C760" s="361"/>
      <c r="D760" s="42"/>
      <c r="E760" s="42"/>
      <c r="F760" s="42"/>
      <c r="G760" s="42"/>
      <c r="H760" s="42"/>
      <c r="I760" s="42"/>
      <c r="J760" s="42"/>
      <c r="K760" s="304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</row>
    <row r="761">
      <c r="A761" s="125"/>
      <c r="B761" s="267"/>
      <c r="C761" s="361"/>
      <c r="D761" s="42"/>
      <c r="E761" s="42"/>
      <c r="F761" s="42"/>
      <c r="G761" s="42"/>
      <c r="H761" s="42"/>
      <c r="I761" s="42"/>
      <c r="J761" s="42"/>
      <c r="K761" s="304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</row>
    <row r="762">
      <c r="A762" s="125"/>
      <c r="B762" s="267"/>
      <c r="C762" s="361"/>
      <c r="D762" s="42"/>
      <c r="E762" s="42"/>
      <c r="F762" s="42"/>
      <c r="G762" s="42"/>
      <c r="H762" s="42"/>
      <c r="I762" s="42"/>
      <c r="J762" s="42"/>
      <c r="K762" s="304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</row>
    <row r="763">
      <c r="A763" s="125"/>
      <c r="B763" s="267"/>
      <c r="C763" s="361"/>
      <c r="D763" s="42"/>
      <c r="E763" s="42"/>
      <c r="F763" s="42"/>
      <c r="G763" s="42"/>
      <c r="H763" s="42"/>
      <c r="I763" s="42"/>
      <c r="J763" s="42"/>
      <c r="K763" s="304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</row>
    <row r="764">
      <c r="A764" s="125"/>
      <c r="B764" s="267"/>
      <c r="C764" s="361"/>
      <c r="D764" s="42"/>
      <c r="E764" s="42"/>
      <c r="F764" s="42"/>
      <c r="G764" s="42"/>
      <c r="H764" s="42"/>
      <c r="I764" s="42"/>
      <c r="J764" s="42"/>
      <c r="K764" s="304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</row>
    <row r="765">
      <c r="A765" s="125"/>
      <c r="B765" s="267"/>
      <c r="C765" s="361"/>
      <c r="D765" s="42"/>
      <c r="E765" s="42"/>
      <c r="F765" s="42"/>
      <c r="G765" s="42"/>
      <c r="H765" s="42"/>
      <c r="I765" s="42"/>
      <c r="J765" s="42"/>
      <c r="K765" s="304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</row>
    <row r="766">
      <c r="A766" s="125"/>
      <c r="B766" s="267"/>
      <c r="C766" s="361"/>
      <c r="D766" s="42"/>
      <c r="E766" s="42"/>
      <c r="F766" s="42"/>
      <c r="G766" s="42"/>
      <c r="H766" s="42"/>
      <c r="I766" s="42"/>
      <c r="J766" s="42"/>
      <c r="K766" s="304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</row>
    <row r="767">
      <c r="A767" s="125"/>
      <c r="B767" s="267"/>
      <c r="C767" s="361"/>
      <c r="D767" s="42"/>
      <c r="E767" s="42"/>
      <c r="F767" s="42"/>
      <c r="G767" s="42"/>
      <c r="H767" s="42"/>
      <c r="I767" s="42"/>
      <c r="J767" s="42"/>
      <c r="K767" s="304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</row>
    <row r="768">
      <c r="A768" s="125"/>
      <c r="B768" s="267"/>
      <c r="C768" s="361"/>
      <c r="D768" s="42"/>
      <c r="E768" s="42"/>
      <c r="F768" s="42"/>
      <c r="G768" s="42"/>
      <c r="H768" s="42"/>
      <c r="I768" s="42"/>
      <c r="J768" s="42"/>
      <c r="K768" s="304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</row>
    <row r="769">
      <c r="A769" s="125"/>
      <c r="B769" s="267"/>
      <c r="C769" s="361"/>
      <c r="D769" s="42"/>
      <c r="E769" s="42"/>
      <c r="F769" s="42"/>
      <c r="G769" s="42"/>
      <c r="H769" s="42"/>
      <c r="I769" s="42"/>
      <c r="J769" s="42"/>
      <c r="K769" s="304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</row>
    <row r="770">
      <c r="A770" s="125"/>
      <c r="B770" s="267"/>
      <c r="C770" s="361"/>
      <c r="D770" s="42"/>
      <c r="E770" s="42"/>
      <c r="F770" s="42"/>
      <c r="G770" s="42"/>
      <c r="H770" s="42"/>
      <c r="I770" s="42"/>
      <c r="J770" s="42"/>
      <c r="K770" s="304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</row>
    <row r="771">
      <c r="A771" s="125"/>
      <c r="B771" s="267"/>
      <c r="C771" s="361"/>
      <c r="D771" s="42"/>
      <c r="E771" s="42"/>
      <c r="F771" s="42"/>
      <c r="G771" s="42"/>
      <c r="H771" s="42"/>
      <c r="I771" s="42"/>
      <c r="J771" s="42"/>
      <c r="K771" s="304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</row>
    <row r="772">
      <c r="A772" s="125"/>
      <c r="B772" s="267"/>
      <c r="C772" s="361"/>
      <c r="D772" s="42"/>
      <c r="E772" s="42"/>
      <c r="F772" s="42"/>
      <c r="G772" s="42"/>
      <c r="H772" s="42"/>
      <c r="I772" s="42"/>
      <c r="J772" s="42"/>
      <c r="K772" s="304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</row>
    <row r="773">
      <c r="A773" s="125"/>
      <c r="B773" s="267"/>
      <c r="C773" s="361"/>
      <c r="D773" s="42"/>
      <c r="E773" s="42"/>
      <c r="F773" s="42"/>
      <c r="G773" s="42"/>
      <c r="H773" s="42"/>
      <c r="I773" s="42"/>
      <c r="J773" s="42"/>
      <c r="K773" s="304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</row>
    <row r="774">
      <c r="A774" s="125"/>
      <c r="B774" s="267"/>
      <c r="C774" s="361"/>
      <c r="D774" s="42"/>
      <c r="E774" s="42"/>
      <c r="F774" s="42"/>
      <c r="G774" s="42"/>
      <c r="H774" s="42"/>
      <c r="I774" s="42"/>
      <c r="J774" s="42"/>
      <c r="K774" s="304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</row>
    <row r="775">
      <c r="A775" s="125"/>
      <c r="B775" s="267"/>
      <c r="C775" s="361"/>
      <c r="D775" s="42"/>
      <c r="E775" s="42"/>
      <c r="F775" s="42"/>
      <c r="G775" s="42"/>
      <c r="H775" s="42"/>
      <c r="I775" s="42"/>
      <c r="J775" s="42"/>
      <c r="K775" s="304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</row>
    <row r="776">
      <c r="A776" s="125"/>
      <c r="B776" s="267"/>
      <c r="C776" s="361"/>
      <c r="D776" s="42"/>
      <c r="E776" s="42"/>
      <c r="F776" s="42"/>
      <c r="G776" s="42"/>
      <c r="H776" s="42"/>
      <c r="I776" s="42"/>
      <c r="J776" s="42"/>
      <c r="K776" s="304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</row>
    <row r="777">
      <c r="A777" s="125"/>
      <c r="B777" s="267"/>
      <c r="C777" s="361"/>
      <c r="D777" s="42"/>
      <c r="E777" s="42"/>
      <c r="F777" s="42"/>
      <c r="G777" s="42"/>
      <c r="H777" s="42"/>
      <c r="I777" s="42"/>
      <c r="J777" s="42"/>
      <c r="K777" s="304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</row>
    <row r="778">
      <c r="A778" s="125"/>
      <c r="B778" s="267"/>
      <c r="C778" s="361"/>
      <c r="D778" s="42"/>
      <c r="E778" s="42"/>
      <c r="F778" s="42"/>
      <c r="G778" s="42"/>
      <c r="H778" s="42"/>
      <c r="I778" s="42"/>
      <c r="J778" s="42"/>
      <c r="K778" s="304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</row>
    <row r="779">
      <c r="A779" s="125"/>
      <c r="B779" s="267"/>
      <c r="C779" s="361"/>
      <c r="D779" s="42"/>
      <c r="E779" s="42"/>
      <c r="F779" s="42"/>
      <c r="G779" s="42"/>
      <c r="H779" s="42"/>
      <c r="I779" s="42"/>
      <c r="J779" s="42"/>
      <c r="K779" s="304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</row>
    <row r="780">
      <c r="A780" s="125"/>
      <c r="B780" s="267"/>
      <c r="C780" s="361"/>
      <c r="D780" s="42"/>
      <c r="E780" s="42"/>
      <c r="F780" s="42"/>
      <c r="G780" s="42"/>
      <c r="H780" s="42"/>
      <c r="I780" s="42"/>
      <c r="J780" s="42"/>
      <c r="K780" s="304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</row>
    <row r="781">
      <c r="A781" s="125"/>
      <c r="B781" s="267"/>
      <c r="C781" s="361"/>
      <c r="D781" s="42"/>
      <c r="E781" s="42"/>
      <c r="F781" s="42"/>
      <c r="G781" s="42"/>
      <c r="H781" s="42"/>
      <c r="I781" s="42"/>
      <c r="J781" s="42"/>
      <c r="K781" s="304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</row>
    <row r="782">
      <c r="A782" s="125"/>
      <c r="B782" s="267"/>
      <c r="C782" s="361"/>
      <c r="D782" s="42"/>
      <c r="E782" s="42"/>
      <c r="F782" s="42"/>
      <c r="G782" s="42"/>
      <c r="H782" s="42"/>
      <c r="I782" s="42"/>
      <c r="J782" s="42"/>
      <c r="K782" s="304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</row>
    <row r="783">
      <c r="A783" s="125"/>
      <c r="B783" s="267"/>
      <c r="C783" s="361"/>
      <c r="D783" s="42"/>
      <c r="E783" s="42"/>
      <c r="F783" s="42"/>
      <c r="G783" s="42"/>
      <c r="H783" s="42"/>
      <c r="I783" s="42"/>
      <c r="J783" s="42"/>
      <c r="K783" s="304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</row>
    <row r="784">
      <c r="A784" s="125"/>
      <c r="B784" s="267"/>
      <c r="C784" s="361"/>
      <c r="D784" s="42"/>
      <c r="E784" s="42"/>
      <c r="F784" s="42"/>
      <c r="G784" s="42"/>
      <c r="H784" s="42"/>
      <c r="I784" s="42"/>
      <c r="J784" s="42"/>
      <c r="K784" s="304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</row>
    <row r="785">
      <c r="A785" s="125"/>
      <c r="B785" s="267"/>
      <c r="C785" s="361"/>
      <c r="D785" s="42"/>
      <c r="E785" s="42"/>
      <c r="F785" s="42"/>
      <c r="G785" s="42"/>
      <c r="H785" s="42"/>
      <c r="I785" s="42"/>
      <c r="J785" s="42"/>
      <c r="K785" s="304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</row>
    <row r="786">
      <c r="A786" s="125"/>
      <c r="B786" s="267"/>
      <c r="C786" s="361"/>
      <c r="D786" s="42"/>
      <c r="E786" s="42"/>
      <c r="F786" s="42"/>
      <c r="G786" s="42"/>
      <c r="H786" s="42"/>
      <c r="I786" s="42"/>
      <c r="J786" s="42"/>
      <c r="K786" s="304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</row>
    <row r="787">
      <c r="A787" s="125"/>
      <c r="B787" s="267"/>
      <c r="C787" s="361"/>
      <c r="D787" s="42"/>
      <c r="E787" s="42"/>
      <c r="F787" s="42"/>
      <c r="G787" s="42"/>
      <c r="H787" s="42"/>
      <c r="I787" s="42"/>
      <c r="J787" s="42"/>
      <c r="K787" s="304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</row>
    <row r="788">
      <c r="A788" s="125"/>
      <c r="B788" s="267"/>
      <c r="C788" s="361"/>
      <c r="D788" s="42"/>
      <c r="E788" s="42"/>
      <c r="F788" s="42"/>
      <c r="G788" s="42"/>
      <c r="H788" s="42"/>
      <c r="I788" s="42"/>
      <c r="J788" s="42"/>
      <c r="K788" s="304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</row>
    <row r="789">
      <c r="A789" s="125"/>
      <c r="B789" s="267"/>
      <c r="C789" s="361"/>
      <c r="D789" s="42"/>
      <c r="E789" s="42"/>
      <c r="F789" s="42"/>
      <c r="G789" s="42"/>
      <c r="H789" s="42"/>
      <c r="I789" s="42"/>
      <c r="J789" s="42"/>
      <c r="K789" s="304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</row>
    <row r="790">
      <c r="A790" s="125"/>
      <c r="B790" s="267"/>
      <c r="C790" s="361"/>
      <c r="D790" s="42"/>
      <c r="E790" s="42"/>
      <c r="F790" s="42"/>
      <c r="G790" s="42"/>
      <c r="H790" s="42"/>
      <c r="I790" s="42"/>
      <c r="J790" s="42"/>
      <c r="K790" s="304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</row>
    <row r="791">
      <c r="A791" s="125"/>
      <c r="B791" s="267"/>
      <c r="C791" s="361"/>
      <c r="D791" s="42"/>
      <c r="E791" s="42"/>
      <c r="F791" s="42"/>
      <c r="G791" s="42"/>
      <c r="H791" s="42"/>
      <c r="I791" s="42"/>
      <c r="J791" s="42"/>
      <c r="K791" s="304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</row>
    <row r="792">
      <c r="A792" s="125"/>
      <c r="B792" s="267"/>
      <c r="C792" s="361"/>
      <c r="D792" s="42"/>
      <c r="E792" s="42"/>
      <c r="F792" s="42"/>
      <c r="G792" s="42"/>
      <c r="H792" s="42"/>
      <c r="I792" s="42"/>
      <c r="J792" s="42"/>
      <c r="K792" s="304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</row>
    <row r="793">
      <c r="A793" s="125"/>
      <c r="B793" s="267"/>
      <c r="C793" s="361"/>
      <c r="D793" s="42"/>
      <c r="E793" s="42"/>
      <c r="F793" s="42"/>
      <c r="G793" s="42"/>
      <c r="H793" s="42"/>
      <c r="I793" s="42"/>
      <c r="J793" s="42"/>
      <c r="K793" s="304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</row>
    <row r="794">
      <c r="A794" s="125"/>
      <c r="B794" s="267"/>
      <c r="C794" s="361"/>
      <c r="D794" s="42"/>
      <c r="E794" s="42"/>
      <c r="F794" s="42"/>
      <c r="G794" s="42"/>
      <c r="H794" s="42"/>
      <c r="I794" s="42"/>
      <c r="J794" s="42"/>
      <c r="K794" s="304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</row>
    <row r="795">
      <c r="A795" s="125"/>
      <c r="B795" s="267"/>
      <c r="C795" s="361"/>
      <c r="D795" s="42"/>
      <c r="E795" s="42"/>
      <c r="F795" s="42"/>
      <c r="G795" s="42"/>
      <c r="H795" s="42"/>
      <c r="I795" s="42"/>
      <c r="J795" s="42"/>
      <c r="K795" s="304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</row>
    <row r="796">
      <c r="A796" s="125"/>
      <c r="B796" s="267"/>
      <c r="C796" s="361"/>
      <c r="D796" s="42"/>
      <c r="E796" s="42"/>
      <c r="F796" s="42"/>
      <c r="G796" s="42"/>
      <c r="H796" s="42"/>
      <c r="I796" s="42"/>
      <c r="J796" s="42"/>
      <c r="K796" s="304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</row>
    <row r="797">
      <c r="A797" s="125"/>
      <c r="B797" s="267"/>
      <c r="C797" s="361"/>
      <c r="D797" s="42"/>
      <c r="E797" s="42"/>
      <c r="F797" s="42"/>
      <c r="G797" s="42"/>
      <c r="H797" s="42"/>
      <c r="I797" s="42"/>
      <c r="J797" s="42"/>
      <c r="K797" s="304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</row>
    <row r="798">
      <c r="A798" s="125"/>
      <c r="B798" s="267"/>
      <c r="C798" s="361"/>
      <c r="D798" s="42"/>
      <c r="E798" s="42"/>
      <c r="F798" s="42"/>
      <c r="G798" s="42"/>
      <c r="H798" s="42"/>
      <c r="I798" s="42"/>
      <c r="J798" s="42"/>
      <c r="K798" s="304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</row>
    <row r="799">
      <c r="A799" s="125"/>
      <c r="B799" s="267"/>
      <c r="C799" s="361"/>
      <c r="D799" s="42"/>
      <c r="E799" s="42"/>
      <c r="F799" s="42"/>
      <c r="G799" s="42"/>
      <c r="H799" s="42"/>
      <c r="I799" s="42"/>
      <c r="J799" s="42"/>
      <c r="K799" s="304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</row>
    <row r="800">
      <c r="A800" s="125"/>
      <c r="B800" s="267"/>
      <c r="C800" s="361"/>
      <c r="D800" s="42"/>
      <c r="E800" s="42"/>
      <c r="F800" s="42"/>
      <c r="G800" s="42"/>
      <c r="H800" s="42"/>
      <c r="I800" s="42"/>
      <c r="J800" s="42"/>
      <c r="K800" s="304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</row>
    <row r="801">
      <c r="A801" s="125"/>
      <c r="B801" s="267"/>
      <c r="C801" s="361"/>
      <c r="D801" s="42"/>
      <c r="E801" s="42"/>
      <c r="F801" s="42"/>
      <c r="G801" s="42"/>
      <c r="H801" s="42"/>
      <c r="I801" s="42"/>
      <c r="J801" s="42"/>
      <c r="K801" s="304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</row>
    <row r="802">
      <c r="A802" s="125"/>
      <c r="B802" s="267"/>
      <c r="C802" s="361"/>
      <c r="D802" s="42"/>
      <c r="E802" s="42"/>
      <c r="F802" s="42"/>
      <c r="G802" s="42"/>
      <c r="H802" s="42"/>
      <c r="I802" s="42"/>
      <c r="J802" s="42"/>
      <c r="K802" s="304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</row>
    <row r="803">
      <c r="A803" s="125"/>
      <c r="B803" s="267"/>
      <c r="C803" s="361"/>
      <c r="D803" s="42"/>
      <c r="E803" s="42"/>
      <c r="F803" s="42"/>
      <c r="G803" s="42"/>
      <c r="H803" s="42"/>
      <c r="I803" s="42"/>
      <c r="J803" s="42"/>
      <c r="K803" s="304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</row>
    <row r="804">
      <c r="A804" s="125"/>
      <c r="B804" s="267"/>
      <c r="C804" s="361"/>
      <c r="D804" s="42"/>
      <c r="E804" s="42"/>
      <c r="F804" s="42"/>
      <c r="G804" s="42"/>
      <c r="H804" s="42"/>
      <c r="I804" s="42"/>
      <c r="J804" s="42"/>
      <c r="K804" s="304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</row>
    <row r="805">
      <c r="A805" s="125"/>
      <c r="B805" s="267"/>
      <c r="C805" s="361"/>
      <c r="D805" s="42"/>
      <c r="E805" s="42"/>
      <c r="F805" s="42"/>
      <c r="G805" s="42"/>
      <c r="H805" s="42"/>
      <c r="I805" s="42"/>
      <c r="J805" s="42"/>
      <c r="K805" s="304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</row>
    <row r="806">
      <c r="A806" s="125"/>
      <c r="B806" s="267"/>
      <c r="C806" s="361"/>
      <c r="D806" s="42"/>
      <c r="E806" s="42"/>
      <c r="F806" s="42"/>
      <c r="G806" s="42"/>
      <c r="H806" s="42"/>
      <c r="I806" s="42"/>
      <c r="J806" s="42"/>
      <c r="K806" s="304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</row>
    <row r="807">
      <c r="A807" s="125"/>
      <c r="B807" s="267"/>
      <c r="C807" s="361"/>
      <c r="D807" s="42"/>
      <c r="E807" s="42"/>
      <c r="F807" s="42"/>
      <c r="G807" s="42"/>
      <c r="H807" s="42"/>
      <c r="I807" s="42"/>
      <c r="J807" s="42"/>
      <c r="K807" s="304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</row>
    <row r="808">
      <c r="A808" s="125"/>
      <c r="B808" s="267"/>
      <c r="C808" s="361"/>
      <c r="D808" s="42"/>
      <c r="E808" s="42"/>
      <c r="F808" s="42"/>
      <c r="G808" s="42"/>
      <c r="H808" s="42"/>
      <c r="I808" s="42"/>
      <c r="J808" s="42"/>
      <c r="K808" s="304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</row>
    <row r="809">
      <c r="A809" s="125"/>
      <c r="B809" s="267"/>
      <c r="C809" s="361"/>
      <c r="D809" s="42"/>
      <c r="E809" s="42"/>
      <c r="F809" s="42"/>
      <c r="G809" s="42"/>
      <c r="H809" s="42"/>
      <c r="I809" s="42"/>
      <c r="J809" s="42"/>
      <c r="K809" s="304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</row>
    <row r="810">
      <c r="A810" s="125"/>
      <c r="B810" s="267"/>
      <c r="C810" s="361"/>
      <c r="D810" s="42"/>
      <c r="E810" s="42"/>
      <c r="F810" s="42"/>
      <c r="G810" s="42"/>
      <c r="H810" s="42"/>
      <c r="I810" s="42"/>
      <c r="J810" s="42"/>
      <c r="K810" s="304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</row>
    <row r="811">
      <c r="A811" s="125"/>
      <c r="B811" s="267"/>
      <c r="C811" s="361"/>
      <c r="D811" s="42"/>
      <c r="E811" s="42"/>
      <c r="F811" s="42"/>
      <c r="G811" s="42"/>
      <c r="H811" s="42"/>
      <c r="I811" s="42"/>
      <c r="J811" s="42"/>
      <c r="K811" s="304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</row>
    <row r="812">
      <c r="A812" s="125"/>
      <c r="B812" s="267"/>
      <c r="C812" s="361"/>
      <c r="D812" s="42"/>
      <c r="E812" s="42"/>
      <c r="F812" s="42"/>
      <c r="G812" s="42"/>
      <c r="H812" s="42"/>
      <c r="I812" s="42"/>
      <c r="J812" s="42"/>
      <c r="K812" s="304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</row>
    <row r="813">
      <c r="A813" s="125"/>
      <c r="B813" s="267"/>
      <c r="C813" s="361"/>
      <c r="D813" s="42"/>
      <c r="E813" s="42"/>
      <c r="F813" s="42"/>
      <c r="G813" s="42"/>
      <c r="H813" s="42"/>
      <c r="I813" s="42"/>
      <c r="J813" s="42"/>
      <c r="K813" s="304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</row>
    <row r="814">
      <c r="A814" s="125"/>
      <c r="B814" s="267"/>
      <c r="C814" s="361"/>
      <c r="D814" s="42"/>
      <c r="E814" s="42"/>
      <c r="F814" s="42"/>
      <c r="G814" s="42"/>
      <c r="H814" s="42"/>
      <c r="I814" s="42"/>
      <c r="J814" s="42"/>
      <c r="K814" s="304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</row>
    <row r="815">
      <c r="A815" s="125"/>
      <c r="B815" s="267"/>
      <c r="C815" s="361"/>
      <c r="D815" s="42"/>
      <c r="E815" s="42"/>
      <c r="F815" s="42"/>
      <c r="G815" s="42"/>
      <c r="H815" s="42"/>
      <c r="I815" s="42"/>
      <c r="J815" s="42"/>
      <c r="K815" s="304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</row>
    <row r="816">
      <c r="A816" s="125"/>
      <c r="B816" s="267"/>
      <c r="C816" s="361"/>
      <c r="D816" s="42"/>
      <c r="E816" s="42"/>
      <c r="F816" s="42"/>
      <c r="G816" s="42"/>
      <c r="H816" s="42"/>
      <c r="I816" s="42"/>
      <c r="J816" s="42"/>
      <c r="K816" s="304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</row>
    <row r="817">
      <c r="A817" s="125"/>
      <c r="B817" s="267"/>
      <c r="C817" s="361"/>
      <c r="D817" s="42"/>
      <c r="E817" s="42"/>
      <c r="F817" s="42"/>
      <c r="G817" s="42"/>
      <c r="H817" s="42"/>
      <c r="I817" s="42"/>
      <c r="J817" s="42"/>
      <c r="K817" s="304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</row>
    <row r="818">
      <c r="A818" s="125"/>
      <c r="B818" s="267"/>
      <c r="C818" s="361"/>
      <c r="D818" s="42"/>
      <c r="E818" s="42"/>
      <c r="F818" s="42"/>
      <c r="G818" s="42"/>
      <c r="H818" s="42"/>
      <c r="I818" s="42"/>
      <c r="J818" s="42"/>
      <c r="K818" s="304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</row>
    <row r="819">
      <c r="A819" s="125"/>
      <c r="B819" s="267"/>
      <c r="C819" s="361"/>
      <c r="D819" s="42"/>
      <c r="E819" s="42"/>
      <c r="F819" s="42"/>
      <c r="G819" s="42"/>
      <c r="H819" s="42"/>
      <c r="I819" s="42"/>
      <c r="J819" s="42"/>
      <c r="K819" s="304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</row>
    <row r="820">
      <c r="A820" s="125"/>
      <c r="B820" s="267"/>
      <c r="C820" s="361"/>
      <c r="D820" s="42"/>
      <c r="E820" s="42"/>
      <c r="F820" s="42"/>
      <c r="G820" s="42"/>
      <c r="H820" s="42"/>
      <c r="I820" s="42"/>
      <c r="J820" s="42"/>
      <c r="K820" s="304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</row>
    <row r="821">
      <c r="A821" s="125"/>
      <c r="B821" s="267"/>
      <c r="C821" s="361"/>
      <c r="D821" s="42"/>
      <c r="E821" s="42"/>
      <c r="F821" s="42"/>
      <c r="G821" s="42"/>
      <c r="H821" s="42"/>
      <c r="I821" s="42"/>
      <c r="J821" s="42"/>
      <c r="K821" s="304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</row>
    <row r="822">
      <c r="A822" s="125"/>
      <c r="B822" s="267"/>
      <c r="C822" s="361"/>
      <c r="D822" s="42"/>
      <c r="E822" s="42"/>
      <c r="F822" s="42"/>
      <c r="G822" s="42"/>
      <c r="H822" s="42"/>
      <c r="I822" s="42"/>
      <c r="J822" s="42"/>
      <c r="K822" s="304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</row>
    <row r="823">
      <c r="A823" s="125"/>
      <c r="B823" s="267"/>
      <c r="C823" s="361"/>
      <c r="D823" s="42"/>
      <c r="E823" s="42"/>
      <c r="F823" s="42"/>
      <c r="G823" s="42"/>
      <c r="H823" s="42"/>
      <c r="I823" s="42"/>
      <c r="J823" s="42"/>
      <c r="K823" s="304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</row>
    <row r="824">
      <c r="A824" s="125"/>
      <c r="B824" s="267"/>
      <c r="C824" s="361"/>
      <c r="D824" s="42"/>
      <c r="E824" s="42"/>
      <c r="F824" s="42"/>
      <c r="G824" s="42"/>
      <c r="H824" s="42"/>
      <c r="I824" s="42"/>
      <c r="J824" s="42"/>
      <c r="K824" s="304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</row>
    <row r="825">
      <c r="A825" s="125"/>
      <c r="B825" s="267"/>
      <c r="C825" s="361"/>
      <c r="D825" s="42"/>
      <c r="E825" s="42"/>
      <c r="F825" s="42"/>
      <c r="G825" s="42"/>
      <c r="H825" s="42"/>
      <c r="I825" s="42"/>
      <c r="J825" s="42"/>
      <c r="K825" s="304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</row>
    <row r="826">
      <c r="A826" s="125"/>
      <c r="B826" s="267"/>
      <c r="C826" s="361"/>
      <c r="D826" s="42"/>
      <c r="E826" s="42"/>
      <c r="F826" s="42"/>
      <c r="G826" s="42"/>
      <c r="H826" s="42"/>
      <c r="I826" s="42"/>
      <c r="J826" s="42"/>
      <c r="K826" s="304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</row>
    <row r="827">
      <c r="A827" s="125"/>
      <c r="B827" s="267"/>
      <c r="C827" s="361"/>
      <c r="D827" s="42"/>
      <c r="E827" s="42"/>
      <c r="F827" s="42"/>
      <c r="G827" s="42"/>
      <c r="H827" s="42"/>
      <c r="I827" s="42"/>
      <c r="J827" s="42"/>
      <c r="K827" s="304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</row>
    <row r="828">
      <c r="A828" s="125"/>
      <c r="B828" s="267"/>
      <c r="C828" s="361"/>
      <c r="D828" s="42"/>
      <c r="E828" s="42"/>
      <c r="F828" s="42"/>
      <c r="G828" s="42"/>
      <c r="H828" s="42"/>
      <c r="I828" s="42"/>
      <c r="J828" s="42"/>
      <c r="K828" s="304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</row>
    <row r="829">
      <c r="A829" s="125"/>
      <c r="B829" s="267"/>
      <c r="C829" s="361"/>
      <c r="D829" s="42"/>
      <c r="E829" s="42"/>
      <c r="F829" s="42"/>
      <c r="G829" s="42"/>
      <c r="H829" s="42"/>
      <c r="I829" s="42"/>
      <c r="J829" s="42"/>
      <c r="K829" s="304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</row>
    <row r="830">
      <c r="A830" s="125"/>
      <c r="B830" s="267"/>
      <c r="C830" s="361"/>
      <c r="D830" s="42"/>
      <c r="E830" s="42"/>
      <c r="F830" s="42"/>
      <c r="G830" s="42"/>
      <c r="H830" s="42"/>
      <c r="I830" s="42"/>
      <c r="J830" s="42"/>
      <c r="K830" s="304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</row>
    <row r="831">
      <c r="A831" s="125"/>
      <c r="B831" s="267"/>
      <c r="C831" s="361"/>
      <c r="D831" s="42"/>
      <c r="E831" s="42"/>
      <c r="F831" s="42"/>
      <c r="G831" s="42"/>
      <c r="H831" s="42"/>
      <c r="I831" s="42"/>
      <c r="J831" s="42"/>
      <c r="K831" s="304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</row>
    <row r="832">
      <c r="A832" s="125"/>
      <c r="B832" s="267"/>
      <c r="C832" s="361"/>
      <c r="D832" s="42"/>
      <c r="E832" s="42"/>
      <c r="F832" s="42"/>
      <c r="G832" s="42"/>
      <c r="H832" s="42"/>
      <c r="I832" s="42"/>
      <c r="J832" s="42"/>
      <c r="K832" s="304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</row>
    <row r="833">
      <c r="A833" s="125"/>
      <c r="B833" s="267"/>
      <c r="C833" s="361"/>
      <c r="D833" s="42"/>
      <c r="E833" s="42"/>
      <c r="F833" s="42"/>
      <c r="G833" s="42"/>
      <c r="H833" s="42"/>
      <c r="I833" s="42"/>
      <c r="J833" s="42"/>
      <c r="K833" s="304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</row>
    <row r="834">
      <c r="A834" s="125"/>
      <c r="B834" s="267"/>
      <c r="C834" s="361"/>
      <c r="D834" s="42"/>
      <c r="E834" s="42"/>
      <c r="F834" s="42"/>
      <c r="G834" s="42"/>
      <c r="H834" s="42"/>
      <c r="I834" s="42"/>
      <c r="J834" s="42"/>
      <c r="K834" s="304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</row>
    <row r="835">
      <c r="A835" s="125"/>
      <c r="B835" s="267"/>
      <c r="C835" s="361"/>
      <c r="D835" s="42"/>
      <c r="E835" s="42"/>
      <c r="F835" s="42"/>
      <c r="G835" s="42"/>
      <c r="H835" s="42"/>
      <c r="I835" s="42"/>
      <c r="J835" s="42"/>
      <c r="K835" s="304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</row>
    <row r="836">
      <c r="A836" s="125"/>
      <c r="B836" s="267"/>
      <c r="C836" s="361"/>
      <c r="D836" s="42"/>
      <c r="E836" s="42"/>
      <c r="F836" s="42"/>
      <c r="G836" s="42"/>
      <c r="H836" s="42"/>
      <c r="I836" s="42"/>
      <c r="J836" s="42"/>
      <c r="K836" s="304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</row>
    <row r="837">
      <c r="A837" s="125"/>
      <c r="B837" s="267"/>
      <c r="C837" s="361"/>
      <c r="D837" s="42"/>
      <c r="E837" s="42"/>
      <c r="F837" s="42"/>
      <c r="G837" s="42"/>
      <c r="H837" s="42"/>
      <c r="I837" s="42"/>
      <c r="J837" s="42"/>
      <c r="K837" s="304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</row>
    <row r="838">
      <c r="A838" s="125"/>
      <c r="B838" s="267"/>
      <c r="C838" s="361"/>
      <c r="D838" s="42"/>
      <c r="E838" s="42"/>
      <c r="F838" s="42"/>
      <c r="G838" s="42"/>
      <c r="H838" s="42"/>
      <c r="I838" s="42"/>
      <c r="J838" s="42"/>
      <c r="K838" s="304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</row>
    <row r="839">
      <c r="A839" s="125"/>
      <c r="B839" s="267"/>
      <c r="C839" s="361"/>
      <c r="D839" s="42"/>
      <c r="E839" s="42"/>
      <c r="F839" s="42"/>
      <c r="G839" s="42"/>
      <c r="H839" s="42"/>
      <c r="I839" s="42"/>
      <c r="J839" s="42"/>
      <c r="K839" s="304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</row>
    <row r="840">
      <c r="A840" s="125"/>
      <c r="B840" s="267"/>
      <c r="C840" s="361"/>
      <c r="D840" s="42"/>
      <c r="E840" s="42"/>
      <c r="F840" s="42"/>
      <c r="G840" s="42"/>
      <c r="H840" s="42"/>
      <c r="I840" s="42"/>
      <c r="J840" s="42"/>
      <c r="K840" s="304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</row>
    <row r="841">
      <c r="A841" s="125"/>
      <c r="B841" s="267"/>
      <c r="C841" s="361"/>
      <c r="D841" s="42"/>
      <c r="E841" s="42"/>
      <c r="F841" s="42"/>
      <c r="G841" s="42"/>
      <c r="H841" s="42"/>
      <c r="I841" s="42"/>
      <c r="J841" s="42"/>
      <c r="K841" s="304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</row>
    <row r="842">
      <c r="A842" s="125"/>
      <c r="B842" s="267"/>
      <c r="C842" s="361"/>
      <c r="D842" s="42"/>
      <c r="E842" s="42"/>
      <c r="F842" s="42"/>
      <c r="G842" s="42"/>
      <c r="H842" s="42"/>
      <c r="I842" s="42"/>
      <c r="J842" s="42"/>
      <c r="K842" s="304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</row>
    <row r="843">
      <c r="A843" s="125"/>
      <c r="B843" s="267"/>
      <c r="C843" s="361"/>
      <c r="D843" s="42"/>
      <c r="E843" s="42"/>
      <c r="F843" s="42"/>
      <c r="G843" s="42"/>
      <c r="H843" s="42"/>
      <c r="I843" s="42"/>
      <c r="J843" s="42"/>
      <c r="K843" s="304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</row>
    <row r="844">
      <c r="A844" s="125"/>
      <c r="B844" s="267"/>
      <c r="C844" s="361"/>
      <c r="D844" s="42"/>
      <c r="E844" s="42"/>
      <c r="F844" s="42"/>
      <c r="G844" s="42"/>
      <c r="H844" s="42"/>
      <c r="I844" s="42"/>
      <c r="J844" s="42"/>
      <c r="K844" s="304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</row>
    <row r="845">
      <c r="A845" s="125"/>
      <c r="B845" s="267"/>
      <c r="C845" s="361"/>
      <c r="D845" s="42"/>
      <c r="E845" s="42"/>
      <c r="F845" s="42"/>
      <c r="G845" s="42"/>
      <c r="H845" s="42"/>
      <c r="I845" s="42"/>
      <c r="J845" s="42"/>
      <c r="K845" s="304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</row>
    <row r="846">
      <c r="A846" s="125"/>
      <c r="B846" s="267"/>
      <c r="C846" s="361"/>
      <c r="D846" s="42"/>
      <c r="E846" s="42"/>
      <c r="F846" s="42"/>
      <c r="G846" s="42"/>
      <c r="H846" s="42"/>
      <c r="I846" s="42"/>
      <c r="J846" s="42"/>
      <c r="K846" s="304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</row>
    <row r="847">
      <c r="A847" s="125"/>
      <c r="B847" s="267"/>
      <c r="C847" s="361"/>
      <c r="D847" s="42"/>
      <c r="E847" s="42"/>
      <c r="F847" s="42"/>
      <c r="G847" s="42"/>
      <c r="H847" s="42"/>
      <c r="I847" s="42"/>
      <c r="J847" s="42"/>
      <c r="K847" s="304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</row>
    <row r="848">
      <c r="A848" s="125"/>
      <c r="B848" s="267"/>
      <c r="C848" s="361"/>
      <c r="D848" s="42"/>
      <c r="E848" s="42"/>
      <c r="F848" s="42"/>
      <c r="G848" s="42"/>
      <c r="H848" s="42"/>
      <c r="I848" s="42"/>
      <c r="J848" s="42"/>
      <c r="K848" s="304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</row>
    <row r="849">
      <c r="A849" s="125"/>
      <c r="B849" s="267"/>
      <c r="C849" s="361"/>
      <c r="D849" s="42"/>
      <c r="E849" s="42"/>
      <c r="F849" s="42"/>
      <c r="G849" s="42"/>
      <c r="H849" s="42"/>
      <c r="I849" s="42"/>
      <c r="J849" s="42"/>
      <c r="K849" s="304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</row>
    <row r="850">
      <c r="A850" s="125"/>
      <c r="B850" s="267"/>
      <c r="C850" s="361"/>
      <c r="D850" s="42"/>
      <c r="E850" s="42"/>
      <c r="F850" s="42"/>
      <c r="G850" s="42"/>
      <c r="H850" s="42"/>
      <c r="I850" s="42"/>
      <c r="J850" s="42"/>
      <c r="K850" s="304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</row>
  </sheetData>
  <mergeCells count="12">
    <mergeCell ref="J6:M6"/>
    <mergeCell ref="P23:Q23"/>
    <mergeCell ref="P28:Q28"/>
    <mergeCell ref="P35:Q35"/>
    <mergeCell ref="P47:Q47"/>
    <mergeCell ref="C5:M5"/>
    <mergeCell ref="C6:C7"/>
    <mergeCell ref="D6:D7"/>
    <mergeCell ref="E6:E7"/>
    <mergeCell ref="F6:F7"/>
    <mergeCell ref="G6:G7"/>
    <mergeCell ref="I6:I7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17.13"/>
    <col customWidth="1" min="3" max="3" width="16.63"/>
    <col customWidth="1" min="4" max="4" width="15.88"/>
    <col customWidth="1" min="5" max="5" width="26.38"/>
    <col customWidth="1" min="6" max="6" width="17.88"/>
    <col customWidth="1" min="7" max="7" width="25.13"/>
    <col customWidth="1" min="8" max="8" width="21.88"/>
    <col customWidth="1" min="9" max="9" width="23.88"/>
    <col customWidth="1" min="10" max="10" width="17.13"/>
    <col customWidth="1" min="11" max="11" width="17.88"/>
    <col customWidth="1" min="12" max="12" width="18.13"/>
    <col customWidth="1" min="13" max="13" width="26.88"/>
    <col customWidth="1" min="16" max="16" width="21.63"/>
    <col customWidth="1" min="17" max="17" width="21.13"/>
    <col customWidth="1" min="18" max="18" width="22.13"/>
    <col customWidth="1" min="19" max="19" width="17.13"/>
    <col customWidth="1" min="20" max="20" width="24.13"/>
  </cols>
  <sheetData>
    <row r="1">
      <c r="A1" s="125"/>
      <c r="B1" s="321"/>
      <c r="C1" s="4" t="s">
        <v>6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>
      <c r="A2" s="125"/>
      <c r="B2" s="323"/>
      <c r="C2" s="268" t="s">
        <v>7</v>
      </c>
      <c r="D2" s="270" t="s">
        <v>31</v>
      </c>
      <c r="E2" s="270" t="s">
        <v>10</v>
      </c>
      <c r="F2" s="270" t="s">
        <v>35</v>
      </c>
      <c r="G2" s="270" t="s">
        <v>13</v>
      </c>
      <c r="H2" s="272" t="s">
        <v>36</v>
      </c>
      <c r="I2" s="274" t="s">
        <v>18</v>
      </c>
      <c r="J2" s="275" t="s">
        <v>104</v>
      </c>
      <c r="K2" s="10"/>
      <c r="L2" s="10"/>
      <c r="M2" s="276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>
      <c r="A3" s="277" t="s">
        <v>117</v>
      </c>
      <c r="B3" s="278" t="s">
        <v>119</v>
      </c>
      <c r="C3" s="276"/>
      <c r="D3" s="276"/>
      <c r="E3" s="276"/>
      <c r="F3" s="276"/>
      <c r="G3" s="276"/>
      <c r="H3" s="279">
        <v>7.0E-4</v>
      </c>
      <c r="I3" s="276"/>
      <c r="J3" s="280"/>
      <c r="K3" s="281" t="s">
        <v>7</v>
      </c>
      <c r="L3" s="272" t="s">
        <v>121</v>
      </c>
      <c r="M3" s="272" t="s">
        <v>17</v>
      </c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>
      <c r="A4" s="282">
        <v>1.0</v>
      </c>
      <c r="B4" s="283">
        <f t="shared" ref="B4:B215" si="1">C4</f>
        <v>56100.98</v>
      </c>
      <c r="C4" s="247">
        <v>56100.98</v>
      </c>
      <c r="D4" s="248">
        <v>17778.0</v>
      </c>
      <c r="E4" s="241">
        <f t="shared" ref="E4:E43" si="2">D4*C4</f>
        <v>997363222.4</v>
      </c>
      <c r="F4" s="248">
        <v>17825.0</v>
      </c>
      <c r="G4" s="285">
        <f t="shared" ref="G4:G43" si="3">F4*C4</f>
        <v>999999968.5</v>
      </c>
      <c r="H4" s="284">
        <v>0.0</v>
      </c>
      <c r="I4" s="286">
        <f t="shared" ref="I4:I317" si="4">G4-E4</f>
        <v>2636746.06</v>
      </c>
      <c r="J4" s="287" t="s">
        <v>122</v>
      </c>
      <c r="K4" s="288">
        <v>0.01</v>
      </c>
      <c r="L4" s="289">
        <v>17829.0</v>
      </c>
      <c r="M4" s="285">
        <f t="shared" ref="M4:M314" si="5">L4*K4</f>
        <v>178.29</v>
      </c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>
      <c r="A5" s="282">
        <v>2.0</v>
      </c>
      <c r="B5" s="283">
        <f t="shared" si="1"/>
        <v>56100.98</v>
      </c>
      <c r="C5" s="247">
        <v>56100.98</v>
      </c>
      <c r="D5" s="248">
        <v>17778.0</v>
      </c>
      <c r="E5" s="241">
        <f t="shared" si="2"/>
        <v>997363222.4</v>
      </c>
      <c r="F5" s="248">
        <v>17825.0</v>
      </c>
      <c r="G5" s="285">
        <f t="shared" si="3"/>
        <v>999999968.5</v>
      </c>
      <c r="H5" s="284">
        <v>0.0</v>
      </c>
      <c r="I5" s="286">
        <f t="shared" si="4"/>
        <v>2636746.06</v>
      </c>
      <c r="J5" s="290"/>
      <c r="K5" s="326">
        <v>24982.5</v>
      </c>
      <c r="L5" s="331">
        <v>17771.0</v>
      </c>
      <c r="M5" s="310">
        <f t="shared" si="5"/>
        <v>443964007.5</v>
      </c>
      <c r="N5" s="13">
        <v>1.0</v>
      </c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</row>
    <row r="6">
      <c r="A6" s="282">
        <v>3.0</v>
      </c>
      <c r="B6" s="283">
        <f t="shared" si="1"/>
        <v>56179.77</v>
      </c>
      <c r="C6" s="247">
        <v>56179.77</v>
      </c>
      <c r="D6" s="248">
        <v>17758.0</v>
      </c>
      <c r="E6" s="241">
        <f t="shared" si="2"/>
        <v>997640355.7</v>
      </c>
      <c r="F6" s="248">
        <v>17800.0</v>
      </c>
      <c r="G6" s="285">
        <f t="shared" si="3"/>
        <v>999999906</v>
      </c>
      <c r="H6" s="284">
        <v>0.0</v>
      </c>
      <c r="I6" s="286">
        <f t="shared" si="4"/>
        <v>2359550.34</v>
      </c>
      <c r="J6" s="290"/>
      <c r="K6" s="326">
        <v>992.31</v>
      </c>
      <c r="L6" s="331">
        <v>17773.0</v>
      </c>
      <c r="M6" s="310">
        <f t="shared" si="5"/>
        <v>17636325.63</v>
      </c>
      <c r="N6" s="13">
        <v>2.0</v>
      </c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>
      <c r="A7" s="282">
        <v>4.0</v>
      </c>
      <c r="B7" s="283">
        <f t="shared" si="1"/>
        <v>56179.77</v>
      </c>
      <c r="C7" s="247">
        <v>56179.77</v>
      </c>
      <c r="D7" s="248">
        <v>17770.0</v>
      </c>
      <c r="E7" s="241">
        <f t="shared" si="2"/>
        <v>998314512.9</v>
      </c>
      <c r="F7" s="248">
        <v>17800.0</v>
      </c>
      <c r="G7" s="285">
        <f t="shared" si="3"/>
        <v>999999906</v>
      </c>
      <c r="H7" s="284">
        <v>0.0</v>
      </c>
      <c r="I7" s="286">
        <f t="shared" si="4"/>
        <v>1685393.1</v>
      </c>
      <c r="J7" s="290"/>
      <c r="K7" s="326">
        <v>6311.58</v>
      </c>
      <c r="L7" s="331">
        <v>17773.0</v>
      </c>
      <c r="M7" s="310">
        <f t="shared" si="5"/>
        <v>112175711.3</v>
      </c>
      <c r="N7" s="13">
        <v>3.0</v>
      </c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>
      <c r="A8" s="282">
        <v>5.0</v>
      </c>
      <c r="B8" s="283">
        <f t="shared" si="1"/>
        <v>56163.99</v>
      </c>
      <c r="C8" s="326">
        <v>56163.99</v>
      </c>
      <c r="D8" s="248">
        <v>17772.0</v>
      </c>
      <c r="E8" s="241">
        <f t="shared" si="2"/>
        <v>998146430.3</v>
      </c>
      <c r="F8" s="248">
        <v>17805.0</v>
      </c>
      <c r="G8" s="285">
        <f t="shared" si="3"/>
        <v>999999842</v>
      </c>
      <c r="H8" s="284">
        <v>0.0</v>
      </c>
      <c r="I8" s="286">
        <f t="shared" si="4"/>
        <v>1853411.67</v>
      </c>
      <c r="J8" s="290"/>
      <c r="K8" s="326">
        <v>5696.01</v>
      </c>
      <c r="L8" s="331">
        <v>17768.0</v>
      </c>
      <c r="M8" s="310">
        <f t="shared" si="5"/>
        <v>101206705.7</v>
      </c>
      <c r="N8" s="13">
        <v>4.0</v>
      </c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>
      <c r="A9" s="282">
        <v>6.0</v>
      </c>
      <c r="B9" s="283" t="str">
        <f t="shared" si="1"/>
        <v/>
      </c>
      <c r="C9" s="288"/>
      <c r="D9" s="284">
        <v>17710.0</v>
      </c>
      <c r="E9" s="241">
        <f t="shared" si="2"/>
        <v>0</v>
      </c>
      <c r="F9" s="284">
        <v>17956.0</v>
      </c>
      <c r="G9" s="285">
        <f t="shared" si="3"/>
        <v>0</v>
      </c>
      <c r="H9" s="284">
        <v>0.0</v>
      </c>
      <c r="I9" s="286">
        <f t="shared" si="4"/>
        <v>0</v>
      </c>
      <c r="J9" s="290"/>
      <c r="K9" s="326">
        <v>1069.26</v>
      </c>
      <c r="L9" s="331">
        <v>17776.0</v>
      </c>
      <c r="M9" s="310">
        <f t="shared" si="5"/>
        <v>19007165.76</v>
      </c>
      <c r="N9" s="13">
        <v>5.0</v>
      </c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>
      <c r="A10" s="282">
        <v>7.0</v>
      </c>
      <c r="B10" s="283" t="str">
        <f t="shared" si="1"/>
        <v/>
      </c>
      <c r="C10" s="288"/>
      <c r="D10" s="284">
        <v>17710.0</v>
      </c>
      <c r="E10" s="241">
        <f t="shared" si="2"/>
        <v>0</v>
      </c>
      <c r="F10" s="284">
        <v>17894.0</v>
      </c>
      <c r="G10" s="285">
        <f t="shared" si="3"/>
        <v>0</v>
      </c>
      <c r="H10" s="284">
        <v>0.0</v>
      </c>
      <c r="I10" s="286">
        <f t="shared" si="4"/>
        <v>0</v>
      </c>
      <c r="J10" s="290"/>
      <c r="K10" s="326">
        <v>1064.26</v>
      </c>
      <c r="L10" s="331">
        <v>17785.0</v>
      </c>
      <c r="M10" s="310">
        <f t="shared" si="5"/>
        <v>18927864.1</v>
      </c>
      <c r="N10" s="13">
        <v>6.0</v>
      </c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>
      <c r="A11" s="282">
        <v>8.0</v>
      </c>
      <c r="B11" s="283" t="str">
        <f t="shared" si="1"/>
        <v/>
      </c>
      <c r="C11" s="288"/>
      <c r="D11" s="284">
        <v>17710.0</v>
      </c>
      <c r="E11" s="241">
        <f t="shared" si="2"/>
        <v>0</v>
      </c>
      <c r="F11" s="284">
        <v>17894.0</v>
      </c>
      <c r="G11" s="285">
        <f t="shared" si="3"/>
        <v>0</v>
      </c>
      <c r="H11" s="284">
        <v>0.0</v>
      </c>
      <c r="I11" s="286">
        <f t="shared" si="4"/>
        <v>0</v>
      </c>
      <c r="J11" s="290"/>
      <c r="K11" s="326">
        <v>9993.0</v>
      </c>
      <c r="L11" s="331">
        <v>17792.0</v>
      </c>
      <c r="M11" s="310">
        <f t="shared" si="5"/>
        <v>177795456</v>
      </c>
      <c r="N11" s="13">
        <v>7.0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>
      <c r="A12" s="282">
        <v>9.0</v>
      </c>
      <c r="B12" s="283" t="str">
        <f t="shared" si="1"/>
        <v/>
      </c>
      <c r="C12" s="288"/>
      <c r="D12" s="284">
        <v>17710.0</v>
      </c>
      <c r="E12" s="241">
        <f t="shared" si="2"/>
        <v>0</v>
      </c>
      <c r="F12" s="284">
        <v>17894.0</v>
      </c>
      <c r="G12" s="285">
        <f t="shared" si="3"/>
        <v>0</v>
      </c>
      <c r="H12" s="284">
        <v>0.0</v>
      </c>
      <c r="I12" s="286">
        <f t="shared" si="4"/>
        <v>0</v>
      </c>
      <c r="J12" s="290"/>
      <c r="K12" s="326">
        <v>907.52</v>
      </c>
      <c r="L12" s="331">
        <v>17800.0</v>
      </c>
      <c r="M12" s="310">
        <f t="shared" si="5"/>
        <v>16153856</v>
      </c>
      <c r="N12" s="13">
        <v>8.0</v>
      </c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>
      <c r="A13" s="282">
        <v>10.0</v>
      </c>
      <c r="B13" s="283" t="str">
        <f t="shared" si="1"/>
        <v/>
      </c>
      <c r="C13" s="288"/>
      <c r="D13" s="284">
        <v>17710.0</v>
      </c>
      <c r="E13" s="241">
        <f t="shared" si="2"/>
        <v>0</v>
      </c>
      <c r="F13" s="284">
        <v>17894.0</v>
      </c>
      <c r="G13" s="285">
        <f t="shared" si="3"/>
        <v>0</v>
      </c>
      <c r="H13" s="284">
        <v>0.0</v>
      </c>
      <c r="I13" s="286">
        <f t="shared" si="4"/>
        <v>0</v>
      </c>
      <c r="J13" s="290"/>
      <c r="K13" s="326">
        <v>999.3</v>
      </c>
      <c r="L13" s="331">
        <v>17800.0</v>
      </c>
      <c r="M13" s="310">
        <f t="shared" si="5"/>
        <v>17787540</v>
      </c>
      <c r="N13" s="13">
        <v>9.0</v>
      </c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>
      <c r="A14" s="282">
        <v>11.0</v>
      </c>
      <c r="B14" s="283" t="str">
        <f t="shared" si="1"/>
        <v/>
      </c>
      <c r="C14" s="288"/>
      <c r="D14" s="284">
        <v>17710.0</v>
      </c>
      <c r="E14" s="241">
        <f t="shared" si="2"/>
        <v>0</v>
      </c>
      <c r="F14" s="284">
        <v>18002.0</v>
      </c>
      <c r="G14" s="285">
        <f t="shared" si="3"/>
        <v>0</v>
      </c>
      <c r="H14" s="284">
        <v>0.0</v>
      </c>
      <c r="I14" s="286">
        <f t="shared" si="4"/>
        <v>0</v>
      </c>
      <c r="J14" s="290"/>
      <c r="K14" s="326">
        <v>2772.56</v>
      </c>
      <c r="L14" s="331">
        <v>17800.0</v>
      </c>
      <c r="M14" s="310">
        <f t="shared" si="5"/>
        <v>49351568</v>
      </c>
      <c r="N14" s="13">
        <v>10.0</v>
      </c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>
      <c r="A15" s="282">
        <v>12.0</v>
      </c>
      <c r="B15" s="283" t="str">
        <f t="shared" si="1"/>
        <v/>
      </c>
      <c r="C15" s="288"/>
      <c r="D15" s="284">
        <v>17710.0</v>
      </c>
      <c r="E15" s="241">
        <f t="shared" si="2"/>
        <v>0</v>
      </c>
      <c r="F15" s="284">
        <v>17840.0</v>
      </c>
      <c r="G15" s="285">
        <f t="shared" si="3"/>
        <v>0</v>
      </c>
      <c r="H15" s="284">
        <v>0.0</v>
      </c>
      <c r="I15" s="286">
        <f t="shared" si="4"/>
        <v>0</v>
      </c>
      <c r="J15" s="290"/>
      <c r="K15" s="326">
        <v>1356.06</v>
      </c>
      <c r="L15" s="331">
        <v>17800.0</v>
      </c>
      <c r="M15" s="310">
        <f t="shared" si="5"/>
        <v>24137868</v>
      </c>
      <c r="N15" s="13">
        <v>11.0</v>
      </c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>
      <c r="A16" s="282">
        <v>13.0</v>
      </c>
      <c r="B16" s="283" t="str">
        <f t="shared" si="1"/>
        <v/>
      </c>
      <c r="C16" s="288"/>
      <c r="D16" s="284">
        <v>17710.0</v>
      </c>
      <c r="E16" s="241">
        <f t="shared" si="2"/>
        <v>0</v>
      </c>
      <c r="F16" s="284">
        <v>17840.0</v>
      </c>
      <c r="G16" s="285">
        <f t="shared" si="3"/>
        <v>0</v>
      </c>
      <c r="H16" s="284">
        <v>0.0</v>
      </c>
      <c r="I16" s="286">
        <f t="shared" si="4"/>
        <v>0</v>
      </c>
      <c r="J16" s="290"/>
      <c r="K16" s="288"/>
      <c r="L16" s="289">
        <v>17717.0</v>
      </c>
      <c r="M16" s="310">
        <f t="shared" si="5"/>
        <v>0</v>
      </c>
      <c r="N16" s="13">
        <v>12.0</v>
      </c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>
      <c r="A17" s="282">
        <v>14.0</v>
      </c>
      <c r="B17" s="283" t="str">
        <f t="shared" si="1"/>
        <v/>
      </c>
      <c r="C17" s="240"/>
      <c r="D17" s="284">
        <v>17710.0</v>
      </c>
      <c r="E17" s="241">
        <f t="shared" si="2"/>
        <v>0</v>
      </c>
      <c r="F17" s="284">
        <v>17840.0</v>
      </c>
      <c r="G17" s="285">
        <f t="shared" si="3"/>
        <v>0</v>
      </c>
      <c r="H17" s="284">
        <v>0.0</v>
      </c>
      <c r="I17" s="286">
        <f t="shared" si="4"/>
        <v>0</v>
      </c>
      <c r="J17" s="290"/>
      <c r="K17" s="326">
        <v>27480.75</v>
      </c>
      <c r="L17" s="331">
        <v>17778.0</v>
      </c>
      <c r="M17" s="310">
        <f t="shared" si="5"/>
        <v>488552773.5</v>
      </c>
      <c r="N17" s="13">
        <v>13.0</v>
      </c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>
      <c r="A18" s="282">
        <v>15.0</v>
      </c>
      <c r="B18" s="283" t="str">
        <f t="shared" si="1"/>
        <v/>
      </c>
      <c r="C18" s="288"/>
      <c r="D18" s="284">
        <v>17710.0</v>
      </c>
      <c r="E18" s="241">
        <f t="shared" si="2"/>
        <v>0</v>
      </c>
      <c r="F18" s="284">
        <v>17840.0</v>
      </c>
      <c r="G18" s="285">
        <f t="shared" si="3"/>
        <v>0</v>
      </c>
      <c r="H18" s="284">
        <v>0.0</v>
      </c>
      <c r="I18" s="286">
        <f t="shared" si="4"/>
        <v>0</v>
      </c>
      <c r="J18" s="290"/>
      <c r="K18" s="326">
        <v>2810.5</v>
      </c>
      <c r="L18" s="331">
        <v>17778.0</v>
      </c>
      <c r="M18" s="310">
        <f t="shared" si="5"/>
        <v>49965069</v>
      </c>
      <c r="N18" s="13">
        <v>14.0</v>
      </c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>
      <c r="A19" s="282">
        <v>16.0</v>
      </c>
      <c r="B19" s="283" t="str">
        <f t="shared" si="1"/>
        <v/>
      </c>
      <c r="C19" s="288"/>
      <c r="D19" s="284">
        <v>17710.0</v>
      </c>
      <c r="E19" s="241">
        <f t="shared" si="2"/>
        <v>0</v>
      </c>
      <c r="F19" s="284">
        <v>17983.0</v>
      </c>
      <c r="G19" s="285">
        <f t="shared" si="3"/>
        <v>0</v>
      </c>
      <c r="H19" s="284">
        <v>0.0</v>
      </c>
      <c r="I19" s="286">
        <f t="shared" si="4"/>
        <v>0</v>
      </c>
      <c r="J19" s="290"/>
      <c r="K19" s="326">
        <v>4996.5</v>
      </c>
      <c r="L19" s="331">
        <v>17778.0</v>
      </c>
      <c r="M19" s="310">
        <f t="shared" si="5"/>
        <v>88827777</v>
      </c>
      <c r="N19" s="13">
        <v>15.0</v>
      </c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>
      <c r="A20" s="282">
        <v>17.0</v>
      </c>
      <c r="B20" s="283" t="str">
        <f t="shared" si="1"/>
        <v/>
      </c>
      <c r="C20" s="288"/>
      <c r="D20" s="284">
        <v>17710.0</v>
      </c>
      <c r="E20" s="241">
        <f t="shared" si="2"/>
        <v>0</v>
      </c>
      <c r="F20" s="284">
        <v>17989.0</v>
      </c>
      <c r="G20" s="285">
        <f t="shared" si="3"/>
        <v>0</v>
      </c>
      <c r="H20" s="284">
        <v>0.0</v>
      </c>
      <c r="I20" s="286">
        <f t="shared" si="4"/>
        <v>0</v>
      </c>
      <c r="J20" s="290"/>
      <c r="K20" s="326">
        <v>9993.0</v>
      </c>
      <c r="L20" s="331">
        <v>17775.0</v>
      </c>
      <c r="M20" s="310">
        <f t="shared" si="5"/>
        <v>177625575</v>
      </c>
      <c r="N20" s="13">
        <v>16.0</v>
      </c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>
      <c r="A21" s="282">
        <v>18.0</v>
      </c>
      <c r="B21" s="283" t="str">
        <f t="shared" si="1"/>
        <v/>
      </c>
      <c r="C21" s="288"/>
      <c r="D21" s="284">
        <v>17710.0</v>
      </c>
      <c r="E21" s="241">
        <f t="shared" si="2"/>
        <v>0</v>
      </c>
      <c r="F21" s="284">
        <v>17989.0</v>
      </c>
      <c r="G21" s="285">
        <f t="shared" si="3"/>
        <v>0</v>
      </c>
      <c r="H21" s="284">
        <v>0.0</v>
      </c>
      <c r="I21" s="286">
        <f t="shared" si="4"/>
        <v>0</v>
      </c>
      <c r="J21" s="290"/>
      <c r="K21" s="326">
        <v>3997.2</v>
      </c>
      <c r="L21" s="331">
        <v>17775.0</v>
      </c>
      <c r="M21" s="310">
        <f t="shared" si="5"/>
        <v>71050230</v>
      </c>
      <c r="N21" s="13">
        <v>17.0</v>
      </c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>
      <c r="A22" s="282">
        <v>19.0</v>
      </c>
      <c r="B22" s="283" t="str">
        <f t="shared" si="1"/>
        <v/>
      </c>
      <c r="C22" s="288"/>
      <c r="D22" s="284">
        <v>17710.0</v>
      </c>
      <c r="E22" s="241">
        <f t="shared" si="2"/>
        <v>0</v>
      </c>
      <c r="F22" s="284">
        <v>18010.0</v>
      </c>
      <c r="G22" s="285">
        <f t="shared" si="3"/>
        <v>0</v>
      </c>
      <c r="H22" s="284">
        <v>0.0</v>
      </c>
      <c r="I22" s="286">
        <f t="shared" si="4"/>
        <v>0</v>
      </c>
      <c r="J22" s="290"/>
      <c r="K22" s="326">
        <v>1863.22</v>
      </c>
      <c r="L22" s="331">
        <v>17775.0</v>
      </c>
      <c r="M22" s="285">
        <f t="shared" si="5"/>
        <v>33118735.5</v>
      </c>
      <c r="N22" s="13">
        <v>18.0</v>
      </c>
      <c r="O22" s="303"/>
      <c r="P22" s="42"/>
      <c r="Q22" s="42"/>
      <c r="R22" s="303"/>
      <c r="S22" s="303"/>
      <c r="T22" s="42"/>
      <c r="U22" s="42"/>
      <c r="V22" s="42"/>
      <c r="W22" s="42"/>
      <c r="X22" s="42"/>
      <c r="Y22" s="42"/>
      <c r="Z22" s="42"/>
      <c r="AA22" s="42"/>
    </row>
    <row r="23">
      <c r="A23" s="282">
        <v>20.0</v>
      </c>
      <c r="B23" s="283" t="str">
        <f t="shared" si="1"/>
        <v/>
      </c>
      <c r="C23" s="288"/>
      <c r="D23" s="284">
        <v>17710.0</v>
      </c>
      <c r="E23" s="241">
        <f t="shared" si="2"/>
        <v>0</v>
      </c>
      <c r="F23" s="284">
        <v>18008.0</v>
      </c>
      <c r="G23" s="285">
        <f t="shared" si="3"/>
        <v>0</v>
      </c>
      <c r="H23" s="284">
        <v>0.0</v>
      </c>
      <c r="I23" s="286">
        <f t="shared" si="4"/>
        <v>0</v>
      </c>
      <c r="J23" s="290"/>
      <c r="K23" s="326">
        <v>5069.47</v>
      </c>
      <c r="L23" s="331">
        <v>17775.0</v>
      </c>
      <c r="M23" s="285">
        <f t="shared" si="5"/>
        <v>90109829.25</v>
      </c>
      <c r="N23" s="13">
        <v>19.0</v>
      </c>
      <c r="O23" s="303"/>
      <c r="P23" s="303"/>
      <c r="Q23" s="303"/>
      <c r="R23" s="303"/>
      <c r="S23" s="303"/>
      <c r="T23" s="42"/>
      <c r="U23" s="42"/>
      <c r="V23" s="42"/>
      <c r="W23" s="42"/>
      <c r="X23" s="42"/>
      <c r="Y23" s="42"/>
      <c r="Z23" s="42"/>
      <c r="AA23" s="42"/>
    </row>
    <row r="24">
      <c r="A24" s="282">
        <v>21.0</v>
      </c>
      <c r="B24" s="283" t="str">
        <f t="shared" si="1"/>
        <v/>
      </c>
      <c r="C24" s="288"/>
      <c r="D24" s="284">
        <v>17710.0</v>
      </c>
      <c r="E24" s="241">
        <f t="shared" si="2"/>
        <v>0</v>
      </c>
      <c r="F24" s="284">
        <v>18008.0</v>
      </c>
      <c r="G24" s="285">
        <f t="shared" si="3"/>
        <v>0</v>
      </c>
      <c r="H24" s="284">
        <v>0.0</v>
      </c>
      <c r="I24" s="286">
        <f t="shared" si="4"/>
        <v>0</v>
      </c>
      <c r="J24" s="290"/>
      <c r="K24" s="288"/>
      <c r="L24" s="289">
        <v>17662.0</v>
      </c>
      <c r="M24" s="285">
        <f t="shared" si="5"/>
        <v>0</v>
      </c>
      <c r="N24" s="13">
        <v>20.0</v>
      </c>
      <c r="O24" s="303"/>
      <c r="P24" s="303"/>
      <c r="Q24" s="303"/>
      <c r="R24" s="303"/>
      <c r="S24" s="303"/>
      <c r="T24" s="42"/>
      <c r="U24" s="42"/>
      <c r="V24" s="42"/>
      <c r="W24" s="42"/>
      <c r="X24" s="42"/>
      <c r="Y24" s="42"/>
      <c r="Z24" s="42"/>
      <c r="AA24" s="42"/>
    </row>
    <row r="25">
      <c r="A25" s="282">
        <v>22.0</v>
      </c>
      <c r="B25" s="283" t="str">
        <f t="shared" si="1"/>
        <v/>
      </c>
      <c r="C25" s="288"/>
      <c r="D25" s="284">
        <v>17710.0</v>
      </c>
      <c r="E25" s="241">
        <f t="shared" si="2"/>
        <v>0</v>
      </c>
      <c r="F25" s="284">
        <v>18008.0</v>
      </c>
      <c r="G25" s="285">
        <f t="shared" si="3"/>
        <v>0</v>
      </c>
      <c r="H25" s="284">
        <v>0.0</v>
      </c>
      <c r="I25" s="286">
        <f t="shared" si="4"/>
        <v>0</v>
      </c>
      <c r="J25" s="290"/>
      <c r="K25" s="326">
        <v>27480.75</v>
      </c>
      <c r="L25" s="331">
        <v>17758.0</v>
      </c>
      <c r="M25" s="285">
        <f t="shared" si="5"/>
        <v>488003158.5</v>
      </c>
      <c r="N25" s="13">
        <v>21.0</v>
      </c>
      <c r="O25" s="303"/>
      <c r="P25" s="304"/>
      <c r="Q25" s="305"/>
      <c r="R25" s="306"/>
      <c r="S25" s="303"/>
      <c r="T25" s="42"/>
      <c r="U25" s="42"/>
      <c r="V25" s="42"/>
      <c r="W25" s="42"/>
      <c r="X25" s="42"/>
      <c r="Y25" s="42"/>
      <c r="Z25" s="42"/>
      <c r="AA25" s="42"/>
    </row>
    <row r="26">
      <c r="A26" s="282">
        <v>23.0</v>
      </c>
      <c r="B26" s="283" t="str">
        <f t="shared" si="1"/>
        <v/>
      </c>
      <c r="C26" s="288"/>
      <c r="D26" s="284">
        <v>17710.0</v>
      </c>
      <c r="E26" s="241">
        <f t="shared" si="2"/>
        <v>0</v>
      </c>
      <c r="F26" s="284">
        <v>18008.0</v>
      </c>
      <c r="G26" s="285">
        <f t="shared" si="3"/>
        <v>0</v>
      </c>
      <c r="H26" s="284">
        <v>0.0</v>
      </c>
      <c r="I26" s="286">
        <f t="shared" si="4"/>
        <v>0</v>
      </c>
      <c r="J26" s="290"/>
      <c r="K26" s="326">
        <v>28799.83</v>
      </c>
      <c r="L26" s="331">
        <v>17758.0</v>
      </c>
      <c r="M26" s="285">
        <f t="shared" si="5"/>
        <v>511427381.1</v>
      </c>
      <c r="N26" s="13">
        <v>22.0</v>
      </c>
      <c r="O26" s="303"/>
      <c r="P26" s="303"/>
      <c r="Q26" s="303"/>
      <c r="R26" s="303"/>
      <c r="S26" s="303"/>
      <c r="T26" s="42"/>
      <c r="U26" s="42"/>
      <c r="V26" s="42"/>
      <c r="W26" s="42"/>
      <c r="X26" s="42"/>
      <c r="Y26" s="42"/>
      <c r="Z26" s="42"/>
      <c r="AA26" s="42"/>
    </row>
    <row r="27">
      <c r="A27" s="282">
        <v>24.0</v>
      </c>
      <c r="B27" s="283" t="str">
        <f t="shared" si="1"/>
        <v/>
      </c>
      <c r="C27" s="288"/>
      <c r="D27" s="284">
        <v>17710.0</v>
      </c>
      <c r="E27" s="241">
        <f t="shared" si="2"/>
        <v>0</v>
      </c>
      <c r="F27" s="284">
        <v>18008.0</v>
      </c>
      <c r="G27" s="285">
        <f t="shared" si="3"/>
        <v>0</v>
      </c>
      <c r="H27" s="284">
        <v>0.0</v>
      </c>
      <c r="I27" s="286">
        <f t="shared" si="4"/>
        <v>0</v>
      </c>
      <c r="J27" s="290"/>
      <c r="K27" s="288"/>
      <c r="L27" s="289">
        <v>17662.0</v>
      </c>
      <c r="M27" s="285">
        <f t="shared" si="5"/>
        <v>0</v>
      </c>
      <c r="N27" s="13">
        <v>23.0</v>
      </c>
      <c r="O27" s="307"/>
      <c r="P27" s="304"/>
      <c r="Q27" s="305"/>
      <c r="R27" s="306"/>
      <c r="S27" s="307"/>
      <c r="T27" s="42"/>
      <c r="U27" s="42"/>
      <c r="V27" s="42"/>
      <c r="W27" s="42"/>
      <c r="X27" s="42"/>
      <c r="Y27" s="42"/>
      <c r="Z27" s="42"/>
      <c r="AA27" s="42"/>
    </row>
    <row r="28">
      <c r="A28" s="282">
        <v>25.0</v>
      </c>
      <c r="B28" s="283" t="str">
        <f t="shared" si="1"/>
        <v/>
      </c>
      <c r="C28" s="288"/>
      <c r="D28" s="284">
        <v>17710.0</v>
      </c>
      <c r="E28" s="241">
        <f t="shared" si="2"/>
        <v>0</v>
      </c>
      <c r="F28" s="284">
        <v>18008.0</v>
      </c>
      <c r="G28" s="285">
        <f t="shared" si="3"/>
        <v>0</v>
      </c>
      <c r="H28" s="284">
        <v>0.0</v>
      </c>
      <c r="I28" s="286">
        <f t="shared" si="4"/>
        <v>0</v>
      </c>
      <c r="J28" s="290"/>
      <c r="K28" s="326">
        <v>1875.94</v>
      </c>
      <c r="L28" s="331">
        <v>17760.0</v>
      </c>
      <c r="M28" s="285">
        <f t="shared" si="5"/>
        <v>33316694.4</v>
      </c>
      <c r="N28" s="13">
        <v>24.0</v>
      </c>
      <c r="O28" s="307"/>
      <c r="P28" s="307"/>
      <c r="Q28" s="307"/>
      <c r="R28" s="307"/>
      <c r="S28" s="307"/>
      <c r="T28" s="42"/>
      <c r="U28" s="42"/>
      <c r="V28" s="42"/>
      <c r="W28" s="42"/>
      <c r="X28" s="42"/>
      <c r="Y28" s="42"/>
      <c r="Z28" s="42"/>
      <c r="AA28" s="42"/>
    </row>
    <row r="29">
      <c r="A29" s="282">
        <v>26.0</v>
      </c>
      <c r="B29" s="283" t="str">
        <f t="shared" si="1"/>
        <v/>
      </c>
      <c r="C29" s="288"/>
      <c r="D29" s="284">
        <v>17710.0</v>
      </c>
      <c r="E29" s="241">
        <f t="shared" si="2"/>
        <v>0</v>
      </c>
      <c r="F29" s="284">
        <v>18008.0</v>
      </c>
      <c r="G29" s="285">
        <f t="shared" si="3"/>
        <v>0</v>
      </c>
      <c r="H29" s="284">
        <v>0.0</v>
      </c>
      <c r="I29" s="286">
        <f t="shared" si="4"/>
        <v>0</v>
      </c>
      <c r="J29" s="290"/>
      <c r="K29" s="326">
        <v>21307.06</v>
      </c>
      <c r="L29" s="331">
        <v>17765.0</v>
      </c>
      <c r="M29" s="285">
        <f t="shared" si="5"/>
        <v>378519920.9</v>
      </c>
      <c r="N29" s="13">
        <v>25.0</v>
      </c>
      <c r="O29" s="308"/>
      <c r="P29" s="308"/>
      <c r="Q29" s="308"/>
      <c r="R29" s="308"/>
      <c r="S29" s="308"/>
      <c r="T29" s="42"/>
      <c r="U29" s="42"/>
      <c r="V29" s="42"/>
      <c r="W29" s="42"/>
      <c r="X29" s="42"/>
      <c r="Y29" s="42"/>
      <c r="Z29" s="42"/>
      <c r="AA29" s="42"/>
    </row>
    <row r="30">
      <c r="A30" s="282">
        <v>27.0</v>
      </c>
      <c r="B30" s="283" t="str">
        <f t="shared" si="1"/>
        <v/>
      </c>
      <c r="C30" s="288"/>
      <c r="D30" s="284">
        <v>17710.0</v>
      </c>
      <c r="E30" s="241">
        <f t="shared" si="2"/>
        <v>0</v>
      </c>
      <c r="F30" s="284">
        <v>18008.0</v>
      </c>
      <c r="G30" s="285">
        <f t="shared" si="3"/>
        <v>0</v>
      </c>
      <c r="H30" s="284">
        <v>0.0</v>
      </c>
      <c r="I30" s="286">
        <f t="shared" si="4"/>
        <v>0</v>
      </c>
      <c r="J30" s="290"/>
      <c r="K30" s="326">
        <v>1099.23</v>
      </c>
      <c r="L30" s="331">
        <v>17765.0</v>
      </c>
      <c r="M30" s="285">
        <f t="shared" si="5"/>
        <v>19527820.95</v>
      </c>
      <c r="N30" s="13">
        <v>26.0</v>
      </c>
      <c r="O30" s="308"/>
      <c r="P30" s="308"/>
      <c r="Q30" s="308"/>
      <c r="R30" s="308"/>
      <c r="S30" s="308"/>
      <c r="T30" s="42"/>
      <c r="U30" s="42"/>
      <c r="V30" s="42"/>
      <c r="W30" s="42"/>
      <c r="X30" s="42"/>
      <c r="Y30" s="42"/>
      <c r="Z30" s="42"/>
      <c r="AA30" s="42"/>
    </row>
    <row r="31">
      <c r="A31" s="282">
        <v>28.0</v>
      </c>
      <c r="B31" s="283" t="str">
        <f t="shared" si="1"/>
        <v/>
      </c>
      <c r="C31" s="288"/>
      <c r="D31" s="284">
        <v>17710.0</v>
      </c>
      <c r="E31" s="241">
        <f t="shared" si="2"/>
        <v>0</v>
      </c>
      <c r="F31" s="284">
        <v>18008.0</v>
      </c>
      <c r="G31" s="285">
        <f t="shared" si="3"/>
        <v>0</v>
      </c>
      <c r="H31" s="284">
        <v>0.0</v>
      </c>
      <c r="I31" s="286">
        <f t="shared" si="4"/>
        <v>0</v>
      </c>
      <c r="J31" s="290"/>
      <c r="K31" s="326">
        <v>849.41</v>
      </c>
      <c r="L31" s="331">
        <v>17770.0</v>
      </c>
      <c r="M31" s="285">
        <f t="shared" si="5"/>
        <v>15094015.7</v>
      </c>
      <c r="N31" s="13">
        <v>27.0</v>
      </c>
      <c r="O31" s="308"/>
      <c r="P31" s="308"/>
      <c r="Q31" s="308"/>
      <c r="R31" s="308"/>
      <c r="S31" s="308"/>
      <c r="T31" s="42"/>
      <c r="U31" s="42"/>
      <c r="V31" s="42"/>
      <c r="W31" s="42"/>
      <c r="X31" s="42"/>
      <c r="Y31" s="42"/>
      <c r="Z31" s="42"/>
      <c r="AA31" s="42"/>
    </row>
    <row r="32">
      <c r="A32" s="282">
        <v>29.0</v>
      </c>
      <c r="B32" s="283" t="str">
        <f t="shared" si="1"/>
        <v/>
      </c>
      <c r="C32" s="288"/>
      <c r="D32" s="284">
        <v>17710.0</v>
      </c>
      <c r="E32" s="241">
        <f t="shared" si="2"/>
        <v>0</v>
      </c>
      <c r="F32" s="284">
        <v>18008.0</v>
      </c>
      <c r="G32" s="285">
        <f t="shared" si="3"/>
        <v>0</v>
      </c>
      <c r="H32" s="284">
        <v>0.0</v>
      </c>
      <c r="I32" s="286">
        <f t="shared" si="4"/>
        <v>0</v>
      </c>
      <c r="J32" s="290"/>
      <c r="K32" s="326">
        <v>1066.52</v>
      </c>
      <c r="L32" s="331">
        <v>17772.0</v>
      </c>
      <c r="M32" s="285">
        <f t="shared" si="5"/>
        <v>18954193.44</v>
      </c>
      <c r="N32" s="13">
        <v>28.0</v>
      </c>
      <c r="O32" s="308"/>
      <c r="P32" s="308"/>
      <c r="Q32" s="308"/>
      <c r="R32" s="308"/>
      <c r="S32" s="308"/>
      <c r="T32" s="42"/>
      <c r="U32" s="42"/>
      <c r="V32" s="42"/>
      <c r="W32" s="42"/>
      <c r="X32" s="42"/>
      <c r="Y32" s="42"/>
      <c r="Z32" s="42"/>
      <c r="AA32" s="42"/>
    </row>
    <row r="33">
      <c r="A33" s="282">
        <v>30.0</v>
      </c>
      <c r="B33" s="283" t="str">
        <f t="shared" si="1"/>
        <v/>
      </c>
      <c r="C33" s="288"/>
      <c r="D33" s="284">
        <v>17710.0</v>
      </c>
      <c r="E33" s="310">
        <f t="shared" si="2"/>
        <v>0</v>
      </c>
      <c r="F33" s="284">
        <v>18008.0</v>
      </c>
      <c r="G33" s="285">
        <f t="shared" si="3"/>
        <v>0</v>
      </c>
      <c r="H33" s="284">
        <v>0.0</v>
      </c>
      <c r="I33" s="286">
        <f t="shared" si="4"/>
        <v>0</v>
      </c>
      <c r="J33" s="290"/>
      <c r="K33" s="326">
        <v>899.37</v>
      </c>
      <c r="L33" s="331">
        <v>17772.0</v>
      </c>
      <c r="M33" s="285">
        <f t="shared" si="5"/>
        <v>15983603.64</v>
      </c>
      <c r="N33" s="13">
        <v>29.0</v>
      </c>
      <c r="O33" s="308"/>
      <c r="P33" s="308"/>
      <c r="Q33" s="308"/>
      <c r="R33" s="308"/>
      <c r="S33" s="308"/>
      <c r="T33" s="42"/>
      <c r="U33" s="42"/>
      <c r="V33" s="42"/>
      <c r="W33" s="42"/>
      <c r="X33" s="42"/>
      <c r="Y33" s="42"/>
      <c r="Z33" s="42"/>
      <c r="AA33" s="42"/>
    </row>
    <row r="34">
      <c r="A34" s="282">
        <v>31.0</v>
      </c>
      <c r="B34" s="283" t="str">
        <f t="shared" si="1"/>
        <v/>
      </c>
      <c r="C34" s="288"/>
      <c r="D34" s="284">
        <v>17710.0</v>
      </c>
      <c r="E34" s="310">
        <f t="shared" si="2"/>
        <v>0</v>
      </c>
      <c r="F34" s="284">
        <v>18008.0</v>
      </c>
      <c r="G34" s="285">
        <f t="shared" si="3"/>
        <v>0</v>
      </c>
      <c r="H34" s="284">
        <v>0.0</v>
      </c>
      <c r="I34" s="286">
        <f t="shared" si="4"/>
        <v>0</v>
      </c>
      <c r="J34" s="290"/>
      <c r="K34" s="326">
        <v>899.37</v>
      </c>
      <c r="L34" s="331">
        <v>17772.0</v>
      </c>
      <c r="M34" s="310">
        <f t="shared" si="5"/>
        <v>15983603.64</v>
      </c>
      <c r="N34" s="13">
        <v>30.0</v>
      </c>
      <c r="O34" s="308"/>
      <c r="P34" s="308"/>
      <c r="Q34" s="308"/>
      <c r="R34" s="308"/>
      <c r="S34" s="308"/>
      <c r="T34" s="42"/>
      <c r="U34" s="42"/>
      <c r="V34" s="42"/>
      <c r="W34" s="42"/>
      <c r="X34" s="42"/>
      <c r="Y34" s="42"/>
      <c r="Z34" s="42"/>
      <c r="AA34" s="42"/>
    </row>
    <row r="35">
      <c r="A35" s="282">
        <v>32.0</v>
      </c>
      <c r="B35" s="283" t="str">
        <f t="shared" si="1"/>
        <v/>
      </c>
      <c r="C35" s="288"/>
      <c r="D35" s="284">
        <v>17710.0</v>
      </c>
      <c r="E35" s="310">
        <f t="shared" si="2"/>
        <v>0</v>
      </c>
      <c r="F35" s="284">
        <v>18008.0</v>
      </c>
      <c r="G35" s="310">
        <f t="shared" si="3"/>
        <v>0</v>
      </c>
      <c r="H35" s="284">
        <v>0.0</v>
      </c>
      <c r="I35" s="286">
        <f t="shared" si="4"/>
        <v>0</v>
      </c>
      <c r="J35" s="290"/>
      <c r="K35" s="326">
        <v>4896.57</v>
      </c>
      <c r="L35" s="331">
        <v>17772.0</v>
      </c>
      <c r="M35" s="310">
        <f t="shared" si="5"/>
        <v>87021842.04</v>
      </c>
      <c r="N35" s="13">
        <v>31.0</v>
      </c>
      <c r="O35" s="308"/>
      <c r="P35" s="308"/>
      <c r="Q35" s="308"/>
      <c r="R35" s="308"/>
      <c r="S35" s="308"/>
      <c r="T35" s="42"/>
      <c r="U35" s="42"/>
      <c r="V35" s="42"/>
      <c r="W35" s="42"/>
      <c r="X35" s="42"/>
      <c r="Y35" s="42"/>
      <c r="Z35" s="42"/>
      <c r="AA35" s="42"/>
    </row>
    <row r="36">
      <c r="A36" s="282">
        <v>33.0</v>
      </c>
      <c r="B36" s="283" t="str">
        <f t="shared" si="1"/>
        <v/>
      </c>
      <c r="C36" s="288"/>
      <c r="D36" s="284">
        <v>17710.0</v>
      </c>
      <c r="E36" s="310">
        <f t="shared" si="2"/>
        <v>0</v>
      </c>
      <c r="F36" s="284">
        <v>18008.0</v>
      </c>
      <c r="G36" s="310">
        <f t="shared" si="3"/>
        <v>0</v>
      </c>
      <c r="H36" s="284">
        <v>0.0</v>
      </c>
      <c r="I36" s="286">
        <f t="shared" si="4"/>
        <v>0</v>
      </c>
      <c r="J36" s="290"/>
      <c r="K36" s="326">
        <v>999.3</v>
      </c>
      <c r="L36" s="331">
        <v>17772.0</v>
      </c>
      <c r="M36" s="310">
        <f t="shared" si="5"/>
        <v>17759559.6</v>
      </c>
      <c r="N36" s="13">
        <v>32.0</v>
      </c>
      <c r="O36" s="308"/>
      <c r="P36" s="308"/>
      <c r="Q36" s="308"/>
      <c r="R36" s="308"/>
      <c r="S36" s="308"/>
      <c r="T36" s="42"/>
      <c r="U36" s="42"/>
      <c r="V36" s="42"/>
      <c r="W36" s="42"/>
      <c r="X36" s="42"/>
      <c r="Y36" s="42"/>
      <c r="Z36" s="42"/>
      <c r="AA36" s="42"/>
    </row>
    <row r="37">
      <c r="A37" s="282">
        <v>34.0</v>
      </c>
      <c r="B37" s="283" t="str">
        <f t="shared" si="1"/>
        <v/>
      </c>
      <c r="C37" s="288"/>
      <c r="D37" s="284">
        <v>17710.0</v>
      </c>
      <c r="E37" s="310">
        <f t="shared" si="2"/>
        <v>0</v>
      </c>
      <c r="F37" s="284">
        <v>18023.0</v>
      </c>
      <c r="G37" s="310">
        <f t="shared" si="3"/>
        <v>0</v>
      </c>
      <c r="H37" s="284">
        <v>0.0</v>
      </c>
      <c r="I37" s="286">
        <f t="shared" si="4"/>
        <v>0</v>
      </c>
      <c r="J37" s="290"/>
      <c r="K37" s="326">
        <v>2030.08</v>
      </c>
      <c r="L37" s="331">
        <v>17772.0</v>
      </c>
      <c r="M37" s="310">
        <f t="shared" si="5"/>
        <v>36078581.76</v>
      </c>
      <c r="N37" s="13">
        <v>33.0</v>
      </c>
      <c r="O37" s="308"/>
      <c r="P37" s="308"/>
      <c r="Q37" s="308"/>
      <c r="R37" s="308"/>
      <c r="S37" s="308"/>
      <c r="T37" s="42"/>
      <c r="U37" s="42"/>
      <c r="V37" s="42"/>
      <c r="W37" s="42"/>
      <c r="X37" s="42"/>
      <c r="Y37" s="42"/>
      <c r="Z37" s="42"/>
      <c r="AA37" s="42"/>
    </row>
    <row r="38">
      <c r="A38" s="282">
        <v>35.0</v>
      </c>
      <c r="B38" s="283" t="str">
        <f t="shared" si="1"/>
        <v/>
      </c>
      <c r="C38" s="288"/>
      <c r="D38" s="284">
        <v>17710.0</v>
      </c>
      <c r="E38" s="310">
        <f t="shared" si="2"/>
        <v>0</v>
      </c>
      <c r="F38" s="284">
        <v>18023.0</v>
      </c>
      <c r="G38" s="310">
        <f t="shared" si="3"/>
        <v>0</v>
      </c>
      <c r="H38" s="284">
        <v>0.0</v>
      </c>
      <c r="I38" s="286">
        <f t="shared" si="4"/>
        <v>0</v>
      </c>
      <c r="J38" s="290"/>
      <c r="K38" s="326">
        <v>851.09</v>
      </c>
      <c r="L38" s="331">
        <v>17775.0</v>
      </c>
      <c r="M38" s="310">
        <f t="shared" si="5"/>
        <v>15128124.75</v>
      </c>
      <c r="N38" s="13">
        <v>34.0</v>
      </c>
      <c r="O38" s="308"/>
      <c r="P38" s="308"/>
      <c r="Q38" s="308"/>
      <c r="R38" s="308"/>
      <c r="S38" s="308"/>
      <c r="T38" s="42"/>
      <c r="U38" s="42"/>
      <c r="V38" s="42"/>
      <c r="W38" s="42"/>
      <c r="X38" s="42"/>
      <c r="Y38" s="42"/>
      <c r="Z38" s="42"/>
      <c r="AA38" s="42"/>
    </row>
    <row r="39">
      <c r="A39" s="282">
        <v>36.0</v>
      </c>
      <c r="B39" s="283" t="str">
        <f t="shared" si="1"/>
        <v/>
      </c>
      <c r="C39" s="288"/>
      <c r="D39" s="284">
        <v>17710.0</v>
      </c>
      <c r="E39" s="310">
        <f t="shared" si="2"/>
        <v>0</v>
      </c>
      <c r="F39" s="284">
        <v>18023.0</v>
      </c>
      <c r="G39" s="310">
        <f t="shared" si="3"/>
        <v>0</v>
      </c>
      <c r="H39" s="284">
        <v>0.0</v>
      </c>
      <c r="I39" s="286">
        <f t="shared" si="4"/>
        <v>0</v>
      </c>
      <c r="J39" s="290"/>
      <c r="K39" s="326">
        <v>899.37</v>
      </c>
      <c r="L39" s="331">
        <v>17770.0</v>
      </c>
      <c r="M39" s="310">
        <f t="shared" si="5"/>
        <v>15981804.9</v>
      </c>
      <c r="N39" s="13">
        <v>35.0</v>
      </c>
      <c r="O39" s="308"/>
      <c r="P39" s="308"/>
      <c r="Q39" s="308"/>
      <c r="R39" s="308"/>
      <c r="S39" s="308"/>
      <c r="T39" s="42"/>
      <c r="U39" s="42"/>
      <c r="V39" s="42"/>
      <c r="W39" s="42"/>
      <c r="X39" s="42"/>
      <c r="Y39" s="42"/>
      <c r="Z39" s="42"/>
      <c r="AA39" s="42"/>
    </row>
    <row r="40">
      <c r="A40" s="282">
        <v>37.0</v>
      </c>
      <c r="B40" s="283" t="str">
        <f t="shared" si="1"/>
        <v/>
      </c>
      <c r="C40" s="288"/>
      <c r="D40" s="284">
        <v>17910.0</v>
      </c>
      <c r="E40" s="310">
        <f t="shared" si="2"/>
        <v>0</v>
      </c>
      <c r="F40" s="284">
        <v>18023.0</v>
      </c>
      <c r="G40" s="310">
        <f t="shared" si="3"/>
        <v>0</v>
      </c>
      <c r="H40" s="284">
        <v>0.0</v>
      </c>
      <c r="I40" s="286">
        <f t="shared" si="4"/>
        <v>0</v>
      </c>
      <c r="J40" s="290"/>
      <c r="K40" s="326">
        <v>899.37</v>
      </c>
      <c r="L40" s="331">
        <v>17770.0</v>
      </c>
      <c r="M40" s="310">
        <f t="shared" si="5"/>
        <v>15981804.9</v>
      </c>
      <c r="N40" s="13">
        <v>36.0</v>
      </c>
      <c r="O40" s="308"/>
      <c r="P40" s="308"/>
      <c r="Q40" s="308"/>
      <c r="R40" s="308"/>
      <c r="S40" s="308"/>
      <c r="T40" s="42"/>
      <c r="U40" s="42"/>
      <c r="V40" s="42"/>
      <c r="W40" s="42"/>
      <c r="X40" s="42"/>
      <c r="Y40" s="42"/>
      <c r="Z40" s="42"/>
      <c r="AA40" s="42"/>
    </row>
    <row r="41">
      <c r="A41" s="282">
        <v>38.0</v>
      </c>
      <c r="B41" s="283" t="str">
        <f t="shared" si="1"/>
        <v/>
      </c>
      <c r="C41" s="288"/>
      <c r="D41" s="284">
        <v>17910.0</v>
      </c>
      <c r="E41" s="310">
        <f t="shared" si="2"/>
        <v>0</v>
      </c>
      <c r="F41" s="284">
        <v>18023.0</v>
      </c>
      <c r="G41" s="310">
        <f t="shared" si="3"/>
        <v>0</v>
      </c>
      <c r="H41" s="284">
        <v>0.0</v>
      </c>
      <c r="I41" s="286">
        <f t="shared" si="4"/>
        <v>0</v>
      </c>
      <c r="J41" s="290"/>
      <c r="K41" s="326">
        <v>899.37</v>
      </c>
      <c r="L41" s="331">
        <v>17770.0</v>
      </c>
      <c r="M41" s="310">
        <f t="shared" si="5"/>
        <v>15981804.9</v>
      </c>
      <c r="N41" s="13">
        <v>37.0</v>
      </c>
      <c r="O41" s="308"/>
      <c r="P41" s="308"/>
      <c r="Q41" s="308"/>
      <c r="R41" s="308"/>
      <c r="S41" s="308"/>
      <c r="T41" s="42"/>
      <c r="U41" s="42"/>
      <c r="V41" s="42"/>
      <c r="W41" s="42"/>
      <c r="X41" s="42"/>
      <c r="Y41" s="42"/>
      <c r="Z41" s="42"/>
      <c r="AA41" s="42"/>
    </row>
    <row r="42">
      <c r="A42" s="282">
        <v>39.0</v>
      </c>
      <c r="B42" s="283" t="str">
        <f t="shared" si="1"/>
        <v/>
      </c>
      <c r="C42" s="288"/>
      <c r="D42" s="284">
        <v>17910.0</v>
      </c>
      <c r="E42" s="310">
        <f t="shared" si="2"/>
        <v>0</v>
      </c>
      <c r="F42" s="284">
        <v>18023.0</v>
      </c>
      <c r="G42" s="310">
        <f t="shared" si="3"/>
        <v>0</v>
      </c>
      <c r="H42" s="284">
        <v>0.0</v>
      </c>
      <c r="I42" s="286">
        <f t="shared" si="4"/>
        <v>0</v>
      </c>
      <c r="J42" s="290"/>
      <c r="K42" s="326">
        <v>1199.16</v>
      </c>
      <c r="L42" s="331">
        <v>17770.0</v>
      </c>
      <c r="M42" s="310">
        <f t="shared" si="5"/>
        <v>21309073.2</v>
      </c>
      <c r="N42" s="13">
        <v>38.0</v>
      </c>
      <c r="O42" s="308"/>
      <c r="P42" s="308"/>
      <c r="Q42" s="308"/>
      <c r="R42" s="308"/>
      <c r="S42" s="308"/>
      <c r="T42" s="42"/>
      <c r="U42" s="42"/>
      <c r="V42" s="42"/>
      <c r="W42" s="42"/>
      <c r="X42" s="42"/>
      <c r="Y42" s="42"/>
      <c r="Z42" s="42"/>
      <c r="AA42" s="42"/>
    </row>
    <row r="43">
      <c r="A43" s="282">
        <v>40.0</v>
      </c>
      <c r="B43" s="283" t="str">
        <f t="shared" si="1"/>
        <v/>
      </c>
      <c r="C43" s="288"/>
      <c r="D43" s="284">
        <v>17910.0</v>
      </c>
      <c r="E43" s="310">
        <f t="shared" si="2"/>
        <v>0</v>
      </c>
      <c r="F43" s="284">
        <v>18023.0</v>
      </c>
      <c r="G43" s="310">
        <f t="shared" si="3"/>
        <v>0</v>
      </c>
      <c r="H43" s="284">
        <v>0.0</v>
      </c>
      <c r="I43" s="286">
        <f t="shared" si="4"/>
        <v>0</v>
      </c>
      <c r="J43" s="290"/>
      <c r="K43" s="326">
        <v>4867.74</v>
      </c>
      <c r="L43" s="331">
        <v>17770.0</v>
      </c>
      <c r="M43" s="310">
        <f t="shared" si="5"/>
        <v>86499739.8</v>
      </c>
      <c r="N43" s="13">
        <v>39.0</v>
      </c>
      <c r="O43" s="308"/>
      <c r="P43" s="308"/>
      <c r="Q43" s="308"/>
      <c r="R43" s="308"/>
      <c r="S43" s="308"/>
      <c r="T43" s="42"/>
      <c r="U43" s="42"/>
      <c r="V43" s="42"/>
      <c r="W43" s="42"/>
      <c r="X43" s="42"/>
      <c r="Y43" s="42"/>
      <c r="Z43" s="42"/>
      <c r="AA43" s="42"/>
    </row>
    <row r="44">
      <c r="A44" s="282">
        <v>41.0</v>
      </c>
      <c r="B44" s="283" t="str">
        <f t="shared" si="1"/>
        <v/>
      </c>
      <c r="C44" s="288"/>
      <c r="D44" s="284">
        <v>17910.0</v>
      </c>
      <c r="E44" s="310">
        <f>D43*C43</f>
        <v>0</v>
      </c>
      <c r="F44" s="284">
        <v>18023.0</v>
      </c>
      <c r="G44" s="310">
        <f>F43*C43</f>
        <v>0</v>
      </c>
      <c r="H44" s="284">
        <v>0.0</v>
      </c>
      <c r="I44" s="286">
        <f t="shared" si="4"/>
        <v>0</v>
      </c>
      <c r="J44" s="290"/>
      <c r="K44" s="326">
        <v>843.52</v>
      </c>
      <c r="L44" s="331">
        <v>17770.0</v>
      </c>
      <c r="M44" s="310">
        <f t="shared" si="5"/>
        <v>14989350.4</v>
      </c>
      <c r="N44" s="13">
        <v>40.0</v>
      </c>
      <c r="O44" s="308"/>
      <c r="P44" s="308"/>
      <c r="Q44" s="308"/>
      <c r="R44" s="308"/>
      <c r="S44" s="308"/>
      <c r="T44" s="42"/>
      <c r="U44" s="42"/>
      <c r="V44" s="42"/>
      <c r="W44" s="42"/>
      <c r="X44" s="42"/>
      <c r="Y44" s="42"/>
      <c r="Z44" s="42"/>
      <c r="AA44" s="42"/>
    </row>
    <row r="45">
      <c r="A45" s="282">
        <v>42.0</v>
      </c>
      <c r="B45" s="283" t="str">
        <f t="shared" si="1"/>
        <v/>
      </c>
      <c r="C45" s="288"/>
      <c r="D45" s="284">
        <v>17910.0</v>
      </c>
      <c r="E45" s="310">
        <f t="shared" ref="E45:E317" si="6">D45*C45</f>
        <v>0</v>
      </c>
      <c r="F45" s="284">
        <v>18023.0</v>
      </c>
      <c r="G45" s="310">
        <f t="shared" ref="G45:G312" si="7">F45*C45</f>
        <v>0</v>
      </c>
      <c r="H45" s="284">
        <v>0.0</v>
      </c>
      <c r="I45" s="286">
        <f t="shared" si="4"/>
        <v>0</v>
      </c>
      <c r="J45" s="290"/>
      <c r="K45" s="326">
        <v>1406.2</v>
      </c>
      <c r="L45" s="331">
        <v>17766.0</v>
      </c>
      <c r="M45" s="310">
        <f t="shared" si="5"/>
        <v>24982549.2</v>
      </c>
      <c r="N45" s="13">
        <v>41.0</v>
      </c>
      <c r="O45" s="308"/>
      <c r="P45" s="308"/>
      <c r="Q45" s="308"/>
      <c r="R45" s="308"/>
      <c r="S45" s="308"/>
      <c r="T45" s="42"/>
      <c r="U45" s="42"/>
      <c r="V45" s="42"/>
      <c r="W45" s="42"/>
      <c r="X45" s="42"/>
      <c r="Y45" s="42"/>
      <c r="Z45" s="42"/>
      <c r="AA45" s="42"/>
    </row>
    <row r="46">
      <c r="A46" s="282">
        <v>43.0</v>
      </c>
      <c r="B46" s="283" t="str">
        <f t="shared" si="1"/>
        <v/>
      </c>
      <c r="C46" s="288"/>
      <c r="D46" s="284">
        <v>17910.0</v>
      </c>
      <c r="E46" s="310">
        <f t="shared" si="6"/>
        <v>0</v>
      </c>
      <c r="F46" s="284">
        <v>18010.0</v>
      </c>
      <c r="G46" s="310">
        <f t="shared" si="7"/>
        <v>0</v>
      </c>
      <c r="H46" s="284">
        <v>0.0</v>
      </c>
      <c r="I46" s="286">
        <f t="shared" si="4"/>
        <v>0</v>
      </c>
      <c r="J46" s="290"/>
      <c r="K46" s="326">
        <v>1538.93</v>
      </c>
      <c r="L46" s="331">
        <v>17766.0</v>
      </c>
      <c r="M46" s="310">
        <f t="shared" si="5"/>
        <v>27340630.38</v>
      </c>
      <c r="N46" s="13">
        <v>42.0</v>
      </c>
      <c r="O46" s="308"/>
      <c r="P46" s="308"/>
      <c r="Q46" s="308"/>
      <c r="R46" s="308"/>
      <c r="S46" s="308"/>
      <c r="T46" s="42"/>
      <c r="U46" s="42"/>
      <c r="V46" s="42"/>
      <c r="W46" s="42"/>
      <c r="X46" s="42"/>
      <c r="Y46" s="42"/>
      <c r="Z46" s="42"/>
      <c r="AA46" s="42"/>
    </row>
    <row r="47">
      <c r="A47" s="282">
        <v>44.0</v>
      </c>
      <c r="B47" s="283" t="str">
        <f t="shared" si="1"/>
        <v/>
      </c>
      <c r="C47" s="288"/>
      <c r="D47" s="284">
        <v>17910.0</v>
      </c>
      <c r="E47" s="310">
        <f t="shared" si="6"/>
        <v>0</v>
      </c>
      <c r="F47" s="284">
        <v>18010.0</v>
      </c>
      <c r="G47" s="310">
        <f t="shared" si="7"/>
        <v>0</v>
      </c>
      <c r="H47" s="284">
        <v>0.0</v>
      </c>
      <c r="I47" s="286">
        <f t="shared" si="4"/>
        <v>0</v>
      </c>
      <c r="J47" s="290"/>
      <c r="K47" s="326">
        <v>2478.1</v>
      </c>
      <c r="L47" s="331">
        <v>17766.0</v>
      </c>
      <c r="M47" s="310">
        <f t="shared" si="5"/>
        <v>44025924.6</v>
      </c>
      <c r="N47" s="13">
        <v>43.0</v>
      </c>
      <c r="O47" s="308"/>
      <c r="P47" s="308"/>
      <c r="Q47" s="308"/>
      <c r="R47" s="308"/>
      <c r="S47" s="308"/>
      <c r="T47" s="42"/>
      <c r="U47" s="42"/>
      <c r="V47" s="42"/>
      <c r="W47" s="42"/>
      <c r="X47" s="42"/>
      <c r="Y47" s="42"/>
      <c r="Z47" s="42"/>
      <c r="AA47" s="42"/>
    </row>
    <row r="48">
      <c r="A48" s="282">
        <v>45.0</v>
      </c>
      <c r="B48" s="283" t="str">
        <f t="shared" si="1"/>
        <v/>
      </c>
      <c r="C48" s="288"/>
      <c r="D48" s="284">
        <v>17910.0</v>
      </c>
      <c r="E48" s="310">
        <f t="shared" si="6"/>
        <v>0</v>
      </c>
      <c r="F48" s="284">
        <v>18012.0</v>
      </c>
      <c r="G48" s="310">
        <f t="shared" si="7"/>
        <v>0</v>
      </c>
      <c r="H48" s="284">
        <v>0.0</v>
      </c>
      <c r="I48" s="286">
        <f t="shared" si="4"/>
        <v>0</v>
      </c>
      <c r="J48" s="290"/>
      <c r="K48" s="326">
        <v>2065.51</v>
      </c>
      <c r="L48" s="331">
        <v>17766.0</v>
      </c>
      <c r="M48" s="310">
        <f t="shared" si="5"/>
        <v>36695850.66</v>
      </c>
      <c r="N48" s="13">
        <v>44.0</v>
      </c>
      <c r="O48" s="308"/>
      <c r="P48" s="308"/>
      <c r="Q48" s="308"/>
      <c r="R48" s="308"/>
      <c r="S48" s="308"/>
      <c r="T48" s="42"/>
      <c r="U48" s="42"/>
      <c r="V48" s="42"/>
      <c r="W48" s="42"/>
      <c r="X48" s="42"/>
      <c r="Y48" s="42"/>
      <c r="Z48" s="42"/>
      <c r="AA48" s="42"/>
    </row>
    <row r="49">
      <c r="A49" s="282">
        <v>46.0</v>
      </c>
      <c r="B49" s="283" t="str">
        <f t="shared" si="1"/>
        <v/>
      </c>
      <c r="C49" s="288"/>
      <c r="D49" s="284">
        <v>17910.0</v>
      </c>
      <c r="E49" s="310">
        <f t="shared" si="6"/>
        <v>0</v>
      </c>
      <c r="F49" s="284">
        <v>18012.0</v>
      </c>
      <c r="G49" s="310">
        <f t="shared" si="7"/>
        <v>0</v>
      </c>
      <c r="H49" s="284">
        <v>0.0</v>
      </c>
      <c r="I49" s="286">
        <f t="shared" si="4"/>
        <v>0</v>
      </c>
      <c r="J49" s="290"/>
      <c r="K49" s="326">
        <v>999.3</v>
      </c>
      <c r="L49" s="331">
        <v>17766.0</v>
      </c>
      <c r="M49" s="310">
        <f t="shared" si="5"/>
        <v>17753563.8</v>
      </c>
      <c r="N49" s="13">
        <v>45.0</v>
      </c>
      <c r="O49" s="308"/>
      <c r="P49" s="308"/>
      <c r="Q49" s="308"/>
      <c r="R49" s="308"/>
      <c r="S49" s="308"/>
      <c r="T49" s="42"/>
      <c r="U49" s="42"/>
      <c r="V49" s="42"/>
      <c r="W49" s="42"/>
      <c r="X49" s="42"/>
      <c r="Y49" s="42"/>
      <c r="Z49" s="42"/>
      <c r="AA49" s="42"/>
    </row>
    <row r="50">
      <c r="A50" s="282">
        <v>47.0</v>
      </c>
      <c r="B50" s="283" t="str">
        <f t="shared" si="1"/>
        <v/>
      </c>
      <c r="C50" s="288"/>
      <c r="D50" s="284">
        <v>17910.0</v>
      </c>
      <c r="E50" s="310">
        <f t="shared" si="6"/>
        <v>0</v>
      </c>
      <c r="F50" s="284">
        <v>18012.0</v>
      </c>
      <c r="G50" s="310">
        <f t="shared" si="7"/>
        <v>0</v>
      </c>
      <c r="H50" s="284">
        <v>0.0</v>
      </c>
      <c r="I50" s="286">
        <f t="shared" si="4"/>
        <v>0</v>
      </c>
      <c r="J50" s="290"/>
      <c r="K50" s="326">
        <v>1239.38</v>
      </c>
      <c r="L50" s="331">
        <v>17766.0</v>
      </c>
      <c r="M50" s="310">
        <f t="shared" si="5"/>
        <v>22018825.08</v>
      </c>
      <c r="N50" s="13">
        <v>46.0</v>
      </c>
      <c r="O50" s="308"/>
      <c r="P50" s="308"/>
      <c r="Q50" s="308"/>
      <c r="R50" s="308"/>
      <c r="S50" s="308"/>
      <c r="T50" s="42"/>
      <c r="U50" s="42"/>
      <c r="V50" s="42"/>
      <c r="W50" s="42"/>
      <c r="X50" s="42"/>
      <c r="Y50" s="42"/>
      <c r="Z50" s="42"/>
      <c r="AA50" s="42"/>
    </row>
    <row r="51">
      <c r="A51" s="282">
        <v>48.0</v>
      </c>
      <c r="B51" s="283" t="str">
        <f t="shared" si="1"/>
        <v/>
      </c>
      <c r="C51" s="288"/>
      <c r="D51" s="284">
        <v>17910.0</v>
      </c>
      <c r="E51" s="310">
        <f t="shared" si="6"/>
        <v>0</v>
      </c>
      <c r="F51" s="284">
        <v>18012.0</v>
      </c>
      <c r="G51" s="310">
        <f t="shared" si="7"/>
        <v>0</v>
      </c>
      <c r="H51" s="284">
        <v>0.0</v>
      </c>
      <c r="I51" s="286">
        <f t="shared" si="4"/>
        <v>0</v>
      </c>
      <c r="J51" s="290"/>
      <c r="K51" s="288"/>
      <c r="L51" s="289">
        <v>16960.0</v>
      </c>
      <c r="M51" s="310">
        <f t="shared" si="5"/>
        <v>0</v>
      </c>
      <c r="N51" s="13">
        <v>47.0</v>
      </c>
      <c r="O51" s="308"/>
      <c r="P51" s="308"/>
      <c r="Q51" s="308"/>
      <c r="R51" s="308"/>
      <c r="S51" s="308"/>
      <c r="T51" s="42"/>
      <c r="U51" s="42"/>
      <c r="V51" s="42"/>
      <c r="W51" s="42"/>
      <c r="X51" s="42"/>
      <c r="Y51" s="42"/>
      <c r="Z51" s="42"/>
      <c r="AA51" s="42"/>
    </row>
    <row r="52">
      <c r="A52" s="282">
        <v>49.0</v>
      </c>
      <c r="B52" s="283" t="str">
        <f t="shared" si="1"/>
        <v/>
      </c>
      <c r="C52" s="288"/>
      <c r="D52" s="284">
        <v>17910.0</v>
      </c>
      <c r="E52" s="310">
        <f t="shared" si="6"/>
        <v>0</v>
      </c>
      <c r="F52" s="284">
        <v>18012.0</v>
      </c>
      <c r="G52" s="310">
        <f t="shared" si="7"/>
        <v>0</v>
      </c>
      <c r="H52" s="284">
        <v>0.0</v>
      </c>
      <c r="I52" s="286">
        <f t="shared" si="4"/>
        <v>0</v>
      </c>
      <c r="J52" s="290"/>
      <c r="K52" s="326">
        <v>3997.2</v>
      </c>
      <c r="L52" s="331">
        <v>17766.0</v>
      </c>
      <c r="M52" s="310">
        <f t="shared" si="5"/>
        <v>71014255.2</v>
      </c>
      <c r="N52" s="13">
        <v>48.0</v>
      </c>
      <c r="O52" s="307"/>
      <c r="P52" s="307"/>
      <c r="Q52" s="307"/>
      <c r="R52" s="307"/>
      <c r="S52" s="307"/>
      <c r="T52" s="42"/>
      <c r="U52" s="42"/>
      <c r="V52" s="42"/>
      <c r="W52" s="42"/>
      <c r="X52" s="42"/>
      <c r="Y52" s="42"/>
      <c r="Z52" s="42"/>
      <c r="AA52" s="42"/>
    </row>
    <row r="53">
      <c r="A53" s="282">
        <v>50.0</v>
      </c>
      <c r="B53" s="283" t="str">
        <f t="shared" si="1"/>
        <v/>
      </c>
      <c r="C53" s="288"/>
      <c r="D53" s="284">
        <v>17910.0</v>
      </c>
      <c r="E53" s="310">
        <f t="shared" si="6"/>
        <v>0</v>
      </c>
      <c r="F53" s="284">
        <v>18012.0</v>
      </c>
      <c r="G53" s="310">
        <f t="shared" si="7"/>
        <v>0</v>
      </c>
      <c r="H53" s="284">
        <v>0.0</v>
      </c>
      <c r="I53" s="286">
        <f t="shared" si="4"/>
        <v>0</v>
      </c>
      <c r="J53" s="290"/>
      <c r="K53" s="326">
        <v>50606.01</v>
      </c>
      <c r="L53" s="331">
        <v>17772.0</v>
      </c>
      <c r="M53" s="310">
        <f t="shared" si="5"/>
        <v>899370009.7</v>
      </c>
      <c r="N53" s="13">
        <v>49.0</v>
      </c>
      <c r="O53" s="307"/>
      <c r="P53" s="307"/>
      <c r="Q53" s="307"/>
      <c r="R53" s="307"/>
      <c r="S53" s="307"/>
      <c r="T53" s="42"/>
      <c r="U53" s="42"/>
      <c r="V53" s="42"/>
      <c r="W53" s="42"/>
      <c r="X53" s="42"/>
      <c r="Y53" s="42"/>
      <c r="Z53" s="42"/>
      <c r="AA53" s="42"/>
    </row>
    <row r="54">
      <c r="A54" s="282">
        <v>51.0</v>
      </c>
      <c r="B54" s="283" t="str">
        <f t="shared" si="1"/>
        <v/>
      </c>
      <c r="C54" s="288"/>
      <c r="D54" s="284">
        <v>17910.0</v>
      </c>
      <c r="E54" s="310">
        <f t="shared" si="6"/>
        <v>0</v>
      </c>
      <c r="F54" s="284">
        <v>18012.0</v>
      </c>
      <c r="G54" s="310">
        <f t="shared" si="7"/>
        <v>0</v>
      </c>
      <c r="H54" s="284">
        <v>0.0</v>
      </c>
      <c r="I54" s="286">
        <f t="shared" si="4"/>
        <v>0</v>
      </c>
      <c r="J54" s="290"/>
      <c r="K54" s="326">
        <v>843.43</v>
      </c>
      <c r="L54" s="331">
        <v>17772.0</v>
      </c>
      <c r="M54" s="310">
        <f t="shared" si="5"/>
        <v>14989437.96</v>
      </c>
      <c r="N54" s="13">
        <v>50.0</v>
      </c>
      <c r="O54" s="307"/>
      <c r="P54" s="307"/>
      <c r="Q54" s="307"/>
      <c r="R54" s="307"/>
      <c r="S54" s="307"/>
      <c r="T54" s="42"/>
      <c r="U54" s="42"/>
      <c r="V54" s="42"/>
      <c r="W54" s="42"/>
      <c r="X54" s="42"/>
      <c r="Y54" s="42"/>
      <c r="Z54" s="42"/>
      <c r="AA54" s="42"/>
    </row>
    <row r="55">
      <c r="A55" s="282">
        <v>52.0</v>
      </c>
      <c r="B55" s="283" t="str">
        <f t="shared" si="1"/>
        <v/>
      </c>
      <c r="C55" s="288"/>
      <c r="D55" s="284">
        <v>17910.0</v>
      </c>
      <c r="E55" s="310">
        <f t="shared" si="6"/>
        <v>0</v>
      </c>
      <c r="F55" s="284">
        <v>18012.0</v>
      </c>
      <c r="G55" s="310">
        <f t="shared" si="7"/>
        <v>0</v>
      </c>
      <c r="H55" s="284">
        <v>0.0</v>
      </c>
      <c r="I55" s="286">
        <f t="shared" si="4"/>
        <v>0</v>
      </c>
      <c r="J55" s="290"/>
      <c r="K55" s="326">
        <v>863.93</v>
      </c>
      <c r="L55" s="331">
        <v>17772.0</v>
      </c>
      <c r="M55" s="310">
        <f t="shared" si="5"/>
        <v>15353763.96</v>
      </c>
      <c r="N55" s="13">
        <v>51.0</v>
      </c>
      <c r="O55" s="307"/>
      <c r="P55" s="307"/>
      <c r="Q55" s="307"/>
      <c r="R55" s="307"/>
      <c r="S55" s="307"/>
      <c r="T55" s="42"/>
      <c r="U55" s="42"/>
      <c r="V55" s="42"/>
      <c r="W55" s="42"/>
      <c r="X55" s="42"/>
      <c r="Y55" s="42"/>
      <c r="Z55" s="42"/>
      <c r="AA55" s="42"/>
    </row>
    <row r="56">
      <c r="A56" s="282">
        <v>53.0</v>
      </c>
      <c r="B56" s="283" t="str">
        <f t="shared" si="1"/>
        <v/>
      </c>
      <c r="C56" s="288"/>
      <c r="D56" s="284">
        <v>17910.0</v>
      </c>
      <c r="E56" s="310">
        <f t="shared" si="6"/>
        <v>0</v>
      </c>
      <c r="F56" s="284">
        <v>18012.0</v>
      </c>
      <c r="G56" s="310">
        <f t="shared" si="7"/>
        <v>0</v>
      </c>
      <c r="H56" s="284">
        <v>0.0</v>
      </c>
      <c r="I56" s="286">
        <f t="shared" si="4"/>
        <v>0</v>
      </c>
      <c r="J56" s="290"/>
      <c r="K56" s="288"/>
      <c r="L56" s="289">
        <v>16960.0</v>
      </c>
      <c r="M56" s="310">
        <f t="shared" si="5"/>
        <v>0</v>
      </c>
      <c r="N56" s="13">
        <v>52.0</v>
      </c>
      <c r="O56" s="303"/>
      <c r="P56" s="303"/>
      <c r="Q56" s="303"/>
      <c r="R56" s="303"/>
      <c r="S56" s="303"/>
      <c r="T56" s="42"/>
      <c r="U56" s="42"/>
      <c r="V56" s="42"/>
      <c r="W56" s="42"/>
      <c r="X56" s="42"/>
      <c r="Y56" s="42"/>
      <c r="Z56" s="42"/>
      <c r="AA56" s="42"/>
    </row>
    <row r="57">
      <c r="A57" s="282">
        <v>54.0</v>
      </c>
      <c r="B57" s="283" t="str">
        <f t="shared" si="1"/>
        <v/>
      </c>
      <c r="C57" s="288"/>
      <c r="D57" s="284">
        <v>17910.0</v>
      </c>
      <c r="E57" s="310">
        <f t="shared" si="6"/>
        <v>0</v>
      </c>
      <c r="F57" s="284">
        <v>18010.0</v>
      </c>
      <c r="G57" s="310">
        <f t="shared" si="7"/>
        <v>0</v>
      </c>
      <c r="H57" s="284">
        <v>0.0</v>
      </c>
      <c r="I57" s="286">
        <f t="shared" si="4"/>
        <v>0</v>
      </c>
      <c r="J57" s="290"/>
      <c r="K57" s="288"/>
      <c r="L57" s="289">
        <v>16955.0</v>
      </c>
      <c r="M57" s="310">
        <f t="shared" si="5"/>
        <v>0</v>
      </c>
      <c r="N57" s="13">
        <v>53.0</v>
      </c>
      <c r="O57" s="303"/>
      <c r="P57" s="303"/>
      <c r="Q57" s="303"/>
      <c r="R57" s="303"/>
      <c r="S57" s="303"/>
      <c r="T57" s="42"/>
      <c r="U57" s="42"/>
      <c r="V57" s="42"/>
      <c r="W57" s="42"/>
      <c r="X57" s="42"/>
      <c r="Y57" s="42"/>
      <c r="Z57" s="42"/>
      <c r="AA57" s="42"/>
    </row>
    <row r="58">
      <c r="A58" s="282">
        <v>55.0</v>
      </c>
      <c r="B58" s="283" t="str">
        <f t="shared" si="1"/>
        <v/>
      </c>
      <c r="C58" s="288"/>
      <c r="D58" s="284">
        <v>17910.0</v>
      </c>
      <c r="E58" s="310">
        <f t="shared" si="6"/>
        <v>0</v>
      </c>
      <c r="F58" s="284">
        <v>18010.0</v>
      </c>
      <c r="G58" s="310">
        <f t="shared" si="7"/>
        <v>0</v>
      </c>
      <c r="H58" s="284">
        <v>0.0</v>
      </c>
      <c r="I58" s="286">
        <f t="shared" si="4"/>
        <v>0</v>
      </c>
      <c r="J58" s="290"/>
      <c r="K58" s="288"/>
      <c r="L58" s="289">
        <v>16955.0</v>
      </c>
      <c r="M58" s="310">
        <f t="shared" si="5"/>
        <v>0</v>
      </c>
      <c r="N58" s="13">
        <v>54.0</v>
      </c>
      <c r="O58" s="303"/>
      <c r="P58" s="303"/>
      <c r="Q58" s="303"/>
      <c r="R58" s="303"/>
      <c r="S58" s="303"/>
      <c r="T58" s="42"/>
      <c r="U58" s="42"/>
      <c r="V58" s="42"/>
      <c r="W58" s="42"/>
      <c r="X58" s="42"/>
      <c r="Y58" s="42"/>
      <c r="Z58" s="42"/>
      <c r="AA58" s="42"/>
    </row>
    <row r="59">
      <c r="A59" s="282">
        <v>56.0</v>
      </c>
      <c r="B59" s="283" t="str">
        <f t="shared" si="1"/>
        <v/>
      </c>
      <c r="C59" s="288"/>
      <c r="D59" s="284">
        <v>17910.0</v>
      </c>
      <c r="E59" s="310">
        <f t="shared" si="6"/>
        <v>0</v>
      </c>
      <c r="F59" s="284">
        <v>18010.0</v>
      </c>
      <c r="G59" s="310">
        <f t="shared" si="7"/>
        <v>0</v>
      </c>
      <c r="H59" s="284">
        <v>0.0</v>
      </c>
      <c r="I59" s="286">
        <f t="shared" si="4"/>
        <v>0</v>
      </c>
      <c r="J59" s="290"/>
      <c r="K59" s="288"/>
      <c r="L59" s="289">
        <v>16960.0</v>
      </c>
      <c r="M59" s="310">
        <f t="shared" si="5"/>
        <v>0</v>
      </c>
      <c r="N59" s="13">
        <v>55.0</v>
      </c>
      <c r="O59" s="303"/>
      <c r="P59" s="303"/>
      <c r="Q59" s="303"/>
      <c r="R59" s="303"/>
      <c r="S59" s="303"/>
      <c r="T59" s="42"/>
      <c r="U59" s="42"/>
      <c r="V59" s="42"/>
      <c r="W59" s="42"/>
      <c r="X59" s="42"/>
      <c r="Y59" s="42"/>
      <c r="Z59" s="42"/>
      <c r="AA59" s="42"/>
    </row>
    <row r="60">
      <c r="A60" s="282">
        <v>57.0</v>
      </c>
      <c r="B60" s="283" t="str">
        <f t="shared" si="1"/>
        <v/>
      </c>
      <c r="C60" s="288"/>
      <c r="D60" s="284">
        <v>17910.0</v>
      </c>
      <c r="E60" s="310">
        <f t="shared" si="6"/>
        <v>0</v>
      </c>
      <c r="F60" s="284">
        <v>18010.0</v>
      </c>
      <c r="G60" s="310">
        <f t="shared" si="7"/>
        <v>0</v>
      </c>
      <c r="H60" s="284">
        <v>0.0</v>
      </c>
      <c r="I60" s="286">
        <f t="shared" si="4"/>
        <v>0</v>
      </c>
      <c r="J60" s="290"/>
      <c r="K60" s="288"/>
      <c r="L60" s="289">
        <v>16960.0</v>
      </c>
      <c r="M60" s="310">
        <f t="shared" si="5"/>
        <v>0</v>
      </c>
      <c r="N60" s="13">
        <v>56.0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>
      <c r="A61" s="282">
        <v>58.0</v>
      </c>
      <c r="B61" s="283" t="str">
        <f t="shared" si="1"/>
        <v/>
      </c>
      <c r="C61" s="288"/>
      <c r="D61" s="284">
        <v>17910.0</v>
      </c>
      <c r="E61" s="310">
        <f t="shared" si="6"/>
        <v>0</v>
      </c>
      <c r="F61" s="284">
        <v>18010.0</v>
      </c>
      <c r="G61" s="310">
        <f t="shared" si="7"/>
        <v>0</v>
      </c>
      <c r="H61" s="284">
        <v>0.0</v>
      </c>
      <c r="I61" s="286">
        <f t="shared" si="4"/>
        <v>0</v>
      </c>
      <c r="J61" s="290"/>
      <c r="K61" s="288"/>
      <c r="L61" s="289">
        <v>16955.0</v>
      </c>
      <c r="M61" s="310">
        <f t="shared" si="5"/>
        <v>0</v>
      </c>
      <c r="N61" s="13">
        <v>57.0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>
      <c r="A62" s="282">
        <v>59.0</v>
      </c>
      <c r="B62" s="283" t="str">
        <f t="shared" si="1"/>
        <v/>
      </c>
      <c r="C62" s="288"/>
      <c r="D62" s="284">
        <v>17910.0</v>
      </c>
      <c r="E62" s="310">
        <f t="shared" si="6"/>
        <v>0</v>
      </c>
      <c r="F62" s="284">
        <v>18010.0</v>
      </c>
      <c r="G62" s="310">
        <f t="shared" si="7"/>
        <v>0</v>
      </c>
      <c r="H62" s="284">
        <v>0.0</v>
      </c>
      <c r="I62" s="286">
        <f t="shared" si="4"/>
        <v>0</v>
      </c>
      <c r="J62" s="296"/>
      <c r="K62" s="288"/>
      <c r="L62" s="289">
        <v>16960.0</v>
      </c>
      <c r="M62" s="310">
        <f t="shared" si="5"/>
        <v>0</v>
      </c>
      <c r="N62" s="13">
        <v>58.0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>
      <c r="A63" s="282">
        <v>60.0</v>
      </c>
      <c r="B63" s="283" t="str">
        <f t="shared" si="1"/>
        <v/>
      </c>
      <c r="C63" s="288"/>
      <c r="D63" s="284">
        <v>17910.0</v>
      </c>
      <c r="E63" s="310">
        <f t="shared" si="6"/>
        <v>0</v>
      </c>
      <c r="F63" s="284">
        <v>18010.0</v>
      </c>
      <c r="G63" s="310">
        <f t="shared" si="7"/>
        <v>0</v>
      </c>
      <c r="H63" s="284">
        <v>0.0</v>
      </c>
      <c r="I63" s="286">
        <f t="shared" si="4"/>
        <v>0</v>
      </c>
      <c r="J63" s="296"/>
      <c r="K63" s="288"/>
      <c r="L63" s="289">
        <v>16960.0</v>
      </c>
      <c r="M63" s="310">
        <f t="shared" si="5"/>
        <v>0</v>
      </c>
      <c r="N63" s="13">
        <v>59.0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</row>
    <row r="64">
      <c r="A64" s="282">
        <v>61.0</v>
      </c>
      <c r="B64" s="283" t="str">
        <f t="shared" si="1"/>
        <v/>
      </c>
      <c r="C64" s="288"/>
      <c r="D64" s="284">
        <v>17910.0</v>
      </c>
      <c r="E64" s="310">
        <f t="shared" si="6"/>
        <v>0</v>
      </c>
      <c r="F64" s="284">
        <v>18010.0</v>
      </c>
      <c r="G64" s="310">
        <f t="shared" si="7"/>
        <v>0</v>
      </c>
      <c r="H64" s="284">
        <v>0.0</v>
      </c>
      <c r="I64" s="286">
        <f t="shared" si="4"/>
        <v>0</v>
      </c>
      <c r="J64" s="296"/>
      <c r="K64" s="288"/>
      <c r="L64" s="289">
        <v>16960.0</v>
      </c>
      <c r="M64" s="310">
        <f t="shared" si="5"/>
        <v>0</v>
      </c>
      <c r="N64" s="13">
        <v>60.0</v>
      </c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>
      <c r="A65" s="282">
        <v>62.0</v>
      </c>
      <c r="B65" s="283" t="str">
        <f t="shared" si="1"/>
        <v/>
      </c>
      <c r="C65" s="288"/>
      <c r="D65" s="284">
        <v>17910.0</v>
      </c>
      <c r="E65" s="310">
        <f t="shared" si="6"/>
        <v>0</v>
      </c>
      <c r="F65" s="284">
        <v>18010.0</v>
      </c>
      <c r="G65" s="310">
        <f t="shared" si="7"/>
        <v>0</v>
      </c>
      <c r="H65" s="284">
        <v>0.0</v>
      </c>
      <c r="I65" s="286">
        <f t="shared" si="4"/>
        <v>0</v>
      </c>
      <c r="J65" s="296"/>
      <c r="K65" s="288"/>
      <c r="L65" s="289">
        <v>16960.0</v>
      </c>
      <c r="M65" s="310">
        <f t="shared" si="5"/>
        <v>0</v>
      </c>
      <c r="N65" s="13">
        <v>61.0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>
      <c r="A66" s="282">
        <v>63.0</v>
      </c>
      <c r="B66" s="283" t="str">
        <f t="shared" si="1"/>
        <v/>
      </c>
      <c r="C66" s="288"/>
      <c r="D66" s="284">
        <v>17905.0</v>
      </c>
      <c r="E66" s="310">
        <f t="shared" si="6"/>
        <v>0</v>
      </c>
      <c r="F66" s="284">
        <v>18010.0</v>
      </c>
      <c r="G66" s="310">
        <f t="shared" si="7"/>
        <v>0</v>
      </c>
      <c r="H66" s="284">
        <v>0.0</v>
      </c>
      <c r="I66" s="286">
        <f t="shared" si="4"/>
        <v>0</v>
      </c>
      <c r="J66" s="290"/>
      <c r="K66" s="288"/>
      <c r="L66" s="289">
        <v>16960.0</v>
      </c>
      <c r="M66" s="310">
        <f t="shared" si="5"/>
        <v>0</v>
      </c>
      <c r="N66" s="13">
        <v>62.0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>
      <c r="A67" s="282">
        <v>64.0</v>
      </c>
      <c r="B67" s="283" t="str">
        <f t="shared" si="1"/>
        <v/>
      </c>
      <c r="C67" s="288"/>
      <c r="D67" s="284">
        <v>17905.0</v>
      </c>
      <c r="E67" s="310">
        <f t="shared" si="6"/>
        <v>0</v>
      </c>
      <c r="F67" s="284">
        <v>18010.0</v>
      </c>
      <c r="G67" s="310">
        <f t="shared" si="7"/>
        <v>0</v>
      </c>
      <c r="H67" s="284">
        <v>0.0</v>
      </c>
      <c r="I67" s="286">
        <f t="shared" si="4"/>
        <v>0</v>
      </c>
      <c r="J67" s="290"/>
      <c r="K67" s="288"/>
      <c r="L67" s="289">
        <v>16955.0</v>
      </c>
      <c r="M67" s="310">
        <f t="shared" si="5"/>
        <v>0</v>
      </c>
      <c r="N67" s="13">
        <v>63.0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>
      <c r="A68" s="282">
        <v>65.0</v>
      </c>
      <c r="B68" s="283" t="str">
        <f t="shared" si="1"/>
        <v/>
      </c>
      <c r="C68" s="288"/>
      <c r="D68" s="284">
        <v>17905.0</v>
      </c>
      <c r="E68" s="310">
        <f t="shared" si="6"/>
        <v>0</v>
      </c>
      <c r="F68" s="284">
        <v>18010.0</v>
      </c>
      <c r="G68" s="310">
        <f t="shared" si="7"/>
        <v>0</v>
      </c>
      <c r="H68" s="284">
        <v>0.0</v>
      </c>
      <c r="I68" s="286">
        <f t="shared" si="4"/>
        <v>0</v>
      </c>
      <c r="J68" s="290"/>
      <c r="K68" s="288"/>
      <c r="L68" s="289">
        <v>16955.0</v>
      </c>
      <c r="M68" s="310">
        <f t="shared" si="5"/>
        <v>0</v>
      </c>
      <c r="N68" s="13">
        <v>64.0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>
      <c r="A69" s="282">
        <v>66.0</v>
      </c>
      <c r="B69" s="283" t="str">
        <f t="shared" si="1"/>
        <v/>
      </c>
      <c r="C69" s="288"/>
      <c r="D69" s="284">
        <v>17905.0</v>
      </c>
      <c r="E69" s="310">
        <f t="shared" si="6"/>
        <v>0</v>
      </c>
      <c r="F69" s="284">
        <v>18010.0</v>
      </c>
      <c r="G69" s="310">
        <f t="shared" si="7"/>
        <v>0</v>
      </c>
      <c r="H69" s="284">
        <v>0.0</v>
      </c>
      <c r="I69" s="286">
        <f t="shared" si="4"/>
        <v>0</v>
      </c>
      <c r="J69" s="290"/>
      <c r="K69" s="288"/>
      <c r="L69" s="289">
        <v>16955.0</v>
      </c>
      <c r="M69" s="310">
        <f t="shared" si="5"/>
        <v>0</v>
      </c>
      <c r="N69" s="13">
        <v>65.0</v>
      </c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</row>
    <row r="70">
      <c r="A70" s="282">
        <v>67.0</v>
      </c>
      <c r="B70" s="283" t="str">
        <f t="shared" si="1"/>
        <v/>
      </c>
      <c r="C70" s="288"/>
      <c r="D70" s="284">
        <v>17905.0</v>
      </c>
      <c r="E70" s="310">
        <f t="shared" si="6"/>
        <v>0</v>
      </c>
      <c r="F70" s="284">
        <v>18010.0</v>
      </c>
      <c r="G70" s="310">
        <f t="shared" si="7"/>
        <v>0</v>
      </c>
      <c r="H70" s="284">
        <v>0.0</v>
      </c>
      <c r="I70" s="286">
        <f t="shared" si="4"/>
        <v>0</v>
      </c>
      <c r="J70" s="290"/>
      <c r="K70" s="288"/>
      <c r="L70" s="289">
        <v>16960.0</v>
      </c>
      <c r="M70" s="310">
        <f t="shared" si="5"/>
        <v>0</v>
      </c>
      <c r="N70" s="13">
        <v>66.0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</row>
    <row r="71">
      <c r="A71" s="282">
        <v>68.0</v>
      </c>
      <c r="B71" s="283" t="str">
        <f t="shared" si="1"/>
        <v/>
      </c>
      <c r="C71" s="288"/>
      <c r="D71" s="284">
        <v>17905.0</v>
      </c>
      <c r="E71" s="310">
        <f t="shared" si="6"/>
        <v>0</v>
      </c>
      <c r="F71" s="284">
        <v>18010.0</v>
      </c>
      <c r="G71" s="310">
        <f t="shared" si="7"/>
        <v>0</v>
      </c>
      <c r="H71" s="284">
        <v>0.0</v>
      </c>
      <c r="I71" s="286">
        <f t="shared" si="4"/>
        <v>0</v>
      </c>
      <c r="J71" s="290"/>
      <c r="K71" s="288"/>
      <c r="L71" s="289">
        <v>16955.0</v>
      </c>
      <c r="M71" s="310">
        <f t="shared" si="5"/>
        <v>0</v>
      </c>
      <c r="N71" s="13">
        <v>67.0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</row>
    <row r="72">
      <c r="A72" s="282">
        <v>69.0</v>
      </c>
      <c r="B72" s="283" t="str">
        <f t="shared" si="1"/>
        <v/>
      </c>
      <c r="C72" s="288"/>
      <c r="D72" s="284">
        <v>17905.0</v>
      </c>
      <c r="E72" s="310">
        <f t="shared" si="6"/>
        <v>0</v>
      </c>
      <c r="F72" s="284">
        <v>18010.0</v>
      </c>
      <c r="G72" s="310">
        <f t="shared" si="7"/>
        <v>0</v>
      </c>
      <c r="H72" s="284">
        <v>0.0</v>
      </c>
      <c r="I72" s="286">
        <f t="shared" si="4"/>
        <v>0</v>
      </c>
      <c r="J72" s="290"/>
      <c r="K72" s="288"/>
      <c r="L72" s="289">
        <v>16952.0</v>
      </c>
      <c r="M72" s="310">
        <f t="shared" si="5"/>
        <v>0</v>
      </c>
      <c r="N72" s="13">
        <v>68.0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>
      <c r="A73" s="282">
        <v>70.0</v>
      </c>
      <c r="B73" s="283" t="str">
        <f t="shared" si="1"/>
        <v/>
      </c>
      <c r="C73" s="288"/>
      <c r="D73" s="284">
        <v>17905.0</v>
      </c>
      <c r="E73" s="310">
        <f t="shared" si="6"/>
        <v>0</v>
      </c>
      <c r="F73" s="284">
        <v>18010.0</v>
      </c>
      <c r="G73" s="310">
        <f t="shared" si="7"/>
        <v>0</v>
      </c>
      <c r="H73" s="284">
        <v>0.0</v>
      </c>
      <c r="I73" s="286">
        <f t="shared" si="4"/>
        <v>0</v>
      </c>
      <c r="J73" s="290"/>
      <c r="K73" s="288"/>
      <c r="L73" s="289">
        <v>16946.0</v>
      </c>
      <c r="M73" s="310">
        <f t="shared" si="5"/>
        <v>0</v>
      </c>
      <c r="N73" s="13">
        <v>69.0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</row>
    <row r="74">
      <c r="A74" s="282">
        <v>71.0</v>
      </c>
      <c r="B74" s="283" t="str">
        <f t="shared" si="1"/>
        <v/>
      </c>
      <c r="C74" s="288"/>
      <c r="D74" s="284">
        <v>17905.0</v>
      </c>
      <c r="E74" s="310">
        <f t="shared" si="6"/>
        <v>0</v>
      </c>
      <c r="F74" s="284">
        <v>18010.0</v>
      </c>
      <c r="G74" s="310">
        <f t="shared" si="7"/>
        <v>0</v>
      </c>
      <c r="H74" s="284">
        <v>0.0</v>
      </c>
      <c r="I74" s="286">
        <f t="shared" si="4"/>
        <v>0</v>
      </c>
      <c r="J74" s="290"/>
      <c r="K74" s="288"/>
      <c r="L74" s="289">
        <v>16952.0</v>
      </c>
      <c r="M74" s="310">
        <f t="shared" si="5"/>
        <v>0</v>
      </c>
      <c r="N74" s="13">
        <v>70.0</v>
      </c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</row>
    <row r="75">
      <c r="A75" s="282">
        <v>72.0</v>
      </c>
      <c r="B75" s="283" t="str">
        <f t="shared" si="1"/>
        <v/>
      </c>
      <c r="C75" s="288"/>
      <c r="D75" s="284">
        <v>17905.0</v>
      </c>
      <c r="E75" s="310">
        <f t="shared" si="6"/>
        <v>0</v>
      </c>
      <c r="F75" s="284">
        <v>18010.0</v>
      </c>
      <c r="G75" s="310">
        <f t="shared" si="7"/>
        <v>0</v>
      </c>
      <c r="H75" s="284">
        <v>0.0</v>
      </c>
      <c r="I75" s="286">
        <f t="shared" si="4"/>
        <v>0</v>
      </c>
      <c r="J75" s="290"/>
      <c r="K75" s="288"/>
      <c r="L75" s="289">
        <v>16946.0</v>
      </c>
      <c r="M75" s="310">
        <f t="shared" si="5"/>
        <v>0</v>
      </c>
      <c r="N75" s="13">
        <v>71.0</v>
      </c>
      <c r="O75" s="42"/>
      <c r="P75" s="361"/>
      <c r="Q75" s="305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>
      <c r="A76" s="282">
        <v>73.0</v>
      </c>
      <c r="B76" s="283" t="str">
        <f t="shared" si="1"/>
        <v/>
      </c>
      <c r="C76" s="288"/>
      <c r="D76" s="284">
        <v>17905.0</v>
      </c>
      <c r="E76" s="310">
        <f t="shared" si="6"/>
        <v>0</v>
      </c>
      <c r="F76" s="284">
        <v>18010.0</v>
      </c>
      <c r="G76" s="310">
        <f t="shared" si="7"/>
        <v>0</v>
      </c>
      <c r="H76" s="284">
        <v>0.0</v>
      </c>
      <c r="I76" s="286">
        <f t="shared" si="4"/>
        <v>0</v>
      </c>
      <c r="J76" s="290"/>
      <c r="K76" s="288"/>
      <c r="L76" s="289">
        <v>16952.0</v>
      </c>
      <c r="M76" s="310">
        <f t="shared" si="5"/>
        <v>0</v>
      </c>
      <c r="N76" s="13">
        <v>72.0</v>
      </c>
      <c r="O76" s="42"/>
      <c r="P76" s="361"/>
      <c r="Q76" s="305"/>
      <c r="R76" s="42"/>
      <c r="S76" s="42"/>
      <c r="T76" s="42"/>
      <c r="U76" s="42"/>
      <c r="V76" s="42"/>
      <c r="W76" s="42"/>
      <c r="X76" s="42"/>
      <c r="Y76" s="42"/>
      <c r="Z76" s="42"/>
      <c r="AA76" s="42"/>
    </row>
    <row r="77">
      <c r="A77" s="282">
        <v>74.0</v>
      </c>
      <c r="B77" s="283" t="str">
        <f t="shared" si="1"/>
        <v/>
      </c>
      <c r="C77" s="288"/>
      <c r="D77" s="284">
        <v>17905.0</v>
      </c>
      <c r="E77" s="310">
        <f t="shared" si="6"/>
        <v>0</v>
      </c>
      <c r="F77" s="284">
        <v>18010.0</v>
      </c>
      <c r="G77" s="310">
        <f t="shared" si="7"/>
        <v>0</v>
      </c>
      <c r="H77" s="284">
        <v>0.0</v>
      </c>
      <c r="I77" s="286">
        <f t="shared" si="4"/>
        <v>0</v>
      </c>
      <c r="J77" s="290"/>
      <c r="K77" s="288"/>
      <c r="L77" s="289">
        <v>15971.0</v>
      </c>
      <c r="M77" s="310">
        <f t="shared" si="5"/>
        <v>0</v>
      </c>
      <c r="N77" s="13">
        <v>73.0</v>
      </c>
      <c r="O77" s="42"/>
      <c r="P77" s="361"/>
      <c r="Q77" s="305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>
      <c r="A78" s="282">
        <v>75.0</v>
      </c>
      <c r="B78" s="283" t="str">
        <f t="shared" si="1"/>
        <v/>
      </c>
      <c r="C78" s="288"/>
      <c r="D78" s="284">
        <v>17905.0</v>
      </c>
      <c r="E78" s="310">
        <f t="shared" si="6"/>
        <v>0</v>
      </c>
      <c r="F78" s="284">
        <v>18010.0</v>
      </c>
      <c r="G78" s="310">
        <f t="shared" si="7"/>
        <v>0</v>
      </c>
      <c r="H78" s="284">
        <v>0.0</v>
      </c>
      <c r="I78" s="286">
        <f t="shared" si="4"/>
        <v>0</v>
      </c>
      <c r="J78" s="290"/>
      <c r="K78" s="288"/>
      <c r="L78" s="289">
        <v>15971.0</v>
      </c>
      <c r="M78" s="310">
        <f t="shared" si="5"/>
        <v>0</v>
      </c>
      <c r="N78" s="13">
        <v>74.0</v>
      </c>
      <c r="O78" s="42"/>
      <c r="P78" s="361"/>
      <c r="Q78" s="305"/>
      <c r="R78" s="42"/>
      <c r="S78" s="42"/>
      <c r="T78" s="42"/>
      <c r="U78" s="42"/>
      <c r="V78" s="42"/>
      <c r="W78" s="42"/>
      <c r="X78" s="42"/>
      <c r="Y78" s="42"/>
      <c r="Z78" s="42"/>
      <c r="AA78" s="42"/>
    </row>
    <row r="79">
      <c r="A79" s="282">
        <v>76.0</v>
      </c>
      <c r="B79" s="283" t="str">
        <f t="shared" si="1"/>
        <v/>
      </c>
      <c r="C79" s="288"/>
      <c r="D79" s="284">
        <v>17905.0</v>
      </c>
      <c r="E79" s="310">
        <f t="shared" si="6"/>
        <v>0</v>
      </c>
      <c r="F79" s="284">
        <v>18010.0</v>
      </c>
      <c r="G79" s="310">
        <f t="shared" si="7"/>
        <v>0</v>
      </c>
      <c r="H79" s="284">
        <v>0.0</v>
      </c>
      <c r="I79" s="286">
        <f t="shared" si="4"/>
        <v>0</v>
      </c>
      <c r="J79" s="290"/>
      <c r="K79" s="288"/>
      <c r="L79" s="289">
        <v>15971.0</v>
      </c>
      <c r="M79" s="310">
        <f t="shared" si="5"/>
        <v>0</v>
      </c>
      <c r="N79" s="13">
        <v>75.0</v>
      </c>
      <c r="O79" s="42"/>
      <c r="P79" s="361"/>
      <c r="Q79" s="305"/>
      <c r="R79" s="42"/>
      <c r="S79" s="42"/>
      <c r="T79" s="42"/>
      <c r="U79" s="42"/>
      <c r="V79" s="42"/>
      <c r="W79" s="42"/>
      <c r="X79" s="42"/>
      <c r="Y79" s="42"/>
      <c r="Z79" s="42"/>
      <c r="AA79" s="42"/>
    </row>
    <row r="80">
      <c r="A80" s="282">
        <v>77.0</v>
      </c>
      <c r="B80" s="283" t="str">
        <f t="shared" si="1"/>
        <v/>
      </c>
      <c r="C80" s="288"/>
      <c r="D80" s="284">
        <v>17905.0</v>
      </c>
      <c r="E80" s="310">
        <f t="shared" si="6"/>
        <v>0</v>
      </c>
      <c r="F80" s="284">
        <v>18010.0</v>
      </c>
      <c r="G80" s="310">
        <f t="shared" si="7"/>
        <v>0</v>
      </c>
      <c r="H80" s="284">
        <v>0.0</v>
      </c>
      <c r="I80" s="286">
        <f t="shared" si="4"/>
        <v>0</v>
      </c>
      <c r="J80" s="290"/>
      <c r="K80" s="288"/>
      <c r="L80" s="289">
        <v>15971.0</v>
      </c>
      <c r="M80" s="310">
        <f t="shared" si="5"/>
        <v>0</v>
      </c>
      <c r="N80" s="13">
        <v>76.0</v>
      </c>
      <c r="O80" s="42"/>
      <c r="P80" s="42"/>
      <c r="Q80" s="305"/>
      <c r="R80" s="42"/>
      <c r="S80" s="42"/>
      <c r="T80" s="42"/>
      <c r="U80" s="42"/>
      <c r="V80" s="42"/>
      <c r="W80" s="42"/>
      <c r="X80" s="42"/>
      <c r="Y80" s="42"/>
      <c r="Z80" s="42"/>
      <c r="AA80" s="42"/>
    </row>
    <row r="81">
      <c r="A81" s="282">
        <v>78.0</v>
      </c>
      <c r="B81" s="283" t="str">
        <f t="shared" si="1"/>
        <v/>
      </c>
      <c r="C81" s="288"/>
      <c r="D81" s="284">
        <v>17905.0</v>
      </c>
      <c r="E81" s="310">
        <f t="shared" si="6"/>
        <v>0</v>
      </c>
      <c r="F81" s="284">
        <v>18010.0</v>
      </c>
      <c r="G81" s="310">
        <f t="shared" si="7"/>
        <v>0</v>
      </c>
      <c r="H81" s="284">
        <v>0.0</v>
      </c>
      <c r="I81" s="286">
        <f t="shared" si="4"/>
        <v>0</v>
      </c>
      <c r="J81" s="290"/>
      <c r="K81" s="288"/>
      <c r="L81" s="289">
        <v>15971.0</v>
      </c>
      <c r="M81" s="310">
        <f t="shared" si="5"/>
        <v>0</v>
      </c>
      <c r="N81" s="13">
        <v>77.0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</row>
    <row r="82">
      <c r="A82" s="282">
        <v>79.0</v>
      </c>
      <c r="B82" s="283" t="str">
        <f t="shared" si="1"/>
        <v/>
      </c>
      <c r="C82" s="288"/>
      <c r="D82" s="284">
        <v>17905.0</v>
      </c>
      <c r="E82" s="310">
        <f t="shared" si="6"/>
        <v>0</v>
      </c>
      <c r="F82" s="284">
        <v>18010.0</v>
      </c>
      <c r="G82" s="310">
        <f t="shared" si="7"/>
        <v>0</v>
      </c>
      <c r="H82" s="284">
        <v>0.0</v>
      </c>
      <c r="I82" s="286">
        <f t="shared" si="4"/>
        <v>0</v>
      </c>
      <c r="J82" s="290"/>
      <c r="K82" s="288"/>
      <c r="L82" s="289">
        <v>15971.0</v>
      </c>
      <c r="M82" s="310">
        <f t="shared" si="5"/>
        <v>0</v>
      </c>
      <c r="N82" s="13">
        <v>78.0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</row>
    <row r="83">
      <c r="A83" s="282">
        <v>80.0</v>
      </c>
      <c r="B83" s="283" t="str">
        <f t="shared" si="1"/>
        <v/>
      </c>
      <c r="C83" s="288"/>
      <c r="D83" s="284">
        <v>17905.0</v>
      </c>
      <c r="E83" s="310">
        <f t="shared" si="6"/>
        <v>0</v>
      </c>
      <c r="F83" s="284">
        <v>18010.0</v>
      </c>
      <c r="G83" s="310">
        <f t="shared" si="7"/>
        <v>0</v>
      </c>
      <c r="H83" s="284">
        <v>0.0</v>
      </c>
      <c r="I83" s="286">
        <f t="shared" si="4"/>
        <v>0</v>
      </c>
      <c r="J83" s="290"/>
      <c r="K83" s="288"/>
      <c r="L83" s="289">
        <v>15971.0</v>
      </c>
      <c r="M83" s="310">
        <f t="shared" si="5"/>
        <v>0</v>
      </c>
      <c r="N83" s="13">
        <v>79.0</v>
      </c>
      <c r="O83" s="42"/>
      <c r="P83" s="361"/>
      <c r="Q83" s="305"/>
      <c r="R83" s="306"/>
      <c r="S83" s="42"/>
      <c r="T83" s="42"/>
      <c r="U83" s="42"/>
      <c r="V83" s="42"/>
      <c r="W83" s="42"/>
      <c r="X83" s="42"/>
      <c r="Y83" s="42"/>
      <c r="Z83" s="42"/>
      <c r="AA83" s="42"/>
    </row>
    <row r="84">
      <c r="A84" s="282">
        <v>81.0</v>
      </c>
      <c r="B84" s="283" t="str">
        <f t="shared" si="1"/>
        <v/>
      </c>
      <c r="C84" s="288"/>
      <c r="D84" s="284">
        <v>17905.0</v>
      </c>
      <c r="E84" s="310">
        <f t="shared" si="6"/>
        <v>0</v>
      </c>
      <c r="F84" s="284">
        <v>18010.0</v>
      </c>
      <c r="G84" s="310">
        <f t="shared" si="7"/>
        <v>0</v>
      </c>
      <c r="H84" s="284">
        <v>0.0</v>
      </c>
      <c r="I84" s="286">
        <f t="shared" si="4"/>
        <v>0</v>
      </c>
      <c r="J84" s="290"/>
      <c r="K84" s="288"/>
      <c r="L84" s="289">
        <v>15971.0</v>
      </c>
      <c r="M84" s="310">
        <f t="shared" si="5"/>
        <v>0</v>
      </c>
      <c r="N84" s="13">
        <v>80.0</v>
      </c>
      <c r="O84" s="42"/>
      <c r="P84" s="361"/>
      <c r="Q84" s="305"/>
      <c r="R84" s="306"/>
      <c r="S84" s="42"/>
      <c r="T84" s="42"/>
      <c r="U84" s="42"/>
      <c r="V84" s="42"/>
      <c r="W84" s="42"/>
      <c r="X84" s="42"/>
      <c r="Y84" s="42"/>
      <c r="Z84" s="42"/>
      <c r="AA84" s="42"/>
    </row>
    <row r="85">
      <c r="A85" s="282">
        <v>82.0</v>
      </c>
      <c r="B85" s="283" t="str">
        <f t="shared" si="1"/>
        <v/>
      </c>
      <c r="C85" s="288"/>
      <c r="D85" s="284">
        <v>17905.0</v>
      </c>
      <c r="E85" s="310">
        <f t="shared" si="6"/>
        <v>0</v>
      </c>
      <c r="F85" s="284">
        <v>18010.0</v>
      </c>
      <c r="G85" s="310">
        <f t="shared" si="7"/>
        <v>0</v>
      </c>
      <c r="H85" s="284">
        <v>0.0</v>
      </c>
      <c r="I85" s="286">
        <f t="shared" si="4"/>
        <v>0</v>
      </c>
      <c r="J85" s="290"/>
      <c r="K85" s="288"/>
      <c r="L85" s="289">
        <v>15971.0</v>
      </c>
      <c r="M85" s="310">
        <f t="shared" si="5"/>
        <v>0</v>
      </c>
      <c r="N85" s="13">
        <v>81.0</v>
      </c>
      <c r="O85" s="42"/>
      <c r="P85" s="361"/>
      <c r="Q85" s="305"/>
      <c r="R85" s="306"/>
      <c r="S85" s="42"/>
      <c r="T85" s="42"/>
      <c r="U85" s="42"/>
      <c r="V85" s="42"/>
      <c r="W85" s="42"/>
      <c r="X85" s="42"/>
      <c r="Y85" s="42"/>
      <c r="Z85" s="42"/>
      <c r="AA85" s="42"/>
    </row>
    <row r="86">
      <c r="A86" s="282">
        <v>83.0</v>
      </c>
      <c r="B86" s="283" t="str">
        <f t="shared" si="1"/>
        <v/>
      </c>
      <c r="C86" s="288"/>
      <c r="D86" s="284">
        <v>17905.0</v>
      </c>
      <c r="E86" s="310">
        <f t="shared" si="6"/>
        <v>0</v>
      </c>
      <c r="F86" s="284">
        <v>18010.0</v>
      </c>
      <c r="G86" s="310">
        <f t="shared" si="7"/>
        <v>0</v>
      </c>
      <c r="H86" s="284">
        <v>0.0</v>
      </c>
      <c r="I86" s="286">
        <f t="shared" si="4"/>
        <v>0</v>
      </c>
      <c r="J86" s="290"/>
      <c r="K86" s="288"/>
      <c r="L86" s="289">
        <v>15971.0</v>
      </c>
      <c r="M86" s="310">
        <f t="shared" si="5"/>
        <v>0</v>
      </c>
      <c r="N86" s="13">
        <v>82.0</v>
      </c>
      <c r="O86" s="42"/>
      <c r="P86" s="361"/>
      <c r="Q86" s="305"/>
      <c r="R86" s="306"/>
      <c r="S86" s="42"/>
      <c r="T86" s="42"/>
      <c r="U86" s="42"/>
      <c r="V86" s="42"/>
      <c r="W86" s="42"/>
      <c r="X86" s="42"/>
      <c r="Y86" s="42"/>
      <c r="Z86" s="42"/>
      <c r="AA86" s="42"/>
    </row>
    <row r="87">
      <c r="A87" s="282">
        <v>84.0</v>
      </c>
      <c r="B87" s="283" t="str">
        <f t="shared" si="1"/>
        <v/>
      </c>
      <c r="C87" s="288"/>
      <c r="D87" s="284">
        <v>17905.0</v>
      </c>
      <c r="E87" s="310">
        <f t="shared" si="6"/>
        <v>0</v>
      </c>
      <c r="F87" s="284">
        <v>18010.0</v>
      </c>
      <c r="G87" s="310">
        <f t="shared" si="7"/>
        <v>0</v>
      </c>
      <c r="H87" s="284">
        <v>0.0</v>
      </c>
      <c r="I87" s="286">
        <f t="shared" si="4"/>
        <v>0</v>
      </c>
      <c r="J87" s="290"/>
      <c r="K87" s="288"/>
      <c r="L87" s="289">
        <v>15971.0</v>
      </c>
      <c r="M87" s="310">
        <f t="shared" si="5"/>
        <v>0</v>
      </c>
      <c r="N87" s="13">
        <v>83.0</v>
      </c>
      <c r="O87" s="42"/>
      <c r="P87" s="361"/>
      <c r="Q87" s="305"/>
      <c r="R87" s="306"/>
      <c r="S87" s="42"/>
      <c r="T87" s="42"/>
      <c r="U87" s="42"/>
      <c r="V87" s="42"/>
      <c r="W87" s="42"/>
      <c r="X87" s="42"/>
      <c r="Y87" s="42"/>
      <c r="Z87" s="42"/>
      <c r="AA87" s="42"/>
    </row>
    <row r="88">
      <c r="A88" s="282">
        <v>85.0</v>
      </c>
      <c r="B88" s="283" t="str">
        <f t="shared" si="1"/>
        <v/>
      </c>
      <c r="C88" s="288"/>
      <c r="D88" s="284">
        <v>17905.0</v>
      </c>
      <c r="E88" s="310">
        <f t="shared" si="6"/>
        <v>0</v>
      </c>
      <c r="F88" s="284">
        <v>18074.0</v>
      </c>
      <c r="G88" s="310">
        <f t="shared" si="7"/>
        <v>0</v>
      </c>
      <c r="H88" s="284">
        <v>0.0</v>
      </c>
      <c r="I88" s="286">
        <f t="shared" si="4"/>
        <v>0</v>
      </c>
      <c r="J88" s="290"/>
      <c r="K88" s="288"/>
      <c r="L88" s="289">
        <v>15971.0</v>
      </c>
      <c r="M88" s="310">
        <f t="shared" si="5"/>
        <v>0</v>
      </c>
      <c r="N88" s="13">
        <v>84.0</v>
      </c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</row>
    <row r="89">
      <c r="A89" s="282">
        <v>86.0</v>
      </c>
      <c r="B89" s="283" t="str">
        <f t="shared" si="1"/>
        <v/>
      </c>
      <c r="C89" s="288"/>
      <c r="D89" s="284">
        <v>17905.0</v>
      </c>
      <c r="E89" s="310">
        <f t="shared" si="6"/>
        <v>0</v>
      </c>
      <c r="F89" s="284">
        <v>18074.0</v>
      </c>
      <c r="G89" s="310">
        <f t="shared" si="7"/>
        <v>0</v>
      </c>
      <c r="H89" s="284">
        <v>0.0</v>
      </c>
      <c r="I89" s="286">
        <f t="shared" si="4"/>
        <v>0</v>
      </c>
      <c r="J89" s="290"/>
      <c r="K89" s="288"/>
      <c r="L89" s="289">
        <v>15971.0</v>
      </c>
      <c r="M89" s="310">
        <f t="shared" si="5"/>
        <v>0</v>
      </c>
      <c r="N89" s="13">
        <v>85.0</v>
      </c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</row>
    <row r="90">
      <c r="A90" s="282">
        <v>87.0</v>
      </c>
      <c r="B90" s="283" t="str">
        <f t="shared" si="1"/>
        <v/>
      </c>
      <c r="C90" s="288"/>
      <c r="D90" s="284">
        <v>17905.0</v>
      </c>
      <c r="E90" s="310">
        <f t="shared" si="6"/>
        <v>0</v>
      </c>
      <c r="F90" s="284">
        <v>18074.0</v>
      </c>
      <c r="G90" s="310">
        <f t="shared" si="7"/>
        <v>0</v>
      </c>
      <c r="H90" s="284">
        <v>0.0</v>
      </c>
      <c r="I90" s="286">
        <f t="shared" si="4"/>
        <v>0</v>
      </c>
      <c r="J90" s="290"/>
      <c r="K90" s="288"/>
      <c r="L90" s="289">
        <v>15971.0</v>
      </c>
      <c r="M90" s="310">
        <f t="shared" si="5"/>
        <v>0</v>
      </c>
      <c r="N90" s="13">
        <v>86.0</v>
      </c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</row>
    <row r="91">
      <c r="A91" s="282">
        <v>88.0</v>
      </c>
      <c r="B91" s="283" t="str">
        <f t="shared" si="1"/>
        <v/>
      </c>
      <c r="C91" s="288"/>
      <c r="D91" s="284">
        <v>17905.0</v>
      </c>
      <c r="E91" s="310">
        <f t="shared" si="6"/>
        <v>0</v>
      </c>
      <c r="F91" s="284">
        <v>18074.0</v>
      </c>
      <c r="G91" s="310">
        <f t="shared" si="7"/>
        <v>0</v>
      </c>
      <c r="H91" s="284">
        <v>0.0</v>
      </c>
      <c r="I91" s="286">
        <f t="shared" si="4"/>
        <v>0</v>
      </c>
      <c r="J91" s="290"/>
      <c r="K91" s="288"/>
      <c r="L91" s="289">
        <v>15971.0</v>
      </c>
      <c r="M91" s="310">
        <f t="shared" si="5"/>
        <v>0</v>
      </c>
      <c r="N91" s="13">
        <v>87.0</v>
      </c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</row>
    <row r="92">
      <c r="A92" s="282">
        <v>89.0</v>
      </c>
      <c r="B92" s="283" t="str">
        <f t="shared" si="1"/>
        <v/>
      </c>
      <c r="C92" s="288"/>
      <c r="D92" s="284">
        <v>17905.0</v>
      </c>
      <c r="E92" s="310">
        <f t="shared" si="6"/>
        <v>0</v>
      </c>
      <c r="F92" s="284">
        <v>18074.0</v>
      </c>
      <c r="G92" s="310">
        <f t="shared" si="7"/>
        <v>0</v>
      </c>
      <c r="H92" s="284">
        <v>0.0</v>
      </c>
      <c r="I92" s="286">
        <f t="shared" si="4"/>
        <v>0</v>
      </c>
      <c r="J92" s="290"/>
      <c r="K92" s="288"/>
      <c r="L92" s="289">
        <v>15971.0</v>
      </c>
      <c r="M92" s="310">
        <f t="shared" si="5"/>
        <v>0</v>
      </c>
      <c r="N92" s="13">
        <v>88.0</v>
      </c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</row>
    <row r="93">
      <c r="A93" s="282">
        <v>90.0</v>
      </c>
      <c r="B93" s="283" t="str">
        <f t="shared" si="1"/>
        <v/>
      </c>
      <c r="C93" s="288"/>
      <c r="D93" s="284">
        <v>17905.0</v>
      </c>
      <c r="E93" s="310">
        <f t="shared" si="6"/>
        <v>0</v>
      </c>
      <c r="F93" s="284">
        <v>18074.0</v>
      </c>
      <c r="G93" s="310">
        <f t="shared" si="7"/>
        <v>0</v>
      </c>
      <c r="H93" s="284">
        <v>0.0</v>
      </c>
      <c r="I93" s="286">
        <f t="shared" si="4"/>
        <v>0</v>
      </c>
      <c r="J93" s="290"/>
      <c r="K93" s="288"/>
      <c r="L93" s="289">
        <v>15971.0</v>
      </c>
      <c r="M93" s="310">
        <f t="shared" si="5"/>
        <v>0</v>
      </c>
      <c r="N93" s="13">
        <v>89.0</v>
      </c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</row>
    <row r="94">
      <c r="A94" s="282">
        <v>91.0</v>
      </c>
      <c r="B94" s="283" t="str">
        <f t="shared" si="1"/>
        <v/>
      </c>
      <c r="C94" s="288"/>
      <c r="D94" s="284">
        <v>17905.0</v>
      </c>
      <c r="E94" s="310">
        <f t="shared" si="6"/>
        <v>0</v>
      </c>
      <c r="F94" s="284">
        <v>18074.0</v>
      </c>
      <c r="G94" s="310">
        <f t="shared" si="7"/>
        <v>0</v>
      </c>
      <c r="H94" s="284">
        <v>0.0</v>
      </c>
      <c r="I94" s="286">
        <f t="shared" si="4"/>
        <v>0</v>
      </c>
      <c r="J94" s="290"/>
      <c r="K94" s="288"/>
      <c r="L94" s="289">
        <v>15971.0</v>
      </c>
      <c r="M94" s="310">
        <f t="shared" si="5"/>
        <v>0</v>
      </c>
      <c r="N94" s="13">
        <v>90.0</v>
      </c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</row>
    <row r="95">
      <c r="A95" s="282">
        <v>92.0</v>
      </c>
      <c r="B95" s="283" t="str">
        <f t="shared" si="1"/>
        <v/>
      </c>
      <c r="C95" s="288"/>
      <c r="D95" s="284">
        <v>17905.0</v>
      </c>
      <c r="E95" s="310">
        <f t="shared" si="6"/>
        <v>0</v>
      </c>
      <c r="F95" s="284">
        <v>18074.0</v>
      </c>
      <c r="G95" s="310">
        <f t="shared" si="7"/>
        <v>0</v>
      </c>
      <c r="H95" s="284">
        <v>0.0</v>
      </c>
      <c r="I95" s="286">
        <f t="shared" si="4"/>
        <v>0</v>
      </c>
      <c r="J95" s="290"/>
      <c r="K95" s="288"/>
      <c r="L95" s="289">
        <v>15971.0</v>
      </c>
      <c r="M95" s="310">
        <f t="shared" si="5"/>
        <v>0</v>
      </c>
      <c r="N95" s="13">
        <v>91.0</v>
      </c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</row>
    <row r="96">
      <c r="A96" s="282">
        <v>93.0</v>
      </c>
      <c r="B96" s="283" t="str">
        <f t="shared" si="1"/>
        <v/>
      </c>
      <c r="C96" s="288"/>
      <c r="D96" s="284">
        <v>17905.0</v>
      </c>
      <c r="E96" s="310">
        <f t="shared" si="6"/>
        <v>0</v>
      </c>
      <c r="F96" s="284">
        <v>18074.0</v>
      </c>
      <c r="G96" s="310">
        <f t="shared" si="7"/>
        <v>0</v>
      </c>
      <c r="H96" s="284">
        <v>0.0</v>
      </c>
      <c r="I96" s="286">
        <f t="shared" si="4"/>
        <v>0</v>
      </c>
      <c r="J96" s="290"/>
      <c r="K96" s="288"/>
      <c r="L96" s="289">
        <v>15235.0</v>
      </c>
      <c r="M96" s="310">
        <f t="shared" si="5"/>
        <v>0</v>
      </c>
      <c r="N96" s="13">
        <v>92.0</v>
      </c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</row>
    <row r="97">
      <c r="A97" s="282">
        <v>94.0</v>
      </c>
      <c r="B97" s="283" t="str">
        <f t="shared" si="1"/>
        <v/>
      </c>
      <c r="C97" s="288"/>
      <c r="D97" s="284">
        <v>17905.0</v>
      </c>
      <c r="E97" s="310">
        <f t="shared" si="6"/>
        <v>0</v>
      </c>
      <c r="F97" s="284">
        <v>18100.0</v>
      </c>
      <c r="G97" s="310">
        <f t="shared" si="7"/>
        <v>0</v>
      </c>
      <c r="H97" s="284">
        <v>0.0</v>
      </c>
      <c r="I97" s="286">
        <f t="shared" si="4"/>
        <v>0</v>
      </c>
      <c r="J97" s="290"/>
      <c r="K97" s="288"/>
      <c r="L97" s="289">
        <v>15235.0</v>
      </c>
      <c r="M97" s="310">
        <f t="shared" si="5"/>
        <v>0</v>
      </c>
      <c r="N97" s="13">
        <v>93.0</v>
      </c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</row>
    <row r="98">
      <c r="A98" s="282">
        <v>95.0</v>
      </c>
      <c r="B98" s="283" t="str">
        <f t="shared" si="1"/>
        <v/>
      </c>
      <c r="C98" s="288"/>
      <c r="D98" s="284">
        <v>17905.0</v>
      </c>
      <c r="E98" s="310">
        <f t="shared" si="6"/>
        <v>0</v>
      </c>
      <c r="F98" s="284">
        <v>18100.0</v>
      </c>
      <c r="G98" s="310">
        <f t="shared" si="7"/>
        <v>0</v>
      </c>
      <c r="H98" s="284">
        <v>0.0</v>
      </c>
      <c r="I98" s="286">
        <f t="shared" si="4"/>
        <v>0</v>
      </c>
      <c r="J98" s="290"/>
      <c r="K98" s="288"/>
      <c r="L98" s="289">
        <v>15253.0</v>
      </c>
      <c r="M98" s="310">
        <f t="shared" si="5"/>
        <v>0</v>
      </c>
      <c r="N98" s="13">
        <v>94.0</v>
      </c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</row>
    <row r="99">
      <c r="A99" s="282">
        <v>96.0</v>
      </c>
      <c r="B99" s="283" t="str">
        <f t="shared" si="1"/>
        <v/>
      </c>
      <c r="C99" s="288"/>
      <c r="D99" s="284">
        <v>17905.0</v>
      </c>
      <c r="E99" s="310">
        <f t="shared" si="6"/>
        <v>0</v>
      </c>
      <c r="F99" s="284">
        <v>18100.0</v>
      </c>
      <c r="G99" s="310">
        <f t="shared" si="7"/>
        <v>0</v>
      </c>
      <c r="H99" s="284">
        <v>0.0</v>
      </c>
      <c r="I99" s="286">
        <f t="shared" si="4"/>
        <v>0</v>
      </c>
      <c r="J99" s="290"/>
      <c r="K99" s="288"/>
      <c r="L99" s="289">
        <v>15215.0</v>
      </c>
      <c r="M99" s="310">
        <f t="shared" si="5"/>
        <v>0</v>
      </c>
      <c r="N99" s="13">
        <v>95.0</v>
      </c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</row>
    <row r="100">
      <c r="A100" s="282">
        <v>97.0</v>
      </c>
      <c r="B100" s="283" t="str">
        <f t="shared" si="1"/>
        <v/>
      </c>
      <c r="C100" s="288"/>
      <c r="D100" s="284">
        <v>17905.0</v>
      </c>
      <c r="E100" s="310">
        <f t="shared" si="6"/>
        <v>0</v>
      </c>
      <c r="F100" s="284">
        <v>18100.0</v>
      </c>
      <c r="G100" s="310">
        <f t="shared" si="7"/>
        <v>0</v>
      </c>
      <c r="H100" s="284">
        <v>0.0</v>
      </c>
      <c r="I100" s="286">
        <f t="shared" si="4"/>
        <v>0</v>
      </c>
      <c r="J100" s="290"/>
      <c r="K100" s="288"/>
      <c r="L100" s="289">
        <v>15218.0</v>
      </c>
      <c r="M100" s="310">
        <f t="shared" si="5"/>
        <v>0</v>
      </c>
      <c r="N100" s="13">
        <v>96.0</v>
      </c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</row>
    <row r="101">
      <c r="A101" s="282">
        <v>98.0</v>
      </c>
      <c r="B101" s="283" t="str">
        <f t="shared" si="1"/>
        <v/>
      </c>
      <c r="C101" s="288"/>
      <c r="D101" s="284">
        <v>17905.0</v>
      </c>
      <c r="E101" s="310">
        <f t="shared" si="6"/>
        <v>0</v>
      </c>
      <c r="F101" s="284">
        <v>18100.0</v>
      </c>
      <c r="G101" s="310">
        <f t="shared" si="7"/>
        <v>0</v>
      </c>
      <c r="H101" s="284">
        <v>0.0</v>
      </c>
      <c r="I101" s="286">
        <f t="shared" si="4"/>
        <v>0</v>
      </c>
      <c r="J101" s="290"/>
      <c r="K101" s="288"/>
      <c r="L101" s="289">
        <v>15218.0</v>
      </c>
      <c r="M101" s="310">
        <f t="shared" si="5"/>
        <v>0</v>
      </c>
      <c r="N101" s="13">
        <v>97.0</v>
      </c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</row>
    <row r="102">
      <c r="A102" s="282">
        <v>99.0</v>
      </c>
      <c r="B102" s="283" t="str">
        <f t="shared" si="1"/>
        <v/>
      </c>
      <c r="C102" s="288"/>
      <c r="D102" s="284">
        <v>17975.0</v>
      </c>
      <c r="E102" s="310">
        <f t="shared" si="6"/>
        <v>0</v>
      </c>
      <c r="F102" s="284">
        <v>18100.0</v>
      </c>
      <c r="G102" s="310">
        <f t="shared" si="7"/>
        <v>0</v>
      </c>
      <c r="H102" s="284">
        <v>0.0</v>
      </c>
      <c r="I102" s="286">
        <f t="shared" si="4"/>
        <v>0</v>
      </c>
      <c r="J102" s="290"/>
      <c r="K102" s="288"/>
      <c r="L102" s="289">
        <v>15218.0</v>
      </c>
      <c r="M102" s="310">
        <f t="shared" si="5"/>
        <v>0</v>
      </c>
      <c r="N102" s="13">
        <v>98.0</v>
      </c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</row>
    <row r="103">
      <c r="A103" s="282">
        <v>100.0</v>
      </c>
      <c r="B103" s="283" t="str">
        <f t="shared" si="1"/>
        <v/>
      </c>
      <c r="C103" s="288"/>
      <c r="D103" s="284">
        <v>17975.0</v>
      </c>
      <c r="E103" s="310">
        <f t="shared" si="6"/>
        <v>0</v>
      </c>
      <c r="F103" s="284">
        <v>18100.0</v>
      </c>
      <c r="G103" s="310">
        <f t="shared" si="7"/>
        <v>0</v>
      </c>
      <c r="H103" s="284">
        <v>0.0</v>
      </c>
      <c r="I103" s="286">
        <f t="shared" si="4"/>
        <v>0</v>
      </c>
      <c r="J103" s="290"/>
      <c r="K103" s="288"/>
      <c r="L103" s="289">
        <v>15218.0</v>
      </c>
      <c r="M103" s="310">
        <f t="shared" si="5"/>
        <v>0</v>
      </c>
      <c r="N103" s="13">
        <v>99.0</v>
      </c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</row>
    <row r="104">
      <c r="A104" s="282">
        <v>101.0</v>
      </c>
      <c r="B104" s="283" t="str">
        <f t="shared" si="1"/>
        <v/>
      </c>
      <c r="C104" s="288"/>
      <c r="D104" s="284">
        <v>17975.0</v>
      </c>
      <c r="E104" s="310">
        <f t="shared" si="6"/>
        <v>0</v>
      </c>
      <c r="F104" s="284">
        <v>18100.0</v>
      </c>
      <c r="G104" s="310">
        <f t="shared" si="7"/>
        <v>0</v>
      </c>
      <c r="H104" s="284">
        <v>0.0</v>
      </c>
      <c r="I104" s="286">
        <f t="shared" si="4"/>
        <v>0</v>
      </c>
      <c r="J104" s="290"/>
      <c r="K104" s="288"/>
      <c r="L104" s="289">
        <v>14920.0</v>
      </c>
      <c r="M104" s="310">
        <f t="shared" si="5"/>
        <v>0</v>
      </c>
      <c r="N104" s="13">
        <v>100.0</v>
      </c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</row>
    <row r="105">
      <c r="A105" s="282">
        <v>102.0</v>
      </c>
      <c r="B105" s="283" t="str">
        <f t="shared" si="1"/>
        <v/>
      </c>
      <c r="C105" s="288"/>
      <c r="D105" s="284">
        <v>17975.0</v>
      </c>
      <c r="E105" s="310">
        <f t="shared" si="6"/>
        <v>0</v>
      </c>
      <c r="F105" s="284">
        <v>18100.0</v>
      </c>
      <c r="G105" s="310">
        <f t="shared" si="7"/>
        <v>0</v>
      </c>
      <c r="H105" s="284">
        <v>0.0</v>
      </c>
      <c r="I105" s="286">
        <f t="shared" si="4"/>
        <v>0</v>
      </c>
      <c r="J105" s="290"/>
      <c r="K105" s="288"/>
      <c r="L105" s="289">
        <v>15218.0</v>
      </c>
      <c r="M105" s="310">
        <f t="shared" si="5"/>
        <v>0</v>
      </c>
      <c r="N105" s="13">
        <v>101.0</v>
      </c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</row>
    <row r="106">
      <c r="A106" s="282">
        <v>103.0</v>
      </c>
      <c r="B106" s="283" t="str">
        <f t="shared" si="1"/>
        <v/>
      </c>
      <c r="C106" s="288"/>
      <c r="D106" s="284">
        <v>17975.0</v>
      </c>
      <c r="E106" s="310">
        <f t="shared" si="6"/>
        <v>0</v>
      </c>
      <c r="F106" s="284">
        <v>18098.0</v>
      </c>
      <c r="G106" s="310">
        <f t="shared" si="7"/>
        <v>0</v>
      </c>
      <c r="H106" s="284">
        <v>0.0</v>
      </c>
      <c r="I106" s="286">
        <f t="shared" si="4"/>
        <v>0</v>
      </c>
      <c r="J106" s="290"/>
      <c r="K106" s="288"/>
      <c r="L106" s="289">
        <v>15218.0</v>
      </c>
      <c r="M106" s="310">
        <f t="shared" si="5"/>
        <v>0</v>
      </c>
      <c r="N106" s="13">
        <v>102.0</v>
      </c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</row>
    <row r="107">
      <c r="A107" s="282">
        <v>104.0</v>
      </c>
      <c r="B107" s="283" t="str">
        <f t="shared" si="1"/>
        <v/>
      </c>
      <c r="C107" s="288"/>
      <c r="D107" s="284">
        <v>17975.0</v>
      </c>
      <c r="E107" s="310">
        <f t="shared" si="6"/>
        <v>0</v>
      </c>
      <c r="F107" s="284">
        <v>18094.0</v>
      </c>
      <c r="G107" s="310">
        <f t="shared" si="7"/>
        <v>0</v>
      </c>
      <c r="H107" s="284">
        <v>0.0</v>
      </c>
      <c r="I107" s="286">
        <f t="shared" si="4"/>
        <v>0</v>
      </c>
      <c r="J107" s="290"/>
      <c r="K107" s="288"/>
      <c r="L107" s="289">
        <v>15245.0</v>
      </c>
      <c r="M107" s="310">
        <f t="shared" si="5"/>
        <v>0</v>
      </c>
      <c r="N107" s="13">
        <v>103.0</v>
      </c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</row>
    <row r="108">
      <c r="A108" s="282">
        <v>105.0</v>
      </c>
      <c r="B108" s="283" t="str">
        <f t="shared" si="1"/>
        <v/>
      </c>
      <c r="C108" s="288"/>
      <c r="D108" s="284">
        <v>17975.0</v>
      </c>
      <c r="E108" s="310">
        <f t="shared" si="6"/>
        <v>0</v>
      </c>
      <c r="F108" s="284">
        <v>18094.0</v>
      </c>
      <c r="G108" s="310">
        <f t="shared" si="7"/>
        <v>0</v>
      </c>
      <c r="H108" s="284">
        <v>0.0</v>
      </c>
      <c r="I108" s="311">
        <f t="shared" si="4"/>
        <v>0</v>
      </c>
      <c r="J108" s="290"/>
      <c r="K108" s="288"/>
      <c r="L108" s="289">
        <v>15385.0</v>
      </c>
      <c r="M108" s="310">
        <f t="shared" si="5"/>
        <v>0</v>
      </c>
      <c r="N108" s="13">
        <v>104.0</v>
      </c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</row>
    <row r="109">
      <c r="A109" s="282">
        <v>106.0</v>
      </c>
      <c r="B109" s="283" t="str">
        <f t="shared" si="1"/>
        <v/>
      </c>
      <c r="C109" s="288"/>
      <c r="D109" s="284">
        <v>17975.0</v>
      </c>
      <c r="E109" s="310">
        <f t="shared" si="6"/>
        <v>0</v>
      </c>
      <c r="F109" s="284">
        <v>18094.0</v>
      </c>
      <c r="G109" s="310">
        <f t="shared" si="7"/>
        <v>0</v>
      </c>
      <c r="H109" s="284">
        <v>0.0</v>
      </c>
      <c r="I109" s="311">
        <f t="shared" si="4"/>
        <v>0</v>
      </c>
      <c r="J109" s="290"/>
      <c r="K109" s="288"/>
      <c r="L109" s="289">
        <v>15385.0</v>
      </c>
      <c r="M109" s="310">
        <f t="shared" si="5"/>
        <v>0</v>
      </c>
      <c r="N109" s="13">
        <v>105.0</v>
      </c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</row>
    <row r="110">
      <c r="A110" s="282">
        <v>107.0</v>
      </c>
      <c r="B110" s="283" t="str">
        <f t="shared" si="1"/>
        <v/>
      </c>
      <c r="C110" s="288"/>
      <c r="D110" s="284">
        <v>17975.0</v>
      </c>
      <c r="E110" s="310">
        <f t="shared" si="6"/>
        <v>0</v>
      </c>
      <c r="F110" s="284">
        <v>18094.0</v>
      </c>
      <c r="G110" s="310">
        <f t="shared" si="7"/>
        <v>0</v>
      </c>
      <c r="H110" s="284">
        <v>0.0</v>
      </c>
      <c r="I110" s="311">
        <f t="shared" si="4"/>
        <v>0</v>
      </c>
      <c r="J110" s="290"/>
      <c r="K110" s="288"/>
      <c r="L110" s="289">
        <v>15385.0</v>
      </c>
      <c r="M110" s="310">
        <f t="shared" si="5"/>
        <v>0</v>
      </c>
      <c r="N110" s="13">
        <v>106.0</v>
      </c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</row>
    <row r="111">
      <c r="A111" s="282">
        <v>108.0</v>
      </c>
      <c r="B111" s="283" t="str">
        <f t="shared" si="1"/>
        <v/>
      </c>
      <c r="C111" s="288"/>
      <c r="D111" s="284">
        <v>17975.0</v>
      </c>
      <c r="E111" s="310">
        <f t="shared" si="6"/>
        <v>0</v>
      </c>
      <c r="F111" s="284">
        <v>18100.0</v>
      </c>
      <c r="G111" s="310">
        <f t="shared" si="7"/>
        <v>0</v>
      </c>
      <c r="H111" s="284">
        <v>0.0</v>
      </c>
      <c r="I111" s="311">
        <f t="shared" si="4"/>
        <v>0</v>
      </c>
      <c r="J111" s="290"/>
      <c r="K111" s="288"/>
      <c r="L111" s="289">
        <v>15385.0</v>
      </c>
      <c r="M111" s="310">
        <f t="shared" si="5"/>
        <v>0</v>
      </c>
      <c r="N111" s="13">
        <v>107.0</v>
      </c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</row>
    <row r="112">
      <c r="A112" s="282">
        <v>109.0</v>
      </c>
      <c r="B112" s="283" t="str">
        <f t="shared" si="1"/>
        <v/>
      </c>
      <c r="C112" s="288"/>
      <c r="D112" s="284">
        <v>17975.0</v>
      </c>
      <c r="E112" s="310">
        <f t="shared" si="6"/>
        <v>0</v>
      </c>
      <c r="F112" s="284">
        <v>18100.0</v>
      </c>
      <c r="G112" s="310">
        <f t="shared" si="7"/>
        <v>0</v>
      </c>
      <c r="H112" s="284">
        <v>0.0</v>
      </c>
      <c r="I112" s="311">
        <f t="shared" si="4"/>
        <v>0</v>
      </c>
      <c r="J112" s="290"/>
      <c r="K112" s="288"/>
      <c r="L112" s="289">
        <v>15385.0</v>
      </c>
      <c r="M112" s="310">
        <f t="shared" si="5"/>
        <v>0</v>
      </c>
      <c r="N112" s="13">
        <v>108.0</v>
      </c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</row>
    <row r="113">
      <c r="A113" s="282">
        <v>110.0</v>
      </c>
      <c r="B113" s="283" t="str">
        <f t="shared" si="1"/>
        <v/>
      </c>
      <c r="C113" s="288"/>
      <c r="D113" s="284">
        <v>17975.0</v>
      </c>
      <c r="E113" s="310">
        <f t="shared" si="6"/>
        <v>0</v>
      </c>
      <c r="F113" s="284">
        <v>18095.0</v>
      </c>
      <c r="G113" s="310">
        <f t="shared" si="7"/>
        <v>0</v>
      </c>
      <c r="H113" s="284">
        <v>0.0</v>
      </c>
      <c r="I113" s="311">
        <f t="shared" si="4"/>
        <v>0</v>
      </c>
      <c r="J113" s="290"/>
      <c r="K113" s="288"/>
      <c r="L113" s="289">
        <v>15388.0</v>
      </c>
      <c r="M113" s="310">
        <f t="shared" si="5"/>
        <v>0</v>
      </c>
      <c r="N113" s="13">
        <v>109.0</v>
      </c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</row>
    <row r="114">
      <c r="A114" s="282">
        <v>111.0</v>
      </c>
      <c r="B114" s="283" t="str">
        <f t="shared" si="1"/>
        <v/>
      </c>
      <c r="C114" s="288"/>
      <c r="D114" s="284">
        <v>17975.0</v>
      </c>
      <c r="E114" s="310">
        <f t="shared" si="6"/>
        <v>0</v>
      </c>
      <c r="F114" s="284">
        <v>18095.0</v>
      </c>
      <c r="G114" s="310">
        <f t="shared" si="7"/>
        <v>0</v>
      </c>
      <c r="H114" s="284">
        <v>0.0</v>
      </c>
      <c r="I114" s="311">
        <f t="shared" si="4"/>
        <v>0</v>
      </c>
      <c r="J114" s="290"/>
      <c r="K114" s="288"/>
      <c r="L114" s="289">
        <v>15387.0</v>
      </c>
      <c r="M114" s="310">
        <f t="shared" si="5"/>
        <v>0</v>
      </c>
      <c r="N114" s="13">
        <v>110.0</v>
      </c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</row>
    <row r="115">
      <c r="A115" s="282">
        <v>112.0</v>
      </c>
      <c r="B115" s="283" t="str">
        <f t="shared" si="1"/>
        <v/>
      </c>
      <c r="C115" s="288"/>
      <c r="D115" s="284">
        <v>17975.0</v>
      </c>
      <c r="E115" s="310">
        <f t="shared" si="6"/>
        <v>0</v>
      </c>
      <c r="F115" s="284">
        <v>18095.0</v>
      </c>
      <c r="G115" s="310">
        <f t="shared" si="7"/>
        <v>0</v>
      </c>
      <c r="H115" s="284">
        <v>0.0</v>
      </c>
      <c r="I115" s="311">
        <f t="shared" si="4"/>
        <v>0</v>
      </c>
      <c r="J115" s="290"/>
      <c r="K115" s="288"/>
      <c r="L115" s="289">
        <v>15388.0</v>
      </c>
      <c r="M115" s="310">
        <f t="shared" si="5"/>
        <v>0</v>
      </c>
      <c r="N115" s="13">
        <v>111.0</v>
      </c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</row>
    <row r="116">
      <c r="A116" s="282">
        <v>113.0</v>
      </c>
      <c r="B116" s="283" t="str">
        <f t="shared" si="1"/>
        <v/>
      </c>
      <c r="C116" s="288"/>
      <c r="D116" s="284">
        <v>17975.0</v>
      </c>
      <c r="E116" s="310">
        <f t="shared" si="6"/>
        <v>0</v>
      </c>
      <c r="F116" s="284">
        <v>18095.0</v>
      </c>
      <c r="G116" s="310">
        <f t="shared" si="7"/>
        <v>0</v>
      </c>
      <c r="H116" s="284">
        <v>0.0</v>
      </c>
      <c r="I116" s="311">
        <f t="shared" si="4"/>
        <v>0</v>
      </c>
      <c r="J116" s="290"/>
      <c r="K116" s="288"/>
      <c r="L116" s="289">
        <v>15388.0</v>
      </c>
      <c r="M116" s="310">
        <f t="shared" si="5"/>
        <v>0</v>
      </c>
      <c r="N116" s="13">
        <v>112.0</v>
      </c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</row>
    <row r="117">
      <c r="A117" s="282">
        <v>114.0</v>
      </c>
      <c r="B117" s="283" t="str">
        <f t="shared" si="1"/>
        <v/>
      </c>
      <c r="C117" s="288"/>
      <c r="D117" s="284">
        <v>17975.0</v>
      </c>
      <c r="E117" s="310">
        <f t="shared" si="6"/>
        <v>0</v>
      </c>
      <c r="F117" s="284">
        <v>18095.0</v>
      </c>
      <c r="G117" s="310">
        <f t="shared" si="7"/>
        <v>0</v>
      </c>
      <c r="H117" s="284">
        <v>0.0</v>
      </c>
      <c r="I117" s="311">
        <f t="shared" si="4"/>
        <v>0</v>
      </c>
      <c r="J117" s="290"/>
      <c r="K117" s="288"/>
      <c r="L117" s="289">
        <v>15388.0</v>
      </c>
      <c r="M117" s="310">
        <f t="shared" si="5"/>
        <v>0</v>
      </c>
      <c r="N117" s="13">
        <v>113.0</v>
      </c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</row>
    <row r="118">
      <c r="A118" s="282">
        <v>115.0</v>
      </c>
      <c r="B118" s="283" t="str">
        <f t="shared" si="1"/>
        <v/>
      </c>
      <c r="C118" s="288"/>
      <c r="D118" s="284">
        <v>17975.0</v>
      </c>
      <c r="E118" s="310">
        <f t="shared" si="6"/>
        <v>0</v>
      </c>
      <c r="F118" s="284">
        <v>18102.0</v>
      </c>
      <c r="G118" s="310">
        <f t="shared" si="7"/>
        <v>0</v>
      </c>
      <c r="H118" s="284">
        <v>0.0</v>
      </c>
      <c r="I118" s="311">
        <f t="shared" si="4"/>
        <v>0</v>
      </c>
      <c r="J118" s="290"/>
      <c r="K118" s="288"/>
      <c r="L118" s="289">
        <v>15388.0</v>
      </c>
      <c r="M118" s="310">
        <f t="shared" si="5"/>
        <v>0</v>
      </c>
      <c r="N118" s="13">
        <v>114.0</v>
      </c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</row>
    <row r="119">
      <c r="A119" s="282">
        <v>116.0</v>
      </c>
      <c r="B119" s="283" t="str">
        <f t="shared" si="1"/>
        <v/>
      </c>
      <c r="C119" s="288"/>
      <c r="D119" s="284">
        <v>17975.0</v>
      </c>
      <c r="E119" s="310">
        <f t="shared" si="6"/>
        <v>0</v>
      </c>
      <c r="F119" s="284">
        <v>18102.0</v>
      </c>
      <c r="G119" s="310">
        <f t="shared" si="7"/>
        <v>0</v>
      </c>
      <c r="H119" s="284">
        <v>0.0</v>
      </c>
      <c r="I119" s="311">
        <f t="shared" si="4"/>
        <v>0</v>
      </c>
      <c r="J119" s="290"/>
      <c r="K119" s="288"/>
      <c r="L119" s="289">
        <v>15394.0</v>
      </c>
      <c r="M119" s="310">
        <f t="shared" si="5"/>
        <v>0</v>
      </c>
      <c r="N119" s="13">
        <v>115.0</v>
      </c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</row>
    <row r="120">
      <c r="A120" s="282">
        <v>117.0</v>
      </c>
      <c r="B120" s="283" t="str">
        <f t="shared" si="1"/>
        <v/>
      </c>
      <c r="C120" s="288"/>
      <c r="D120" s="284">
        <v>17975.0</v>
      </c>
      <c r="E120" s="310">
        <f t="shared" si="6"/>
        <v>0</v>
      </c>
      <c r="F120" s="284">
        <v>18102.0</v>
      </c>
      <c r="G120" s="310">
        <f t="shared" si="7"/>
        <v>0</v>
      </c>
      <c r="H120" s="284">
        <v>0.0</v>
      </c>
      <c r="I120" s="311">
        <f t="shared" si="4"/>
        <v>0</v>
      </c>
      <c r="J120" s="290"/>
      <c r="K120" s="288"/>
      <c r="L120" s="312">
        <v>15394.0</v>
      </c>
      <c r="M120" s="310">
        <f t="shared" si="5"/>
        <v>0</v>
      </c>
      <c r="N120" s="13">
        <v>116.0</v>
      </c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</row>
    <row r="121">
      <c r="A121" s="282">
        <v>118.0</v>
      </c>
      <c r="B121" s="283" t="str">
        <f t="shared" si="1"/>
        <v/>
      </c>
      <c r="C121" s="288"/>
      <c r="D121" s="284">
        <v>17975.0</v>
      </c>
      <c r="E121" s="310">
        <f t="shared" si="6"/>
        <v>0</v>
      </c>
      <c r="F121" s="284">
        <v>18102.0</v>
      </c>
      <c r="G121" s="310">
        <f t="shared" si="7"/>
        <v>0</v>
      </c>
      <c r="H121" s="284">
        <v>0.0</v>
      </c>
      <c r="I121" s="311">
        <f t="shared" si="4"/>
        <v>0</v>
      </c>
      <c r="J121" s="290"/>
      <c r="K121" s="288"/>
      <c r="L121" s="312">
        <v>15394.0</v>
      </c>
      <c r="M121" s="310">
        <f t="shared" si="5"/>
        <v>0</v>
      </c>
      <c r="N121" s="13">
        <v>117.0</v>
      </c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</row>
    <row r="122">
      <c r="A122" s="282">
        <v>119.0</v>
      </c>
      <c r="B122" s="283" t="str">
        <f t="shared" si="1"/>
        <v/>
      </c>
      <c r="C122" s="288"/>
      <c r="D122" s="284">
        <v>17975.0</v>
      </c>
      <c r="E122" s="310">
        <f t="shared" si="6"/>
        <v>0</v>
      </c>
      <c r="F122" s="284">
        <v>18102.0</v>
      </c>
      <c r="G122" s="310">
        <f t="shared" si="7"/>
        <v>0</v>
      </c>
      <c r="H122" s="284">
        <v>0.0</v>
      </c>
      <c r="I122" s="311">
        <f t="shared" si="4"/>
        <v>0</v>
      </c>
      <c r="J122" s="290"/>
      <c r="K122" s="288"/>
      <c r="L122" s="312">
        <v>15397.0</v>
      </c>
      <c r="M122" s="310">
        <f t="shared" si="5"/>
        <v>0</v>
      </c>
      <c r="N122" s="13">
        <v>118.0</v>
      </c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</row>
    <row r="123">
      <c r="A123" s="282">
        <v>120.0</v>
      </c>
      <c r="B123" s="283" t="str">
        <f t="shared" si="1"/>
        <v/>
      </c>
      <c r="C123" s="288"/>
      <c r="D123" s="284">
        <v>17975.0</v>
      </c>
      <c r="E123" s="310">
        <f t="shared" si="6"/>
        <v>0</v>
      </c>
      <c r="F123" s="284">
        <v>18102.0</v>
      </c>
      <c r="G123" s="310">
        <f t="shared" si="7"/>
        <v>0</v>
      </c>
      <c r="H123" s="284">
        <v>0.0</v>
      </c>
      <c r="I123" s="311">
        <f t="shared" si="4"/>
        <v>0</v>
      </c>
      <c r="J123" s="290"/>
      <c r="K123" s="288"/>
      <c r="L123" s="312">
        <v>15365.0</v>
      </c>
      <c r="M123" s="310">
        <f t="shared" si="5"/>
        <v>0</v>
      </c>
      <c r="N123" s="13">
        <v>119.0</v>
      </c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</row>
    <row r="124">
      <c r="A124" s="282">
        <v>121.0</v>
      </c>
      <c r="B124" s="283" t="str">
        <f t="shared" si="1"/>
        <v/>
      </c>
      <c r="C124" s="288"/>
      <c r="D124" s="284">
        <v>17975.0</v>
      </c>
      <c r="E124" s="310">
        <f t="shared" si="6"/>
        <v>0</v>
      </c>
      <c r="F124" s="284">
        <v>18102.0</v>
      </c>
      <c r="G124" s="310">
        <f t="shared" si="7"/>
        <v>0</v>
      </c>
      <c r="H124" s="284">
        <v>0.0</v>
      </c>
      <c r="I124" s="311">
        <f t="shared" si="4"/>
        <v>0</v>
      </c>
      <c r="J124" s="290"/>
      <c r="K124" s="288"/>
      <c r="L124" s="312">
        <v>15365.0</v>
      </c>
      <c r="M124" s="310">
        <f t="shared" si="5"/>
        <v>0</v>
      </c>
      <c r="N124" s="13">
        <v>120.0</v>
      </c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</row>
    <row r="125">
      <c r="A125" s="282">
        <v>122.0</v>
      </c>
      <c r="B125" s="283" t="str">
        <f t="shared" si="1"/>
        <v/>
      </c>
      <c r="C125" s="288"/>
      <c r="D125" s="284">
        <v>17975.0</v>
      </c>
      <c r="E125" s="310">
        <f t="shared" si="6"/>
        <v>0</v>
      </c>
      <c r="F125" s="284">
        <v>18102.0</v>
      </c>
      <c r="G125" s="310">
        <f t="shared" si="7"/>
        <v>0</v>
      </c>
      <c r="H125" s="284">
        <v>0.0</v>
      </c>
      <c r="I125" s="311">
        <f t="shared" si="4"/>
        <v>0</v>
      </c>
      <c r="J125" s="290"/>
      <c r="K125" s="288"/>
      <c r="L125" s="312">
        <v>15365.0</v>
      </c>
      <c r="M125" s="310">
        <f t="shared" si="5"/>
        <v>0</v>
      </c>
      <c r="N125" s="13">
        <v>121.0</v>
      </c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</row>
    <row r="126">
      <c r="A126" s="282">
        <v>123.0</v>
      </c>
      <c r="B126" s="283" t="str">
        <f t="shared" si="1"/>
        <v/>
      </c>
      <c r="C126" s="288"/>
      <c r="D126" s="284">
        <v>17975.0</v>
      </c>
      <c r="E126" s="310">
        <f t="shared" si="6"/>
        <v>0</v>
      </c>
      <c r="F126" s="284">
        <v>18102.0</v>
      </c>
      <c r="G126" s="310">
        <f t="shared" si="7"/>
        <v>0</v>
      </c>
      <c r="H126" s="284">
        <v>0.0</v>
      </c>
      <c r="I126" s="311">
        <f t="shared" si="4"/>
        <v>0</v>
      </c>
      <c r="J126" s="290"/>
      <c r="K126" s="288"/>
      <c r="L126" s="312">
        <v>15365.0</v>
      </c>
      <c r="M126" s="310">
        <f t="shared" si="5"/>
        <v>0</v>
      </c>
      <c r="N126" s="13">
        <v>122.0</v>
      </c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</row>
    <row r="127">
      <c r="A127" s="282">
        <v>124.0</v>
      </c>
      <c r="B127" s="283" t="str">
        <f t="shared" si="1"/>
        <v/>
      </c>
      <c r="C127" s="288"/>
      <c r="D127" s="284">
        <v>17815.0</v>
      </c>
      <c r="E127" s="310">
        <f t="shared" si="6"/>
        <v>0</v>
      </c>
      <c r="F127" s="284">
        <v>18102.0</v>
      </c>
      <c r="G127" s="310">
        <f t="shared" si="7"/>
        <v>0</v>
      </c>
      <c r="H127" s="284">
        <v>0.0</v>
      </c>
      <c r="I127" s="311">
        <f t="shared" si="4"/>
        <v>0</v>
      </c>
      <c r="J127" s="290"/>
      <c r="K127" s="288"/>
      <c r="L127" s="312">
        <v>15395.0</v>
      </c>
      <c r="M127" s="310">
        <f t="shared" si="5"/>
        <v>0</v>
      </c>
      <c r="N127" s="13">
        <v>123.0</v>
      </c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</row>
    <row r="128">
      <c r="A128" s="282">
        <v>125.0</v>
      </c>
      <c r="B128" s="283" t="str">
        <f t="shared" si="1"/>
        <v/>
      </c>
      <c r="C128" s="288"/>
      <c r="D128" s="284">
        <v>17815.0</v>
      </c>
      <c r="E128" s="310">
        <f t="shared" si="6"/>
        <v>0</v>
      </c>
      <c r="F128" s="284">
        <v>18102.0</v>
      </c>
      <c r="G128" s="310">
        <f t="shared" si="7"/>
        <v>0</v>
      </c>
      <c r="H128" s="284">
        <v>0.0</v>
      </c>
      <c r="I128" s="311">
        <f t="shared" si="4"/>
        <v>0</v>
      </c>
      <c r="J128" s="290"/>
      <c r="K128" s="288"/>
      <c r="L128" s="312">
        <v>15420.0</v>
      </c>
      <c r="M128" s="310">
        <f t="shared" si="5"/>
        <v>0</v>
      </c>
      <c r="N128" s="13">
        <v>124.0</v>
      </c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</row>
    <row r="129">
      <c r="A129" s="282">
        <v>126.0</v>
      </c>
      <c r="B129" s="283" t="str">
        <f t="shared" si="1"/>
        <v/>
      </c>
      <c r="C129" s="288"/>
      <c r="D129" s="284">
        <v>17815.0</v>
      </c>
      <c r="E129" s="310">
        <f t="shared" si="6"/>
        <v>0</v>
      </c>
      <c r="F129" s="284">
        <v>18099.0</v>
      </c>
      <c r="G129" s="310">
        <f t="shared" si="7"/>
        <v>0</v>
      </c>
      <c r="H129" s="284">
        <v>0.0</v>
      </c>
      <c r="I129" s="311">
        <f t="shared" si="4"/>
        <v>0</v>
      </c>
      <c r="J129" s="290"/>
      <c r="K129" s="288"/>
      <c r="L129" s="312">
        <v>15427.0</v>
      </c>
      <c r="M129" s="310">
        <f t="shared" si="5"/>
        <v>0</v>
      </c>
      <c r="N129" s="13">
        <v>125.0</v>
      </c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</row>
    <row r="130">
      <c r="A130" s="282">
        <v>127.0</v>
      </c>
      <c r="B130" s="283" t="str">
        <f t="shared" si="1"/>
        <v/>
      </c>
      <c r="C130" s="288"/>
      <c r="D130" s="284">
        <v>17815.0</v>
      </c>
      <c r="E130" s="310">
        <f t="shared" si="6"/>
        <v>0</v>
      </c>
      <c r="F130" s="284">
        <v>18099.0</v>
      </c>
      <c r="G130" s="310">
        <f t="shared" si="7"/>
        <v>0</v>
      </c>
      <c r="H130" s="284">
        <v>0.0</v>
      </c>
      <c r="I130" s="311">
        <f t="shared" si="4"/>
        <v>0</v>
      </c>
      <c r="J130" s="290"/>
      <c r="K130" s="288"/>
      <c r="L130" s="312">
        <v>15427.0</v>
      </c>
      <c r="M130" s="310">
        <f t="shared" si="5"/>
        <v>0</v>
      </c>
      <c r="N130" s="13">
        <v>126.0</v>
      </c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</row>
    <row r="131">
      <c r="A131" s="282">
        <v>128.0</v>
      </c>
      <c r="B131" s="283" t="str">
        <f t="shared" si="1"/>
        <v/>
      </c>
      <c r="C131" s="288"/>
      <c r="D131" s="284">
        <v>17815.0</v>
      </c>
      <c r="E131" s="310">
        <f t="shared" si="6"/>
        <v>0</v>
      </c>
      <c r="F131" s="284">
        <v>18099.0</v>
      </c>
      <c r="G131" s="310">
        <f t="shared" si="7"/>
        <v>0</v>
      </c>
      <c r="H131" s="284">
        <v>0.0</v>
      </c>
      <c r="I131" s="311">
        <f t="shared" si="4"/>
        <v>0</v>
      </c>
      <c r="J131" s="290"/>
      <c r="K131" s="288"/>
      <c r="L131" s="312">
        <v>15382.0</v>
      </c>
      <c r="M131" s="310">
        <f t="shared" si="5"/>
        <v>0</v>
      </c>
      <c r="N131" s="13">
        <v>127.0</v>
      </c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</row>
    <row r="132">
      <c r="A132" s="282">
        <v>129.0</v>
      </c>
      <c r="B132" s="283" t="str">
        <f t="shared" si="1"/>
        <v/>
      </c>
      <c r="C132" s="288"/>
      <c r="D132" s="284">
        <v>17815.0</v>
      </c>
      <c r="E132" s="310">
        <f t="shared" si="6"/>
        <v>0</v>
      </c>
      <c r="F132" s="284">
        <v>18099.0</v>
      </c>
      <c r="G132" s="310">
        <f t="shared" si="7"/>
        <v>0</v>
      </c>
      <c r="H132" s="284">
        <v>0.0</v>
      </c>
      <c r="I132" s="311">
        <f t="shared" si="4"/>
        <v>0</v>
      </c>
      <c r="J132" s="290"/>
      <c r="K132" s="288"/>
      <c r="L132" s="312">
        <v>15380.0</v>
      </c>
      <c r="M132" s="310">
        <f t="shared" si="5"/>
        <v>0</v>
      </c>
      <c r="N132" s="13">
        <v>128.0</v>
      </c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</row>
    <row r="133">
      <c r="A133" s="282">
        <v>130.0</v>
      </c>
      <c r="B133" s="283" t="str">
        <f t="shared" si="1"/>
        <v/>
      </c>
      <c r="C133" s="288"/>
      <c r="D133" s="284">
        <v>17815.0</v>
      </c>
      <c r="E133" s="310">
        <f t="shared" si="6"/>
        <v>0</v>
      </c>
      <c r="F133" s="284">
        <v>18099.0</v>
      </c>
      <c r="G133" s="310">
        <f t="shared" si="7"/>
        <v>0</v>
      </c>
      <c r="H133" s="284">
        <v>0.0</v>
      </c>
      <c r="I133" s="311">
        <f t="shared" si="4"/>
        <v>0</v>
      </c>
      <c r="J133" s="290"/>
      <c r="K133" s="288"/>
      <c r="L133" s="312">
        <v>15362.0</v>
      </c>
      <c r="M133" s="310">
        <f t="shared" si="5"/>
        <v>0</v>
      </c>
      <c r="N133" s="13">
        <v>129.0</v>
      </c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</row>
    <row r="134">
      <c r="A134" s="282">
        <v>131.0</v>
      </c>
      <c r="B134" s="283" t="str">
        <f t="shared" si="1"/>
        <v/>
      </c>
      <c r="C134" s="288"/>
      <c r="D134" s="284">
        <v>17815.0</v>
      </c>
      <c r="E134" s="310">
        <f t="shared" si="6"/>
        <v>0</v>
      </c>
      <c r="F134" s="284">
        <v>18155.0</v>
      </c>
      <c r="G134" s="310">
        <f t="shared" si="7"/>
        <v>0</v>
      </c>
      <c r="H134" s="284">
        <v>0.0</v>
      </c>
      <c r="I134" s="311">
        <f t="shared" si="4"/>
        <v>0</v>
      </c>
      <c r="J134" s="290"/>
      <c r="K134" s="288"/>
      <c r="L134" s="312">
        <v>15382.0</v>
      </c>
      <c r="M134" s="310">
        <f t="shared" si="5"/>
        <v>0</v>
      </c>
      <c r="N134" s="13">
        <v>130.0</v>
      </c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</row>
    <row r="135">
      <c r="A135" s="282">
        <v>132.0</v>
      </c>
      <c r="B135" s="283" t="str">
        <f t="shared" si="1"/>
        <v/>
      </c>
      <c r="C135" s="288"/>
      <c r="D135" s="284">
        <v>17815.0</v>
      </c>
      <c r="E135" s="310">
        <f t="shared" si="6"/>
        <v>0</v>
      </c>
      <c r="F135" s="284">
        <v>18155.0</v>
      </c>
      <c r="G135" s="310">
        <f t="shared" si="7"/>
        <v>0</v>
      </c>
      <c r="H135" s="284">
        <v>0.0</v>
      </c>
      <c r="I135" s="311">
        <f t="shared" si="4"/>
        <v>0</v>
      </c>
      <c r="J135" s="290"/>
      <c r="K135" s="288"/>
      <c r="L135" s="312">
        <v>15382.0</v>
      </c>
      <c r="M135" s="310">
        <f t="shared" si="5"/>
        <v>0</v>
      </c>
      <c r="N135" s="13">
        <v>131.0</v>
      </c>
      <c r="O135" s="42"/>
      <c r="P135" s="42"/>
      <c r="Q135" s="361"/>
      <c r="R135" s="367"/>
      <c r="S135" s="306"/>
      <c r="T135" s="42"/>
      <c r="U135" s="42"/>
      <c r="V135" s="42"/>
      <c r="W135" s="42"/>
      <c r="X135" s="42"/>
      <c r="Y135" s="42"/>
      <c r="Z135" s="42"/>
      <c r="AA135" s="42"/>
    </row>
    <row r="136">
      <c r="A136" s="282">
        <v>133.0</v>
      </c>
      <c r="B136" s="283" t="str">
        <f t="shared" si="1"/>
        <v/>
      </c>
      <c r="C136" s="288"/>
      <c r="D136" s="284">
        <v>17815.0</v>
      </c>
      <c r="E136" s="310">
        <f t="shared" si="6"/>
        <v>0</v>
      </c>
      <c r="F136" s="284">
        <v>18155.0</v>
      </c>
      <c r="G136" s="310">
        <f t="shared" si="7"/>
        <v>0</v>
      </c>
      <c r="H136" s="284">
        <v>0.0</v>
      </c>
      <c r="I136" s="311">
        <f t="shared" si="4"/>
        <v>0</v>
      </c>
      <c r="J136" s="290"/>
      <c r="K136" s="288"/>
      <c r="L136" s="312">
        <v>15382.0</v>
      </c>
      <c r="M136" s="310">
        <f t="shared" si="5"/>
        <v>0</v>
      </c>
      <c r="N136" s="13">
        <v>132.0</v>
      </c>
      <c r="O136" s="42"/>
      <c r="P136" s="42"/>
      <c r="Q136" s="361"/>
      <c r="R136" s="367"/>
      <c r="S136" s="306"/>
      <c r="T136" s="42"/>
      <c r="U136" s="42"/>
      <c r="V136" s="42"/>
      <c r="W136" s="42"/>
      <c r="X136" s="42"/>
      <c r="Y136" s="42"/>
      <c r="Z136" s="42"/>
      <c r="AA136" s="42"/>
    </row>
    <row r="137">
      <c r="A137" s="282">
        <v>134.0</v>
      </c>
      <c r="B137" s="283" t="str">
        <f t="shared" si="1"/>
        <v/>
      </c>
      <c r="C137" s="288"/>
      <c r="D137" s="284">
        <v>17815.0</v>
      </c>
      <c r="E137" s="310">
        <f t="shared" si="6"/>
        <v>0</v>
      </c>
      <c r="F137" s="284">
        <v>18155.0</v>
      </c>
      <c r="G137" s="310">
        <f t="shared" si="7"/>
        <v>0</v>
      </c>
      <c r="H137" s="284">
        <v>0.0</v>
      </c>
      <c r="I137" s="311">
        <f t="shared" si="4"/>
        <v>0</v>
      </c>
      <c r="J137" s="290"/>
      <c r="K137" s="288"/>
      <c r="L137" s="312">
        <v>15382.0</v>
      </c>
      <c r="M137" s="310">
        <f t="shared" si="5"/>
        <v>0</v>
      </c>
      <c r="N137" s="13">
        <v>133.0</v>
      </c>
      <c r="O137" s="42"/>
      <c r="P137" s="42"/>
      <c r="Q137" s="361"/>
      <c r="R137" s="367"/>
      <c r="S137" s="306"/>
      <c r="T137" s="42"/>
      <c r="U137" s="42"/>
      <c r="V137" s="42"/>
      <c r="W137" s="42"/>
      <c r="X137" s="42"/>
      <c r="Y137" s="42"/>
      <c r="Z137" s="42"/>
      <c r="AA137" s="42"/>
    </row>
    <row r="138">
      <c r="A138" s="282">
        <v>135.0</v>
      </c>
      <c r="B138" s="283" t="str">
        <f t="shared" si="1"/>
        <v/>
      </c>
      <c r="C138" s="288"/>
      <c r="D138" s="284">
        <v>17815.0</v>
      </c>
      <c r="E138" s="310">
        <f t="shared" si="6"/>
        <v>0</v>
      </c>
      <c r="F138" s="284">
        <v>18155.0</v>
      </c>
      <c r="G138" s="310">
        <f t="shared" si="7"/>
        <v>0</v>
      </c>
      <c r="H138" s="284">
        <v>0.0</v>
      </c>
      <c r="I138" s="311">
        <f t="shared" si="4"/>
        <v>0</v>
      </c>
      <c r="J138" s="290"/>
      <c r="K138" s="288"/>
      <c r="L138" s="312">
        <v>15370.0</v>
      </c>
      <c r="M138" s="310">
        <f t="shared" si="5"/>
        <v>0</v>
      </c>
      <c r="N138" s="13">
        <v>134.0</v>
      </c>
      <c r="O138" s="42"/>
      <c r="P138" s="42"/>
      <c r="Q138" s="361"/>
      <c r="R138" s="367"/>
      <c r="S138" s="306"/>
      <c r="T138" s="42"/>
      <c r="U138" s="42"/>
      <c r="V138" s="42"/>
      <c r="W138" s="42"/>
      <c r="X138" s="42"/>
      <c r="Y138" s="42"/>
      <c r="Z138" s="42"/>
      <c r="AA138" s="42"/>
    </row>
    <row r="139">
      <c r="A139" s="282">
        <v>136.0</v>
      </c>
      <c r="B139" s="283" t="str">
        <f t="shared" si="1"/>
        <v/>
      </c>
      <c r="C139" s="288"/>
      <c r="D139" s="284">
        <v>17815.0</v>
      </c>
      <c r="E139" s="310">
        <f t="shared" si="6"/>
        <v>0</v>
      </c>
      <c r="F139" s="284">
        <v>18155.0</v>
      </c>
      <c r="G139" s="310">
        <f t="shared" si="7"/>
        <v>0</v>
      </c>
      <c r="H139" s="284">
        <v>0.0</v>
      </c>
      <c r="I139" s="311">
        <f t="shared" si="4"/>
        <v>0</v>
      </c>
      <c r="J139" s="290"/>
      <c r="K139" s="288"/>
      <c r="L139" s="312">
        <v>15358.0</v>
      </c>
      <c r="M139" s="310">
        <f t="shared" si="5"/>
        <v>0</v>
      </c>
      <c r="N139" s="13">
        <v>135.0</v>
      </c>
      <c r="O139" s="42"/>
      <c r="P139" s="42"/>
      <c r="Q139" s="361"/>
      <c r="R139" s="367"/>
      <c r="S139" s="306"/>
      <c r="T139" s="42"/>
      <c r="U139" s="42"/>
      <c r="V139" s="42"/>
      <c r="W139" s="42"/>
      <c r="X139" s="42"/>
      <c r="Y139" s="42"/>
      <c r="Z139" s="42"/>
      <c r="AA139" s="42"/>
    </row>
    <row r="140">
      <c r="A140" s="282">
        <v>137.0</v>
      </c>
      <c r="B140" s="283" t="str">
        <f t="shared" si="1"/>
        <v/>
      </c>
      <c r="C140" s="288"/>
      <c r="D140" s="284">
        <v>17815.0</v>
      </c>
      <c r="E140" s="310">
        <f t="shared" si="6"/>
        <v>0</v>
      </c>
      <c r="F140" s="284">
        <v>18155.0</v>
      </c>
      <c r="G140" s="310">
        <f t="shared" si="7"/>
        <v>0</v>
      </c>
      <c r="H140" s="284">
        <v>0.0</v>
      </c>
      <c r="I140" s="311">
        <f t="shared" si="4"/>
        <v>0</v>
      </c>
      <c r="J140" s="290"/>
      <c r="K140" s="288"/>
      <c r="L140" s="312">
        <v>15358.0</v>
      </c>
      <c r="M140" s="310">
        <f t="shared" si="5"/>
        <v>0</v>
      </c>
      <c r="N140" s="13">
        <v>136.0</v>
      </c>
      <c r="O140" s="42"/>
      <c r="P140" s="42"/>
      <c r="Q140" s="361"/>
      <c r="R140" s="367"/>
      <c r="S140" s="306"/>
      <c r="T140" s="42"/>
      <c r="U140" s="42"/>
      <c r="V140" s="42"/>
      <c r="W140" s="42"/>
      <c r="X140" s="42"/>
      <c r="Y140" s="42"/>
      <c r="Z140" s="42"/>
      <c r="AA140" s="42"/>
    </row>
    <row r="141">
      <c r="A141" s="282">
        <v>138.0</v>
      </c>
      <c r="B141" s="283" t="str">
        <f t="shared" si="1"/>
        <v/>
      </c>
      <c r="C141" s="288"/>
      <c r="D141" s="284">
        <v>17815.0</v>
      </c>
      <c r="E141" s="310">
        <f t="shared" si="6"/>
        <v>0</v>
      </c>
      <c r="F141" s="284">
        <v>18155.0</v>
      </c>
      <c r="G141" s="310">
        <f t="shared" si="7"/>
        <v>0</v>
      </c>
      <c r="H141" s="284">
        <v>0.0</v>
      </c>
      <c r="I141" s="311">
        <f t="shared" si="4"/>
        <v>0</v>
      </c>
      <c r="J141" s="290"/>
      <c r="K141" s="288"/>
      <c r="L141" s="312">
        <v>15415.0</v>
      </c>
      <c r="M141" s="310">
        <f t="shared" si="5"/>
        <v>0</v>
      </c>
      <c r="N141" s="13">
        <v>137.0</v>
      </c>
      <c r="O141" s="42"/>
      <c r="P141" s="42"/>
      <c r="Q141" s="361"/>
      <c r="R141" s="367"/>
      <c r="S141" s="306"/>
      <c r="T141" s="42"/>
      <c r="U141" s="42"/>
      <c r="V141" s="42"/>
      <c r="W141" s="42"/>
      <c r="X141" s="42"/>
      <c r="Y141" s="42"/>
      <c r="Z141" s="42"/>
      <c r="AA141" s="42"/>
    </row>
    <row r="142">
      <c r="A142" s="282">
        <v>139.0</v>
      </c>
      <c r="B142" s="283" t="str">
        <f t="shared" si="1"/>
        <v/>
      </c>
      <c r="C142" s="288"/>
      <c r="D142" s="284">
        <v>17815.0</v>
      </c>
      <c r="E142" s="310">
        <f t="shared" si="6"/>
        <v>0</v>
      </c>
      <c r="F142" s="284">
        <v>18155.0</v>
      </c>
      <c r="G142" s="310">
        <f t="shared" si="7"/>
        <v>0</v>
      </c>
      <c r="H142" s="284">
        <v>0.0</v>
      </c>
      <c r="I142" s="311">
        <f t="shared" si="4"/>
        <v>0</v>
      </c>
      <c r="J142" s="290"/>
      <c r="K142" s="288"/>
      <c r="L142" s="312">
        <v>15344.0</v>
      </c>
      <c r="M142" s="310">
        <f t="shared" si="5"/>
        <v>0</v>
      </c>
      <c r="N142" s="13">
        <v>138.0</v>
      </c>
      <c r="O142" s="42"/>
      <c r="P142" s="42"/>
      <c r="Q142" s="361"/>
      <c r="R142" s="367"/>
      <c r="S142" s="306"/>
      <c r="T142" s="42"/>
      <c r="U142" s="42"/>
      <c r="V142" s="42"/>
      <c r="W142" s="42"/>
      <c r="X142" s="42"/>
      <c r="Y142" s="42"/>
      <c r="Z142" s="42"/>
      <c r="AA142" s="42"/>
    </row>
    <row r="143">
      <c r="A143" s="282">
        <v>140.0</v>
      </c>
      <c r="B143" s="283" t="str">
        <f t="shared" si="1"/>
        <v/>
      </c>
      <c r="C143" s="288"/>
      <c r="D143" s="284">
        <v>17815.0</v>
      </c>
      <c r="E143" s="310">
        <f t="shared" si="6"/>
        <v>0</v>
      </c>
      <c r="F143" s="284">
        <v>18155.0</v>
      </c>
      <c r="G143" s="310">
        <f t="shared" si="7"/>
        <v>0</v>
      </c>
      <c r="H143" s="284">
        <v>0.0</v>
      </c>
      <c r="I143" s="311">
        <f t="shared" si="4"/>
        <v>0</v>
      </c>
      <c r="J143" s="290"/>
      <c r="K143" s="288"/>
      <c r="L143" s="312">
        <v>16435.0</v>
      </c>
      <c r="M143" s="310">
        <f t="shared" si="5"/>
        <v>0</v>
      </c>
      <c r="N143" s="13">
        <v>139.0</v>
      </c>
      <c r="O143" s="42"/>
      <c r="P143" s="42"/>
      <c r="Q143" s="361"/>
      <c r="R143" s="367"/>
      <c r="S143" s="306"/>
      <c r="T143" s="42"/>
      <c r="U143" s="42"/>
      <c r="V143" s="42"/>
      <c r="W143" s="42"/>
      <c r="X143" s="42"/>
      <c r="Y143" s="42"/>
      <c r="Z143" s="42"/>
      <c r="AA143" s="42"/>
    </row>
    <row r="144">
      <c r="A144" s="282">
        <v>141.0</v>
      </c>
      <c r="B144" s="283" t="str">
        <f t="shared" si="1"/>
        <v/>
      </c>
      <c r="C144" s="291"/>
      <c r="D144" s="284">
        <v>17815.0</v>
      </c>
      <c r="E144" s="310">
        <f t="shared" si="6"/>
        <v>0</v>
      </c>
      <c r="F144" s="284">
        <v>18155.0</v>
      </c>
      <c r="G144" s="310">
        <f t="shared" si="7"/>
        <v>0</v>
      </c>
      <c r="H144" s="284">
        <v>0.0</v>
      </c>
      <c r="I144" s="311">
        <f t="shared" si="4"/>
        <v>0</v>
      </c>
      <c r="J144" s="290"/>
      <c r="K144" s="291"/>
      <c r="L144" s="312">
        <v>16870.0</v>
      </c>
      <c r="M144" s="310">
        <f t="shared" si="5"/>
        <v>0</v>
      </c>
      <c r="N144" s="13">
        <v>140.0</v>
      </c>
      <c r="O144" s="42"/>
      <c r="P144" s="42"/>
      <c r="Q144" s="361"/>
      <c r="R144" s="367"/>
      <c r="S144" s="306"/>
      <c r="T144" s="42"/>
      <c r="U144" s="42"/>
      <c r="V144" s="42"/>
      <c r="W144" s="42"/>
      <c r="X144" s="42"/>
      <c r="Y144" s="42"/>
      <c r="Z144" s="42"/>
      <c r="AA144" s="42"/>
    </row>
    <row r="145">
      <c r="A145" s="282">
        <v>142.0</v>
      </c>
      <c r="B145" s="283" t="str">
        <f t="shared" si="1"/>
        <v/>
      </c>
      <c r="C145" s="291"/>
      <c r="D145" s="284">
        <v>17815.0</v>
      </c>
      <c r="E145" s="310">
        <f t="shared" si="6"/>
        <v>0</v>
      </c>
      <c r="F145" s="284">
        <v>18155.0</v>
      </c>
      <c r="G145" s="310">
        <f t="shared" si="7"/>
        <v>0</v>
      </c>
      <c r="H145" s="284">
        <v>0.0</v>
      </c>
      <c r="I145" s="311">
        <f t="shared" si="4"/>
        <v>0</v>
      </c>
      <c r="J145" s="290"/>
      <c r="K145" s="291"/>
      <c r="L145" s="312">
        <v>16800.0</v>
      </c>
      <c r="M145" s="310">
        <f t="shared" si="5"/>
        <v>0</v>
      </c>
      <c r="N145" s="13">
        <v>141.0</v>
      </c>
      <c r="O145" s="42"/>
      <c r="P145" s="42"/>
      <c r="Q145" s="361"/>
      <c r="R145" s="367"/>
      <c r="S145" s="306"/>
      <c r="T145" s="42"/>
      <c r="U145" s="42"/>
      <c r="V145" s="42"/>
      <c r="W145" s="42"/>
      <c r="X145" s="42"/>
      <c r="Y145" s="42"/>
      <c r="Z145" s="42"/>
      <c r="AA145" s="42"/>
    </row>
    <row r="146">
      <c r="A146" s="282">
        <v>143.0</v>
      </c>
      <c r="B146" s="283" t="str">
        <f t="shared" si="1"/>
        <v/>
      </c>
      <c r="C146" s="291"/>
      <c r="D146" s="284">
        <v>17815.0</v>
      </c>
      <c r="E146" s="310">
        <f t="shared" si="6"/>
        <v>0</v>
      </c>
      <c r="F146" s="284">
        <v>18155.0</v>
      </c>
      <c r="G146" s="310">
        <f t="shared" si="7"/>
        <v>0</v>
      </c>
      <c r="H146" s="284">
        <v>0.0</v>
      </c>
      <c r="I146" s="311">
        <f t="shared" si="4"/>
        <v>0</v>
      </c>
      <c r="J146" s="290"/>
      <c r="K146" s="291"/>
      <c r="L146" s="312">
        <v>16800.0</v>
      </c>
      <c r="M146" s="310">
        <f t="shared" si="5"/>
        <v>0</v>
      </c>
      <c r="N146" s="13">
        <v>142.0</v>
      </c>
      <c r="O146" s="42"/>
      <c r="P146" s="42"/>
      <c r="Q146" s="361"/>
      <c r="R146" s="367"/>
      <c r="S146" s="306"/>
      <c r="T146" s="42"/>
      <c r="U146" s="42"/>
      <c r="V146" s="42"/>
      <c r="W146" s="42"/>
      <c r="X146" s="42"/>
      <c r="Y146" s="42"/>
      <c r="Z146" s="42"/>
      <c r="AA146" s="42"/>
    </row>
    <row r="147">
      <c r="A147" s="282">
        <v>144.0</v>
      </c>
      <c r="B147" s="283" t="str">
        <f t="shared" si="1"/>
        <v/>
      </c>
      <c r="C147" s="291"/>
      <c r="D147" s="284">
        <v>17815.0</v>
      </c>
      <c r="E147" s="310">
        <f t="shared" si="6"/>
        <v>0</v>
      </c>
      <c r="F147" s="284">
        <v>18155.0</v>
      </c>
      <c r="G147" s="310">
        <f t="shared" si="7"/>
        <v>0</v>
      </c>
      <c r="H147" s="284">
        <v>0.0</v>
      </c>
      <c r="I147" s="311">
        <f t="shared" si="4"/>
        <v>0</v>
      </c>
      <c r="J147" s="290"/>
      <c r="K147" s="291"/>
      <c r="L147" s="312">
        <v>16720.0</v>
      </c>
      <c r="M147" s="310">
        <f t="shared" si="5"/>
        <v>0</v>
      </c>
      <c r="N147" s="13">
        <v>143.0</v>
      </c>
      <c r="O147" s="42"/>
      <c r="P147" s="42"/>
      <c r="Q147" s="361"/>
      <c r="R147" s="367"/>
      <c r="S147" s="306"/>
      <c r="T147" s="42"/>
      <c r="U147" s="42"/>
      <c r="V147" s="42"/>
      <c r="W147" s="42"/>
      <c r="X147" s="42"/>
      <c r="Y147" s="42"/>
      <c r="Z147" s="42"/>
      <c r="AA147" s="42"/>
    </row>
    <row r="148">
      <c r="A148" s="282">
        <v>145.0</v>
      </c>
      <c r="B148" s="283" t="str">
        <f t="shared" si="1"/>
        <v/>
      </c>
      <c r="C148" s="291"/>
      <c r="D148" s="284">
        <v>17815.0</v>
      </c>
      <c r="E148" s="310">
        <f t="shared" si="6"/>
        <v>0</v>
      </c>
      <c r="F148" s="284">
        <v>18155.0</v>
      </c>
      <c r="G148" s="310">
        <f t="shared" si="7"/>
        <v>0</v>
      </c>
      <c r="H148" s="284">
        <v>0.0</v>
      </c>
      <c r="I148" s="311">
        <f t="shared" si="4"/>
        <v>0</v>
      </c>
      <c r="J148" s="290"/>
      <c r="K148" s="291"/>
      <c r="L148" s="312">
        <v>16220.0</v>
      </c>
      <c r="M148" s="310">
        <f t="shared" si="5"/>
        <v>0</v>
      </c>
      <c r="N148" s="13">
        <v>144.0</v>
      </c>
      <c r="O148" s="42"/>
      <c r="P148" s="42"/>
      <c r="Q148" s="361"/>
      <c r="R148" s="367"/>
      <c r="S148" s="306"/>
      <c r="T148" s="42"/>
      <c r="U148" s="42"/>
      <c r="V148" s="42"/>
      <c r="W148" s="42"/>
      <c r="X148" s="42"/>
      <c r="Y148" s="42"/>
      <c r="Z148" s="42"/>
      <c r="AA148" s="42"/>
    </row>
    <row r="149">
      <c r="A149" s="282">
        <v>146.0</v>
      </c>
      <c r="B149" s="283" t="str">
        <f t="shared" si="1"/>
        <v/>
      </c>
      <c r="C149" s="291"/>
      <c r="D149" s="284">
        <v>17815.0</v>
      </c>
      <c r="E149" s="310">
        <f t="shared" si="6"/>
        <v>0</v>
      </c>
      <c r="F149" s="284">
        <v>18155.0</v>
      </c>
      <c r="G149" s="310">
        <f t="shared" si="7"/>
        <v>0</v>
      </c>
      <c r="H149" s="284">
        <v>0.0</v>
      </c>
      <c r="I149" s="311">
        <f t="shared" si="4"/>
        <v>0</v>
      </c>
      <c r="J149" s="290"/>
      <c r="K149" s="291"/>
      <c r="L149" s="312">
        <v>16150.0</v>
      </c>
      <c r="M149" s="310">
        <f t="shared" si="5"/>
        <v>0</v>
      </c>
      <c r="N149" s="13">
        <v>145.0</v>
      </c>
      <c r="O149" s="42"/>
      <c r="P149" s="42"/>
      <c r="Q149" s="361"/>
      <c r="R149" s="367"/>
      <c r="S149" s="306"/>
      <c r="T149" s="42"/>
      <c r="U149" s="42"/>
      <c r="V149" s="42"/>
      <c r="W149" s="42"/>
      <c r="X149" s="42"/>
      <c r="Y149" s="42"/>
      <c r="Z149" s="42"/>
      <c r="AA149" s="42"/>
    </row>
    <row r="150">
      <c r="A150" s="282">
        <v>147.0</v>
      </c>
      <c r="B150" s="283" t="str">
        <f t="shared" si="1"/>
        <v/>
      </c>
      <c r="C150" s="291"/>
      <c r="D150" s="284">
        <v>17815.0</v>
      </c>
      <c r="E150" s="310">
        <f t="shared" si="6"/>
        <v>0</v>
      </c>
      <c r="F150" s="284">
        <v>18157.0</v>
      </c>
      <c r="G150" s="310">
        <f t="shared" si="7"/>
        <v>0</v>
      </c>
      <c r="H150" s="284">
        <v>0.0</v>
      </c>
      <c r="I150" s="311">
        <f t="shared" si="4"/>
        <v>0</v>
      </c>
      <c r="J150" s="290"/>
      <c r="K150" s="291"/>
      <c r="L150" s="312">
        <v>16230.0</v>
      </c>
      <c r="M150" s="310">
        <f t="shared" si="5"/>
        <v>0</v>
      </c>
      <c r="N150" s="13">
        <v>146.0</v>
      </c>
      <c r="O150" s="42"/>
      <c r="P150" s="42"/>
      <c r="Q150" s="361"/>
      <c r="R150" s="367"/>
      <c r="S150" s="306"/>
      <c r="T150" s="42"/>
      <c r="U150" s="42"/>
      <c r="V150" s="42"/>
      <c r="W150" s="42"/>
      <c r="X150" s="42"/>
      <c r="Y150" s="42"/>
      <c r="Z150" s="42"/>
      <c r="AA150" s="42"/>
    </row>
    <row r="151">
      <c r="A151" s="282">
        <v>148.0</v>
      </c>
      <c r="B151" s="283" t="str">
        <f t="shared" si="1"/>
        <v/>
      </c>
      <c r="C151" s="291"/>
      <c r="D151" s="284">
        <v>17815.0</v>
      </c>
      <c r="E151" s="310">
        <f t="shared" si="6"/>
        <v>0</v>
      </c>
      <c r="F151" s="284">
        <v>18157.0</v>
      </c>
      <c r="G151" s="310">
        <f t="shared" si="7"/>
        <v>0</v>
      </c>
      <c r="H151" s="284">
        <v>0.0</v>
      </c>
      <c r="I151" s="311">
        <f t="shared" si="4"/>
        <v>0</v>
      </c>
      <c r="J151" s="290"/>
      <c r="K151" s="291"/>
      <c r="L151" s="312">
        <v>16210.0</v>
      </c>
      <c r="M151" s="310">
        <f t="shared" si="5"/>
        <v>0</v>
      </c>
      <c r="N151" s="13">
        <v>147.0</v>
      </c>
      <c r="O151" s="42"/>
      <c r="P151" s="42"/>
      <c r="Q151" s="361"/>
      <c r="R151" s="367"/>
      <c r="S151" s="306"/>
      <c r="T151" s="42"/>
      <c r="U151" s="42"/>
      <c r="V151" s="42"/>
      <c r="W151" s="42"/>
      <c r="X151" s="42"/>
      <c r="Y151" s="42"/>
      <c r="Z151" s="42"/>
      <c r="AA151" s="42"/>
    </row>
    <row r="152">
      <c r="A152" s="282">
        <v>149.0</v>
      </c>
      <c r="B152" s="283" t="str">
        <f t="shared" si="1"/>
        <v/>
      </c>
      <c r="C152" s="291"/>
      <c r="D152" s="284">
        <v>17815.0</v>
      </c>
      <c r="E152" s="310">
        <f t="shared" si="6"/>
        <v>0</v>
      </c>
      <c r="F152" s="284">
        <v>18157.0</v>
      </c>
      <c r="G152" s="310">
        <f t="shared" si="7"/>
        <v>0</v>
      </c>
      <c r="H152" s="284">
        <v>0.0</v>
      </c>
      <c r="I152" s="311">
        <f t="shared" si="4"/>
        <v>0</v>
      </c>
      <c r="J152" s="290"/>
      <c r="K152" s="291"/>
      <c r="L152" s="312">
        <v>16210.0</v>
      </c>
      <c r="M152" s="310">
        <f t="shared" si="5"/>
        <v>0</v>
      </c>
      <c r="N152" s="13">
        <v>148.0</v>
      </c>
      <c r="O152" s="42"/>
      <c r="P152" s="42"/>
      <c r="Q152" s="361"/>
      <c r="R152" s="367"/>
      <c r="S152" s="306"/>
      <c r="T152" s="42"/>
      <c r="U152" s="42"/>
      <c r="V152" s="42"/>
      <c r="W152" s="42"/>
      <c r="X152" s="42"/>
      <c r="Y152" s="42"/>
      <c r="Z152" s="42"/>
      <c r="AA152" s="42"/>
    </row>
    <row r="153">
      <c r="A153" s="282">
        <v>150.0</v>
      </c>
      <c r="B153" s="283" t="str">
        <f t="shared" si="1"/>
        <v/>
      </c>
      <c r="C153" s="291"/>
      <c r="D153" s="284">
        <v>17815.0</v>
      </c>
      <c r="E153" s="310">
        <f t="shared" si="6"/>
        <v>0</v>
      </c>
      <c r="F153" s="284">
        <v>18157.0</v>
      </c>
      <c r="G153" s="310">
        <f t="shared" si="7"/>
        <v>0</v>
      </c>
      <c r="H153" s="284">
        <v>0.0</v>
      </c>
      <c r="I153" s="311">
        <f t="shared" si="4"/>
        <v>0</v>
      </c>
      <c r="J153" s="290"/>
      <c r="K153" s="291"/>
      <c r="L153" s="312">
        <v>16240.0</v>
      </c>
      <c r="M153" s="310">
        <f t="shared" si="5"/>
        <v>0</v>
      </c>
      <c r="N153" s="13">
        <v>149.0</v>
      </c>
      <c r="O153" s="42"/>
      <c r="P153" s="42"/>
      <c r="Q153" s="361"/>
      <c r="R153" s="367"/>
      <c r="S153" s="306"/>
      <c r="T153" s="42"/>
      <c r="U153" s="42"/>
      <c r="V153" s="42"/>
      <c r="W153" s="42"/>
      <c r="X153" s="42"/>
      <c r="Y153" s="42"/>
      <c r="Z153" s="42"/>
      <c r="AA153" s="42"/>
    </row>
    <row r="154">
      <c r="A154" s="282">
        <v>151.0</v>
      </c>
      <c r="B154" s="283" t="str">
        <f t="shared" si="1"/>
        <v/>
      </c>
      <c r="C154" s="291"/>
      <c r="D154" s="284">
        <v>17815.0</v>
      </c>
      <c r="E154" s="310">
        <f t="shared" si="6"/>
        <v>0</v>
      </c>
      <c r="F154" s="284">
        <v>18157.0</v>
      </c>
      <c r="G154" s="310">
        <f t="shared" si="7"/>
        <v>0</v>
      </c>
      <c r="H154" s="284">
        <v>0.0</v>
      </c>
      <c r="I154" s="311">
        <f t="shared" si="4"/>
        <v>0</v>
      </c>
      <c r="J154" s="290"/>
      <c r="K154" s="291"/>
      <c r="L154" s="312">
        <v>16210.0</v>
      </c>
      <c r="M154" s="310">
        <f t="shared" si="5"/>
        <v>0</v>
      </c>
      <c r="N154" s="13">
        <v>150.0</v>
      </c>
      <c r="O154" s="42"/>
      <c r="P154" s="42"/>
      <c r="Q154" s="361"/>
      <c r="R154" s="367"/>
      <c r="S154" s="306"/>
      <c r="T154" s="42"/>
      <c r="U154" s="42"/>
      <c r="V154" s="42"/>
      <c r="W154" s="42"/>
      <c r="X154" s="42"/>
      <c r="Y154" s="42"/>
      <c r="Z154" s="42"/>
      <c r="AA154" s="42"/>
    </row>
    <row r="155">
      <c r="A155" s="282">
        <v>152.0</v>
      </c>
      <c r="B155" s="283" t="str">
        <f t="shared" si="1"/>
        <v/>
      </c>
      <c r="C155" s="291"/>
      <c r="D155" s="284">
        <v>17815.0</v>
      </c>
      <c r="E155" s="310">
        <f t="shared" si="6"/>
        <v>0</v>
      </c>
      <c r="F155" s="284">
        <v>18157.0</v>
      </c>
      <c r="G155" s="310">
        <f t="shared" si="7"/>
        <v>0</v>
      </c>
      <c r="H155" s="284">
        <v>0.0</v>
      </c>
      <c r="I155" s="311">
        <f t="shared" si="4"/>
        <v>0</v>
      </c>
      <c r="J155" s="290"/>
      <c r="K155" s="291"/>
      <c r="L155" s="312">
        <v>16240.0</v>
      </c>
      <c r="M155" s="310">
        <f t="shared" si="5"/>
        <v>0</v>
      </c>
      <c r="N155" s="13">
        <v>151.0</v>
      </c>
      <c r="O155" s="42"/>
      <c r="P155" s="42"/>
      <c r="Q155" s="361"/>
      <c r="R155" s="305"/>
      <c r="S155" s="306"/>
      <c r="T155" s="42"/>
      <c r="U155" s="42"/>
      <c r="V155" s="42"/>
      <c r="W155" s="42"/>
      <c r="X155" s="42"/>
      <c r="Y155" s="42"/>
      <c r="Z155" s="42"/>
      <c r="AA155" s="42"/>
    </row>
    <row r="156">
      <c r="A156" s="282">
        <v>153.0</v>
      </c>
      <c r="B156" s="283" t="str">
        <f t="shared" si="1"/>
        <v/>
      </c>
      <c r="C156" s="291"/>
      <c r="D156" s="284">
        <v>17815.0</v>
      </c>
      <c r="E156" s="310">
        <f t="shared" si="6"/>
        <v>0</v>
      </c>
      <c r="F156" s="284">
        <v>18157.0</v>
      </c>
      <c r="G156" s="310">
        <f t="shared" si="7"/>
        <v>0</v>
      </c>
      <c r="H156" s="284">
        <v>0.0</v>
      </c>
      <c r="I156" s="311">
        <f t="shared" si="4"/>
        <v>0</v>
      </c>
      <c r="J156" s="290"/>
      <c r="K156" s="291"/>
      <c r="L156" s="312">
        <v>16240.0</v>
      </c>
      <c r="M156" s="310">
        <f t="shared" si="5"/>
        <v>0</v>
      </c>
      <c r="N156" s="13">
        <v>152.0</v>
      </c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</row>
    <row r="157">
      <c r="A157" s="282">
        <v>154.0</v>
      </c>
      <c r="B157" s="283" t="str">
        <f t="shared" si="1"/>
        <v/>
      </c>
      <c r="C157" s="291"/>
      <c r="D157" s="284">
        <v>17815.0</v>
      </c>
      <c r="E157" s="310">
        <f t="shared" si="6"/>
        <v>0</v>
      </c>
      <c r="F157" s="284">
        <v>18157.0</v>
      </c>
      <c r="G157" s="310">
        <f t="shared" si="7"/>
        <v>0</v>
      </c>
      <c r="H157" s="284">
        <v>0.0</v>
      </c>
      <c r="I157" s="311">
        <f t="shared" si="4"/>
        <v>0</v>
      </c>
      <c r="J157" s="290"/>
      <c r="K157" s="291"/>
      <c r="L157" s="312">
        <v>16210.0</v>
      </c>
      <c r="M157" s="310">
        <f t="shared" si="5"/>
        <v>0</v>
      </c>
      <c r="N157" s="13">
        <v>153.0</v>
      </c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</row>
    <row r="158">
      <c r="A158" s="282">
        <v>155.0</v>
      </c>
      <c r="B158" s="283" t="str">
        <f t="shared" si="1"/>
        <v/>
      </c>
      <c r="C158" s="291"/>
      <c r="D158" s="284">
        <v>17815.0</v>
      </c>
      <c r="E158" s="310">
        <f t="shared" si="6"/>
        <v>0</v>
      </c>
      <c r="F158" s="284">
        <v>18032.0</v>
      </c>
      <c r="G158" s="310">
        <f t="shared" si="7"/>
        <v>0</v>
      </c>
      <c r="H158" s="284">
        <v>0.0</v>
      </c>
      <c r="I158" s="311">
        <f t="shared" si="4"/>
        <v>0</v>
      </c>
      <c r="J158" s="290"/>
      <c r="K158" s="291"/>
      <c r="L158" s="312">
        <v>16550.0</v>
      </c>
      <c r="M158" s="310">
        <f t="shared" si="5"/>
        <v>0</v>
      </c>
      <c r="N158" s="13">
        <v>154.0</v>
      </c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</row>
    <row r="159">
      <c r="A159" s="282">
        <v>156.0</v>
      </c>
      <c r="B159" s="283" t="str">
        <f t="shared" si="1"/>
        <v/>
      </c>
      <c r="C159" s="291"/>
      <c r="D159" s="284">
        <v>17815.0</v>
      </c>
      <c r="E159" s="310">
        <f t="shared" si="6"/>
        <v>0</v>
      </c>
      <c r="F159" s="284">
        <v>18032.0</v>
      </c>
      <c r="G159" s="310">
        <f t="shared" si="7"/>
        <v>0</v>
      </c>
      <c r="H159" s="284">
        <v>0.0</v>
      </c>
      <c r="I159" s="311">
        <f t="shared" si="4"/>
        <v>0</v>
      </c>
      <c r="J159" s="290"/>
      <c r="K159" s="291"/>
      <c r="L159" s="312">
        <v>16550.0</v>
      </c>
      <c r="M159" s="310">
        <f t="shared" si="5"/>
        <v>0</v>
      </c>
      <c r="N159" s="13">
        <v>155.0</v>
      </c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</row>
    <row r="160">
      <c r="A160" s="282">
        <v>157.0</v>
      </c>
      <c r="B160" s="283" t="str">
        <f t="shared" si="1"/>
        <v/>
      </c>
      <c r="C160" s="291"/>
      <c r="D160" s="284">
        <v>17815.0</v>
      </c>
      <c r="E160" s="310">
        <f t="shared" si="6"/>
        <v>0</v>
      </c>
      <c r="F160" s="284">
        <v>18032.0</v>
      </c>
      <c r="G160" s="310">
        <f t="shared" si="7"/>
        <v>0</v>
      </c>
      <c r="H160" s="284">
        <v>0.0</v>
      </c>
      <c r="I160" s="311">
        <f t="shared" si="4"/>
        <v>0</v>
      </c>
      <c r="J160" s="290"/>
      <c r="K160" s="291"/>
      <c r="L160" s="312">
        <v>16550.0</v>
      </c>
      <c r="M160" s="310">
        <f t="shared" si="5"/>
        <v>0</v>
      </c>
      <c r="N160" s="13">
        <v>156.0</v>
      </c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</row>
    <row r="161">
      <c r="A161" s="282">
        <v>158.0</v>
      </c>
      <c r="B161" s="283" t="str">
        <f t="shared" si="1"/>
        <v/>
      </c>
      <c r="C161" s="291"/>
      <c r="D161" s="284">
        <v>18141.0</v>
      </c>
      <c r="E161" s="310">
        <f t="shared" si="6"/>
        <v>0</v>
      </c>
      <c r="F161" s="284">
        <v>18034.0</v>
      </c>
      <c r="G161" s="310">
        <f t="shared" si="7"/>
        <v>0</v>
      </c>
      <c r="H161" s="284">
        <v>0.0</v>
      </c>
      <c r="I161" s="311">
        <f t="shared" si="4"/>
        <v>0</v>
      </c>
      <c r="J161" s="290"/>
      <c r="K161" s="291"/>
      <c r="L161" s="312">
        <v>16875.0</v>
      </c>
      <c r="M161" s="310">
        <f t="shared" si="5"/>
        <v>0</v>
      </c>
      <c r="N161" s="13">
        <v>157.0</v>
      </c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</row>
    <row r="162">
      <c r="A162" s="282">
        <v>159.0</v>
      </c>
      <c r="B162" s="283" t="str">
        <f t="shared" si="1"/>
        <v/>
      </c>
      <c r="C162" s="291"/>
      <c r="D162" s="284">
        <v>18141.0</v>
      </c>
      <c r="E162" s="310">
        <f t="shared" si="6"/>
        <v>0</v>
      </c>
      <c r="F162" s="284">
        <v>18034.0</v>
      </c>
      <c r="G162" s="310">
        <f t="shared" si="7"/>
        <v>0</v>
      </c>
      <c r="H162" s="284">
        <v>0.0</v>
      </c>
      <c r="I162" s="311">
        <f t="shared" si="4"/>
        <v>0</v>
      </c>
      <c r="J162" s="290"/>
      <c r="K162" s="291"/>
      <c r="L162" s="312">
        <v>16875.0</v>
      </c>
      <c r="M162" s="310">
        <f t="shared" si="5"/>
        <v>0</v>
      </c>
      <c r="N162" s="13">
        <v>158.0</v>
      </c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</row>
    <row r="163">
      <c r="A163" s="282">
        <v>160.0</v>
      </c>
      <c r="B163" s="283" t="str">
        <f t="shared" si="1"/>
        <v/>
      </c>
      <c r="C163" s="291"/>
      <c r="D163" s="284">
        <v>18141.0</v>
      </c>
      <c r="E163" s="310">
        <f t="shared" si="6"/>
        <v>0</v>
      </c>
      <c r="F163" s="284">
        <v>18034.0</v>
      </c>
      <c r="G163" s="310">
        <f t="shared" si="7"/>
        <v>0</v>
      </c>
      <c r="H163" s="284">
        <v>0.0</v>
      </c>
      <c r="I163" s="311">
        <f t="shared" si="4"/>
        <v>0</v>
      </c>
      <c r="J163" s="290"/>
      <c r="K163" s="291"/>
      <c r="L163" s="312">
        <v>16220.0</v>
      </c>
      <c r="M163" s="310">
        <f t="shared" si="5"/>
        <v>0</v>
      </c>
      <c r="N163" s="13">
        <v>159.0</v>
      </c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</row>
    <row r="164">
      <c r="A164" s="282">
        <v>161.0</v>
      </c>
      <c r="B164" s="283" t="str">
        <f t="shared" si="1"/>
        <v/>
      </c>
      <c r="C164" s="291"/>
      <c r="D164" s="284">
        <v>18141.0</v>
      </c>
      <c r="E164" s="310">
        <f t="shared" si="6"/>
        <v>0</v>
      </c>
      <c r="F164" s="284">
        <v>18034.0</v>
      </c>
      <c r="G164" s="310">
        <f t="shared" si="7"/>
        <v>0</v>
      </c>
      <c r="H164" s="284">
        <v>0.0</v>
      </c>
      <c r="I164" s="311">
        <f t="shared" si="4"/>
        <v>0</v>
      </c>
      <c r="J164" s="290"/>
      <c r="K164" s="291"/>
      <c r="L164" s="312">
        <v>16150.0</v>
      </c>
      <c r="M164" s="310">
        <f t="shared" si="5"/>
        <v>0</v>
      </c>
      <c r="N164" s="13">
        <v>160.0</v>
      </c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</row>
    <row r="165">
      <c r="A165" s="282">
        <v>162.0</v>
      </c>
      <c r="B165" s="283" t="str">
        <f t="shared" si="1"/>
        <v/>
      </c>
      <c r="C165" s="291"/>
      <c r="D165" s="284">
        <v>18141.0</v>
      </c>
      <c r="E165" s="310">
        <f t="shared" si="6"/>
        <v>0</v>
      </c>
      <c r="F165" s="284">
        <v>18034.0</v>
      </c>
      <c r="G165" s="310">
        <f t="shared" si="7"/>
        <v>0</v>
      </c>
      <c r="H165" s="284">
        <v>0.0</v>
      </c>
      <c r="I165" s="311">
        <f t="shared" si="4"/>
        <v>0</v>
      </c>
      <c r="J165" s="290"/>
      <c r="K165" s="291"/>
      <c r="L165" s="312">
        <v>16230.0</v>
      </c>
      <c r="M165" s="310">
        <f t="shared" si="5"/>
        <v>0</v>
      </c>
      <c r="N165" s="13">
        <v>161.0</v>
      </c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</row>
    <row r="166">
      <c r="A166" s="282">
        <v>163.0</v>
      </c>
      <c r="B166" s="283" t="str">
        <f t="shared" si="1"/>
        <v/>
      </c>
      <c r="C166" s="291"/>
      <c r="D166" s="284">
        <v>18141.0</v>
      </c>
      <c r="E166" s="310">
        <f t="shared" si="6"/>
        <v>0</v>
      </c>
      <c r="F166" s="284">
        <v>18038.0</v>
      </c>
      <c r="G166" s="310">
        <f t="shared" si="7"/>
        <v>0</v>
      </c>
      <c r="H166" s="284">
        <v>0.0</v>
      </c>
      <c r="I166" s="311">
        <f t="shared" si="4"/>
        <v>0</v>
      </c>
      <c r="J166" s="290"/>
      <c r="K166" s="291"/>
      <c r="L166" s="312">
        <v>16210.0</v>
      </c>
      <c r="M166" s="310">
        <f t="shared" si="5"/>
        <v>0</v>
      </c>
      <c r="N166" s="13">
        <v>162.0</v>
      </c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</row>
    <row r="167">
      <c r="A167" s="282">
        <v>164.0</v>
      </c>
      <c r="B167" s="283" t="str">
        <f t="shared" si="1"/>
        <v/>
      </c>
      <c r="C167" s="291"/>
      <c r="D167" s="284">
        <v>18141.0</v>
      </c>
      <c r="E167" s="310">
        <f t="shared" si="6"/>
        <v>0</v>
      </c>
      <c r="F167" s="284">
        <v>18038.0</v>
      </c>
      <c r="G167" s="310">
        <f t="shared" si="7"/>
        <v>0</v>
      </c>
      <c r="H167" s="284">
        <v>0.0</v>
      </c>
      <c r="I167" s="311">
        <f t="shared" si="4"/>
        <v>0</v>
      </c>
      <c r="J167" s="290"/>
      <c r="K167" s="291"/>
      <c r="L167" s="312">
        <v>16210.0</v>
      </c>
      <c r="M167" s="310">
        <f t="shared" si="5"/>
        <v>0</v>
      </c>
      <c r="N167" s="13">
        <v>163.0</v>
      </c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</row>
    <row r="168">
      <c r="A168" s="282">
        <v>165.0</v>
      </c>
      <c r="B168" s="283" t="str">
        <f t="shared" si="1"/>
        <v/>
      </c>
      <c r="C168" s="291"/>
      <c r="D168" s="284">
        <v>18141.0</v>
      </c>
      <c r="E168" s="310">
        <f t="shared" si="6"/>
        <v>0</v>
      </c>
      <c r="F168" s="284">
        <v>18035.0</v>
      </c>
      <c r="G168" s="310">
        <f t="shared" si="7"/>
        <v>0</v>
      </c>
      <c r="H168" s="284">
        <v>0.0</v>
      </c>
      <c r="I168" s="311">
        <f t="shared" si="4"/>
        <v>0</v>
      </c>
      <c r="J168" s="290"/>
      <c r="K168" s="291"/>
      <c r="L168" s="312">
        <v>16240.0</v>
      </c>
      <c r="M168" s="310">
        <f t="shared" si="5"/>
        <v>0</v>
      </c>
      <c r="N168" s="13">
        <v>164.0</v>
      </c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</row>
    <row r="169">
      <c r="A169" s="282">
        <v>166.0</v>
      </c>
      <c r="B169" s="283" t="str">
        <f t="shared" si="1"/>
        <v/>
      </c>
      <c r="C169" s="291"/>
      <c r="D169" s="284">
        <v>18141.0</v>
      </c>
      <c r="E169" s="310">
        <f t="shared" si="6"/>
        <v>0</v>
      </c>
      <c r="F169" s="284">
        <v>18038.0</v>
      </c>
      <c r="G169" s="310">
        <f t="shared" si="7"/>
        <v>0</v>
      </c>
      <c r="H169" s="284">
        <v>0.0</v>
      </c>
      <c r="I169" s="311">
        <f t="shared" si="4"/>
        <v>0</v>
      </c>
      <c r="J169" s="290"/>
      <c r="K169" s="291"/>
      <c r="L169" s="312">
        <v>16210.0</v>
      </c>
      <c r="M169" s="310">
        <f t="shared" si="5"/>
        <v>0</v>
      </c>
      <c r="N169" s="13">
        <v>165.0</v>
      </c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</row>
    <row r="170">
      <c r="A170" s="282">
        <v>167.0</v>
      </c>
      <c r="B170" s="283" t="str">
        <f t="shared" si="1"/>
        <v/>
      </c>
      <c r="C170" s="291"/>
      <c r="D170" s="284">
        <v>18141.0</v>
      </c>
      <c r="E170" s="310">
        <f t="shared" si="6"/>
        <v>0</v>
      </c>
      <c r="F170" s="284">
        <v>18038.0</v>
      </c>
      <c r="G170" s="310">
        <f t="shared" si="7"/>
        <v>0</v>
      </c>
      <c r="H170" s="284">
        <v>0.0</v>
      </c>
      <c r="I170" s="311">
        <f t="shared" si="4"/>
        <v>0</v>
      </c>
      <c r="J170" s="290"/>
      <c r="K170" s="291"/>
      <c r="L170" s="312">
        <v>16240.0</v>
      </c>
      <c r="M170" s="310">
        <f t="shared" si="5"/>
        <v>0</v>
      </c>
      <c r="N170" s="13">
        <v>166.0</v>
      </c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</row>
    <row r="171">
      <c r="A171" s="282">
        <v>168.0</v>
      </c>
      <c r="B171" s="283" t="str">
        <f t="shared" si="1"/>
        <v/>
      </c>
      <c r="C171" s="291"/>
      <c r="D171" s="284">
        <v>18141.0</v>
      </c>
      <c r="E171" s="310">
        <f t="shared" si="6"/>
        <v>0</v>
      </c>
      <c r="F171" s="284">
        <v>18038.0</v>
      </c>
      <c r="G171" s="310">
        <f t="shared" si="7"/>
        <v>0</v>
      </c>
      <c r="H171" s="284">
        <v>0.0</v>
      </c>
      <c r="I171" s="311">
        <f t="shared" si="4"/>
        <v>0</v>
      </c>
      <c r="J171" s="290"/>
      <c r="K171" s="291"/>
      <c r="L171" s="312">
        <v>16240.0</v>
      </c>
      <c r="M171" s="310">
        <f t="shared" si="5"/>
        <v>0</v>
      </c>
      <c r="N171" s="13">
        <v>167.0</v>
      </c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</row>
    <row r="172">
      <c r="A172" s="282">
        <v>169.0</v>
      </c>
      <c r="B172" s="283" t="str">
        <f t="shared" si="1"/>
        <v/>
      </c>
      <c r="C172" s="291"/>
      <c r="D172" s="284">
        <v>18141.0</v>
      </c>
      <c r="E172" s="310">
        <f t="shared" si="6"/>
        <v>0</v>
      </c>
      <c r="F172" s="284">
        <v>18038.0</v>
      </c>
      <c r="G172" s="310">
        <f t="shared" si="7"/>
        <v>0</v>
      </c>
      <c r="H172" s="284">
        <v>0.0</v>
      </c>
      <c r="I172" s="311">
        <f t="shared" si="4"/>
        <v>0</v>
      </c>
      <c r="J172" s="290"/>
      <c r="K172" s="291"/>
      <c r="L172" s="312">
        <v>16210.0</v>
      </c>
      <c r="M172" s="310">
        <f t="shared" si="5"/>
        <v>0</v>
      </c>
      <c r="N172" s="13">
        <v>168.0</v>
      </c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</row>
    <row r="173">
      <c r="A173" s="282">
        <v>170.0</v>
      </c>
      <c r="B173" s="283" t="str">
        <f t="shared" si="1"/>
        <v/>
      </c>
      <c r="C173" s="291"/>
      <c r="D173" s="284">
        <v>18141.0</v>
      </c>
      <c r="E173" s="310">
        <f t="shared" si="6"/>
        <v>0</v>
      </c>
      <c r="F173" s="284">
        <v>18038.0</v>
      </c>
      <c r="G173" s="310">
        <f t="shared" si="7"/>
        <v>0</v>
      </c>
      <c r="H173" s="284">
        <v>0.0</v>
      </c>
      <c r="I173" s="311">
        <f t="shared" si="4"/>
        <v>0</v>
      </c>
      <c r="J173" s="290"/>
      <c r="K173" s="291"/>
      <c r="L173" s="312">
        <v>16550.0</v>
      </c>
      <c r="M173" s="310">
        <f t="shared" si="5"/>
        <v>0</v>
      </c>
      <c r="N173" s="13">
        <v>169.0</v>
      </c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</row>
    <row r="174">
      <c r="A174" s="282">
        <v>171.0</v>
      </c>
      <c r="B174" s="283" t="str">
        <f t="shared" si="1"/>
        <v/>
      </c>
      <c r="C174" s="291"/>
      <c r="D174" s="284">
        <v>18141.0</v>
      </c>
      <c r="E174" s="310">
        <f t="shared" si="6"/>
        <v>0</v>
      </c>
      <c r="F174" s="284">
        <v>18038.0</v>
      </c>
      <c r="G174" s="310">
        <f t="shared" si="7"/>
        <v>0</v>
      </c>
      <c r="H174" s="284">
        <v>0.0</v>
      </c>
      <c r="I174" s="311">
        <f t="shared" si="4"/>
        <v>0</v>
      </c>
      <c r="J174" s="290"/>
      <c r="K174" s="291"/>
      <c r="L174" s="312">
        <v>16550.0</v>
      </c>
      <c r="M174" s="310">
        <f t="shared" si="5"/>
        <v>0</v>
      </c>
      <c r="N174" s="13">
        <v>170.0</v>
      </c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</row>
    <row r="175">
      <c r="A175" s="282">
        <v>172.0</v>
      </c>
      <c r="B175" s="283" t="str">
        <f t="shared" si="1"/>
        <v/>
      </c>
      <c r="C175" s="291"/>
      <c r="D175" s="284">
        <v>18141.0</v>
      </c>
      <c r="E175" s="310">
        <f t="shared" si="6"/>
        <v>0</v>
      </c>
      <c r="F175" s="284">
        <v>18038.0</v>
      </c>
      <c r="G175" s="310">
        <f t="shared" si="7"/>
        <v>0</v>
      </c>
      <c r="H175" s="284">
        <v>0.0</v>
      </c>
      <c r="I175" s="311">
        <f t="shared" si="4"/>
        <v>0</v>
      </c>
      <c r="J175" s="290"/>
      <c r="K175" s="291"/>
      <c r="L175" s="312">
        <v>16550.0</v>
      </c>
      <c r="M175" s="310">
        <f t="shared" si="5"/>
        <v>0</v>
      </c>
      <c r="N175" s="13">
        <v>171.0</v>
      </c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</row>
    <row r="176">
      <c r="A176" s="282">
        <v>173.0</v>
      </c>
      <c r="B176" s="283" t="str">
        <f t="shared" si="1"/>
        <v/>
      </c>
      <c r="C176" s="291"/>
      <c r="D176" s="284">
        <v>18141.0</v>
      </c>
      <c r="E176" s="310">
        <f t="shared" si="6"/>
        <v>0</v>
      </c>
      <c r="F176" s="284">
        <v>18038.0</v>
      </c>
      <c r="G176" s="310">
        <f t="shared" si="7"/>
        <v>0</v>
      </c>
      <c r="H176" s="284">
        <v>0.0</v>
      </c>
      <c r="I176" s="311">
        <f t="shared" si="4"/>
        <v>0</v>
      </c>
      <c r="J176" s="290"/>
      <c r="K176" s="291"/>
      <c r="L176" s="312">
        <v>16720.0</v>
      </c>
      <c r="M176" s="310">
        <f t="shared" si="5"/>
        <v>0</v>
      </c>
      <c r="N176" s="13">
        <v>172.0</v>
      </c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</row>
    <row r="177">
      <c r="A177" s="282">
        <v>174.0</v>
      </c>
      <c r="B177" s="283" t="str">
        <f t="shared" si="1"/>
        <v/>
      </c>
      <c r="C177" s="291"/>
      <c r="D177" s="284">
        <v>17995.0</v>
      </c>
      <c r="E177" s="310">
        <f t="shared" si="6"/>
        <v>0</v>
      </c>
      <c r="F177" s="284">
        <v>18038.0</v>
      </c>
      <c r="G177" s="310">
        <f t="shared" si="7"/>
        <v>0</v>
      </c>
      <c r="H177" s="284">
        <v>0.0</v>
      </c>
      <c r="I177" s="311">
        <f t="shared" si="4"/>
        <v>0</v>
      </c>
      <c r="J177" s="290"/>
      <c r="K177" s="291"/>
      <c r="L177" s="312">
        <v>16720.0</v>
      </c>
      <c r="M177" s="310">
        <f t="shared" si="5"/>
        <v>0</v>
      </c>
      <c r="N177" s="13">
        <v>173.0</v>
      </c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</row>
    <row r="178">
      <c r="A178" s="282">
        <v>175.0</v>
      </c>
      <c r="B178" s="283" t="str">
        <f t="shared" si="1"/>
        <v/>
      </c>
      <c r="C178" s="291"/>
      <c r="D178" s="284">
        <v>17995.0</v>
      </c>
      <c r="E178" s="310">
        <f t="shared" si="6"/>
        <v>0</v>
      </c>
      <c r="F178" s="284">
        <v>18038.0</v>
      </c>
      <c r="G178" s="310">
        <f t="shared" si="7"/>
        <v>0</v>
      </c>
      <c r="H178" s="284">
        <v>0.0</v>
      </c>
      <c r="I178" s="311">
        <f t="shared" si="4"/>
        <v>0</v>
      </c>
      <c r="J178" s="290"/>
      <c r="K178" s="291"/>
      <c r="L178" s="312">
        <v>16220.0</v>
      </c>
      <c r="M178" s="310">
        <f t="shared" si="5"/>
        <v>0</v>
      </c>
      <c r="N178" s="13">
        <v>174.0</v>
      </c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</row>
    <row r="179">
      <c r="A179" s="282">
        <v>176.0</v>
      </c>
      <c r="B179" s="283" t="str">
        <f t="shared" si="1"/>
        <v/>
      </c>
      <c r="C179" s="291"/>
      <c r="D179" s="284">
        <v>17995.0</v>
      </c>
      <c r="E179" s="310">
        <f t="shared" si="6"/>
        <v>0</v>
      </c>
      <c r="F179" s="284">
        <v>18038.0</v>
      </c>
      <c r="G179" s="310">
        <f t="shared" si="7"/>
        <v>0</v>
      </c>
      <c r="H179" s="284">
        <v>0.0</v>
      </c>
      <c r="I179" s="311">
        <f t="shared" si="4"/>
        <v>0</v>
      </c>
      <c r="J179" s="290"/>
      <c r="K179" s="291"/>
      <c r="L179" s="312">
        <v>16150.0</v>
      </c>
      <c r="M179" s="310">
        <f t="shared" si="5"/>
        <v>0</v>
      </c>
      <c r="N179" s="13">
        <v>175.0</v>
      </c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</row>
    <row r="180">
      <c r="A180" s="282">
        <v>177.0</v>
      </c>
      <c r="B180" s="283" t="str">
        <f t="shared" si="1"/>
        <v/>
      </c>
      <c r="C180" s="291"/>
      <c r="D180" s="284">
        <v>17995.0</v>
      </c>
      <c r="E180" s="310">
        <f t="shared" si="6"/>
        <v>0</v>
      </c>
      <c r="F180" s="284">
        <v>18038.0</v>
      </c>
      <c r="G180" s="310">
        <f t="shared" si="7"/>
        <v>0</v>
      </c>
      <c r="H180" s="284">
        <v>0.0</v>
      </c>
      <c r="I180" s="311">
        <f t="shared" si="4"/>
        <v>0</v>
      </c>
      <c r="J180" s="290"/>
      <c r="K180" s="291"/>
      <c r="L180" s="312">
        <v>16230.0</v>
      </c>
      <c r="M180" s="310">
        <f t="shared" si="5"/>
        <v>0</v>
      </c>
      <c r="N180" s="13">
        <v>176.0</v>
      </c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</row>
    <row r="181">
      <c r="A181" s="282">
        <v>178.0</v>
      </c>
      <c r="B181" s="283" t="str">
        <f t="shared" si="1"/>
        <v/>
      </c>
      <c r="C181" s="291"/>
      <c r="D181" s="284">
        <v>17995.0</v>
      </c>
      <c r="E181" s="310">
        <f t="shared" si="6"/>
        <v>0</v>
      </c>
      <c r="F181" s="284">
        <v>18038.0</v>
      </c>
      <c r="G181" s="310">
        <f t="shared" si="7"/>
        <v>0</v>
      </c>
      <c r="H181" s="284">
        <v>0.0</v>
      </c>
      <c r="I181" s="311">
        <f t="shared" si="4"/>
        <v>0</v>
      </c>
      <c r="J181" s="290"/>
      <c r="K181" s="291"/>
      <c r="L181" s="312">
        <v>16210.0</v>
      </c>
      <c r="M181" s="310">
        <f t="shared" si="5"/>
        <v>0</v>
      </c>
      <c r="N181" s="13">
        <v>177.0</v>
      </c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</row>
    <row r="182">
      <c r="A182" s="282">
        <v>179.0</v>
      </c>
      <c r="B182" s="283" t="str">
        <f t="shared" si="1"/>
        <v/>
      </c>
      <c r="C182" s="291"/>
      <c r="D182" s="284">
        <v>17995.0</v>
      </c>
      <c r="E182" s="310">
        <f t="shared" si="6"/>
        <v>0</v>
      </c>
      <c r="F182" s="284">
        <v>18038.0</v>
      </c>
      <c r="G182" s="310">
        <f t="shared" si="7"/>
        <v>0</v>
      </c>
      <c r="H182" s="284">
        <v>0.0</v>
      </c>
      <c r="I182" s="311">
        <f t="shared" si="4"/>
        <v>0</v>
      </c>
      <c r="J182" s="290"/>
      <c r="K182" s="291"/>
      <c r="L182" s="312">
        <v>16210.0</v>
      </c>
      <c r="M182" s="310">
        <f t="shared" si="5"/>
        <v>0</v>
      </c>
      <c r="N182" s="13">
        <v>178.0</v>
      </c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</row>
    <row r="183">
      <c r="A183" s="282">
        <v>180.0</v>
      </c>
      <c r="B183" s="283" t="str">
        <f t="shared" si="1"/>
        <v/>
      </c>
      <c r="C183" s="291"/>
      <c r="D183" s="284">
        <v>17995.0</v>
      </c>
      <c r="E183" s="310">
        <f t="shared" si="6"/>
        <v>0</v>
      </c>
      <c r="F183" s="284">
        <v>18038.0</v>
      </c>
      <c r="G183" s="310">
        <f t="shared" si="7"/>
        <v>0</v>
      </c>
      <c r="H183" s="284">
        <v>0.0</v>
      </c>
      <c r="I183" s="311">
        <f t="shared" si="4"/>
        <v>0</v>
      </c>
      <c r="J183" s="290"/>
      <c r="K183" s="291"/>
      <c r="L183" s="312">
        <v>16240.0</v>
      </c>
      <c r="M183" s="310">
        <f t="shared" si="5"/>
        <v>0</v>
      </c>
      <c r="N183" s="13">
        <v>179.0</v>
      </c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</row>
    <row r="184">
      <c r="A184" s="282">
        <v>181.0</v>
      </c>
      <c r="B184" s="283" t="str">
        <f t="shared" si="1"/>
        <v/>
      </c>
      <c r="C184" s="291"/>
      <c r="D184" s="284">
        <v>17995.0</v>
      </c>
      <c r="E184" s="310">
        <f t="shared" si="6"/>
        <v>0</v>
      </c>
      <c r="F184" s="284">
        <v>18038.0</v>
      </c>
      <c r="G184" s="310">
        <f t="shared" si="7"/>
        <v>0</v>
      </c>
      <c r="H184" s="284">
        <v>0.0</v>
      </c>
      <c r="I184" s="311">
        <f t="shared" si="4"/>
        <v>0</v>
      </c>
      <c r="J184" s="290"/>
      <c r="K184" s="291"/>
      <c r="L184" s="312">
        <v>16210.0</v>
      </c>
      <c r="M184" s="310">
        <f t="shared" si="5"/>
        <v>0</v>
      </c>
      <c r="N184" s="13">
        <v>180.0</v>
      </c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</row>
    <row r="185">
      <c r="A185" s="282">
        <v>182.0</v>
      </c>
      <c r="B185" s="283" t="str">
        <f t="shared" si="1"/>
        <v/>
      </c>
      <c r="C185" s="291"/>
      <c r="D185" s="284">
        <v>17995.0</v>
      </c>
      <c r="E185" s="310">
        <f t="shared" si="6"/>
        <v>0</v>
      </c>
      <c r="F185" s="284">
        <v>18038.0</v>
      </c>
      <c r="G185" s="310">
        <f t="shared" si="7"/>
        <v>0</v>
      </c>
      <c r="H185" s="284">
        <v>0.0</v>
      </c>
      <c r="I185" s="311">
        <f t="shared" si="4"/>
        <v>0</v>
      </c>
      <c r="J185" s="290"/>
      <c r="K185" s="291"/>
      <c r="L185" s="312">
        <v>16240.0</v>
      </c>
      <c r="M185" s="310">
        <f t="shared" si="5"/>
        <v>0</v>
      </c>
      <c r="N185" s="13">
        <v>181.0</v>
      </c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</row>
    <row r="186">
      <c r="A186" s="282">
        <v>183.0</v>
      </c>
      <c r="B186" s="283" t="str">
        <f t="shared" si="1"/>
        <v/>
      </c>
      <c r="C186" s="291"/>
      <c r="D186" s="284">
        <v>17995.0</v>
      </c>
      <c r="E186" s="310">
        <f t="shared" si="6"/>
        <v>0</v>
      </c>
      <c r="F186" s="284">
        <v>18038.0</v>
      </c>
      <c r="G186" s="310">
        <f t="shared" si="7"/>
        <v>0</v>
      </c>
      <c r="H186" s="284">
        <v>0.0</v>
      </c>
      <c r="I186" s="311">
        <f t="shared" si="4"/>
        <v>0</v>
      </c>
      <c r="J186" s="290"/>
      <c r="K186" s="291"/>
      <c r="L186" s="312">
        <v>16240.0</v>
      </c>
      <c r="M186" s="310">
        <f t="shared" si="5"/>
        <v>0</v>
      </c>
      <c r="N186" s="13">
        <v>182.0</v>
      </c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</row>
    <row r="187">
      <c r="A187" s="282">
        <v>184.0</v>
      </c>
      <c r="B187" s="283" t="str">
        <f t="shared" si="1"/>
        <v/>
      </c>
      <c r="C187" s="291"/>
      <c r="D187" s="284">
        <v>17995.0</v>
      </c>
      <c r="E187" s="310">
        <f t="shared" si="6"/>
        <v>0</v>
      </c>
      <c r="F187" s="284">
        <v>18038.0</v>
      </c>
      <c r="G187" s="310">
        <f t="shared" si="7"/>
        <v>0</v>
      </c>
      <c r="H187" s="284">
        <v>0.0</v>
      </c>
      <c r="I187" s="311">
        <f t="shared" si="4"/>
        <v>0</v>
      </c>
      <c r="J187" s="290"/>
      <c r="K187" s="291"/>
      <c r="L187" s="312">
        <v>16210.0</v>
      </c>
      <c r="M187" s="310">
        <f t="shared" si="5"/>
        <v>0</v>
      </c>
      <c r="N187" s="13">
        <v>183.0</v>
      </c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</row>
    <row r="188">
      <c r="A188" s="282">
        <v>185.0</v>
      </c>
      <c r="B188" s="283" t="str">
        <f t="shared" si="1"/>
        <v/>
      </c>
      <c r="C188" s="291"/>
      <c r="D188" s="284">
        <v>17995.0</v>
      </c>
      <c r="E188" s="310">
        <f t="shared" si="6"/>
        <v>0</v>
      </c>
      <c r="F188" s="284">
        <v>18038.0</v>
      </c>
      <c r="G188" s="310">
        <f t="shared" si="7"/>
        <v>0</v>
      </c>
      <c r="H188" s="284">
        <v>0.0</v>
      </c>
      <c r="I188" s="311">
        <f t="shared" si="4"/>
        <v>0</v>
      </c>
      <c r="J188" s="290"/>
      <c r="K188" s="291"/>
      <c r="L188" s="312">
        <v>16550.0</v>
      </c>
      <c r="M188" s="310">
        <f t="shared" si="5"/>
        <v>0</v>
      </c>
      <c r="N188" s="13">
        <v>184.0</v>
      </c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</row>
    <row r="189">
      <c r="A189" s="282">
        <v>186.0</v>
      </c>
      <c r="B189" s="283" t="str">
        <f t="shared" si="1"/>
        <v/>
      </c>
      <c r="C189" s="291"/>
      <c r="D189" s="284">
        <v>17995.0</v>
      </c>
      <c r="E189" s="310">
        <f t="shared" si="6"/>
        <v>0</v>
      </c>
      <c r="F189" s="284">
        <v>18038.0</v>
      </c>
      <c r="G189" s="310">
        <f t="shared" si="7"/>
        <v>0</v>
      </c>
      <c r="H189" s="284">
        <v>0.0</v>
      </c>
      <c r="I189" s="311">
        <f t="shared" si="4"/>
        <v>0</v>
      </c>
      <c r="J189" s="290"/>
      <c r="K189" s="291"/>
      <c r="L189" s="312">
        <v>16550.0</v>
      </c>
      <c r="M189" s="310">
        <f t="shared" si="5"/>
        <v>0</v>
      </c>
      <c r="N189" s="13">
        <v>185.0</v>
      </c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</row>
    <row r="190">
      <c r="A190" s="282">
        <v>187.0</v>
      </c>
      <c r="B190" s="283" t="str">
        <f t="shared" si="1"/>
        <v/>
      </c>
      <c r="C190" s="291"/>
      <c r="D190" s="284">
        <v>17995.0</v>
      </c>
      <c r="E190" s="310">
        <f t="shared" si="6"/>
        <v>0</v>
      </c>
      <c r="F190" s="284">
        <v>18038.0</v>
      </c>
      <c r="G190" s="310">
        <f t="shared" si="7"/>
        <v>0</v>
      </c>
      <c r="H190" s="284">
        <v>0.0</v>
      </c>
      <c r="I190" s="311">
        <f t="shared" si="4"/>
        <v>0</v>
      </c>
      <c r="J190" s="290"/>
      <c r="K190" s="291"/>
      <c r="L190" s="312">
        <v>16550.0</v>
      </c>
      <c r="M190" s="310">
        <f t="shared" si="5"/>
        <v>0</v>
      </c>
      <c r="N190" s="13">
        <v>186.0</v>
      </c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</row>
    <row r="191">
      <c r="A191" s="282">
        <v>188.0</v>
      </c>
      <c r="B191" s="283" t="str">
        <f t="shared" si="1"/>
        <v/>
      </c>
      <c r="C191" s="291"/>
      <c r="D191" s="284">
        <v>17995.0</v>
      </c>
      <c r="E191" s="310">
        <f t="shared" si="6"/>
        <v>0</v>
      </c>
      <c r="F191" s="284">
        <v>18038.0</v>
      </c>
      <c r="G191" s="310">
        <f t="shared" si="7"/>
        <v>0</v>
      </c>
      <c r="H191" s="284">
        <v>0.0</v>
      </c>
      <c r="I191" s="311">
        <f t="shared" si="4"/>
        <v>0</v>
      </c>
      <c r="J191" s="290"/>
      <c r="K191" s="291"/>
      <c r="L191" s="312">
        <v>16720.0</v>
      </c>
      <c r="M191" s="310">
        <f t="shared" si="5"/>
        <v>0</v>
      </c>
      <c r="N191" s="13">
        <v>187.0</v>
      </c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</row>
    <row r="192">
      <c r="A192" s="282">
        <v>189.0</v>
      </c>
      <c r="B192" s="283" t="str">
        <f t="shared" si="1"/>
        <v/>
      </c>
      <c r="C192" s="291"/>
      <c r="D192" s="284">
        <v>17995.0</v>
      </c>
      <c r="E192" s="310">
        <f t="shared" si="6"/>
        <v>0</v>
      </c>
      <c r="F192" s="284">
        <v>18038.0</v>
      </c>
      <c r="G192" s="310">
        <f t="shared" si="7"/>
        <v>0</v>
      </c>
      <c r="H192" s="284">
        <v>0.0</v>
      </c>
      <c r="I192" s="311">
        <f t="shared" si="4"/>
        <v>0</v>
      </c>
      <c r="J192" s="290"/>
      <c r="K192" s="291"/>
      <c r="L192" s="312">
        <v>16720.0</v>
      </c>
      <c r="M192" s="310">
        <f t="shared" si="5"/>
        <v>0</v>
      </c>
      <c r="N192" s="13">
        <v>188.0</v>
      </c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</row>
    <row r="193">
      <c r="A193" s="282">
        <v>190.0</v>
      </c>
      <c r="B193" s="283" t="str">
        <f t="shared" si="1"/>
        <v/>
      </c>
      <c r="C193" s="291"/>
      <c r="D193" s="284">
        <v>17995.0</v>
      </c>
      <c r="E193" s="310">
        <f t="shared" si="6"/>
        <v>0</v>
      </c>
      <c r="F193" s="284">
        <v>18038.0</v>
      </c>
      <c r="G193" s="310">
        <f t="shared" si="7"/>
        <v>0</v>
      </c>
      <c r="H193" s="284">
        <v>0.0</v>
      </c>
      <c r="I193" s="311">
        <f t="shared" si="4"/>
        <v>0</v>
      </c>
      <c r="J193" s="290"/>
      <c r="K193" s="291"/>
      <c r="L193" s="312">
        <v>16220.0</v>
      </c>
      <c r="M193" s="310">
        <f t="shared" si="5"/>
        <v>0</v>
      </c>
      <c r="N193" s="13">
        <v>189.0</v>
      </c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</row>
    <row r="194">
      <c r="A194" s="282">
        <v>191.0</v>
      </c>
      <c r="B194" s="283" t="str">
        <f t="shared" si="1"/>
        <v/>
      </c>
      <c r="C194" s="291"/>
      <c r="D194" s="284">
        <v>17995.0</v>
      </c>
      <c r="E194" s="310">
        <f t="shared" si="6"/>
        <v>0</v>
      </c>
      <c r="F194" s="284">
        <v>18038.0</v>
      </c>
      <c r="G194" s="310">
        <f t="shared" si="7"/>
        <v>0</v>
      </c>
      <c r="H194" s="284">
        <v>0.0</v>
      </c>
      <c r="I194" s="311">
        <f t="shared" si="4"/>
        <v>0</v>
      </c>
      <c r="J194" s="290"/>
      <c r="K194" s="291"/>
      <c r="L194" s="312">
        <v>16150.0</v>
      </c>
      <c r="M194" s="310">
        <f t="shared" si="5"/>
        <v>0</v>
      </c>
      <c r="N194" s="13">
        <v>190.0</v>
      </c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</row>
    <row r="195">
      <c r="A195" s="282">
        <v>192.0</v>
      </c>
      <c r="B195" s="283" t="str">
        <f t="shared" si="1"/>
        <v/>
      </c>
      <c r="C195" s="291"/>
      <c r="D195" s="284">
        <v>17995.0</v>
      </c>
      <c r="E195" s="310">
        <f t="shared" si="6"/>
        <v>0</v>
      </c>
      <c r="F195" s="284">
        <v>18038.0</v>
      </c>
      <c r="G195" s="310">
        <f t="shared" si="7"/>
        <v>0</v>
      </c>
      <c r="H195" s="284">
        <v>0.0</v>
      </c>
      <c r="I195" s="311">
        <f t="shared" si="4"/>
        <v>0</v>
      </c>
      <c r="J195" s="290"/>
      <c r="K195" s="291"/>
      <c r="L195" s="312">
        <v>16230.0</v>
      </c>
      <c r="M195" s="310">
        <f t="shared" si="5"/>
        <v>0</v>
      </c>
      <c r="N195" s="13">
        <v>191.0</v>
      </c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</row>
    <row r="196">
      <c r="A196" s="282">
        <v>193.0</v>
      </c>
      <c r="B196" s="283" t="str">
        <f t="shared" si="1"/>
        <v/>
      </c>
      <c r="C196" s="291"/>
      <c r="D196" s="284">
        <v>17995.0</v>
      </c>
      <c r="E196" s="310">
        <f t="shared" si="6"/>
        <v>0</v>
      </c>
      <c r="F196" s="284">
        <v>18038.0</v>
      </c>
      <c r="G196" s="310">
        <f t="shared" si="7"/>
        <v>0</v>
      </c>
      <c r="H196" s="284">
        <v>0.0</v>
      </c>
      <c r="I196" s="311">
        <f t="shared" si="4"/>
        <v>0</v>
      </c>
      <c r="J196" s="290"/>
      <c r="K196" s="291"/>
      <c r="L196" s="312">
        <v>16210.0</v>
      </c>
      <c r="M196" s="310">
        <f t="shared" si="5"/>
        <v>0</v>
      </c>
      <c r="N196" s="13">
        <v>192.0</v>
      </c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</row>
    <row r="197">
      <c r="A197" s="282">
        <v>194.0</v>
      </c>
      <c r="B197" s="283" t="str">
        <f t="shared" si="1"/>
        <v/>
      </c>
      <c r="C197" s="291"/>
      <c r="D197" s="284">
        <v>17995.0</v>
      </c>
      <c r="E197" s="310">
        <f t="shared" si="6"/>
        <v>0</v>
      </c>
      <c r="F197" s="284">
        <v>18038.0</v>
      </c>
      <c r="G197" s="310">
        <f t="shared" si="7"/>
        <v>0</v>
      </c>
      <c r="H197" s="284">
        <v>0.0</v>
      </c>
      <c r="I197" s="311">
        <f t="shared" si="4"/>
        <v>0</v>
      </c>
      <c r="J197" s="290"/>
      <c r="K197" s="291"/>
      <c r="L197" s="312">
        <v>16210.0</v>
      </c>
      <c r="M197" s="310">
        <f t="shared" si="5"/>
        <v>0</v>
      </c>
      <c r="N197" s="13">
        <v>193.0</v>
      </c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</row>
    <row r="198">
      <c r="A198" s="282">
        <v>195.0</v>
      </c>
      <c r="B198" s="283" t="str">
        <f t="shared" si="1"/>
        <v/>
      </c>
      <c r="C198" s="291"/>
      <c r="D198" s="284">
        <v>17995.0</v>
      </c>
      <c r="E198" s="310">
        <f t="shared" si="6"/>
        <v>0</v>
      </c>
      <c r="F198" s="284">
        <v>18038.0</v>
      </c>
      <c r="G198" s="310">
        <f t="shared" si="7"/>
        <v>0</v>
      </c>
      <c r="H198" s="284">
        <v>0.0</v>
      </c>
      <c r="I198" s="311">
        <f t="shared" si="4"/>
        <v>0</v>
      </c>
      <c r="J198" s="290"/>
      <c r="K198" s="291"/>
      <c r="L198" s="312">
        <v>16240.0</v>
      </c>
      <c r="M198" s="310">
        <f t="shared" si="5"/>
        <v>0</v>
      </c>
      <c r="N198" s="13">
        <v>194.0</v>
      </c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</row>
    <row r="199">
      <c r="A199" s="282">
        <v>196.0</v>
      </c>
      <c r="B199" s="283" t="str">
        <f t="shared" si="1"/>
        <v/>
      </c>
      <c r="C199" s="291"/>
      <c r="D199" s="284">
        <v>17995.0</v>
      </c>
      <c r="E199" s="310">
        <f t="shared" si="6"/>
        <v>0</v>
      </c>
      <c r="F199" s="284">
        <v>18038.0</v>
      </c>
      <c r="G199" s="310">
        <f t="shared" si="7"/>
        <v>0</v>
      </c>
      <c r="H199" s="284">
        <v>0.0</v>
      </c>
      <c r="I199" s="311">
        <f t="shared" si="4"/>
        <v>0</v>
      </c>
      <c r="J199" s="290"/>
      <c r="K199" s="291"/>
      <c r="L199" s="312">
        <v>16210.0</v>
      </c>
      <c r="M199" s="310">
        <f t="shared" si="5"/>
        <v>0</v>
      </c>
      <c r="N199" s="13">
        <v>195.0</v>
      </c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</row>
    <row r="200">
      <c r="A200" s="282">
        <v>197.0</v>
      </c>
      <c r="B200" s="283" t="str">
        <f t="shared" si="1"/>
        <v/>
      </c>
      <c r="C200" s="291"/>
      <c r="D200" s="284">
        <v>17995.0</v>
      </c>
      <c r="E200" s="310">
        <f t="shared" si="6"/>
        <v>0</v>
      </c>
      <c r="F200" s="284">
        <v>18038.0</v>
      </c>
      <c r="G200" s="310">
        <f t="shared" si="7"/>
        <v>0</v>
      </c>
      <c r="H200" s="284">
        <v>0.0</v>
      </c>
      <c r="I200" s="311">
        <f t="shared" si="4"/>
        <v>0</v>
      </c>
      <c r="J200" s="290"/>
      <c r="K200" s="291"/>
      <c r="L200" s="312">
        <v>16240.0</v>
      </c>
      <c r="M200" s="310">
        <f t="shared" si="5"/>
        <v>0</v>
      </c>
      <c r="N200" s="13">
        <v>196.0</v>
      </c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</row>
    <row r="201">
      <c r="A201" s="282">
        <v>198.0</v>
      </c>
      <c r="B201" s="283" t="str">
        <f t="shared" si="1"/>
        <v/>
      </c>
      <c r="C201" s="291"/>
      <c r="D201" s="284">
        <v>17995.0</v>
      </c>
      <c r="E201" s="310">
        <f t="shared" si="6"/>
        <v>0</v>
      </c>
      <c r="F201" s="284">
        <v>18038.0</v>
      </c>
      <c r="G201" s="310">
        <f t="shared" si="7"/>
        <v>0</v>
      </c>
      <c r="H201" s="284">
        <v>0.0</v>
      </c>
      <c r="I201" s="311">
        <f t="shared" si="4"/>
        <v>0</v>
      </c>
      <c r="J201" s="290"/>
      <c r="K201" s="291"/>
      <c r="L201" s="312">
        <v>16240.0</v>
      </c>
      <c r="M201" s="310">
        <f t="shared" si="5"/>
        <v>0</v>
      </c>
      <c r="N201" s="13">
        <v>197.0</v>
      </c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</row>
    <row r="202">
      <c r="A202" s="282">
        <v>199.0</v>
      </c>
      <c r="B202" s="283" t="str">
        <f t="shared" si="1"/>
        <v/>
      </c>
      <c r="C202" s="291"/>
      <c r="D202" s="284">
        <v>17995.0</v>
      </c>
      <c r="E202" s="310">
        <f t="shared" si="6"/>
        <v>0</v>
      </c>
      <c r="F202" s="284">
        <v>18038.0</v>
      </c>
      <c r="G202" s="310">
        <f t="shared" si="7"/>
        <v>0</v>
      </c>
      <c r="H202" s="284">
        <v>0.0</v>
      </c>
      <c r="I202" s="311">
        <f t="shared" si="4"/>
        <v>0</v>
      </c>
      <c r="J202" s="290"/>
      <c r="K202" s="291"/>
      <c r="L202" s="312">
        <v>16210.0</v>
      </c>
      <c r="M202" s="310">
        <f t="shared" si="5"/>
        <v>0</v>
      </c>
      <c r="N202" s="13">
        <v>198.0</v>
      </c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</row>
    <row r="203">
      <c r="A203" s="282">
        <v>200.0</v>
      </c>
      <c r="B203" s="283" t="str">
        <f t="shared" si="1"/>
        <v/>
      </c>
      <c r="C203" s="291"/>
      <c r="D203" s="284">
        <v>17995.0</v>
      </c>
      <c r="E203" s="310">
        <f t="shared" si="6"/>
        <v>0</v>
      </c>
      <c r="F203" s="284">
        <v>18038.0</v>
      </c>
      <c r="G203" s="310">
        <f t="shared" si="7"/>
        <v>0</v>
      </c>
      <c r="H203" s="284">
        <v>0.0</v>
      </c>
      <c r="I203" s="311">
        <f t="shared" si="4"/>
        <v>0</v>
      </c>
      <c r="J203" s="290"/>
      <c r="K203" s="291"/>
      <c r="L203" s="312">
        <v>16550.0</v>
      </c>
      <c r="M203" s="310">
        <f t="shared" si="5"/>
        <v>0</v>
      </c>
      <c r="N203" s="13">
        <v>199.0</v>
      </c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</row>
    <row r="204">
      <c r="A204" s="282">
        <v>201.0</v>
      </c>
      <c r="B204" s="283" t="str">
        <f t="shared" si="1"/>
        <v/>
      </c>
      <c r="C204" s="291"/>
      <c r="D204" s="284">
        <v>17995.0</v>
      </c>
      <c r="E204" s="310">
        <f t="shared" si="6"/>
        <v>0</v>
      </c>
      <c r="F204" s="284">
        <v>18038.0</v>
      </c>
      <c r="G204" s="310">
        <f t="shared" si="7"/>
        <v>0</v>
      </c>
      <c r="H204" s="284">
        <v>0.0</v>
      </c>
      <c r="I204" s="311">
        <f t="shared" si="4"/>
        <v>0</v>
      </c>
      <c r="J204" s="290"/>
      <c r="K204" s="291"/>
      <c r="L204" s="312">
        <v>16550.0</v>
      </c>
      <c r="M204" s="310">
        <f t="shared" si="5"/>
        <v>0</v>
      </c>
      <c r="N204" s="13">
        <v>200.0</v>
      </c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</row>
    <row r="205">
      <c r="A205" s="282">
        <v>202.0</v>
      </c>
      <c r="B205" s="283" t="str">
        <f t="shared" si="1"/>
        <v/>
      </c>
      <c r="C205" s="291"/>
      <c r="D205" s="284">
        <v>17995.0</v>
      </c>
      <c r="E205" s="310">
        <f t="shared" si="6"/>
        <v>0</v>
      </c>
      <c r="F205" s="284">
        <v>18038.0</v>
      </c>
      <c r="G205" s="310">
        <f t="shared" si="7"/>
        <v>0</v>
      </c>
      <c r="H205" s="284">
        <v>0.0</v>
      </c>
      <c r="I205" s="311">
        <f t="shared" si="4"/>
        <v>0</v>
      </c>
      <c r="J205" s="290"/>
      <c r="K205" s="291"/>
      <c r="L205" s="312">
        <v>16550.0</v>
      </c>
      <c r="M205" s="310">
        <f t="shared" si="5"/>
        <v>0</v>
      </c>
      <c r="N205" s="13">
        <v>201.0</v>
      </c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</row>
    <row r="206">
      <c r="A206" s="282">
        <v>203.0</v>
      </c>
      <c r="B206" s="283" t="str">
        <f t="shared" si="1"/>
        <v/>
      </c>
      <c r="C206" s="291"/>
      <c r="D206" s="284">
        <v>17995.0</v>
      </c>
      <c r="E206" s="310">
        <f t="shared" si="6"/>
        <v>0</v>
      </c>
      <c r="F206" s="284">
        <v>18038.0</v>
      </c>
      <c r="G206" s="310">
        <f t="shared" si="7"/>
        <v>0</v>
      </c>
      <c r="H206" s="284">
        <v>0.0</v>
      </c>
      <c r="I206" s="311">
        <f t="shared" si="4"/>
        <v>0</v>
      </c>
      <c r="J206" s="290"/>
      <c r="K206" s="291"/>
      <c r="L206" s="312">
        <v>16720.0</v>
      </c>
      <c r="M206" s="310">
        <f t="shared" si="5"/>
        <v>0</v>
      </c>
      <c r="N206" s="13">
        <v>202.0</v>
      </c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</row>
    <row r="207">
      <c r="A207" s="282">
        <v>204.0</v>
      </c>
      <c r="B207" s="283" t="str">
        <f t="shared" si="1"/>
        <v/>
      </c>
      <c r="C207" s="291"/>
      <c r="D207" s="284">
        <v>17995.0</v>
      </c>
      <c r="E207" s="310">
        <f t="shared" si="6"/>
        <v>0</v>
      </c>
      <c r="F207" s="284">
        <v>18038.0</v>
      </c>
      <c r="G207" s="310">
        <f t="shared" si="7"/>
        <v>0</v>
      </c>
      <c r="H207" s="284">
        <v>0.0</v>
      </c>
      <c r="I207" s="311">
        <f t="shared" si="4"/>
        <v>0</v>
      </c>
      <c r="J207" s="290"/>
      <c r="K207" s="291"/>
      <c r="L207" s="312">
        <v>16720.0</v>
      </c>
      <c r="M207" s="310">
        <f t="shared" si="5"/>
        <v>0</v>
      </c>
      <c r="N207" s="13">
        <v>203.0</v>
      </c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</row>
    <row r="208">
      <c r="A208" s="282">
        <v>205.0</v>
      </c>
      <c r="B208" s="283" t="str">
        <f t="shared" si="1"/>
        <v/>
      </c>
      <c r="C208" s="291"/>
      <c r="D208" s="284">
        <v>17995.0</v>
      </c>
      <c r="E208" s="310">
        <f t="shared" si="6"/>
        <v>0</v>
      </c>
      <c r="F208" s="284">
        <v>18038.0</v>
      </c>
      <c r="G208" s="310">
        <f t="shared" si="7"/>
        <v>0</v>
      </c>
      <c r="H208" s="284">
        <v>0.0</v>
      </c>
      <c r="I208" s="311">
        <f t="shared" si="4"/>
        <v>0</v>
      </c>
      <c r="J208" s="290"/>
      <c r="K208" s="291"/>
      <c r="L208" s="312">
        <v>16220.0</v>
      </c>
      <c r="M208" s="310">
        <f t="shared" si="5"/>
        <v>0</v>
      </c>
      <c r="N208" s="13">
        <v>204.0</v>
      </c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</row>
    <row r="209">
      <c r="A209" s="282">
        <v>206.0</v>
      </c>
      <c r="B209" s="283" t="str">
        <f t="shared" si="1"/>
        <v/>
      </c>
      <c r="C209" s="291"/>
      <c r="D209" s="284">
        <v>17995.0</v>
      </c>
      <c r="E209" s="310">
        <f t="shared" si="6"/>
        <v>0</v>
      </c>
      <c r="F209" s="284">
        <v>18038.0</v>
      </c>
      <c r="G209" s="310">
        <f t="shared" si="7"/>
        <v>0</v>
      </c>
      <c r="H209" s="284">
        <v>0.0</v>
      </c>
      <c r="I209" s="311">
        <f t="shared" si="4"/>
        <v>0</v>
      </c>
      <c r="J209" s="290"/>
      <c r="K209" s="291"/>
      <c r="L209" s="312">
        <v>16150.0</v>
      </c>
      <c r="M209" s="310">
        <f t="shared" si="5"/>
        <v>0</v>
      </c>
      <c r="N209" s="13">
        <v>205.0</v>
      </c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</row>
    <row r="210">
      <c r="A210" s="282">
        <v>207.0</v>
      </c>
      <c r="B210" s="283" t="str">
        <f t="shared" si="1"/>
        <v/>
      </c>
      <c r="C210" s="291"/>
      <c r="D210" s="284">
        <v>17995.0</v>
      </c>
      <c r="E210" s="310">
        <f t="shared" si="6"/>
        <v>0</v>
      </c>
      <c r="F210" s="284">
        <v>18038.0</v>
      </c>
      <c r="G210" s="310">
        <f t="shared" si="7"/>
        <v>0</v>
      </c>
      <c r="H210" s="284">
        <v>0.0</v>
      </c>
      <c r="I210" s="311">
        <f t="shared" si="4"/>
        <v>0</v>
      </c>
      <c r="J210" s="290"/>
      <c r="K210" s="291"/>
      <c r="L210" s="312">
        <v>16230.0</v>
      </c>
      <c r="M210" s="310">
        <f t="shared" si="5"/>
        <v>0</v>
      </c>
      <c r="N210" s="13">
        <v>206.0</v>
      </c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</row>
    <row r="211">
      <c r="A211" s="282">
        <v>208.0</v>
      </c>
      <c r="B211" s="283" t="str">
        <f t="shared" si="1"/>
        <v/>
      </c>
      <c r="C211" s="291"/>
      <c r="D211" s="284">
        <v>17995.0</v>
      </c>
      <c r="E211" s="310">
        <f t="shared" si="6"/>
        <v>0</v>
      </c>
      <c r="F211" s="284">
        <v>18038.0</v>
      </c>
      <c r="G211" s="310">
        <f t="shared" si="7"/>
        <v>0</v>
      </c>
      <c r="H211" s="284">
        <v>0.0</v>
      </c>
      <c r="I211" s="311">
        <f t="shared" si="4"/>
        <v>0</v>
      </c>
      <c r="J211" s="290"/>
      <c r="K211" s="291"/>
      <c r="L211" s="312">
        <v>16210.0</v>
      </c>
      <c r="M211" s="310">
        <f t="shared" si="5"/>
        <v>0</v>
      </c>
      <c r="N211" s="13">
        <v>207.0</v>
      </c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</row>
    <row r="212">
      <c r="A212" s="282">
        <v>209.0</v>
      </c>
      <c r="B212" s="283" t="str">
        <f t="shared" si="1"/>
        <v/>
      </c>
      <c r="C212" s="291"/>
      <c r="D212" s="284">
        <v>17995.0</v>
      </c>
      <c r="E212" s="310">
        <f t="shared" si="6"/>
        <v>0</v>
      </c>
      <c r="F212" s="284">
        <v>18038.0</v>
      </c>
      <c r="G212" s="310">
        <f t="shared" si="7"/>
        <v>0</v>
      </c>
      <c r="H212" s="284">
        <v>0.0</v>
      </c>
      <c r="I212" s="311">
        <f t="shared" si="4"/>
        <v>0</v>
      </c>
      <c r="J212" s="290"/>
      <c r="K212" s="291"/>
      <c r="L212" s="312">
        <v>16210.0</v>
      </c>
      <c r="M212" s="310">
        <f t="shared" si="5"/>
        <v>0</v>
      </c>
      <c r="N212" s="13">
        <v>208.0</v>
      </c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</row>
    <row r="213">
      <c r="A213" s="282">
        <v>210.0</v>
      </c>
      <c r="B213" s="283" t="str">
        <f t="shared" si="1"/>
        <v/>
      </c>
      <c r="C213" s="291"/>
      <c r="D213" s="284">
        <v>17995.0</v>
      </c>
      <c r="E213" s="310">
        <f t="shared" si="6"/>
        <v>0</v>
      </c>
      <c r="F213" s="284">
        <v>18038.0</v>
      </c>
      <c r="G213" s="310">
        <f t="shared" si="7"/>
        <v>0</v>
      </c>
      <c r="H213" s="284">
        <v>0.0</v>
      </c>
      <c r="I213" s="311">
        <f t="shared" si="4"/>
        <v>0</v>
      </c>
      <c r="J213" s="290"/>
      <c r="K213" s="291"/>
      <c r="L213" s="312">
        <v>16240.0</v>
      </c>
      <c r="M213" s="310">
        <f t="shared" si="5"/>
        <v>0</v>
      </c>
      <c r="N213" s="13">
        <v>209.0</v>
      </c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</row>
    <row r="214">
      <c r="A214" s="282">
        <v>211.0</v>
      </c>
      <c r="B214" s="283" t="str">
        <f t="shared" si="1"/>
        <v/>
      </c>
      <c r="C214" s="291"/>
      <c r="D214" s="284">
        <v>17995.0</v>
      </c>
      <c r="E214" s="310">
        <f t="shared" si="6"/>
        <v>0</v>
      </c>
      <c r="F214" s="284">
        <v>18038.0</v>
      </c>
      <c r="G214" s="310">
        <f t="shared" si="7"/>
        <v>0</v>
      </c>
      <c r="H214" s="284">
        <v>0.0</v>
      </c>
      <c r="I214" s="311">
        <f t="shared" si="4"/>
        <v>0</v>
      </c>
      <c r="J214" s="290"/>
      <c r="K214" s="291"/>
      <c r="L214" s="312">
        <v>16210.0</v>
      </c>
      <c r="M214" s="310">
        <f t="shared" si="5"/>
        <v>0</v>
      </c>
      <c r="N214" s="13">
        <v>210.0</v>
      </c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</row>
    <row r="215">
      <c r="A215" s="282">
        <v>212.0</v>
      </c>
      <c r="B215" s="283" t="str">
        <f t="shared" si="1"/>
        <v/>
      </c>
      <c r="C215" s="291"/>
      <c r="D215" s="284">
        <v>17995.0</v>
      </c>
      <c r="E215" s="310">
        <f t="shared" si="6"/>
        <v>0</v>
      </c>
      <c r="F215" s="284">
        <v>18038.0</v>
      </c>
      <c r="G215" s="310">
        <f t="shared" si="7"/>
        <v>0</v>
      </c>
      <c r="H215" s="284">
        <v>0.0</v>
      </c>
      <c r="I215" s="311">
        <f t="shared" si="4"/>
        <v>0</v>
      </c>
      <c r="J215" s="290"/>
      <c r="K215" s="291"/>
      <c r="L215" s="312">
        <v>16240.0</v>
      </c>
      <c r="M215" s="310">
        <f t="shared" si="5"/>
        <v>0</v>
      </c>
      <c r="N215" s="13">
        <v>211.0</v>
      </c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</row>
    <row r="216">
      <c r="A216" s="282">
        <v>213.0</v>
      </c>
      <c r="B216" s="283"/>
      <c r="C216" s="291"/>
      <c r="D216" s="284">
        <v>17995.0</v>
      </c>
      <c r="E216" s="310">
        <f t="shared" si="6"/>
        <v>0</v>
      </c>
      <c r="F216" s="284">
        <v>18038.0</v>
      </c>
      <c r="G216" s="310">
        <f t="shared" si="7"/>
        <v>0</v>
      </c>
      <c r="H216" s="284">
        <v>0.0</v>
      </c>
      <c r="I216" s="311">
        <f t="shared" si="4"/>
        <v>0</v>
      </c>
      <c r="J216" s="290"/>
      <c r="K216" s="291"/>
      <c r="L216" s="312">
        <v>16240.0</v>
      </c>
      <c r="M216" s="310">
        <f t="shared" si="5"/>
        <v>0</v>
      </c>
      <c r="N216" s="13">
        <v>212.0</v>
      </c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</row>
    <row r="217">
      <c r="A217" s="282">
        <v>214.0</v>
      </c>
      <c r="B217" s="283"/>
      <c r="C217" s="291"/>
      <c r="D217" s="284">
        <v>17995.0</v>
      </c>
      <c r="E217" s="310">
        <f t="shared" si="6"/>
        <v>0</v>
      </c>
      <c r="F217" s="284">
        <v>18038.0</v>
      </c>
      <c r="G217" s="310">
        <f t="shared" si="7"/>
        <v>0</v>
      </c>
      <c r="H217" s="284">
        <v>0.0</v>
      </c>
      <c r="I217" s="311">
        <f t="shared" si="4"/>
        <v>0</v>
      </c>
      <c r="J217" s="290"/>
      <c r="K217" s="291"/>
      <c r="L217" s="312">
        <v>16210.0</v>
      </c>
      <c r="M217" s="310">
        <f t="shared" si="5"/>
        <v>0</v>
      </c>
      <c r="N217" s="13">
        <v>213.0</v>
      </c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</row>
    <row r="218">
      <c r="A218" s="282">
        <v>215.0</v>
      </c>
      <c r="B218" s="283"/>
      <c r="C218" s="291"/>
      <c r="D218" s="284">
        <v>17995.0</v>
      </c>
      <c r="E218" s="310">
        <f t="shared" si="6"/>
        <v>0</v>
      </c>
      <c r="F218" s="284">
        <v>18038.0</v>
      </c>
      <c r="G218" s="310">
        <f t="shared" si="7"/>
        <v>0</v>
      </c>
      <c r="H218" s="284">
        <v>0.0</v>
      </c>
      <c r="I218" s="311">
        <f t="shared" si="4"/>
        <v>0</v>
      </c>
      <c r="J218" s="290"/>
      <c r="K218" s="291"/>
      <c r="L218" s="312">
        <v>16550.0</v>
      </c>
      <c r="M218" s="310">
        <f t="shared" si="5"/>
        <v>0</v>
      </c>
      <c r="N218" s="13">
        <v>214.0</v>
      </c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</row>
    <row r="219">
      <c r="A219" s="282">
        <v>216.0</v>
      </c>
      <c r="B219" s="283"/>
      <c r="C219" s="291"/>
      <c r="D219" s="284">
        <v>17995.0</v>
      </c>
      <c r="E219" s="310">
        <f t="shared" si="6"/>
        <v>0</v>
      </c>
      <c r="F219" s="284">
        <v>18044.0</v>
      </c>
      <c r="G219" s="310">
        <f t="shared" si="7"/>
        <v>0</v>
      </c>
      <c r="H219" s="284">
        <v>0.0</v>
      </c>
      <c r="I219" s="311">
        <f t="shared" si="4"/>
        <v>0</v>
      </c>
      <c r="J219" s="290"/>
      <c r="K219" s="291"/>
      <c r="L219" s="312">
        <v>16550.0</v>
      </c>
      <c r="M219" s="310">
        <f t="shared" si="5"/>
        <v>0</v>
      </c>
      <c r="N219" s="13">
        <v>215.0</v>
      </c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</row>
    <row r="220">
      <c r="A220" s="282">
        <v>217.0</v>
      </c>
      <c r="B220" s="283"/>
      <c r="C220" s="291"/>
      <c r="D220" s="284">
        <v>17995.0</v>
      </c>
      <c r="E220" s="310">
        <f t="shared" si="6"/>
        <v>0</v>
      </c>
      <c r="F220" s="284">
        <v>18044.0</v>
      </c>
      <c r="G220" s="310">
        <f t="shared" si="7"/>
        <v>0</v>
      </c>
      <c r="H220" s="284">
        <v>0.0</v>
      </c>
      <c r="I220" s="311">
        <f t="shared" si="4"/>
        <v>0</v>
      </c>
      <c r="J220" s="290"/>
      <c r="K220" s="291"/>
      <c r="L220" s="312">
        <v>16550.0</v>
      </c>
      <c r="M220" s="310">
        <f t="shared" si="5"/>
        <v>0</v>
      </c>
      <c r="N220" s="13">
        <v>216.0</v>
      </c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</row>
    <row r="221">
      <c r="A221" s="282">
        <v>218.0</v>
      </c>
      <c r="B221" s="283"/>
      <c r="C221" s="291"/>
      <c r="D221" s="284">
        <v>17995.0</v>
      </c>
      <c r="E221" s="310">
        <f t="shared" si="6"/>
        <v>0</v>
      </c>
      <c r="F221" s="284">
        <v>18044.0</v>
      </c>
      <c r="G221" s="310">
        <f t="shared" si="7"/>
        <v>0</v>
      </c>
      <c r="H221" s="284">
        <v>0.0</v>
      </c>
      <c r="I221" s="311">
        <f t="shared" si="4"/>
        <v>0</v>
      </c>
      <c r="J221" s="290"/>
      <c r="K221" s="291"/>
      <c r="L221" s="312">
        <v>16720.0</v>
      </c>
      <c r="M221" s="310">
        <f t="shared" si="5"/>
        <v>0</v>
      </c>
      <c r="N221" s="13">
        <v>217.0</v>
      </c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</row>
    <row r="222">
      <c r="A222" s="282">
        <v>219.0</v>
      </c>
      <c r="B222" s="283"/>
      <c r="C222" s="291"/>
      <c r="D222" s="284">
        <v>17995.0</v>
      </c>
      <c r="E222" s="310">
        <f t="shared" si="6"/>
        <v>0</v>
      </c>
      <c r="F222" s="284">
        <v>18044.0</v>
      </c>
      <c r="G222" s="310">
        <f t="shared" si="7"/>
        <v>0</v>
      </c>
      <c r="H222" s="284">
        <v>0.0</v>
      </c>
      <c r="I222" s="311">
        <f t="shared" si="4"/>
        <v>0</v>
      </c>
      <c r="J222" s="290"/>
      <c r="K222" s="291"/>
      <c r="L222" s="312">
        <v>16720.0</v>
      </c>
      <c r="M222" s="310">
        <f t="shared" si="5"/>
        <v>0</v>
      </c>
      <c r="N222" s="13">
        <v>218.0</v>
      </c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</row>
    <row r="223">
      <c r="A223" s="282">
        <v>220.0</v>
      </c>
      <c r="B223" s="283"/>
      <c r="C223" s="291"/>
      <c r="D223" s="284">
        <v>17995.0</v>
      </c>
      <c r="E223" s="310">
        <f t="shared" si="6"/>
        <v>0</v>
      </c>
      <c r="F223" s="284">
        <v>18044.0</v>
      </c>
      <c r="G223" s="310">
        <f t="shared" si="7"/>
        <v>0</v>
      </c>
      <c r="H223" s="284">
        <v>0.0</v>
      </c>
      <c r="I223" s="311">
        <f t="shared" si="4"/>
        <v>0</v>
      </c>
      <c r="J223" s="290"/>
      <c r="K223" s="291"/>
      <c r="L223" s="312">
        <v>16220.0</v>
      </c>
      <c r="M223" s="310">
        <f t="shared" si="5"/>
        <v>0</v>
      </c>
      <c r="N223" s="13">
        <v>219.0</v>
      </c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</row>
    <row r="224">
      <c r="A224" s="282">
        <v>221.0</v>
      </c>
      <c r="B224" s="283"/>
      <c r="C224" s="291"/>
      <c r="D224" s="284">
        <v>17995.0</v>
      </c>
      <c r="E224" s="310">
        <f t="shared" si="6"/>
        <v>0</v>
      </c>
      <c r="F224" s="284">
        <v>18044.0</v>
      </c>
      <c r="G224" s="310">
        <f t="shared" si="7"/>
        <v>0</v>
      </c>
      <c r="H224" s="284">
        <v>0.0</v>
      </c>
      <c r="I224" s="311">
        <f t="shared" si="4"/>
        <v>0</v>
      </c>
      <c r="J224" s="290"/>
      <c r="K224" s="291"/>
      <c r="L224" s="312">
        <v>16150.0</v>
      </c>
      <c r="M224" s="310">
        <f t="shared" si="5"/>
        <v>0</v>
      </c>
      <c r="N224" s="13">
        <v>220.0</v>
      </c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</row>
    <row r="225">
      <c r="A225" s="282">
        <v>222.0</v>
      </c>
      <c r="B225" s="283"/>
      <c r="C225" s="291"/>
      <c r="D225" s="284">
        <v>17995.0</v>
      </c>
      <c r="E225" s="310">
        <f t="shared" si="6"/>
        <v>0</v>
      </c>
      <c r="F225" s="284">
        <v>18048.0</v>
      </c>
      <c r="G225" s="310">
        <f t="shared" si="7"/>
        <v>0</v>
      </c>
      <c r="H225" s="284">
        <v>0.0</v>
      </c>
      <c r="I225" s="311">
        <f t="shared" si="4"/>
        <v>0</v>
      </c>
      <c r="J225" s="290"/>
      <c r="K225" s="291"/>
      <c r="L225" s="312">
        <v>16230.0</v>
      </c>
      <c r="M225" s="310">
        <f t="shared" si="5"/>
        <v>0</v>
      </c>
      <c r="N225" s="13">
        <v>221.0</v>
      </c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</row>
    <row r="226">
      <c r="A226" s="282">
        <v>223.0</v>
      </c>
      <c r="B226" s="283"/>
      <c r="C226" s="291"/>
      <c r="D226" s="284">
        <v>17995.0</v>
      </c>
      <c r="E226" s="310">
        <f t="shared" si="6"/>
        <v>0</v>
      </c>
      <c r="F226" s="284">
        <v>18048.0</v>
      </c>
      <c r="G226" s="310">
        <f t="shared" si="7"/>
        <v>0</v>
      </c>
      <c r="H226" s="284">
        <v>0.0</v>
      </c>
      <c r="I226" s="311">
        <f t="shared" si="4"/>
        <v>0</v>
      </c>
      <c r="J226" s="290"/>
      <c r="K226" s="291"/>
      <c r="L226" s="312">
        <v>16210.0</v>
      </c>
      <c r="M226" s="310">
        <f t="shared" si="5"/>
        <v>0</v>
      </c>
      <c r="N226" s="13">
        <v>222.0</v>
      </c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</row>
    <row r="227">
      <c r="A227" s="282">
        <v>224.0</v>
      </c>
      <c r="B227" s="283"/>
      <c r="C227" s="291"/>
      <c r="D227" s="284">
        <v>17995.0</v>
      </c>
      <c r="E227" s="310">
        <f t="shared" si="6"/>
        <v>0</v>
      </c>
      <c r="F227" s="284">
        <v>18048.0</v>
      </c>
      <c r="G227" s="310">
        <f t="shared" si="7"/>
        <v>0</v>
      </c>
      <c r="H227" s="284">
        <v>0.0</v>
      </c>
      <c r="I227" s="311">
        <f t="shared" si="4"/>
        <v>0</v>
      </c>
      <c r="J227" s="290"/>
      <c r="K227" s="291"/>
      <c r="L227" s="312">
        <v>16210.0</v>
      </c>
      <c r="M227" s="310">
        <f t="shared" si="5"/>
        <v>0</v>
      </c>
      <c r="N227" s="13">
        <v>223.0</v>
      </c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</row>
    <row r="228">
      <c r="A228" s="282">
        <v>225.0</v>
      </c>
      <c r="B228" s="283"/>
      <c r="C228" s="291"/>
      <c r="D228" s="284">
        <v>17995.0</v>
      </c>
      <c r="E228" s="310">
        <f t="shared" si="6"/>
        <v>0</v>
      </c>
      <c r="F228" s="284">
        <v>18050.0</v>
      </c>
      <c r="G228" s="310">
        <f t="shared" si="7"/>
        <v>0</v>
      </c>
      <c r="H228" s="284">
        <v>0.0</v>
      </c>
      <c r="I228" s="311">
        <f t="shared" si="4"/>
        <v>0</v>
      </c>
      <c r="J228" s="290"/>
      <c r="K228" s="291"/>
      <c r="L228" s="312">
        <v>16240.0</v>
      </c>
      <c r="M228" s="310">
        <f t="shared" si="5"/>
        <v>0</v>
      </c>
      <c r="N228" s="13">
        <v>224.0</v>
      </c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</row>
    <row r="229">
      <c r="A229" s="282">
        <v>226.0</v>
      </c>
      <c r="B229" s="283"/>
      <c r="C229" s="291"/>
      <c r="D229" s="284">
        <v>17995.0</v>
      </c>
      <c r="E229" s="310">
        <f t="shared" si="6"/>
        <v>0</v>
      </c>
      <c r="F229" s="284">
        <v>18050.0</v>
      </c>
      <c r="G229" s="310">
        <f t="shared" si="7"/>
        <v>0</v>
      </c>
      <c r="H229" s="284">
        <v>0.0</v>
      </c>
      <c r="I229" s="311">
        <f t="shared" si="4"/>
        <v>0</v>
      </c>
      <c r="J229" s="290"/>
      <c r="K229" s="291"/>
      <c r="L229" s="312">
        <v>16210.0</v>
      </c>
      <c r="M229" s="310">
        <f t="shared" si="5"/>
        <v>0</v>
      </c>
      <c r="N229" s="13">
        <v>225.0</v>
      </c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</row>
    <row r="230">
      <c r="A230" s="282">
        <v>227.0</v>
      </c>
      <c r="B230" s="283"/>
      <c r="C230" s="291"/>
      <c r="D230" s="284">
        <v>17995.0</v>
      </c>
      <c r="E230" s="310">
        <f t="shared" si="6"/>
        <v>0</v>
      </c>
      <c r="F230" s="284">
        <v>18050.0</v>
      </c>
      <c r="G230" s="310">
        <f t="shared" si="7"/>
        <v>0</v>
      </c>
      <c r="H230" s="284">
        <v>0.0</v>
      </c>
      <c r="I230" s="311">
        <f t="shared" si="4"/>
        <v>0</v>
      </c>
      <c r="J230" s="290"/>
      <c r="K230" s="291"/>
      <c r="L230" s="312">
        <v>16240.0</v>
      </c>
      <c r="M230" s="310">
        <f t="shared" si="5"/>
        <v>0</v>
      </c>
      <c r="N230" s="13">
        <v>226.0</v>
      </c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</row>
    <row r="231">
      <c r="A231" s="282">
        <v>228.0</v>
      </c>
      <c r="B231" s="283"/>
      <c r="C231" s="291"/>
      <c r="D231" s="284">
        <v>17995.0</v>
      </c>
      <c r="E231" s="310">
        <f t="shared" si="6"/>
        <v>0</v>
      </c>
      <c r="F231" s="284">
        <v>18050.0</v>
      </c>
      <c r="G231" s="310">
        <f t="shared" si="7"/>
        <v>0</v>
      </c>
      <c r="H231" s="284">
        <v>0.0</v>
      </c>
      <c r="I231" s="311">
        <f t="shared" si="4"/>
        <v>0</v>
      </c>
      <c r="J231" s="290"/>
      <c r="K231" s="291"/>
      <c r="L231" s="312">
        <v>16240.0</v>
      </c>
      <c r="M231" s="310">
        <f t="shared" si="5"/>
        <v>0</v>
      </c>
      <c r="N231" s="13">
        <v>227.0</v>
      </c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</row>
    <row r="232">
      <c r="A232" s="282">
        <v>229.0</v>
      </c>
      <c r="B232" s="283"/>
      <c r="C232" s="291"/>
      <c r="D232" s="284">
        <v>17995.0</v>
      </c>
      <c r="E232" s="310">
        <f t="shared" si="6"/>
        <v>0</v>
      </c>
      <c r="F232" s="284">
        <v>18050.0</v>
      </c>
      <c r="G232" s="310">
        <f t="shared" si="7"/>
        <v>0</v>
      </c>
      <c r="H232" s="284">
        <v>0.0</v>
      </c>
      <c r="I232" s="311">
        <f t="shared" si="4"/>
        <v>0</v>
      </c>
      <c r="J232" s="290"/>
      <c r="K232" s="291"/>
      <c r="L232" s="312">
        <v>16210.0</v>
      </c>
      <c r="M232" s="310">
        <f t="shared" si="5"/>
        <v>0</v>
      </c>
      <c r="N232" s="13">
        <v>228.0</v>
      </c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</row>
    <row r="233">
      <c r="A233" s="282">
        <v>230.0</v>
      </c>
      <c r="B233" s="283"/>
      <c r="C233" s="291"/>
      <c r="D233" s="284">
        <v>17995.0</v>
      </c>
      <c r="E233" s="310">
        <f t="shared" si="6"/>
        <v>0</v>
      </c>
      <c r="F233" s="284">
        <v>18050.0</v>
      </c>
      <c r="G233" s="310">
        <f t="shared" si="7"/>
        <v>0</v>
      </c>
      <c r="H233" s="284">
        <v>0.0</v>
      </c>
      <c r="I233" s="311">
        <f t="shared" si="4"/>
        <v>0</v>
      </c>
      <c r="J233" s="290"/>
      <c r="K233" s="291"/>
      <c r="L233" s="312">
        <v>16550.0</v>
      </c>
      <c r="M233" s="310">
        <f t="shared" si="5"/>
        <v>0</v>
      </c>
      <c r="N233" s="13">
        <v>229.0</v>
      </c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</row>
    <row r="234">
      <c r="A234" s="282">
        <v>231.0</v>
      </c>
      <c r="B234" s="283"/>
      <c r="C234" s="291"/>
      <c r="D234" s="284">
        <v>17995.0</v>
      </c>
      <c r="E234" s="310">
        <f t="shared" si="6"/>
        <v>0</v>
      </c>
      <c r="F234" s="284">
        <v>18050.0</v>
      </c>
      <c r="G234" s="310">
        <f t="shared" si="7"/>
        <v>0</v>
      </c>
      <c r="H234" s="284">
        <v>0.0</v>
      </c>
      <c r="I234" s="311">
        <f t="shared" si="4"/>
        <v>0</v>
      </c>
      <c r="J234" s="290"/>
      <c r="K234" s="291"/>
      <c r="L234" s="312">
        <v>16550.0</v>
      </c>
      <c r="M234" s="310">
        <f t="shared" si="5"/>
        <v>0</v>
      </c>
      <c r="N234" s="13">
        <v>230.0</v>
      </c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</row>
    <row r="235">
      <c r="A235" s="282">
        <v>232.0</v>
      </c>
      <c r="B235" s="283"/>
      <c r="C235" s="291"/>
      <c r="D235" s="284">
        <v>17995.0</v>
      </c>
      <c r="E235" s="310">
        <f t="shared" si="6"/>
        <v>0</v>
      </c>
      <c r="F235" s="284">
        <v>18050.0</v>
      </c>
      <c r="G235" s="310">
        <f t="shared" si="7"/>
        <v>0</v>
      </c>
      <c r="H235" s="284">
        <v>0.0</v>
      </c>
      <c r="I235" s="311">
        <f t="shared" si="4"/>
        <v>0</v>
      </c>
      <c r="J235" s="290"/>
      <c r="K235" s="291"/>
      <c r="L235" s="312">
        <v>16550.0</v>
      </c>
      <c r="M235" s="310">
        <f t="shared" si="5"/>
        <v>0</v>
      </c>
      <c r="N235" s="13">
        <v>231.0</v>
      </c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</row>
    <row r="236">
      <c r="A236" s="282">
        <v>233.0</v>
      </c>
      <c r="B236" s="283"/>
      <c r="C236" s="291"/>
      <c r="D236" s="284">
        <v>17995.0</v>
      </c>
      <c r="E236" s="310">
        <f t="shared" si="6"/>
        <v>0</v>
      </c>
      <c r="F236" s="284">
        <v>18050.0</v>
      </c>
      <c r="G236" s="310">
        <f t="shared" si="7"/>
        <v>0</v>
      </c>
      <c r="H236" s="284">
        <v>0.0</v>
      </c>
      <c r="I236" s="311">
        <f t="shared" si="4"/>
        <v>0</v>
      </c>
      <c r="J236" s="290"/>
      <c r="K236" s="291"/>
      <c r="L236" s="312">
        <v>16720.0</v>
      </c>
      <c r="M236" s="310">
        <f t="shared" si="5"/>
        <v>0</v>
      </c>
      <c r="N236" s="13">
        <v>232.0</v>
      </c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</row>
    <row r="237">
      <c r="A237" s="282">
        <v>234.0</v>
      </c>
      <c r="B237" s="283"/>
      <c r="C237" s="291"/>
      <c r="D237" s="284">
        <v>17995.0</v>
      </c>
      <c r="E237" s="310">
        <f t="shared" si="6"/>
        <v>0</v>
      </c>
      <c r="F237" s="284">
        <v>18050.0</v>
      </c>
      <c r="G237" s="310">
        <f t="shared" si="7"/>
        <v>0</v>
      </c>
      <c r="H237" s="284">
        <v>0.0</v>
      </c>
      <c r="I237" s="311">
        <f t="shared" si="4"/>
        <v>0</v>
      </c>
      <c r="J237" s="290"/>
      <c r="K237" s="291"/>
      <c r="L237" s="312">
        <v>16720.0</v>
      </c>
      <c r="M237" s="310">
        <f t="shared" si="5"/>
        <v>0</v>
      </c>
      <c r="N237" s="13">
        <v>233.0</v>
      </c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</row>
    <row r="238">
      <c r="A238" s="282">
        <v>235.0</v>
      </c>
      <c r="B238" s="283"/>
      <c r="C238" s="291"/>
      <c r="D238" s="284">
        <v>17995.0</v>
      </c>
      <c r="E238" s="310">
        <f t="shared" si="6"/>
        <v>0</v>
      </c>
      <c r="F238" s="284">
        <v>18050.0</v>
      </c>
      <c r="G238" s="310">
        <f t="shared" si="7"/>
        <v>0</v>
      </c>
      <c r="H238" s="284">
        <v>0.0</v>
      </c>
      <c r="I238" s="311">
        <f t="shared" si="4"/>
        <v>0</v>
      </c>
      <c r="J238" s="290"/>
      <c r="K238" s="291"/>
      <c r="L238" s="312">
        <v>16220.0</v>
      </c>
      <c r="M238" s="310">
        <f t="shared" si="5"/>
        <v>0</v>
      </c>
      <c r="N238" s="13">
        <v>234.0</v>
      </c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</row>
    <row r="239">
      <c r="A239" s="282">
        <v>236.0</v>
      </c>
      <c r="B239" s="283"/>
      <c r="C239" s="291"/>
      <c r="D239" s="284">
        <v>17995.0</v>
      </c>
      <c r="E239" s="310">
        <f t="shared" si="6"/>
        <v>0</v>
      </c>
      <c r="F239" s="284">
        <v>18050.0</v>
      </c>
      <c r="G239" s="310">
        <f t="shared" si="7"/>
        <v>0</v>
      </c>
      <c r="H239" s="284">
        <v>0.0</v>
      </c>
      <c r="I239" s="311">
        <f t="shared" si="4"/>
        <v>0</v>
      </c>
      <c r="J239" s="290"/>
      <c r="K239" s="291"/>
      <c r="L239" s="312">
        <v>16150.0</v>
      </c>
      <c r="M239" s="310">
        <f t="shared" si="5"/>
        <v>0</v>
      </c>
      <c r="N239" s="13">
        <v>235.0</v>
      </c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</row>
    <row r="240">
      <c r="A240" s="282">
        <v>237.0</v>
      </c>
      <c r="B240" s="283"/>
      <c r="C240" s="291"/>
      <c r="D240" s="284">
        <v>17995.0</v>
      </c>
      <c r="E240" s="310">
        <f t="shared" si="6"/>
        <v>0</v>
      </c>
      <c r="F240" s="284">
        <v>18050.0</v>
      </c>
      <c r="G240" s="310">
        <f t="shared" si="7"/>
        <v>0</v>
      </c>
      <c r="H240" s="284">
        <v>0.0</v>
      </c>
      <c r="I240" s="311">
        <f t="shared" si="4"/>
        <v>0</v>
      </c>
      <c r="J240" s="290"/>
      <c r="K240" s="291"/>
      <c r="L240" s="312">
        <v>16230.0</v>
      </c>
      <c r="M240" s="310">
        <f t="shared" si="5"/>
        <v>0</v>
      </c>
      <c r="N240" s="13">
        <v>236.0</v>
      </c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</row>
    <row r="241">
      <c r="A241" s="282">
        <v>238.0</v>
      </c>
      <c r="B241" s="283"/>
      <c r="C241" s="291"/>
      <c r="D241" s="284">
        <v>17995.0</v>
      </c>
      <c r="E241" s="310">
        <f t="shared" si="6"/>
        <v>0</v>
      </c>
      <c r="F241" s="284">
        <v>18050.0</v>
      </c>
      <c r="G241" s="310">
        <f t="shared" si="7"/>
        <v>0</v>
      </c>
      <c r="H241" s="284">
        <v>0.0</v>
      </c>
      <c r="I241" s="311">
        <f t="shared" si="4"/>
        <v>0</v>
      </c>
      <c r="J241" s="290"/>
      <c r="K241" s="291"/>
      <c r="L241" s="312">
        <v>16210.0</v>
      </c>
      <c r="M241" s="310">
        <f t="shared" si="5"/>
        <v>0</v>
      </c>
      <c r="N241" s="13">
        <v>237.0</v>
      </c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</row>
    <row r="242">
      <c r="A242" s="282">
        <v>239.0</v>
      </c>
      <c r="B242" s="283"/>
      <c r="C242" s="291"/>
      <c r="D242" s="284">
        <v>17995.0</v>
      </c>
      <c r="E242" s="310">
        <f t="shared" si="6"/>
        <v>0</v>
      </c>
      <c r="F242" s="284">
        <v>18050.0</v>
      </c>
      <c r="G242" s="310">
        <f t="shared" si="7"/>
        <v>0</v>
      </c>
      <c r="H242" s="284">
        <v>0.0</v>
      </c>
      <c r="I242" s="311">
        <f t="shared" si="4"/>
        <v>0</v>
      </c>
      <c r="J242" s="290"/>
      <c r="K242" s="291"/>
      <c r="L242" s="312">
        <v>16210.0</v>
      </c>
      <c r="M242" s="310">
        <f t="shared" si="5"/>
        <v>0</v>
      </c>
      <c r="N242" s="13">
        <v>238.0</v>
      </c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</row>
    <row r="243">
      <c r="A243" s="282">
        <v>240.0</v>
      </c>
      <c r="B243" s="283"/>
      <c r="C243" s="291"/>
      <c r="D243" s="284">
        <v>17995.0</v>
      </c>
      <c r="E243" s="310">
        <f t="shared" si="6"/>
        <v>0</v>
      </c>
      <c r="F243" s="284">
        <v>18050.0</v>
      </c>
      <c r="G243" s="310">
        <f t="shared" si="7"/>
        <v>0</v>
      </c>
      <c r="H243" s="284">
        <v>0.0</v>
      </c>
      <c r="I243" s="311">
        <f t="shared" si="4"/>
        <v>0</v>
      </c>
      <c r="J243" s="290"/>
      <c r="K243" s="291"/>
      <c r="L243" s="312">
        <v>16240.0</v>
      </c>
      <c r="M243" s="310">
        <f t="shared" si="5"/>
        <v>0</v>
      </c>
      <c r="N243" s="13">
        <v>239.0</v>
      </c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</row>
    <row r="244">
      <c r="A244" s="282">
        <v>241.0</v>
      </c>
      <c r="B244" s="283"/>
      <c r="C244" s="291"/>
      <c r="D244" s="284">
        <v>17995.0</v>
      </c>
      <c r="E244" s="310">
        <f t="shared" si="6"/>
        <v>0</v>
      </c>
      <c r="F244" s="284">
        <v>18050.0</v>
      </c>
      <c r="G244" s="310">
        <f t="shared" si="7"/>
        <v>0</v>
      </c>
      <c r="H244" s="284">
        <v>0.0</v>
      </c>
      <c r="I244" s="311">
        <f t="shared" si="4"/>
        <v>0</v>
      </c>
      <c r="J244" s="290"/>
      <c r="K244" s="291"/>
      <c r="L244" s="312">
        <v>16210.0</v>
      </c>
      <c r="M244" s="310">
        <f t="shared" si="5"/>
        <v>0</v>
      </c>
      <c r="N244" s="13">
        <v>240.0</v>
      </c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</row>
    <row r="245">
      <c r="A245" s="282">
        <v>242.0</v>
      </c>
      <c r="B245" s="283"/>
      <c r="C245" s="291"/>
      <c r="D245" s="284">
        <v>17995.0</v>
      </c>
      <c r="E245" s="310">
        <f t="shared" si="6"/>
        <v>0</v>
      </c>
      <c r="F245" s="284">
        <v>18050.0</v>
      </c>
      <c r="G245" s="310">
        <f t="shared" si="7"/>
        <v>0</v>
      </c>
      <c r="H245" s="284">
        <v>0.0</v>
      </c>
      <c r="I245" s="311">
        <f t="shared" si="4"/>
        <v>0</v>
      </c>
      <c r="J245" s="290"/>
      <c r="K245" s="291"/>
      <c r="L245" s="312">
        <v>16240.0</v>
      </c>
      <c r="M245" s="310">
        <f t="shared" si="5"/>
        <v>0</v>
      </c>
      <c r="N245" s="13">
        <v>241.0</v>
      </c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</row>
    <row r="246">
      <c r="A246" s="282">
        <v>243.0</v>
      </c>
      <c r="B246" s="283"/>
      <c r="C246" s="291"/>
      <c r="D246" s="284">
        <v>17995.0</v>
      </c>
      <c r="E246" s="310">
        <f t="shared" si="6"/>
        <v>0</v>
      </c>
      <c r="F246" s="284">
        <v>16885.0</v>
      </c>
      <c r="G246" s="310">
        <f t="shared" si="7"/>
        <v>0</v>
      </c>
      <c r="H246" s="284">
        <v>0.0</v>
      </c>
      <c r="I246" s="311">
        <f t="shared" si="4"/>
        <v>0</v>
      </c>
      <c r="J246" s="290"/>
      <c r="K246" s="291"/>
      <c r="L246" s="312">
        <v>16240.0</v>
      </c>
      <c r="M246" s="310">
        <f t="shared" si="5"/>
        <v>0</v>
      </c>
      <c r="N246" s="13">
        <v>242.0</v>
      </c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</row>
    <row r="247">
      <c r="A247" s="282">
        <v>244.0</v>
      </c>
      <c r="B247" s="283"/>
      <c r="C247" s="291"/>
      <c r="D247" s="284">
        <v>17995.0</v>
      </c>
      <c r="E247" s="310">
        <f t="shared" si="6"/>
        <v>0</v>
      </c>
      <c r="F247" s="284">
        <v>16885.0</v>
      </c>
      <c r="G247" s="310">
        <f t="shared" si="7"/>
        <v>0</v>
      </c>
      <c r="H247" s="284">
        <v>0.0</v>
      </c>
      <c r="I247" s="311">
        <f t="shared" si="4"/>
        <v>0</v>
      </c>
      <c r="J247" s="290"/>
      <c r="K247" s="291"/>
      <c r="L247" s="312">
        <v>16210.0</v>
      </c>
      <c r="M247" s="310">
        <f t="shared" si="5"/>
        <v>0</v>
      </c>
      <c r="N247" s="13">
        <v>243.0</v>
      </c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</row>
    <row r="248">
      <c r="A248" s="282">
        <v>245.0</v>
      </c>
      <c r="B248" s="283"/>
      <c r="C248" s="291"/>
      <c r="D248" s="284">
        <v>17995.0</v>
      </c>
      <c r="E248" s="310">
        <f t="shared" si="6"/>
        <v>0</v>
      </c>
      <c r="F248" s="284">
        <v>16885.0</v>
      </c>
      <c r="G248" s="310">
        <f t="shared" si="7"/>
        <v>0</v>
      </c>
      <c r="H248" s="284">
        <v>0.0</v>
      </c>
      <c r="I248" s="311">
        <f t="shared" si="4"/>
        <v>0</v>
      </c>
      <c r="J248" s="290"/>
      <c r="K248" s="291"/>
      <c r="L248" s="312">
        <v>16550.0</v>
      </c>
      <c r="M248" s="310">
        <f t="shared" si="5"/>
        <v>0</v>
      </c>
      <c r="N248" s="13">
        <v>244.0</v>
      </c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</row>
    <row r="249">
      <c r="A249" s="282">
        <v>246.0</v>
      </c>
      <c r="B249" s="283"/>
      <c r="C249" s="291"/>
      <c r="D249" s="284">
        <v>17995.0</v>
      </c>
      <c r="E249" s="310">
        <f t="shared" si="6"/>
        <v>0</v>
      </c>
      <c r="F249" s="284">
        <v>16885.0</v>
      </c>
      <c r="G249" s="310">
        <f t="shared" si="7"/>
        <v>0</v>
      </c>
      <c r="H249" s="284">
        <v>0.0</v>
      </c>
      <c r="I249" s="311">
        <f t="shared" si="4"/>
        <v>0</v>
      </c>
      <c r="J249" s="290"/>
      <c r="K249" s="291"/>
      <c r="L249" s="312">
        <v>16550.0</v>
      </c>
      <c r="M249" s="310">
        <f t="shared" si="5"/>
        <v>0</v>
      </c>
      <c r="N249" s="13">
        <v>245.0</v>
      </c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</row>
    <row r="250">
      <c r="A250" s="282">
        <v>247.0</v>
      </c>
      <c r="B250" s="283"/>
      <c r="C250" s="291"/>
      <c r="D250" s="284">
        <v>17995.0</v>
      </c>
      <c r="E250" s="310">
        <f t="shared" si="6"/>
        <v>0</v>
      </c>
      <c r="F250" s="284">
        <v>16885.0</v>
      </c>
      <c r="G250" s="310">
        <f t="shared" si="7"/>
        <v>0</v>
      </c>
      <c r="H250" s="284">
        <v>0.0</v>
      </c>
      <c r="I250" s="311">
        <f t="shared" si="4"/>
        <v>0</v>
      </c>
      <c r="J250" s="290"/>
      <c r="K250" s="291"/>
      <c r="L250" s="312">
        <v>16550.0</v>
      </c>
      <c r="M250" s="310">
        <f t="shared" si="5"/>
        <v>0</v>
      </c>
      <c r="N250" s="13">
        <v>246.0</v>
      </c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</row>
    <row r="251">
      <c r="A251" s="282">
        <v>248.0</v>
      </c>
      <c r="B251" s="283"/>
      <c r="C251" s="291"/>
      <c r="D251" s="284">
        <v>17995.0</v>
      </c>
      <c r="E251" s="310">
        <f t="shared" si="6"/>
        <v>0</v>
      </c>
      <c r="F251" s="284">
        <v>16885.0</v>
      </c>
      <c r="G251" s="310">
        <f t="shared" si="7"/>
        <v>0</v>
      </c>
      <c r="H251" s="284">
        <v>0.0</v>
      </c>
      <c r="I251" s="311">
        <f t="shared" si="4"/>
        <v>0</v>
      </c>
      <c r="J251" s="290"/>
      <c r="K251" s="291"/>
      <c r="L251" s="312">
        <v>16720.0</v>
      </c>
      <c r="M251" s="310">
        <f t="shared" si="5"/>
        <v>0</v>
      </c>
      <c r="N251" s="13">
        <v>247.0</v>
      </c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</row>
    <row r="252">
      <c r="A252" s="282">
        <v>249.0</v>
      </c>
      <c r="B252" s="283"/>
      <c r="C252" s="291"/>
      <c r="D252" s="284">
        <v>17995.0</v>
      </c>
      <c r="E252" s="310">
        <f t="shared" si="6"/>
        <v>0</v>
      </c>
      <c r="F252" s="284">
        <v>16885.0</v>
      </c>
      <c r="G252" s="310">
        <f t="shared" si="7"/>
        <v>0</v>
      </c>
      <c r="H252" s="284">
        <v>0.0</v>
      </c>
      <c r="I252" s="311">
        <f t="shared" si="4"/>
        <v>0</v>
      </c>
      <c r="J252" s="290"/>
      <c r="K252" s="291"/>
      <c r="L252" s="312">
        <v>16720.0</v>
      </c>
      <c r="M252" s="310">
        <f t="shared" si="5"/>
        <v>0</v>
      </c>
      <c r="N252" s="13">
        <v>248.0</v>
      </c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</row>
    <row r="253">
      <c r="A253" s="282">
        <v>250.0</v>
      </c>
      <c r="B253" s="283"/>
      <c r="C253" s="291"/>
      <c r="D253" s="284">
        <v>17995.0</v>
      </c>
      <c r="E253" s="310">
        <f t="shared" si="6"/>
        <v>0</v>
      </c>
      <c r="F253" s="284">
        <v>16885.0</v>
      </c>
      <c r="G253" s="310">
        <f t="shared" si="7"/>
        <v>0</v>
      </c>
      <c r="H253" s="284">
        <v>0.0</v>
      </c>
      <c r="I253" s="311">
        <f t="shared" si="4"/>
        <v>0</v>
      </c>
      <c r="J253" s="290"/>
      <c r="K253" s="291"/>
      <c r="L253" s="312">
        <v>16220.0</v>
      </c>
      <c r="M253" s="310">
        <f t="shared" si="5"/>
        <v>0</v>
      </c>
      <c r="N253" s="13">
        <v>249.0</v>
      </c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</row>
    <row r="254">
      <c r="A254" s="282">
        <v>251.0</v>
      </c>
      <c r="B254" s="283"/>
      <c r="C254" s="291"/>
      <c r="D254" s="284">
        <v>17995.0</v>
      </c>
      <c r="E254" s="310">
        <f t="shared" si="6"/>
        <v>0</v>
      </c>
      <c r="F254" s="284">
        <v>16885.0</v>
      </c>
      <c r="G254" s="310">
        <f t="shared" si="7"/>
        <v>0</v>
      </c>
      <c r="H254" s="284">
        <v>0.0</v>
      </c>
      <c r="I254" s="311">
        <f t="shared" si="4"/>
        <v>0</v>
      </c>
      <c r="J254" s="290"/>
      <c r="K254" s="291"/>
      <c r="L254" s="312">
        <v>16150.0</v>
      </c>
      <c r="M254" s="310">
        <f t="shared" si="5"/>
        <v>0</v>
      </c>
      <c r="N254" s="13">
        <v>250.0</v>
      </c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</row>
    <row r="255">
      <c r="A255" s="282">
        <v>252.0</v>
      </c>
      <c r="B255" s="283"/>
      <c r="C255" s="291"/>
      <c r="D255" s="284">
        <v>17995.0</v>
      </c>
      <c r="E255" s="310">
        <f t="shared" si="6"/>
        <v>0</v>
      </c>
      <c r="F255" s="284">
        <v>16885.0</v>
      </c>
      <c r="G255" s="310">
        <f t="shared" si="7"/>
        <v>0</v>
      </c>
      <c r="H255" s="284">
        <v>0.0</v>
      </c>
      <c r="I255" s="311">
        <f t="shared" si="4"/>
        <v>0</v>
      </c>
      <c r="J255" s="290"/>
      <c r="K255" s="291"/>
      <c r="L255" s="312">
        <v>16230.0</v>
      </c>
      <c r="M255" s="310">
        <f t="shared" si="5"/>
        <v>0</v>
      </c>
      <c r="N255" s="13">
        <v>251.0</v>
      </c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</row>
    <row r="256">
      <c r="A256" s="282">
        <v>253.0</v>
      </c>
      <c r="B256" s="283"/>
      <c r="C256" s="291"/>
      <c r="D256" s="284">
        <v>17995.0</v>
      </c>
      <c r="E256" s="310">
        <f t="shared" si="6"/>
        <v>0</v>
      </c>
      <c r="F256" s="284">
        <v>16875.0</v>
      </c>
      <c r="G256" s="310">
        <f t="shared" si="7"/>
        <v>0</v>
      </c>
      <c r="H256" s="284">
        <v>0.0</v>
      </c>
      <c r="I256" s="311">
        <f t="shared" si="4"/>
        <v>0</v>
      </c>
      <c r="J256" s="290"/>
      <c r="K256" s="291"/>
      <c r="L256" s="312">
        <v>16840.0</v>
      </c>
      <c r="M256" s="310">
        <f t="shared" si="5"/>
        <v>0</v>
      </c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</row>
    <row r="257">
      <c r="A257" s="282">
        <v>254.0</v>
      </c>
      <c r="B257" s="283"/>
      <c r="C257" s="291"/>
      <c r="D257" s="284">
        <v>17995.0</v>
      </c>
      <c r="E257" s="310">
        <f t="shared" si="6"/>
        <v>0</v>
      </c>
      <c r="F257" s="284">
        <v>16875.0</v>
      </c>
      <c r="G257" s="310">
        <f t="shared" si="7"/>
        <v>0</v>
      </c>
      <c r="H257" s="284">
        <v>0.0</v>
      </c>
      <c r="I257" s="311">
        <f t="shared" si="4"/>
        <v>0</v>
      </c>
      <c r="J257" s="290"/>
      <c r="K257" s="291"/>
      <c r="L257" s="312">
        <v>16840.0</v>
      </c>
      <c r="M257" s="310">
        <f t="shared" si="5"/>
        <v>0</v>
      </c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</row>
    <row r="258">
      <c r="A258" s="282">
        <v>255.0</v>
      </c>
      <c r="B258" s="283"/>
      <c r="C258" s="291"/>
      <c r="D258" s="284">
        <v>17995.0</v>
      </c>
      <c r="E258" s="310">
        <f t="shared" si="6"/>
        <v>0</v>
      </c>
      <c r="F258" s="284">
        <v>16875.0</v>
      </c>
      <c r="G258" s="310">
        <f t="shared" si="7"/>
        <v>0</v>
      </c>
      <c r="H258" s="284">
        <v>0.0</v>
      </c>
      <c r="I258" s="311">
        <f t="shared" si="4"/>
        <v>0</v>
      </c>
      <c r="J258" s="290"/>
      <c r="K258" s="291"/>
      <c r="L258" s="312">
        <v>16830.0</v>
      </c>
      <c r="M258" s="310">
        <f t="shared" si="5"/>
        <v>0</v>
      </c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</row>
    <row r="259">
      <c r="A259" s="282">
        <v>256.0</v>
      </c>
      <c r="B259" s="283"/>
      <c r="C259" s="291"/>
      <c r="D259" s="284">
        <v>16835.0</v>
      </c>
      <c r="E259" s="310">
        <f t="shared" si="6"/>
        <v>0</v>
      </c>
      <c r="F259" s="284">
        <v>16875.0</v>
      </c>
      <c r="G259" s="310">
        <f t="shared" si="7"/>
        <v>0</v>
      </c>
      <c r="H259" s="284">
        <v>0.0</v>
      </c>
      <c r="I259" s="311">
        <f t="shared" si="4"/>
        <v>0</v>
      </c>
      <c r="J259" s="290"/>
      <c r="K259" s="291"/>
      <c r="L259" s="312">
        <v>16830.0</v>
      </c>
      <c r="M259" s="310">
        <f t="shared" si="5"/>
        <v>0</v>
      </c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</row>
    <row r="260">
      <c r="A260" s="282">
        <v>257.0</v>
      </c>
      <c r="B260" s="283"/>
      <c r="C260" s="291"/>
      <c r="D260" s="284">
        <v>16835.0</v>
      </c>
      <c r="E260" s="310">
        <f t="shared" si="6"/>
        <v>0</v>
      </c>
      <c r="F260" s="284">
        <v>16870.0</v>
      </c>
      <c r="G260" s="310">
        <f t="shared" si="7"/>
        <v>0</v>
      </c>
      <c r="H260" s="284">
        <v>0.0</v>
      </c>
      <c r="I260" s="311">
        <f t="shared" si="4"/>
        <v>0</v>
      </c>
      <c r="J260" s="290"/>
      <c r="K260" s="291"/>
      <c r="L260" s="312">
        <v>16820.0</v>
      </c>
      <c r="M260" s="310">
        <f t="shared" si="5"/>
        <v>0</v>
      </c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</row>
    <row r="261">
      <c r="A261" s="282">
        <v>258.0</v>
      </c>
      <c r="B261" s="283"/>
      <c r="C261" s="291"/>
      <c r="D261" s="284">
        <v>16835.0</v>
      </c>
      <c r="E261" s="310">
        <f t="shared" si="6"/>
        <v>0</v>
      </c>
      <c r="F261" s="284">
        <v>16870.0</v>
      </c>
      <c r="G261" s="310">
        <f t="shared" si="7"/>
        <v>0</v>
      </c>
      <c r="H261" s="284">
        <v>0.0</v>
      </c>
      <c r="I261" s="311">
        <f t="shared" si="4"/>
        <v>0</v>
      </c>
      <c r="J261" s="290"/>
      <c r="K261" s="291"/>
      <c r="L261" s="312">
        <v>16820.0</v>
      </c>
      <c r="M261" s="310">
        <f t="shared" si="5"/>
        <v>0</v>
      </c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</row>
    <row r="262">
      <c r="A262" s="282">
        <v>259.0</v>
      </c>
      <c r="B262" s="283"/>
      <c r="C262" s="291"/>
      <c r="D262" s="284">
        <v>16835.0</v>
      </c>
      <c r="E262" s="310">
        <f t="shared" si="6"/>
        <v>0</v>
      </c>
      <c r="F262" s="284">
        <v>16885.0</v>
      </c>
      <c r="G262" s="310">
        <f t="shared" si="7"/>
        <v>0</v>
      </c>
      <c r="H262" s="284">
        <v>0.0</v>
      </c>
      <c r="I262" s="311">
        <f t="shared" si="4"/>
        <v>0</v>
      </c>
      <c r="J262" s="290"/>
      <c r="K262" s="291"/>
      <c r="L262" s="312">
        <v>16820.0</v>
      </c>
      <c r="M262" s="310">
        <f t="shared" si="5"/>
        <v>0</v>
      </c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</row>
    <row r="263">
      <c r="A263" s="282">
        <v>260.0</v>
      </c>
      <c r="B263" s="283"/>
      <c r="C263" s="291"/>
      <c r="D263" s="284">
        <v>16835.0</v>
      </c>
      <c r="E263" s="310">
        <f t="shared" si="6"/>
        <v>0</v>
      </c>
      <c r="F263" s="284">
        <v>16885.0</v>
      </c>
      <c r="G263" s="310">
        <f t="shared" si="7"/>
        <v>0</v>
      </c>
      <c r="H263" s="284">
        <v>0.0</v>
      </c>
      <c r="I263" s="311">
        <f t="shared" si="4"/>
        <v>0</v>
      </c>
      <c r="J263" s="290"/>
      <c r="K263" s="291"/>
      <c r="L263" s="312">
        <v>16550.0</v>
      </c>
      <c r="M263" s="310">
        <f t="shared" si="5"/>
        <v>0</v>
      </c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</row>
    <row r="264">
      <c r="A264" s="282">
        <v>261.0</v>
      </c>
      <c r="B264" s="283"/>
      <c r="C264" s="291"/>
      <c r="D264" s="284">
        <v>16835.0</v>
      </c>
      <c r="E264" s="310">
        <f t="shared" si="6"/>
        <v>0</v>
      </c>
      <c r="F264" s="284">
        <v>16885.0</v>
      </c>
      <c r="G264" s="310">
        <f t="shared" si="7"/>
        <v>0</v>
      </c>
      <c r="H264" s="284">
        <v>0.0</v>
      </c>
      <c r="I264" s="311">
        <f t="shared" si="4"/>
        <v>0</v>
      </c>
      <c r="J264" s="290"/>
      <c r="K264" s="291"/>
      <c r="L264" s="312">
        <v>16550.0</v>
      </c>
      <c r="M264" s="310">
        <f t="shared" si="5"/>
        <v>0</v>
      </c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</row>
    <row r="265">
      <c r="A265" s="282">
        <v>262.0</v>
      </c>
      <c r="B265" s="283"/>
      <c r="C265" s="291"/>
      <c r="D265" s="284">
        <v>16835.0</v>
      </c>
      <c r="E265" s="310">
        <f t="shared" si="6"/>
        <v>0</v>
      </c>
      <c r="F265" s="284">
        <v>16885.0</v>
      </c>
      <c r="G265" s="310">
        <f t="shared" si="7"/>
        <v>0</v>
      </c>
      <c r="H265" s="284">
        <v>0.0</v>
      </c>
      <c r="I265" s="311">
        <f t="shared" si="4"/>
        <v>0</v>
      </c>
      <c r="J265" s="290"/>
      <c r="K265" s="291"/>
      <c r="L265" s="312">
        <v>16550.0</v>
      </c>
      <c r="M265" s="310">
        <f t="shared" si="5"/>
        <v>0</v>
      </c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</row>
    <row r="266">
      <c r="A266" s="282">
        <v>263.0</v>
      </c>
      <c r="B266" s="283"/>
      <c r="C266" s="291"/>
      <c r="D266" s="284">
        <v>16835.0</v>
      </c>
      <c r="E266" s="310">
        <f t="shared" si="6"/>
        <v>0</v>
      </c>
      <c r="F266" s="284">
        <v>16885.0</v>
      </c>
      <c r="G266" s="310">
        <f t="shared" si="7"/>
        <v>0</v>
      </c>
      <c r="H266" s="284">
        <v>0.0</v>
      </c>
      <c r="I266" s="311">
        <f t="shared" si="4"/>
        <v>0</v>
      </c>
      <c r="J266" s="290"/>
      <c r="K266" s="291"/>
      <c r="L266" s="312">
        <v>16720.0</v>
      </c>
      <c r="M266" s="310">
        <f t="shared" si="5"/>
        <v>0</v>
      </c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</row>
    <row r="267">
      <c r="A267" s="282">
        <v>264.0</v>
      </c>
      <c r="B267" s="283"/>
      <c r="C267" s="291"/>
      <c r="D267" s="284">
        <v>16835.0</v>
      </c>
      <c r="E267" s="310">
        <f t="shared" si="6"/>
        <v>0</v>
      </c>
      <c r="F267" s="284">
        <v>16885.0</v>
      </c>
      <c r="G267" s="310">
        <f t="shared" si="7"/>
        <v>0</v>
      </c>
      <c r="H267" s="284">
        <v>0.0</v>
      </c>
      <c r="I267" s="311">
        <f t="shared" si="4"/>
        <v>0</v>
      </c>
      <c r="J267" s="290"/>
      <c r="K267" s="291"/>
      <c r="L267" s="312">
        <v>16720.0</v>
      </c>
      <c r="M267" s="310">
        <f t="shared" si="5"/>
        <v>0</v>
      </c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</row>
    <row r="268">
      <c r="A268" s="282">
        <v>265.0</v>
      </c>
      <c r="B268" s="283"/>
      <c r="C268" s="291"/>
      <c r="D268" s="284">
        <v>16835.0</v>
      </c>
      <c r="E268" s="310">
        <f t="shared" si="6"/>
        <v>0</v>
      </c>
      <c r="F268" s="284">
        <v>16885.0</v>
      </c>
      <c r="G268" s="310">
        <f t="shared" si="7"/>
        <v>0</v>
      </c>
      <c r="H268" s="284">
        <v>0.0</v>
      </c>
      <c r="I268" s="311">
        <f t="shared" si="4"/>
        <v>0</v>
      </c>
      <c r="J268" s="290"/>
      <c r="K268" s="291"/>
      <c r="L268" s="312">
        <v>16220.0</v>
      </c>
      <c r="M268" s="310">
        <f t="shared" si="5"/>
        <v>0</v>
      </c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</row>
    <row r="269">
      <c r="A269" s="282">
        <v>266.0</v>
      </c>
      <c r="B269" s="283"/>
      <c r="C269" s="291"/>
      <c r="D269" s="284">
        <v>16835.0</v>
      </c>
      <c r="E269" s="310">
        <f t="shared" si="6"/>
        <v>0</v>
      </c>
      <c r="F269" s="284">
        <v>16885.0</v>
      </c>
      <c r="G269" s="310">
        <f t="shared" si="7"/>
        <v>0</v>
      </c>
      <c r="H269" s="284">
        <v>0.0</v>
      </c>
      <c r="I269" s="311">
        <f t="shared" si="4"/>
        <v>0</v>
      </c>
      <c r="J269" s="290"/>
      <c r="K269" s="291"/>
      <c r="L269" s="312">
        <v>16150.0</v>
      </c>
      <c r="M269" s="310">
        <f t="shared" si="5"/>
        <v>0</v>
      </c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</row>
    <row r="270">
      <c r="A270" s="282">
        <v>267.0</v>
      </c>
      <c r="B270" s="283"/>
      <c r="C270" s="291"/>
      <c r="D270" s="284">
        <v>16835.0</v>
      </c>
      <c r="E270" s="310">
        <f t="shared" si="6"/>
        <v>0</v>
      </c>
      <c r="F270" s="284">
        <v>16885.0</v>
      </c>
      <c r="G270" s="310">
        <f t="shared" si="7"/>
        <v>0</v>
      </c>
      <c r="H270" s="284">
        <v>0.0</v>
      </c>
      <c r="I270" s="311">
        <f t="shared" si="4"/>
        <v>0</v>
      </c>
      <c r="J270" s="290"/>
      <c r="K270" s="291"/>
      <c r="L270" s="312">
        <v>16230.0</v>
      </c>
      <c r="M270" s="310">
        <f t="shared" si="5"/>
        <v>0</v>
      </c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</row>
    <row r="271">
      <c r="A271" s="282">
        <v>268.0</v>
      </c>
      <c r="B271" s="283"/>
      <c r="C271" s="291"/>
      <c r="D271" s="284">
        <v>16835.0</v>
      </c>
      <c r="E271" s="310">
        <f t="shared" si="6"/>
        <v>0</v>
      </c>
      <c r="F271" s="284">
        <v>16490.0</v>
      </c>
      <c r="G271" s="310">
        <f t="shared" si="7"/>
        <v>0</v>
      </c>
      <c r="H271" s="284">
        <v>0.0</v>
      </c>
      <c r="I271" s="311">
        <f t="shared" si="4"/>
        <v>0</v>
      </c>
      <c r="J271" s="290"/>
      <c r="K271" s="291"/>
      <c r="L271" s="312">
        <v>16210.0</v>
      </c>
      <c r="M271" s="310">
        <f t="shared" si="5"/>
        <v>0</v>
      </c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</row>
    <row r="272">
      <c r="A272" s="282">
        <v>269.0</v>
      </c>
      <c r="B272" s="283"/>
      <c r="C272" s="291"/>
      <c r="D272" s="284">
        <v>16835.0</v>
      </c>
      <c r="E272" s="310">
        <f t="shared" si="6"/>
        <v>0</v>
      </c>
      <c r="F272" s="284">
        <v>16490.0</v>
      </c>
      <c r="G272" s="310">
        <f t="shared" si="7"/>
        <v>0</v>
      </c>
      <c r="H272" s="284">
        <v>0.0</v>
      </c>
      <c r="I272" s="311">
        <f t="shared" si="4"/>
        <v>0</v>
      </c>
      <c r="J272" s="290"/>
      <c r="K272" s="291"/>
      <c r="L272" s="312">
        <v>16210.0</v>
      </c>
      <c r="M272" s="310">
        <f t="shared" si="5"/>
        <v>0</v>
      </c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</row>
    <row r="273">
      <c r="A273" s="282">
        <v>270.0</v>
      </c>
      <c r="B273" s="283"/>
      <c r="C273" s="291"/>
      <c r="D273" s="284">
        <v>16439.0</v>
      </c>
      <c r="E273" s="310">
        <f t="shared" si="6"/>
        <v>0</v>
      </c>
      <c r="F273" s="284">
        <v>16490.0</v>
      </c>
      <c r="G273" s="310">
        <f t="shared" si="7"/>
        <v>0</v>
      </c>
      <c r="H273" s="284">
        <v>0.0</v>
      </c>
      <c r="I273" s="311">
        <f t="shared" si="4"/>
        <v>0</v>
      </c>
      <c r="J273" s="290"/>
      <c r="K273" s="291"/>
      <c r="L273" s="312">
        <v>16240.0</v>
      </c>
      <c r="M273" s="310">
        <f t="shared" si="5"/>
        <v>0</v>
      </c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</row>
    <row r="274">
      <c r="A274" s="282">
        <v>271.0</v>
      </c>
      <c r="B274" s="283"/>
      <c r="C274" s="291"/>
      <c r="D274" s="284">
        <v>16439.0</v>
      </c>
      <c r="E274" s="310">
        <f t="shared" si="6"/>
        <v>0</v>
      </c>
      <c r="F274" s="284">
        <v>16490.0</v>
      </c>
      <c r="G274" s="310">
        <f t="shared" si="7"/>
        <v>0</v>
      </c>
      <c r="H274" s="284" t="s">
        <v>132</v>
      </c>
      <c r="I274" s="311">
        <f t="shared" si="4"/>
        <v>0</v>
      </c>
      <c r="J274" s="290"/>
      <c r="K274" s="291"/>
      <c r="L274" s="312">
        <v>16210.0</v>
      </c>
      <c r="M274" s="310">
        <f t="shared" si="5"/>
        <v>0</v>
      </c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</row>
    <row r="275">
      <c r="A275" s="282">
        <v>272.0</v>
      </c>
      <c r="B275" s="283"/>
      <c r="C275" s="291"/>
      <c r="D275" s="284">
        <v>16439.0</v>
      </c>
      <c r="E275" s="310">
        <f t="shared" si="6"/>
        <v>0</v>
      </c>
      <c r="F275" s="284">
        <v>16490.0</v>
      </c>
      <c r="G275" s="310">
        <f t="shared" si="7"/>
        <v>0</v>
      </c>
      <c r="H275" s="284">
        <v>0.0</v>
      </c>
      <c r="I275" s="311">
        <f t="shared" si="4"/>
        <v>0</v>
      </c>
      <c r="J275" s="290"/>
      <c r="K275" s="291"/>
      <c r="L275" s="312">
        <v>16240.0</v>
      </c>
      <c r="M275" s="310">
        <f t="shared" si="5"/>
        <v>0</v>
      </c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</row>
    <row r="276">
      <c r="A276" s="282">
        <v>273.0</v>
      </c>
      <c r="B276" s="283"/>
      <c r="C276" s="291"/>
      <c r="D276" s="284">
        <v>16439.0</v>
      </c>
      <c r="E276" s="310">
        <f t="shared" si="6"/>
        <v>0</v>
      </c>
      <c r="F276" s="284">
        <v>16490.0</v>
      </c>
      <c r="G276" s="310">
        <f t="shared" si="7"/>
        <v>0</v>
      </c>
      <c r="H276" s="284">
        <v>0.0</v>
      </c>
      <c r="I276" s="311">
        <f t="shared" si="4"/>
        <v>0</v>
      </c>
      <c r="J276" s="290"/>
      <c r="K276" s="291"/>
      <c r="L276" s="312">
        <v>16240.0</v>
      </c>
      <c r="M276" s="310">
        <f t="shared" si="5"/>
        <v>0</v>
      </c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</row>
    <row r="277">
      <c r="A277" s="282">
        <v>274.0</v>
      </c>
      <c r="B277" s="283"/>
      <c r="C277" s="291"/>
      <c r="D277" s="284">
        <v>16439.0</v>
      </c>
      <c r="E277" s="310">
        <f t="shared" si="6"/>
        <v>0</v>
      </c>
      <c r="F277" s="284">
        <v>16490.0</v>
      </c>
      <c r="G277" s="310">
        <f t="shared" si="7"/>
        <v>0</v>
      </c>
      <c r="H277" s="284">
        <v>0.0</v>
      </c>
      <c r="I277" s="311">
        <f t="shared" si="4"/>
        <v>0</v>
      </c>
      <c r="J277" s="290"/>
      <c r="K277" s="291"/>
      <c r="L277" s="312">
        <v>16210.0</v>
      </c>
      <c r="M277" s="310">
        <f t="shared" si="5"/>
        <v>0</v>
      </c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</row>
    <row r="278">
      <c r="A278" s="282">
        <v>275.0</v>
      </c>
      <c r="B278" s="283"/>
      <c r="C278" s="291"/>
      <c r="D278" s="284">
        <v>16439.0</v>
      </c>
      <c r="E278" s="310">
        <f t="shared" si="6"/>
        <v>0</v>
      </c>
      <c r="F278" s="284">
        <v>16490.0</v>
      </c>
      <c r="G278" s="310">
        <f t="shared" si="7"/>
        <v>0</v>
      </c>
      <c r="H278" s="284">
        <v>0.0</v>
      </c>
      <c r="I278" s="311">
        <f t="shared" si="4"/>
        <v>0</v>
      </c>
      <c r="J278" s="290"/>
      <c r="K278" s="291"/>
      <c r="L278" s="312">
        <v>16550.0</v>
      </c>
      <c r="M278" s="310">
        <f t="shared" si="5"/>
        <v>0</v>
      </c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</row>
    <row r="279">
      <c r="A279" s="282">
        <v>276.0</v>
      </c>
      <c r="B279" s="283"/>
      <c r="C279" s="291"/>
      <c r="D279" s="284">
        <v>16439.0</v>
      </c>
      <c r="E279" s="310">
        <f t="shared" si="6"/>
        <v>0</v>
      </c>
      <c r="F279" s="284">
        <v>16490.0</v>
      </c>
      <c r="G279" s="310">
        <f t="shared" si="7"/>
        <v>0</v>
      </c>
      <c r="H279" s="284">
        <v>0.0</v>
      </c>
      <c r="I279" s="311">
        <f t="shared" si="4"/>
        <v>0</v>
      </c>
      <c r="J279" s="290"/>
      <c r="K279" s="291"/>
      <c r="L279" s="312">
        <v>16550.0</v>
      </c>
      <c r="M279" s="310">
        <f t="shared" si="5"/>
        <v>0</v>
      </c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</row>
    <row r="280">
      <c r="A280" s="282">
        <v>277.0</v>
      </c>
      <c r="B280" s="283"/>
      <c r="C280" s="291"/>
      <c r="D280" s="284">
        <v>16985.0</v>
      </c>
      <c r="E280" s="310">
        <f t="shared" si="6"/>
        <v>0</v>
      </c>
      <c r="F280" s="284">
        <v>17060.0</v>
      </c>
      <c r="G280" s="310">
        <f t="shared" si="7"/>
        <v>0</v>
      </c>
      <c r="H280" s="284">
        <v>0.0</v>
      </c>
      <c r="I280" s="311">
        <f t="shared" si="4"/>
        <v>0</v>
      </c>
      <c r="J280" s="290"/>
      <c r="K280" s="291"/>
      <c r="L280" s="312">
        <v>16550.0</v>
      </c>
      <c r="M280" s="310">
        <f t="shared" si="5"/>
        <v>0</v>
      </c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</row>
    <row r="281">
      <c r="A281" s="282">
        <v>278.0</v>
      </c>
      <c r="B281" s="283" t="str">
        <f t="shared" ref="B281:B291" si="8">C281</f>
        <v/>
      </c>
      <c r="C281" s="291"/>
      <c r="D281" s="284">
        <v>17260.0</v>
      </c>
      <c r="E281" s="310">
        <f t="shared" si="6"/>
        <v>0</v>
      </c>
      <c r="F281" s="284">
        <v>17365.0</v>
      </c>
      <c r="G281" s="310">
        <f t="shared" si="7"/>
        <v>0</v>
      </c>
      <c r="H281" s="284">
        <v>0.0</v>
      </c>
      <c r="I281" s="311">
        <f t="shared" si="4"/>
        <v>0</v>
      </c>
      <c r="J281" s="290"/>
      <c r="K281" s="291"/>
      <c r="L281" s="312">
        <v>17975.0</v>
      </c>
      <c r="M281" s="310">
        <f t="shared" si="5"/>
        <v>0</v>
      </c>
      <c r="N281" s="13">
        <v>18.0</v>
      </c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</row>
    <row r="282">
      <c r="A282" s="282">
        <v>279.0</v>
      </c>
      <c r="B282" s="283" t="str">
        <f t="shared" si="8"/>
        <v/>
      </c>
      <c r="C282" s="291"/>
      <c r="D282" s="284">
        <v>17099.0</v>
      </c>
      <c r="E282" s="310">
        <f t="shared" si="6"/>
        <v>0</v>
      </c>
      <c r="F282" s="284">
        <v>17210.0</v>
      </c>
      <c r="G282" s="310">
        <f t="shared" si="7"/>
        <v>0</v>
      </c>
      <c r="H282" s="284">
        <v>0.0</v>
      </c>
      <c r="I282" s="311">
        <f t="shared" si="4"/>
        <v>0</v>
      </c>
      <c r="J282" s="290"/>
      <c r="K282" s="291"/>
      <c r="L282" s="312">
        <v>17930.0</v>
      </c>
      <c r="M282" s="310">
        <f t="shared" si="5"/>
        <v>0</v>
      </c>
      <c r="N282" s="13">
        <v>19.0</v>
      </c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</row>
    <row r="283">
      <c r="A283" s="282">
        <v>280.0</v>
      </c>
      <c r="B283" s="283" t="str">
        <f t="shared" si="8"/>
        <v/>
      </c>
      <c r="C283" s="291"/>
      <c r="D283" s="284">
        <v>16439.0</v>
      </c>
      <c r="E283" s="310">
        <f t="shared" si="6"/>
        <v>0</v>
      </c>
      <c r="F283" s="284">
        <v>16385.0</v>
      </c>
      <c r="G283" s="310">
        <f t="shared" si="7"/>
        <v>0</v>
      </c>
      <c r="H283" s="284">
        <v>0.0</v>
      </c>
      <c r="I283" s="311">
        <f t="shared" si="4"/>
        <v>0</v>
      </c>
      <c r="J283" s="290"/>
      <c r="K283" s="291"/>
      <c r="L283" s="312">
        <v>17940.0</v>
      </c>
      <c r="M283" s="310">
        <f t="shared" si="5"/>
        <v>0</v>
      </c>
      <c r="N283" s="13">
        <v>20.0</v>
      </c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</row>
    <row r="284">
      <c r="A284" s="282">
        <v>281.0</v>
      </c>
      <c r="B284" s="283" t="str">
        <f t="shared" si="8"/>
        <v/>
      </c>
      <c r="C284" s="291"/>
      <c r="D284" s="284">
        <v>16439.0</v>
      </c>
      <c r="E284" s="310">
        <f t="shared" si="6"/>
        <v>0</v>
      </c>
      <c r="F284" s="284">
        <v>16385.0</v>
      </c>
      <c r="G284" s="310">
        <f t="shared" si="7"/>
        <v>0</v>
      </c>
      <c r="H284" s="284">
        <v>0.0</v>
      </c>
      <c r="I284" s="311">
        <f t="shared" si="4"/>
        <v>0</v>
      </c>
      <c r="J284" s="290"/>
      <c r="K284" s="291"/>
      <c r="L284" s="312">
        <v>17965.0</v>
      </c>
      <c r="M284" s="310">
        <f t="shared" si="5"/>
        <v>0</v>
      </c>
      <c r="N284" s="13">
        <v>21.0</v>
      </c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</row>
    <row r="285">
      <c r="A285" s="282">
        <v>282.0</v>
      </c>
      <c r="B285" s="283" t="str">
        <f t="shared" si="8"/>
        <v/>
      </c>
      <c r="C285" s="291"/>
      <c r="D285" s="284">
        <v>16439.0</v>
      </c>
      <c r="E285" s="310">
        <f t="shared" si="6"/>
        <v>0</v>
      </c>
      <c r="F285" s="284">
        <v>16385.0</v>
      </c>
      <c r="G285" s="310">
        <f t="shared" si="7"/>
        <v>0</v>
      </c>
      <c r="H285" s="284">
        <v>0.0</v>
      </c>
      <c r="I285" s="311">
        <f t="shared" si="4"/>
        <v>0</v>
      </c>
      <c r="J285" s="290"/>
      <c r="K285" s="291"/>
      <c r="L285" s="312">
        <v>17945.0</v>
      </c>
      <c r="M285" s="310">
        <f t="shared" si="5"/>
        <v>0</v>
      </c>
      <c r="N285" s="13">
        <v>22.0</v>
      </c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</row>
    <row r="286">
      <c r="A286" s="282">
        <v>283.0</v>
      </c>
      <c r="B286" s="283" t="str">
        <f t="shared" si="8"/>
        <v/>
      </c>
      <c r="C286" s="291"/>
      <c r="D286" s="284">
        <v>16439.0</v>
      </c>
      <c r="E286" s="310">
        <f t="shared" si="6"/>
        <v>0</v>
      </c>
      <c r="F286" s="284">
        <v>16385.0</v>
      </c>
      <c r="G286" s="310">
        <f t="shared" si="7"/>
        <v>0</v>
      </c>
      <c r="H286" s="284">
        <v>0.0</v>
      </c>
      <c r="I286" s="311">
        <f t="shared" si="4"/>
        <v>0</v>
      </c>
      <c r="J286" s="290"/>
      <c r="K286" s="291"/>
      <c r="L286" s="312">
        <v>17880.0</v>
      </c>
      <c r="M286" s="310">
        <f t="shared" si="5"/>
        <v>0</v>
      </c>
      <c r="N286" s="13">
        <v>23.0</v>
      </c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</row>
    <row r="287">
      <c r="A287" s="282">
        <v>284.0</v>
      </c>
      <c r="B287" s="283" t="str">
        <f t="shared" si="8"/>
        <v/>
      </c>
      <c r="C287" s="291"/>
      <c r="D287" s="284">
        <v>16439.0</v>
      </c>
      <c r="E287" s="310">
        <f t="shared" si="6"/>
        <v>0</v>
      </c>
      <c r="F287" s="284">
        <v>16385.0</v>
      </c>
      <c r="G287" s="310">
        <f t="shared" si="7"/>
        <v>0</v>
      </c>
      <c r="H287" s="284">
        <v>0.0</v>
      </c>
      <c r="I287" s="311">
        <f t="shared" si="4"/>
        <v>0</v>
      </c>
      <c r="J287" s="290"/>
      <c r="K287" s="291"/>
      <c r="L287" s="312">
        <v>17800.0</v>
      </c>
      <c r="M287" s="310">
        <f t="shared" si="5"/>
        <v>0</v>
      </c>
      <c r="N287" s="13">
        <v>24.0</v>
      </c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</row>
    <row r="288">
      <c r="A288" s="282">
        <v>285.0</v>
      </c>
      <c r="B288" s="283" t="str">
        <f t="shared" si="8"/>
        <v/>
      </c>
      <c r="C288" s="291"/>
      <c r="D288" s="284">
        <v>16439.0</v>
      </c>
      <c r="E288" s="310">
        <f t="shared" si="6"/>
        <v>0</v>
      </c>
      <c r="F288" s="284">
        <v>16385.0</v>
      </c>
      <c r="G288" s="310">
        <f t="shared" si="7"/>
        <v>0</v>
      </c>
      <c r="H288" s="284">
        <v>0.0</v>
      </c>
      <c r="I288" s="311">
        <f t="shared" si="4"/>
        <v>0</v>
      </c>
      <c r="J288" s="290"/>
      <c r="K288" s="291"/>
      <c r="L288" s="312">
        <v>17800.0</v>
      </c>
      <c r="M288" s="310">
        <f t="shared" si="5"/>
        <v>0</v>
      </c>
      <c r="N288" s="13">
        <v>25.0</v>
      </c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</row>
    <row r="289">
      <c r="A289" s="282">
        <v>286.0</v>
      </c>
      <c r="B289" s="283" t="str">
        <f t="shared" si="8"/>
        <v/>
      </c>
      <c r="C289" s="291"/>
      <c r="D289" s="284">
        <v>16439.0</v>
      </c>
      <c r="E289" s="310">
        <f t="shared" si="6"/>
        <v>0</v>
      </c>
      <c r="F289" s="284">
        <v>16535.0</v>
      </c>
      <c r="G289" s="310">
        <f t="shared" si="7"/>
        <v>0</v>
      </c>
      <c r="H289" s="284">
        <v>0.0</v>
      </c>
      <c r="I289" s="311">
        <f t="shared" si="4"/>
        <v>0</v>
      </c>
      <c r="J289" s="290"/>
      <c r="K289" s="291"/>
      <c r="L289" s="312">
        <v>17800.0</v>
      </c>
      <c r="M289" s="310">
        <f t="shared" si="5"/>
        <v>0</v>
      </c>
      <c r="N289" s="13">
        <v>26.0</v>
      </c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</row>
    <row r="290">
      <c r="A290" s="282">
        <v>287.0</v>
      </c>
      <c r="B290" s="283" t="str">
        <f t="shared" si="8"/>
        <v/>
      </c>
      <c r="C290" s="291"/>
      <c r="D290" s="284">
        <v>16439.0</v>
      </c>
      <c r="E290" s="310">
        <f t="shared" si="6"/>
        <v>0</v>
      </c>
      <c r="F290" s="284">
        <v>16535.0</v>
      </c>
      <c r="G290" s="310">
        <f t="shared" si="7"/>
        <v>0</v>
      </c>
      <c r="H290" s="284">
        <v>0.0</v>
      </c>
      <c r="I290" s="311">
        <f t="shared" si="4"/>
        <v>0</v>
      </c>
      <c r="J290" s="290"/>
      <c r="K290" s="291"/>
      <c r="L290" s="312">
        <v>17900.0</v>
      </c>
      <c r="M290" s="310">
        <f t="shared" si="5"/>
        <v>0</v>
      </c>
      <c r="N290" s="13">
        <v>27.0</v>
      </c>
      <c r="O290" s="42"/>
      <c r="P290" s="316"/>
      <c r="Q290" s="316"/>
      <c r="R290" s="316"/>
      <c r="S290" s="42"/>
      <c r="T290" s="42"/>
      <c r="U290" s="42"/>
      <c r="V290" s="42"/>
      <c r="W290" s="42"/>
      <c r="X290" s="42"/>
      <c r="Y290" s="42"/>
      <c r="Z290" s="42"/>
      <c r="AA290" s="42"/>
    </row>
    <row r="291">
      <c r="A291" s="282">
        <v>288.0</v>
      </c>
      <c r="B291" s="283" t="str">
        <f t="shared" si="8"/>
        <v/>
      </c>
      <c r="C291" s="291"/>
      <c r="D291" s="284">
        <v>16439.0</v>
      </c>
      <c r="E291" s="310">
        <f t="shared" si="6"/>
        <v>0</v>
      </c>
      <c r="F291" s="284">
        <v>16535.0</v>
      </c>
      <c r="G291" s="310">
        <f t="shared" si="7"/>
        <v>0</v>
      </c>
      <c r="H291" s="284">
        <v>0.0</v>
      </c>
      <c r="I291" s="311">
        <f t="shared" si="4"/>
        <v>0</v>
      </c>
      <c r="J291" s="290"/>
      <c r="K291" s="291"/>
      <c r="L291" s="312">
        <v>17900.0</v>
      </c>
      <c r="M291" s="310">
        <f t="shared" si="5"/>
        <v>0</v>
      </c>
      <c r="N291" s="13">
        <v>28.0</v>
      </c>
      <c r="O291" s="313"/>
      <c r="P291" s="314" t="s">
        <v>123</v>
      </c>
      <c r="Q291" s="326">
        <v>321.6</v>
      </c>
      <c r="R291" s="315">
        <f>Q291*L316</f>
        <v>5714963.722</v>
      </c>
      <c r="S291" s="42"/>
      <c r="T291" s="42"/>
      <c r="U291" s="42"/>
      <c r="V291" s="42"/>
      <c r="W291" s="42"/>
      <c r="X291" s="42"/>
      <c r="Y291" s="42"/>
      <c r="Z291" s="42"/>
      <c r="AA291" s="42"/>
    </row>
    <row r="292">
      <c r="A292" s="282">
        <v>289.0</v>
      </c>
      <c r="B292" s="283"/>
      <c r="C292" s="291"/>
      <c r="D292" s="284">
        <v>16439.0</v>
      </c>
      <c r="E292" s="310">
        <f t="shared" si="6"/>
        <v>0</v>
      </c>
      <c r="F292" s="284">
        <v>16535.0</v>
      </c>
      <c r="G292" s="310">
        <f t="shared" si="7"/>
        <v>0</v>
      </c>
      <c r="H292" s="284">
        <v>0.0</v>
      </c>
      <c r="I292" s="311">
        <f t="shared" si="4"/>
        <v>0</v>
      </c>
      <c r="J292" s="290"/>
      <c r="K292" s="291"/>
      <c r="L292" s="312">
        <v>17900.0</v>
      </c>
      <c r="M292" s="310">
        <f t="shared" si="5"/>
        <v>0</v>
      </c>
      <c r="N292" s="13">
        <v>29.0</v>
      </c>
      <c r="O292" s="42"/>
      <c r="P292" s="316"/>
      <c r="Q292" s="316"/>
      <c r="R292" s="42"/>
      <c r="S292" s="42"/>
      <c r="T292" s="42"/>
      <c r="U292" s="42"/>
      <c r="V292" s="42"/>
      <c r="W292" s="42"/>
      <c r="X292" s="42"/>
      <c r="Y292" s="42"/>
      <c r="Z292" s="42"/>
      <c r="AA292" s="42"/>
    </row>
    <row r="293">
      <c r="A293" s="282">
        <v>290.0</v>
      </c>
      <c r="B293" s="283"/>
      <c r="C293" s="291"/>
      <c r="D293" s="284">
        <v>16439.0</v>
      </c>
      <c r="E293" s="310">
        <f t="shared" si="6"/>
        <v>0</v>
      </c>
      <c r="F293" s="284">
        <v>16535.0</v>
      </c>
      <c r="G293" s="310">
        <f t="shared" si="7"/>
        <v>0</v>
      </c>
      <c r="H293" s="284">
        <v>0.0</v>
      </c>
      <c r="I293" s="311">
        <f t="shared" si="4"/>
        <v>0</v>
      </c>
      <c r="J293" s="290"/>
      <c r="K293" s="291"/>
      <c r="L293" s="312">
        <v>17680.0</v>
      </c>
      <c r="M293" s="310">
        <f t="shared" si="5"/>
        <v>0</v>
      </c>
      <c r="N293" s="13">
        <v>30.0</v>
      </c>
      <c r="O293" s="313"/>
      <c r="P293" s="317" t="s">
        <v>5</v>
      </c>
      <c r="Q293" s="276"/>
      <c r="R293" s="42"/>
      <c r="S293" s="42"/>
      <c r="T293" s="42"/>
      <c r="U293" s="42"/>
      <c r="V293" s="42"/>
      <c r="W293" s="42"/>
      <c r="X293" s="42"/>
      <c r="Y293" s="42"/>
      <c r="Z293" s="42"/>
      <c r="AA293" s="42"/>
    </row>
    <row r="294">
      <c r="A294" s="282">
        <v>291.0</v>
      </c>
      <c r="B294" s="283"/>
      <c r="C294" s="291"/>
      <c r="D294" s="284">
        <v>16343.0</v>
      </c>
      <c r="E294" s="310">
        <f t="shared" si="6"/>
        <v>0</v>
      </c>
      <c r="F294" s="284">
        <v>16535.0</v>
      </c>
      <c r="G294" s="310">
        <f t="shared" si="7"/>
        <v>0</v>
      </c>
      <c r="H294" s="284">
        <v>0.0</v>
      </c>
      <c r="I294" s="311">
        <f t="shared" si="4"/>
        <v>0</v>
      </c>
      <c r="J294" s="290"/>
      <c r="K294" s="291"/>
      <c r="L294" s="312">
        <v>17750.0</v>
      </c>
      <c r="M294" s="310">
        <f t="shared" si="5"/>
        <v>0</v>
      </c>
      <c r="N294" s="13">
        <v>31.0</v>
      </c>
      <c r="O294" s="313"/>
      <c r="P294" s="310" t="s">
        <v>8</v>
      </c>
      <c r="Q294" s="319">
        <v>2.0171E7</v>
      </c>
      <c r="R294" s="42"/>
      <c r="S294" s="316"/>
      <c r="T294" s="316"/>
      <c r="U294" s="42"/>
      <c r="V294" s="42"/>
      <c r="W294" s="42"/>
      <c r="X294" s="42"/>
      <c r="Y294" s="42"/>
      <c r="Z294" s="42"/>
      <c r="AA294" s="42"/>
    </row>
    <row r="295">
      <c r="A295" s="282">
        <v>292.0</v>
      </c>
      <c r="B295" s="283"/>
      <c r="C295" s="291"/>
      <c r="D295" s="284">
        <v>16343.0</v>
      </c>
      <c r="E295" s="310">
        <f t="shared" si="6"/>
        <v>0</v>
      </c>
      <c r="F295" s="284">
        <v>16535.0</v>
      </c>
      <c r="G295" s="310">
        <f t="shared" si="7"/>
        <v>0</v>
      </c>
      <c r="H295" s="284">
        <v>0.0</v>
      </c>
      <c r="I295" s="311">
        <f t="shared" si="4"/>
        <v>0</v>
      </c>
      <c r="J295" s="290"/>
      <c r="K295" s="291"/>
      <c r="L295" s="289">
        <v>17850.0</v>
      </c>
      <c r="M295" s="310">
        <f t="shared" si="5"/>
        <v>0</v>
      </c>
      <c r="N295" s="42"/>
      <c r="O295" s="313"/>
      <c r="P295" s="310" t="s">
        <v>32</v>
      </c>
      <c r="Q295" s="322">
        <v>0.0</v>
      </c>
      <c r="R295" s="313"/>
      <c r="S295" s="290"/>
      <c r="T295" s="333">
        <f>B318*3</f>
        <v>842176.47</v>
      </c>
      <c r="U295" s="42"/>
      <c r="V295" s="42"/>
      <c r="W295" s="42"/>
      <c r="X295" s="42"/>
      <c r="Y295" s="42"/>
      <c r="Z295" s="42"/>
      <c r="AA295" s="42"/>
    </row>
    <row r="296">
      <c r="A296" s="282">
        <v>293.0</v>
      </c>
      <c r="B296" s="283"/>
      <c r="C296" s="291"/>
      <c r="D296" s="284">
        <v>16343.0</v>
      </c>
      <c r="E296" s="310">
        <f t="shared" si="6"/>
        <v>0</v>
      </c>
      <c r="F296" s="284">
        <v>15280.0</v>
      </c>
      <c r="G296" s="310">
        <f t="shared" si="7"/>
        <v>0</v>
      </c>
      <c r="H296" s="284">
        <v>0.0</v>
      </c>
      <c r="I296" s="311">
        <f t="shared" si="4"/>
        <v>0</v>
      </c>
      <c r="J296" s="290"/>
      <c r="K296" s="291"/>
      <c r="L296" s="289">
        <v>17850.0</v>
      </c>
      <c r="M296" s="310">
        <f t="shared" si="5"/>
        <v>0</v>
      </c>
      <c r="N296" s="42"/>
      <c r="O296" s="313"/>
      <c r="P296" s="310" t="s">
        <v>14</v>
      </c>
      <c r="Q296" s="368"/>
      <c r="R296" s="42"/>
      <c r="S296" s="316"/>
      <c r="T296" s="316"/>
      <c r="U296" s="42"/>
      <c r="V296" s="42"/>
      <c r="W296" s="42"/>
      <c r="X296" s="42"/>
      <c r="Y296" s="42"/>
      <c r="Z296" s="42"/>
      <c r="AA296" s="42"/>
    </row>
    <row r="297">
      <c r="A297" s="282">
        <v>294.0</v>
      </c>
      <c r="B297" s="283"/>
      <c r="C297" s="291"/>
      <c r="D297" s="284">
        <v>16343.0</v>
      </c>
      <c r="E297" s="310">
        <f t="shared" si="6"/>
        <v>0</v>
      </c>
      <c r="F297" s="284">
        <v>15280.0</v>
      </c>
      <c r="G297" s="310">
        <f t="shared" si="7"/>
        <v>0</v>
      </c>
      <c r="H297" s="284">
        <v>0.0</v>
      </c>
      <c r="I297" s="311">
        <f t="shared" si="4"/>
        <v>0</v>
      </c>
      <c r="J297" s="290"/>
      <c r="K297" s="291"/>
      <c r="L297" s="289">
        <v>17700.0</v>
      </c>
      <c r="M297" s="310">
        <f t="shared" si="5"/>
        <v>0</v>
      </c>
      <c r="N297" s="42"/>
      <c r="O297" s="313"/>
      <c r="P297" s="325" t="s">
        <v>17</v>
      </c>
      <c r="Q297" s="325">
        <f>SUM(Q294+Q295+Q296)</f>
        <v>20171000</v>
      </c>
      <c r="R297" s="313"/>
      <c r="S297" s="290"/>
      <c r="T297" s="335"/>
      <c r="U297" s="42"/>
      <c r="V297" s="42"/>
      <c r="W297" s="42"/>
      <c r="X297" s="42"/>
      <c r="Y297" s="42"/>
      <c r="Z297" s="42"/>
      <c r="AA297" s="42"/>
    </row>
    <row r="298">
      <c r="A298" s="282">
        <v>295.0</v>
      </c>
      <c r="B298" s="283" t="str">
        <f t="shared" ref="B298:B311" si="9">C298</f>
        <v/>
      </c>
      <c r="C298" s="291"/>
      <c r="D298" s="284">
        <v>16343.0</v>
      </c>
      <c r="E298" s="310">
        <f t="shared" si="6"/>
        <v>0</v>
      </c>
      <c r="F298" s="284">
        <v>15280.0</v>
      </c>
      <c r="G298" s="310">
        <f t="shared" si="7"/>
        <v>0</v>
      </c>
      <c r="H298" s="284">
        <v>0.0</v>
      </c>
      <c r="I298" s="311">
        <f t="shared" si="4"/>
        <v>0</v>
      </c>
      <c r="J298" s="290"/>
      <c r="K298" s="291"/>
      <c r="L298" s="289">
        <v>17700.0</v>
      </c>
      <c r="M298" s="310">
        <f t="shared" si="5"/>
        <v>0</v>
      </c>
      <c r="N298" s="42"/>
      <c r="O298" s="313"/>
      <c r="P298" s="327" t="s">
        <v>124</v>
      </c>
      <c r="Q298" s="276"/>
      <c r="R298" s="42"/>
      <c r="S298" s="316"/>
      <c r="T298" s="316"/>
      <c r="U298" s="42"/>
      <c r="V298" s="42"/>
      <c r="W298" s="42"/>
      <c r="X298" s="42"/>
      <c r="Y298" s="42"/>
      <c r="Z298" s="42"/>
      <c r="AA298" s="42"/>
    </row>
    <row r="299">
      <c r="A299" s="282">
        <v>296.0</v>
      </c>
      <c r="B299" s="283" t="str">
        <f t="shared" si="9"/>
        <v/>
      </c>
      <c r="C299" s="291"/>
      <c r="D299" s="284">
        <v>16343.0</v>
      </c>
      <c r="E299" s="310">
        <f t="shared" si="6"/>
        <v>0</v>
      </c>
      <c r="F299" s="284">
        <v>15280.0</v>
      </c>
      <c r="G299" s="310">
        <f t="shared" si="7"/>
        <v>0</v>
      </c>
      <c r="H299" s="284">
        <v>0.0</v>
      </c>
      <c r="I299" s="311">
        <f t="shared" si="4"/>
        <v>0</v>
      </c>
      <c r="J299" s="290"/>
      <c r="K299" s="291"/>
      <c r="L299" s="289">
        <v>17700.0</v>
      </c>
      <c r="M299" s="310">
        <f t="shared" si="5"/>
        <v>0</v>
      </c>
      <c r="N299" s="42"/>
      <c r="O299" s="313"/>
      <c r="P299" s="310" t="s">
        <v>8</v>
      </c>
      <c r="Q299" s="369">
        <v>2.1909E7</v>
      </c>
      <c r="R299" s="313"/>
      <c r="S299" s="330"/>
      <c r="T299" s="338">
        <f>B318*1.5</f>
        <v>421088.235</v>
      </c>
      <c r="U299" s="42"/>
      <c r="V299" s="42"/>
      <c r="W299" s="42"/>
      <c r="X299" s="42"/>
      <c r="Y299" s="42"/>
      <c r="Z299" s="42"/>
      <c r="AA299" s="42"/>
    </row>
    <row r="300">
      <c r="A300" s="282">
        <v>297.0</v>
      </c>
      <c r="B300" s="283" t="str">
        <f t="shared" si="9"/>
        <v/>
      </c>
      <c r="C300" s="291"/>
      <c r="D300" s="284">
        <v>16343.0</v>
      </c>
      <c r="E300" s="310">
        <f t="shared" si="6"/>
        <v>0</v>
      </c>
      <c r="F300" s="284">
        <v>15280.0</v>
      </c>
      <c r="G300" s="310">
        <f t="shared" si="7"/>
        <v>0</v>
      </c>
      <c r="H300" s="284">
        <v>0.0</v>
      </c>
      <c r="I300" s="311">
        <f t="shared" si="4"/>
        <v>0</v>
      </c>
      <c r="J300" s="290"/>
      <c r="K300" s="291"/>
      <c r="L300" s="289">
        <v>17875.0</v>
      </c>
      <c r="M300" s="310">
        <f t="shared" si="5"/>
        <v>0</v>
      </c>
      <c r="N300" s="42"/>
      <c r="O300" s="313"/>
      <c r="P300" s="310" t="s">
        <v>32</v>
      </c>
      <c r="Q300" s="370">
        <v>5714000.0</v>
      </c>
      <c r="R300" s="42"/>
      <c r="S300" s="42"/>
      <c r="T300" s="308"/>
      <c r="U300" s="42"/>
      <c r="V300" s="42"/>
      <c r="W300" s="42"/>
      <c r="X300" s="42"/>
      <c r="Y300" s="42"/>
      <c r="Z300" s="42"/>
      <c r="AA300" s="42"/>
    </row>
    <row r="301">
      <c r="A301" s="282">
        <v>298.0</v>
      </c>
      <c r="B301" s="283" t="str">
        <f t="shared" si="9"/>
        <v/>
      </c>
      <c r="C301" s="291"/>
      <c r="D301" s="284">
        <v>16343.0</v>
      </c>
      <c r="E301" s="310">
        <f t="shared" si="6"/>
        <v>0</v>
      </c>
      <c r="F301" s="284">
        <v>15280.0</v>
      </c>
      <c r="G301" s="310">
        <f t="shared" si="7"/>
        <v>0</v>
      </c>
      <c r="H301" s="284">
        <v>0.0</v>
      </c>
      <c r="I301" s="311">
        <f t="shared" si="4"/>
        <v>0</v>
      </c>
      <c r="J301" s="290"/>
      <c r="K301" s="291"/>
      <c r="L301" s="289">
        <v>17900.0</v>
      </c>
      <c r="M301" s="310">
        <f t="shared" si="5"/>
        <v>0</v>
      </c>
      <c r="N301" s="42"/>
      <c r="O301" s="313"/>
      <c r="P301" s="310" t="s">
        <v>16</v>
      </c>
      <c r="Q301" s="371">
        <v>2500000.0</v>
      </c>
      <c r="R301" s="42"/>
      <c r="S301" s="42"/>
      <c r="T301" s="42"/>
      <c r="U301" s="42"/>
      <c r="V301" s="42"/>
      <c r="W301" s="42"/>
      <c r="X301" s="42"/>
      <c r="Y301" s="42"/>
      <c r="Z301" s="42"/>
      <c r="AA301" s="42"/>
    </row>
    <row r="302">
      <c r="A302" s="282">
        <v>299.0</v>
      </c>
      <c r="B302" s="283" t="str">
        <f t="shared" si="9"/>
        <v/>
      </c>
      <c r="C302" s="291"/>
      <c r="D302" s="284">
        <v>16343.0</v>
      </c>
      <c r="E302" s="310">
        <f t="shared" si="6"/>
        <v>0</v>
      </c>
      <c r="F302" s="284">
        <v>15280.0</v>
      </c>
      <c r="G302" s="310">
        <f t="shared" si="7"/>
        <v>0</v>
      </c>
      <c r="H302" s="284">
        <v>0.0</v>
      </c>
      <c r="I302" s="311">
        <f t="shared" si="4"/>
        <v>0</v>
      </c>
      <c r="J302" s="290"/>
      <c r="K302" s="291"/>
      <c r="L302" s="289">
        <v>17880.0</v>
      </c>
      <c r="M302" s="310">
        <f t="shared" si="5"/>
        <v>0</v>
      </c>
      <c r="N302" s="42"/>
      <c r="O302" s="313"/>
      <c r="P302" s="310" t="s">
        <v>17</v>
      </c>
      <c r="Q302" s="310">
        <f>SUM(Q299:Q301)</f>
        <v>30123000</v>
      </c>
      <c r="R302" s="336" t="s">
        <v>41</v>
      </c>
      <c r="S302" s="42"/>
      <c r="T302" s="42"/>
      <c r="U302" s="42"/>
      <c r="V302" s="42"/>
      <c r="W302" s="42"/>
      <c r="X302" s="42"/>
      <c r="Y302" s="42"/>
      <c r="Z302" s="42"/>
      <c r="AA302" s="42"/>
    </row>
    <row r="303">
      <c r="A303" s="282">
        <v>300.0</v>
      </c>
      <c r="B303" s="283" t="str">
        <f t="shared" si="9"/>
        <v/>
      </c>
      <c r="C303" s="291"/>
      <c r="D303" s="284">
        <v>16343.0</v>
      </c>
      <c r="E303" s="310">
        <f t="shared" si="6"/>
        <v>0</v>
      </c>
      <c r="F303" s="284">
        <v>15280.0</v>
      </c>
      <c r="G303" s="310">
        <f t="shared" si="7"/>
        <v>0</v>
      </c>
      <c r="H303" s="284">
        <v>0.0</v>
      </c>
      <c r="I303" s="311">
        <f t="shared" si="4"/>
        <v>0</v>
      </c>
      <c r="J303" s="290"/>
      <c r="K303" s="291"/>
      <c r="L303" s="289">
        <v>15657.0</v>
      </c>
      <c r="M303" s="310">
        <f t="shared" si="5"/>
        <v>0</v>
      </c>
      <c r="N303" s="42"/>
      <c r="O303" s="313"/>
      <c r="P303" s="337" t="s">
        <v>18</v>
      </c>
      <c r="Q303" s="337">
        <f>Q302-Q297</f>
        <v>9952000</v>
      </c>
      <c r="R303" s="42"/>
      <c r="S303" s="339" t="s">
        <v>128</v>
      </c>
      <c r="T303" s="42"/>
      <c r="U303" s="42"/>
      <c r="V303" s="42"/>
      <c r="W303" s="42"/>
      <c r="X303" s="42"/>
      <c r="Y303" s="42"/>
      <c r="Z303" s="42"/>
      <c r="AA303" s="42"/>
    </row>
    <row r="304">
      <c r="A304" s="282">
        <v>301.0</v>
      </c>
      <c r="B304" s="283" t="str">
        <f t="shared" si="9"/>
        <v/>
      </c>
      <c r="C304" s="291"/>
      <c r="D304" s="284">
        <v>16343.0</v>
      </c>
      <c r="E304" s="310">
        <f t="shared" si="6"/>
        <v>0</v>
      </c>
      <c r="F304" s="284">
        <v>15280.0</v>
      </c>
      <c r="G304" s="310">
        <f t="shared" si="7"/>
        <v>0</v>
      </c>
      <c r="H304" s="284">
        <v>0.0</v>
      </c>
      <c r="I304" s="311">
        <f t="shared" si="4"/>
        <v>0</v>
      </c>
      <c r="J304" s="290"/>
      <c r="K304" s="291"/>
      <c r="L304" s="289">
        <v>15657.0</v>
      </c>
      <c r="M304" s="310">
        <f t="shared" si="5"/>
        <v>0</v>
      </c>
      <c r="N304" s="42"/>
      <c r="O304" s="42"/>
      <c r="P304" s="340"/>
      <c r="Q304" s="340"/>
      <c r="R304" s="42"/>
      <c r="S304" s="341">
        <v>0.01</v>
      </c>
      <c r="T304" s="42"/>
      <c r="U304" s="42"/>
      <c r="V304" s="42"/>
      <c r="W304" s="42"/>
      <c r="X304" s="42"/>
      <c r="Y304" s="42"/>
      <c r="Z304" s="42"/>
      <c r="AA304" s="42"/>
    </row>
    <row r="305">
      <c r="A305" s="282">
        <v>302.0</v>
      </c>
      <c r="B305" s="283" t="str">
        <f t="shared" si="9"/>
        <v/>
      </c>
      <c r="C305" s="291"/>
      <c r="D305" s="284">
        <v>16343.0</v>
      </c>
      <c r="E305" s="310">
        <f t="shared" si="6"/>
        <v>0</v>
      </c>
      <c r="F305" s="284">
        <v>15280.0</v>
      </c>
      <c r="G305" s="310">
        <f t="shared" si="7"/>
        <v>0</v>
      </c>
      <c r="H305" s="284">
        <v>0.0</v>
      </c>
      <c r="I305" s="311">
        <f t="shared" si="4"/>
        <v>0</v>
      </c>
      <c r="J305" s="290"/>
      <c r="K305" s="291"/>
      <c r="L305" s="289">
        <v>15657.0</v>
      </c>
      <c r="M305" s="310">
        <f t="shared" si="5"/>
        <v>0</v>
      </c>
      <c r="N305" s="42"/>
      <c r="O305" s="313"/>
      <c r="P305" s="342" t="s">
        <v>125</v>
      </c>
      <c r="Q305" s="276"/>
      <c r="R305" s="42"/>
      <c r="S305" s="344"/>
      <c r="T305" s="42"/>
      <c r="U305" s="42"/>
      <c r="V305" s="42"/>
      <c r="W305" s="42"/>
      <c r="X305" s="42"/>
      <c r="Y305" s="42"/>
      <c r="Z305" s="42"/>
      <c r="AA305" s="42"/>
    </row>
    <row r="306">
      <c r="A306" s="282">
        <v>303.0</v>
      </c>
      <c r="B306" s="283" t="str">
        <f t="shared" si="9"/>
        <v/>
      </c>
      <c r="C306" s="291"/>
      <c r="D306" s="284">
        <v>16343.0</v>
      </c>
      <c r="E306" s="310">
        <f t="shared" si="6"/>
        <v>0</v>
      </c>
      <c r="F306" s="284">
        <v>15280.0</v>
      </c>
      <c r="G306" s="310">
        <f t="shared" si="7"/>
        <v>0</v>
      </c>
      <c r="H306" s="284">
        <v>0.0</v>
      </c>
      <c r="I306" s="311">
        <f t="shared" si="4"/>
        <v>0</v>
      </c>
      <c r="J306" s="290"/>
      <c r="K306" s="291"/>
      <c r="L306" s="289">
        <v>15647.0</v>
      </c>
      <c r="M306" s="310">
        <f t="shared" si="5"/>
        <v>0</v>
      </c>
      <c r="N306" s="42"/>
      <c r="O306" s="313"/>
      <c r="P306" s="310" t="s">
        <v>22</v>
      </c>
      <c r="Q306" s="334">
        <v>2.0044E7</v>
      </c>
      <c r="R306" s="42"/>
      <c r="S306" s="345">
        <f>S304+S305</f>
        <v>0.01</v>
      </c>
      <c r="T306" s="42"/>
      <c r="U306" s="42"/>
      <c r="V306" s="42"/>
      <c r="W306" s="42"/>
      <c r="X306" s="42"/>
      <c r="Y306" s="42"/>
      <c r="Z306" s="42"/>
      <c r="AA306" s="42"/>
    </row>
    <row r="307">
      <c r="A307" s="282">
        <v>304.0</v>
      </c>
      <c r="B307" s="283" t="str">
        <f t="shared" si="9"/>
        <v/>
      </c>
      <c r="C307" s="291"/>
      <c r="D307" s="284">
        <v>16343.0</v>
      </c>
      <c r="E307" s="310">
        <f t="shared" si="6"/>
        <v>0</v>
      </c>
      <c r="F307" s="284">
        <v>15280.0</v>
      </c>
      <c r="G307" s="310">
        <f t="shared" si="7"/>
        <v>0</v>
      </c>
      <c r="H307" s="284">
        <v>0.0</v>
      </c>
      <c r="I307" s="311">
        <f t="shared" si="4"/>
        <v>0</v>
      </c>
      <c r="J307" s="290"/>
      <c r="K307" s="291"/>
      <c r="L307" s="289">
        <v>15380.0</v>
      </c>
      <c r="M307" s="310">
        <f t="shared" si="5"/>
        <v>0</v>
      </c>
      <c r="N307" s="42"/>
      <c r="O307" s="313"/>
      <c r="P307" s="310" t="s">
        <v>23</v>
      </c>
      <c r="Q307" s="334">
        <v>10000.0</v>
      </c>
      <c r="R307" s="42"/>
      <c r="S307" s="42"/>
      <c r="T307" s="42"/>
      <c r="U307" s="42"/>
      <c r="V307" s="42"/>
      <c r="W307" s="42"/>
      <c r="X307" s="42"/>
      <c r="Y307" s="42"/>
      <c r="Z307" s="42"/>
      <c r="AA307" s="42"/>
    </row>
    <row r="308">
      <c r="A308" s="282">
        <v>305.0</v>
      </c>
      <c r="B308" s="283" t="str">
        <f t="shared" si="9"/>
        <v/>
      </c>
      <c r="C308" s="291"/>
      <c r="D308" s="284">
        <v>16343.0</v>
      </c>
      <c r="E308" s="310">
        <f t="shared" si="6"/>
        <v>0</v>
      </c>
      <c r="F308" s="284">
        <v>15280.0</v>
      </c>
      <c r="G308" s="310">
        <f t="shared" si="7"/>
        <v>0</v>
      </c>
      <c r="H308" s="284">
        <v>0.0</v>
      </c>
      <c r="I308" s="311">
        <f t="shared" si="4"/>
        <v>0</v>
      </c>
      <c r="J308" s="290"/>
      <c r="K308" s="291"/>
      <c r="L308" s="289">
        <v>14765.0</v>
      </c>
      <c r="M308" s="310">
        <f t="shared" si="5"/>
        <v>0</v>
      </c>
      <c r="N308" s="42"/>
      <c r="O308" s="313"/>
      <c r="P308" s="310" t="s">
        <v>24</v>
      </c>
      <c r="Q308" s="334">
        <v>10000.0</v>
      </c>
      <c r="R308" s="42"/>
      <c r="S308" s="42"/>
      <c r="T308" s="42"/>
      <c r="U308" s="42"/>
      <c r="V308" s="42"/>
      <c r="W308" s="42"/>
      <c r="X308" s="42"/>
      <c r="Y308" s="42"/>
      <c r="Z308" s="42"/>
      <c r="AA308" s="42"/>
    </row>
    <row r="309">
      <c r="A309" s="282">
        <v>306.0</v>
      </c>
      <c r="B309" s="283" t="str">
        <f t="shared" si="9"/>
        <v/>
      </c>
      <c r="C309" s="291"/>
      <c r="D309" s="284">
        <v>15516.0</v>
      </c>
      <c r="E309" s="310">
        <f t="shared" si="6"/>
        <v>0</v>
      </c>
      <c r="F309" s="284">
        <v>15280.0</v>
      </c>
      <c r="G309" s="310">
        <f t="shared" si="7"/>
        <v>0</v>
      </c>
      <c r="H309" s="284">
        <v>0.0</v>
      </c>
      <c r="I309" s="311">
        <f t="shared" si="4"/>
        <v>0</v>
      </c>
      <c r="J309" s="290"/>
      <c r="K309" s="291"/>
      <c r="L309" s="289">
        <v>14765.0</v>
      </c>
      <c r="M309" s="310">
        <f t="shared" si="5"/>
        <v>0</v>
      </c>
      <c r="N309" s="42"/>
      <c r="O309" s="313"/>
      <c r="P309" s="310" t="s">
        <v>25</v>
      </c>
      <c r="Q309" s="334">
        <v>10000.0</v>
      </c>
      <c r="R309" s="42"/>
      <c r="S309" s="42"/>
      <c r="T309" s="42"/>
      <c r="U309" s="42"/>
      <c r="V309" s="42"/>
      <c r="W309" s="42"/>
      <c r="X309" s="42"/>
      <c r="Y309" s="42"/>
      <c r="Z309" s="42"/>
      <c r="AA309" s="42"/>
    </row>
    <row r="310">
      <c r="A310" s="282">
        <v>307.0</v>
      </c>
      <c r="B310" s="283" t="str">
        <f t="shared" si="9"/>
        <v/>
      </c>
      <c r="C310" s="291"/>
      <c r="D310" s="284">
        <v>15090.0</v>
      </c>
      <c r="E310" s="310">
        <f t="shared" si="6"/>
        <v>0</v>
      </c>
      <c r="F310" s="284">
        <v>15280.0</v>
      </c>
      <c r="G310" s="310">
        <f t="shared" si="7"/>
        <v>0</v>
      </c>
      <c r="H310" s="284">
        <v>0.0</v>
      </c>
      <c r="I310" s="311">
        <f t="shared" si="4"/>
        <v>0</v>
      </c>
      <c r="J310" s="290"/>
      <c r="K310" s="291"/>
      <c r="L310" s="289">
        <v>14775.0</v>
      </c>
      <c r="M310" s="310">
        <f t="shared" si="5"/>
        <v>0</v>
      </c>
      <c r="N310" s="42"/>
      <c r="O310" s="313"/>
      <c r="P310" s="310" t="s">
        <v>26</v>
      </c>
      <c r="Q310" s="334">
        <v>87000.0</v>
      </c>
      <c r="R310" s="42"/>
      <c r="S310" s="42"/>
      <c r="T310" s="42"/>
      <c r="U310" s="42"/>
      <c r="V310" s="42"/>
      <c r="W310" s="42"/>
      <c r="X310" s="42"/>
      <c r="Y310" s="42"/>
      <c r="Z310" s="42"/>
      <c r="AA310" s="42"/>
    </row>
    <row r="311">
      <c r="A311" s="282">
        <v>308.0</v>
      </c>
      <c r="B311" s="283" t="str">
        <f t="shared" si="9"/>
        <v/>
      </c>
      <c r="C311" s="291"/>
      <c r="D311" s="284">
        <v>15090.0</v>
      </c>
      <c r="E311" s="310">
        <f t="shared" si="6"/>
        <v>0</v>
      </c>
      <c r="F311" s="284">
        <v>15280.0</v>
      </c>
      <c r="G311" s="310">
        <f t="shared" si="7"/>
        <v>0</v>
      </c>
      <c r="H311" s="284">
        <v>0.0</v>
      </c>
      <c r="I311" s="311">
        <f t="shared" si="4"/>
        <v>0</v>
      </c>
      <c r="J311" s="290"/>
      <c r="K311" s="291"/>
      <c r="L311" s="289">
        <v>15380.0</v>
      </c>
      <c r="M311" s="310">
        <f t="shared" si="5"/>
        <v>0</v>
      </c>
      <c r="N311" s="42"/>
      <c r="O311" s="313"/>
      <c r="P311" s="284" t="s">
        <v>126</v>
      </c>
      <c r="Q311" s="334">
        <v>10000.0</v>
      </c>
      <c r="R311" s="42"/>
      <c r="S311" s="42"/>
      <c r="T311" s="42"/>
      <c r="U311" s="42"/>
      <c r="V311" s="42"/>
      <c r="W311" s="42"/>
      <c r="X311" s="42"/>
      <c r="Y311" s="42"/>
      <c r="Z311" s="42"/>
      <c r="AA311" s="42"/>
    </row>
    <row r="312">
      <c r="A312" s="125"/>
      <c r="B312" s="372"/>
      <c r="C312" s="291"/>
      <c r="D312" s="284">
        <v>15090.0</v>
      </c>
      <c r="E312" s="310">
        <f t="shared" si="6"/>
        <v>0</v>
      </c>
      <c r="F312" s="284">
        <v>15280.0</v>
      </c>
      <c r="G312" s="310">
        <f t="shared" si="7"/>
        <v>0</v>
      </c>
      <c r="H312" s="284">
        <v>0.0</v>
      </c>
      <c r="I312" s="311">
        <f t="shared" si="4"/>
        <v>0</v>
      </c>
      <c r="J312" s="290"/>
      <c r="K312" s="291"/>
      <c r="L312" s="289">
        <v>15380.0</v>
      </c>
      <c r="M312" s="310">
        <f t="shared" si="5"/>
        <v>0</v>
      </c>
      <c r="N312" s="42"/>
      <c r="O312" s="313"/>
      <c r="P312" s="151" t="s">
        <v>29</v>
      </c>
      <c r="Q312" s="37"/>
      <c r="R312" s="42"/>
      <c r="S312" s="42"/>
      <c r="T312" s="42"/>
      <c r="U312" s="42"/>
      <c r="V312" s="42"/>
      <c r="W312" s="42"/>
      <c r="X312" s="42"/>
      <c r="Y312" s="42"/>
      <c r="Z312" s="42"/>
      <c r="AA312" s="42"/>
    </row>
    <row r="313">
      <c r="A313" s="125"/>
      <c r="B313" s="372"/>
      <c r="C313" s="291"/>
      <c r="D313" s="284">
        <v>15090.0</v>
      </c>
      <c r="E313" s="310">
        <f t="shared" si="6"/>
        <v>0</v>
      </c>
      <c r="F313" s="284">
        <v>15280.0</v>
      </c>
      <c r="G313" s="310">
        <v>0.0</v>
      </c>
      <c r="H313" s="284">
        <v>0.0</v>
      </c>
      <c r="I313" s="311">
        <f t="shared" si="4"/>
        <v>0</v>
      </c>
      <c r="J313" s="290"/>
      <c r="K313" s="291"/>
      <c r="L313" s="289">
        <v>15380.0</v>
      </c>
      <c r="M313" s="310">
        <f t="shared" si="5"/>
        <v>0</v>
      </c>
      <c r="N313" s="42"/>
      <c r="O313" s="313"/>
      <c r="P313" s="151" t="s">
        <v>30</v>
      </c>
      <c r="Q313" s="346"/>
      <c r="R313" s="42"/>
      <c r="S313" s="42"/>
      <c r="T313" s="42"/>
      <c r="U313" s="42"/>
      <c r="V313" s="42"/>
      <c r="W313" s="42"/>
      <c r="X313" s="42"/>
      <c r="Y313" s="42"/>
      <c r="Z313" s="42"/>
      <c r="AA313" s="42"/>
    </row>
    <row r="314">
      <c r="A314" s="125"/>
      <c r="B314" s="372"/>
      <c r="C314" s="291"/>
      <c r="D314" s="284">
        <v>15090.0</v>
      </c>
      <c r="E314" s="310">
        <f t="shared" si="6"/>
        <v>0</v>
      </c>
      <c r="F314" s="284">
        <v>15280.0</v>
      </c>
      <c r="G314" s="310">
        <f t="shared" ref="G314:G317" si="10">F314*C314</f>
        <v>0</v>
      </c>
      <c r="H314" s="284">
        <v>0.0</v>
      </c>
      <c r="I314" s="311">
        <f t="shared" si="4"/>
        <v>0</v>
      </c>
      <c r="J314" s="290"/>
      <c r="K314" s="291"/>
      <c r="L314" s="289">
        <v>15380.0</v>
      </c>
      <c r="M314" s="310">
        <f t="shared" si="5"/>
        <v>0</v>
      </c>
      <c r="N314" s="42"/>
      <c r="O314" s="313"/>
      <c r="P314" s="159"/>
      <c r="Q314" s="346"/>
      <c r="R314" s="42"/>
      <c r="S314" s="42"/>
      <c r="T314" s="42"/>
      <c r="U314" s="42"/>
      <c r="V314" s="42"/>
      <c r="W314" s="42"/>
      <c r="X314" s="42"/>
      <c r="Y314" s="42"/>
      <c r="Z314" s="42"/>
      <c r="AA314" s="42"/>
    </row>
    <row r="315">
      <c r="A315" s="125"/>
      <c r="B315" s="372"/>
      <c r="C315" s="288"/>
      <c r="D315" s="284">
        <v>15090.0</v>
      </c>
      <c r="E315" s="310">
        <f t="shared" si="6"/>
        <v>0</v>
      </c>
      <c r="F315" s="284">
        <v>15280.0</v>
      </c>
      <c r="G315" s="310">
        <f t="shared" si="10"/>
        <v>0</v>
      </c>
      <c r="H315" s="284">
        <v>0.0</v>
      </c>
      <c r="I315" s="347">
        <f t="shared" si="4"/>
        <v>0</v>
      </c>
      <c r="J315" s="159"/>
      <c r="K315" s="373"/>
      <c r="L315" s="159"/>
      <c r="M315" s="159"/>
      <c r="N315" s="42"/>
      <c r="O315" s="313"/>
      <c r="P315" s="159"/>
      <c r="Q315" s="346"/>
      <c r="R315" s="42"/>
      <c r="S315" s="42"/>
      <c r="T315" s="42"/>
      <c r="U315" s="42"/>
      <c r="V315" s="42"/>
      <c r="W315" s="42"/>
      <c r="X315" s="42"/>
      <c r="Y315" s="42"/>
      <c r="Z315" s="42"/>
      <c r="AA315" s="42"/>
    </row>
    <row r="316">
      <c r="A316" s="125"/>
      <c r="B316" s="372"/>
      <c r="C316" s="288"/>
      <c r="D316" s="284">
        <v>15090.0</v>
      </c>
      <c r="E316" s="310">
        <f t="shared" si="6"/>
        <v>0</v>
      </c>
      <c r="F316" s="284">
        <v>15280.0</v>
      </c>
      <c r="G316" s="310">
        <f t="shared" si="10"/>
        <v>0</v>
      </c>
      <c r="H316" s="284">
        <v>0.0</v>
      </c>
      <c r="I316" s="286">
        <f t="shared" si="4"/>
        <v>0</v>
      </c>
      <c r="J316" s="348" t="s">
        <v>45</v>
      </c>
      <c r="K316" s="349">
        <f>SUM(K4:K315)</f>
        <v>281056.05</v>
      </c>
      <c r="L316" s="350">
        <f>M316/K316</f>
        <v>17770.40958</v>
      </c>
      <c r="M316" s="351">
        <f>SUM(M4:M315)</f>
        <v>4994481125</v>
      </c>
      <c r="N316" s="42"/>
      <c r="O316" s="313"/>
      <c r="P316" s="163" t="s">
        <v>17</v>
      </c>
      <c r="Q316" s="352">
        <f>SUM(Q306:Q315)</f>
        <v>20171000</v>
      </c>
      <c r="R316" s="42"/>
      <c r="S316" s="42"/>
      <c r="T316" s="42"/>
      <c r="U316" s="42"/>
      <c r="V316" s="42"/>
      <c r="W316" s="42"/>
      <c r="X316" s="42"/>
      <c r="Y316" s="42"/>
      <c r="Z316" s="42"/>
      <c r="AA316" s="42"/>
    </row>
    <row r="317">
      <c r="A317" s="125"/>
      <c r="B317" s="372"/>
      <c r="C317" s="288"/>
      <c r="D317" s="284">
        <v>15090.0</v>
      </c>
      <c r="E317" s="310">
        <f t="shared" si="6"/>
        <v>0</v>
      </c>
      <c r="F317" s="284">
        <v>15280.0</v>
      </c>
      <c r="G317" s="310">
        <f t="shared" si="10"/>
        <v>0</v>
      </c>
      <c r="H317" s="284">
        <v>0.0</v>
      </c>
      <c r="I317" s="286">
        <f t="shared" si="4"/>
        <v>0</v>
      </c>
      <c r="J317" s="348" t="s">
        <v>129</v>
      </c>
      <c r="K317" s="349">
        <f>K316*L317</f>
        <v>196.739235</v>
      </c>
      <c r="L317" s="353">
        <v>7.0E-4</v>
      </c>
      <c r="M317" s="354"/>
      <c r="N317" s="42"/>
      <c r="O317" s="313"/>
      <c r="P317" s="355" t="s">
        <v>127</v>
      </c>
      <c r="Q317" s="276"/>
      <c r="R317" s="42"/>
      <c r="S317" s="42"/>
      <c r="T317" s="42"/>
      <c r="U317" s="42"/>
      <c r="V317" s="42"/>
      <c r="W317" s="42"/>
      <c r="X317" s="42"/>
      <c r="Y317" s="42"/>
      <c r="Z317" s="42"/>
      <c r="AA317" s="42"/>
    </row>
    <row r="318">
      <c r="A318" s="282">
        <f t="shared" ref="A318:C318" si="11">SUM(A4:A317)</f>
        <v>47586</v>
      </c>
      <c r="B318" s="323">
        <f t="shared" si="11"/>
        <v>280725.49</v>
      </c>
      <c r="C318" s="356">
        <f t="shared" si="11"/>
        <v>280725.49</v>
      </c>
      <c r="D318" s="290"/>
      <c r="E318" s="357">
        <f>SUM(E4:E317)</f>
        <v>4988827744</v>
      </c>
      <c r="F318" s="290"/>
      <c r="G318" s="357">
        <f>SUM(G4:G317)</f>
        <v>4999999591</v>
      </c>
      <c r="H318" s="357">
        <f>E318*H3</f>
        <v>3492179.421</v>
      </c>
      <c r="I318" s="359">
        <f>G318-E318-H318</f>
        <v>7679667.809</v>
      </c>
      <c r="J318" s="348" t="s">
        <v>130</v>
      </c>
      <c r="K318" s="349">
        <f>K316-K317</f>
        <v>280859.3108</v>
      </c>
      <c r="L318" s="360"/>
      <c r="M318" s="354"/>
      <c r="N318" s="42"/>
      <c r="O318" s="313"/>
      <c r="P318" s="310" t="s">
        <v>22</v>
      </c>
      <c r="Q318" s="371">
        <v>1.8944E7</v>
      </c>
      <c r="R318" s="42"/>
      <c r="S318" s="42"/>
      <c r="T318" s="42"/>
      <c r="U318" s="42"/>
      <c r="V318" s="42"/>
      <c r="W318" s="42"/>
      <c r="X318" s="42"/>
      <c r="Y318" s="42"/>
      <c r="Z318" s="42"/>
      <c r="AA318" s="42"/>
    </row>
    <row r="319">
      <c r="A319" s="125"/>
      <c r="B319" s="321"/>
      <c r="C319" s="374"/>
      <c r="D319" s="42"/>
      <c r="E319" s="42"/>
      <c r="F319" s="42"/>
      <c r="G319" s="42"/>
      <c r="H319" s="42"/>
      <c r="I319" s="313"/>
      <c r="J319" s="362" t="s">
        <v>131</v>
      </c>
      <c r="K319" s="363">
        <f>K318-C318</f>
        <v>133.820765</v>
      </c>
      <c r="L319" s="360"/>
      <c r="M319" s="354"/>
      <c r="N319" s="42"/>
      <c r="O319" s="313"/>
      <c r="P319" s="310" t="s">
        <v>23</v>
      </c>
      <c r="Q319" s="334">
        <v>10000.0</v>
      </c>
      <c r="R319" s="42"/>
      <c r="S319" s="42"/>
      <c r="T319" s="42"/>
      <c r="U319" s="42"/>
      <c r="V319" s="42"/>
      <c r="W319" s="42"/>
      <c r="X319" s="42"/>
      <c r="Y319" s="42"/>
      <c r="Z319" s="42"/>
      <c r="AA319" s="42"/>
    </row>
    <row r="320">
      <c r="A320" s="125"/>
      <c r="B320" s="321"/>
      <c r="C320" s="374"/>
      <c r="D320" s="42"/>
      <c r="E320" s="42"/>
      <c r="F320" s="42"/>
      <c r="G320" s="42"/>
      <c r="H320" s="42"/>
      <c r="I320" s="42"/>
      <c r="J320" s="42"/>
      <c r="K320" s="375"/>
      <c r="L320" s="42"/>
      <c r="M320" s="42"/>
      <c r="N320" s="42"/>
      <c r="O320" s="313"/>
      <c r="P320" s="310" t="s">
        <v>24</v>
      </c>
      <c r="Q320" s="334">
        <v>10000.0</v>
      </c>
      <c r="R320" s="42"/>
      <c r="S320" s="42"/>
      <c r="T320" s="42"/>
      <c r="U320" s="42"/>
      <c r="V320" s="42"/>
      <c r="W320" s="42"/>
      <c r="X320" s="42"/>
      <c r="Y320" s="42"/>
      <c r="Z320" s="42"/>
      <c r="AA320" s="42"/>
    </row>
    <row r="321">
      <c r="A321" s="125"/>
      <c r="B321" s="321"/>
      <c r="C321" s="374"/>
      <c r="D321" s="42"/>
      <c r="E321" s="42"/>
      <c r="F321" s="42"/>
      <c r="G321" s="42"/>
      <c r="H321" s="42"/>
      <c r="I321" s="364"/>
      <c r="J321" s="42"/>
      <c r="K321" s="375"/>
      <c r="L321" s="42"/>
      <c r="M321" s="42"/>
      <c r="N321" s="42"/>
      <c r="O321" s="313"/>
      <c r="P321" s="310" t="s">
        <v>25</v>
      </c>
      <c r="Q321" s="334">
        <v>10000.0</v>
      </c>
      <c r="R321" s="42"/>
      <c r="S321" s="42"/>
      <c r="T321" s="42"/>
      <c r="U321" s="42"/>
      <c r="V321" s="42"/>
      <c r="W321" s="42"/>
      <c r="X321" s="42"/>
      <c r="Y321" s="42"/>
      <c r="Z321" s="42"/>
      <c r="AA321" s="42"/>
    </row>
    <row r="322">
      <c r="A322" s="125"/>
      <c r="B322" s="321"/>
      <c r="C322" s="374"/>
      <c r="D322" s="42"/>
      <c r="E322" s="42"/>
      <c r="F322" s="42"/>
      <c r="G322" s="42"/>
      <c r="H322" s="42"/>
      <c r="I322" s="42"/>
      <c r="J322" s="42"/>
      <c r="K322" s="375"/>
      <c r="L322" s="42"/>
      <c r="M322" s="42"/>
      <c r="N322" s="13" t="s">
        <v>41</v>
      </c>
      <c r="O322" s="313"/>
      <c r="P322" s="310" t="s">
        <v>26</v>
      </c>
      <c r="Q322" s="371">
        <v>2925000.0</v>
      </c>
      <c r="R322" s="308"/>
      <c r="S322" s="336" t="s">
        <v>41</v>
      </c>
      <c r="T322" s="42"/>
      <c r="U322" s="42"/>
      <c r="V322" s="42"/>
      <c r="W322" s="42"/>
      <c r="X322" s="42"/>
      <c r="Y322" s="42"/>
      <c r="Z322" s="42"/>
      <c r="AA322" s="42"/>
    </row>
    <row r="323">
      <c r="A323" s="125"/>
      <c r="B323" s="321"/>
      <c r="C323" s="376"/>
      <c r="D323" s="42"/>
      <c r="E323" s="42"/>
      <c r="F323" s="42"/>
      <c r="G323" s="42"/>
      <c r="H323" s="42"/>
      <c r="I323" s="42"/>
      <c r="J323" s="42"/>
      <c r="K323" s="375"/>
      <c r="L323" s="42"/>
      <c r="M323" s="42"/>
      <c r="N323" s="42"/>
      <c r="O323" s="42"/>
      <c r="P323" s="151" t="s">
        <v>126</v>
      </c>
      <c r="Q323" s="334">
        <v>10000.0</v>
      </c>
      <c r="R323" s="42"/>
      <c r="S323" s="42"/>
      <c r="T323" s="42"/>
      <c r="U323" s="42"/>
      <c r="V323" s="42"/>
      <c r="W323" s="42"/>
      <c r="X323" s="42"/>
      <c r="Y323" s="42"/>
      <c r="Z323" s="42"/>
      <c r="AA323" s="42"/>
    </row>
    <row r="324">
      <c r="A324" s="125"/>
      <c r="B324" s="321"/>
      <c r="C324" s="374"/>
      <c r="D324" s="42"/>
      <c r="E324" s="42"/>
      <c r="F324" s="42"/>
      <c r="G324" s="42"/>
      <c r="H324" s="42"/>
      <c r="I324" s="42"/>
      <c r="J324" s="42"/>
      <c r="K324" s="375"/>
      <c r="L324" s="42"/>
      <c r="M324" s="42"/>
      <c r="N324" s="42"/>
      <c r="O324" s="42"/>
      <c r="P324" s="151" t="s">
        <v>29</v>
      </c>
      <c r="Q324" s="324"/>
      <c r="R324" s="42"/>
      <c r="S324" s="42"/>
      <c r="T324" s="42"/>
      <c r="U324" s="42"/>
      <c r="V324" s="42"/>
      <c r="W324" s="42"/>
      <c r="X324" s="42"/>
      <c r="Y324" s="42"/>
      <c r="Z324" s="42"/>
      <c r="AA324" s="42"/>
    </row>
    <row r="325">
      <c r="A325" s="125"/>
      <c r="B325" s="321"/>
      <c r="C325" s="374"/>
      <c r="D325" s="42"/>
      <c r="E325" s="42"/>
      <c r="F325" s="42"/>
      <c r="G325" s="42"/>
      <c r="H325" s="42"/>
      <c r="I325" s="42"/>
      <c r="J325" s="42"/>
      <c r="K325" s="375"/>
      <c r="L325" s="42"/>
      <c r="M325" s="42"/>
      <c r="N325" s="42"/>
      <c r="O325" s="42"/>
      <c r="P325" s="151" t="s">
        <v>30</v>
      </c>
      <c r="Q325" s="324"/>
      <c r="R325" s="42"/>
      <c r="S325" s="42"/>
      <c r="T325" s="42"/>
      <c r="U325" s="42"/>
      <c r="V325" s="42"/>
      <c r="W325" s="42"/>
      <c r="X325" s="42"/>
      <c r="Y325" s="42"/>
      <c r="Z325" s="42"/>
      <c r="AA325" s="42"/>
    </row>
    <row r="326">
      <c r="A326" s="125"/>
      <c r="B326" s="321"/>
      <c r="C326" s="374"/>
      <c r="D326" s="42"/>
      <c r="E326" s="42"/>
      <c r="F326" s="42"/>
      <c r="G326" s="42"/>
      <c r="H326" s="42"/>
      <c r="I326" s="42"/>
      <c r="J326" s="42"/>
      <c r="K326" s="375"/>
      <c r="L326" s="42"/>
      <c r="M326" s="42"/>
      <c r="N326" s="42"/>
      <c r="O326" s="42"/>
      <c r="P326" s="151" t="s">
        <v>41</v>
      </c>
      <c r="Q326" s="324"/>
      <c r="R326" s="42"/>
      <c r="S326" s="42"/>
      <c r="T326" s="42"/>
      <c r="U326" s="42"/>
      <c r="V326" s="42"/>
      <c r="W326" s="42"/>
      <c r="X326" s="42"/>
      <c r="Y326" s="42"/>
      <c r="Z326" s="42"/>
      <c r="AA326" s="42"/>
    </row>
    <row r="327">
      <c r="A327" s="125"/>
      <c r="B327" s="321"/>
      <c r="C327" s="374"/>
      <c r="D327" s="42"/>
      <c r="E327" s="42"/>
      <c r="F327" s="42"/>
      <c r="G327" s="42"/>
      <c r="H327" s="42"/>
      <c r="I327" s="42"/>
      <c r="J327" s="42"/>
      <c r="K327" s="375"/>
      <c r="L327" s="42"/>
      <c r="M327" s="42"/>
      <c r="N327" s="42"/>
      <c r="O327" s="42"/>
      <c r="P327" s="151" t="s">
        <v>41</v>
      </c>
      <c r="Q327" s="324"/>
      <c r="R327" s="42"/>
      <c r="S327" s="42"/>
      <c r="T327" s="42"/>
      <c r="U327" s="42"/>
      <c r="V327" s="42"/>
      <c r="W327" s="42"/>
      <c r="X327" s="42"/>
      <c r="Y327" s="42"/>
      <c r="Z327" s="42"/>
      <c r="AA327" s="42"/>
    </row>
    <row r="328">
      <c r="A328" s="125"/>
      <c r="B328" s="321"/>
      <c r="C328" s="374"/>
      <c r="D328" s="42"/>
      <c r="E328" s="42"/>
      <c r="F328" s="42"/>
      <c r="G328" s="42"/>
      <c r="H328" s="42"/>
      <c r="I328" s="42"/>
      <c r="J328" s="42"/>
      <c r="K328" s="375"/>
      <c r="L328" s="42"/>
      <c r="M328" s="42"/>
      <c r="N328" s="42"/>
      <c r="O328" s="42"/>
      <c r="P328" s="163" t="s">
        <v>17</v>
      </c>
      <c r="Q328" s="366">
        <f>SUM(Q318:Q327)</f>
        <v>21909000</v>
      </c>
      <c r="R328" s="42"/>
      <c r="S328" s="42"/>
      <c r="T328" s="42"/>
      <c r="U328" s="42"/>
      <c r="V328" s="42"/>
      <c r="W328" s="42"/>
      <c r="X328" s="42"/>
      <c r="Y328" s="42"/>
      <c r="Z328" s="42"/>
      <c r="AA328" s="42"/>
    </row>
    <row r="329">
      <c r="A329" s="125"/>
      <c r="B329" s="321"/>
      <c r="C329" s="374"/>
      <c r="D329" s="42"/>
      <c r="E329" s="42"/>
      <c r="F329" s="42"/>
      <c r="G329" s="42"/>
      <c r="H329" s="42"/>
      <c r="I329" s="42"/>
      <c r="J329" s="42"/>
      <c r="K329" s="375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</row>
    <row r="330">
      <c r="A330" s="125"/>
      <c r="B330" s="321"/>
      <c r="C330" s="374"/>
      <c r="D330" s="42"/>
      <c r="E330" s="42"/>
      <c r="F330" s="42"/>
      <c r="G330" s="42"/>
      <c r="H330" s="42"/>
      <c r="I330" s="42"/>
      <c r="J330" s="42"/>
      <c r="K330" s="375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</row>
    <row r="331">
      <c r="A331" s="125"/>
      <c r="B331" s="321"/>
      <c r="C331" s="374"/>
      <c r="D331" s="42"/>
      <c r="E331" s="42"/>
      <c r="F331" s="42"/>
      <c r="G331" s="42"/>
      <c r="H331" s="42"/>
      <c r="I331" s="42"/>
      <c r="J331" s="42"/>
      <c r="K331" s="375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</row>
    <row r="332">
      <c r="A332" s="125"/>
      <c r="B332" s="321"/>
      <c r="C332" s="374"/>
      <c r="D332" s="42"/>
      <c r="E332" s="42"/>
      <c r="F332" s="42"/>
      <c r="G332" s="42"/>
      <c r="H332" s="42"/>
      <c r="I332" s="42"/>
      <c r="J332" s="42"/>
      <c r="K332" s="375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</row>
    <row r="333">
      <c r="A333" s="125"/>
      <c r="B333" s="321"/>
      <c r="C333" s="374"/>
      <c r="D333" s="42"/>
      <c r="E333" s="42"/>
      <c r="F333" s="42"/>
      <c r="G333" s="42"/>
      <c r="H333" s="42"/>
      <c r="I333" s="42"/>
      <c r="J333" s="42"/>
      <c r="K333" s="375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</row>
    <row r="334">
      <c r="A334" s="125"/>
      <c r="B334" s="321"/>
      <c r="C334" s="374"/>
      <c r="D334" s="42"/>
      <c r="E334" s="42"/>
      <c r="F334" s="42"/>
      <c r="G334" s="42"/>
      <c r="H334" s="42"/>
      <c r="I334" s="42"/>
      <c r="J334" s="42"/>
      <c r="K334" s="375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</row>
    <row r="335">
      <c r="A335" s="125"/>
      <c r="B335" s="321"/>
      <c r="C335" s="374"/>
      <c r="D335" s="42"/>
      <c r="E335" s="42"/>
      <c r="F335" s="42"/>
      <c r="G335" s="42"/>
      <c r="H335" s="42"/>
      <c r="I335" s="42"/>
      <c r="J335" s="42"/>
      <c r="K335" s="375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</row>
    <row r="336">
      <c r="A336" s="125"/>
      <c r="B336" s="321"/>
      <c r="C336" s="374"/>
      <c r="D336" s="42"/>
      <c r="E336" s="42"/>
      <c r="F336" s="42"/>
      <c r="G336" s="42"/>
      <c r="H336" s="42"/>
      <c r="I336" s="42"/>
      <c r="J336" s="42"/>
      <c r="K336" s="375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</row>
    <row r="337">
      <c r="A337" s="125"/>
      <c r="B337" s="321"/>
      <c r="C337" s="374"/>
      <c r="D337" s="42"/>
      <c r="E337" s="42"/>
      <c r="F337" s="42"/>
      <c r="G337" s="42"/>
      <c r="H337" s="42"/>
      <c r="I337" s="42"/>
      <c r="J337" s="42"/>
      <c r="K337" s="375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</row>
    <row r="338">
      <c r="A338" s="125"/>
      <c r="B338" s="321"/>
      <c r="C338" s="374"/>
      <c r="D338" s="42"/>
      <c r="E338" s="42"/>
      <c r="F338" s="42"/>
      <c r="G338" s="42"/>
      <c r="H338" s="42"/>
      <c r="I338" s="42"/>
      <c r="J338" s="304"/>
      <c r="K338" s="375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</row>
    <row r="339">
      <c r="A339" s="125"/>
      <c r="B339" s="321"/>
      <c r="C339" s="374"/>
      <c r="D339" s="42"/>
      <c r="E339" s="42"/>
      <c r="F339" s="42"/>
      <c r="G339" s="42"/>
      <c r="H339" s="42"/>
      <c r="I339" s="42"/>
      <c r="J339" s="42"/>
      <c r="K339" s="377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</row>
    <row r="340">
      <c r="A340" s="125"/>
      <c r="B340" s="321"/>
      <c r="C340" s="374"/>
      <c r="D340" s="42"/>
      <c r="E340" s="42"/>
      <c r="F340" s="42"/>
      <c r="G340" s="42"/>
      <c r="H340" s="42"/>
      <c r="I340" s="42"/>
      <c r="J340" s="42"/>
      <c r="K340" s="375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</row>
    <row r="341">
      <c r="A341" s="125"/>
      <c r="B341" s="321"/>
      <c r="C341" s="374"/>
      <c r="D341" s="42"/>
      <c r="E341" s="42"/>
      <c r="F341" s="42"/>
      <c r="G341" s="42"/>
      <c r="H341" s="42"/>
      <c r="I341" s="42"/>
      <c r="J341" s="42"/>
      <c r="K341" s="375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</row>
    <row r="342">
      <c r="A342" s="125"/>
      <c r="B342" s="321"/>
      <c r="C342" s="374"/>
      <c r="D342" s="42"/>
      <c r="E342" s="42"/>
      <c r="F342" s="42"/>
      <c r="G342" s="42"/>
      <c r="H342" s="42"/>
      <c r="I342" s="42"/>
      <c r="J342" s="42"/>
      <c r="K342" s="375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</row>
    <row r="343">
      <c r="A343" s="125"/>
      <c r="B343" s="321"/>
      <c r="C343" s="374"/>
      <c r="D343" s="42"/>
      <c r="E343" s="42"/>
      <c r="F343" s="42"/>
      <c r="G343" s="42"/>
      <c r="H343" s="42"/>
      <c r="I343" s="42"/>
      <c r="J343" s="42"/>
      <c r="K343" s="375"/>
      <c r="L343" s="304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</row>
    <row r="344">
      <c r="A344" s="125"/>
      <c r="B344" s="321"/>
      <c r="C344" s="374"/>
      <c r="D344" s="42"/>
      <c r="E344" s="42"/>
      <c r="F344" s="42"/>
      <c r="G344" s="42"/>
      <c r="H344" s="42"/>
      <c r="I344" s="42"/>
      <c r="J344" s="42"/>
      <c r="K344" s="375"/>
      <c r="L344" s="304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</row>
    <row r="345">
      <c r="A345" s="125"/>
      <c r="B345" s="321"/>
      <c r="C345" s="374"/>
      <c r="D345" s="42"/>
      <c r="E345" s="42"/>
      <c r="F345" s="42"/>
      <c r="G345" s="42"/>
      <c r="H345" s="42"/>
      <c r="I345" s="42"/>
      <c r="J345" s="42"/>
      <c r="K345" s="375"/>
      <c r="L345" s="304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</row>
    <row r="346">
      <c r="A346" s="125"/>
      <c r="B346" s="321"/>
      <c r="C346" s="374"/>
      <c r="D346" s="42"/>
      <c r="E346" s="42"/>
      <c r="F346" s="42"/>
      <c r="G346" s="42"/>
      <c r="H346" s="42"/>
      <c r="I346" s="42"/>
      <c r="J346" s="42"/>
      <c r="K346" s="375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</row>
    <row r="347">
      <c r="A347" s="125"/>
      <c r="B347" s="321"/>
      <c r="C347" s="374"/>
      <c r="D347" s="42"/>
      <c r="E347" s="42"/>
      <c r="F347" s="42"/>
      <c r="G347" s="42"/>
      <c r="H347" s="42"/>
      <c r="I347" s="42"/>
      <c r="J347" s="42"/>
      <c r="K347" s="375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</row>
    <row r="348">
      <c r="A348" s="125"/>
      <c r="B348" s="321"/>
      <c r="C348" s="374"/>
      <c r="D348" s="42"/>
      <c r="E348" s="42"/>
      <c r="F348" s="42"/>
      <c r="G348" s="42"/>
      <c r="H348" s="42"/>
      <c r="I348" s="42"/>
      <c r="J348" s="42"/>
      <c r="K348" s="375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</row>
    <row r="349">
      <c r="A349" s="125"/>
      <c r="B349" s="321"/>
      <c r="C349" s="374"/>
      <c r="D349" s="42"/>
      <c r="E349" s="42"/>
      <c r="F349" s="42"/>
      <c r="G349" s="42"/>
      <c r="H349" s="42"/>
      <c r="I349" s="42"/>
      <c r="J349" s="42"/>
      <c r="K349" s="375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</row>
    <row r="350">
      <c r="A350" s="125"/>
      <c r="B350" s="321"/>
      <c r="C350" s="374"/>
      <c r="D350" s="42"/>
      <c r="E350" s="42"/>
      <c r="F350" s="42"/>
      <c r="G350" s="42"/>
      <c r="H350" s="42"/>
      <c r="I350" s="42"/>
      <c r="J350" s="42"/>
      <c r="K350" s="375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</row>
    <row r="351">
      <c r="A351" s="125"/>
      <c r="B351" s="321"/>
      <c r="C351" s="374"/>
      <c r="D351" s="42"/>
      <c r="E351" s="42"/>
      <c r="F351" s="42"/>
      <c r="G351" s="42"/>
      <c r="H351" s="42"/>
      <c r="I351" s="42"/>
      <c r="J351" s="42"/>
      <c r="K351" s="375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</row>
    <row r="352">
      <c r="A352" s="125"/>
      <c r="B352" s="321"/>
      <c r="C352" s="374"/>
      <c r="D352" s="42"/>
      <c r="E352" s="42"/>
      <c r="F352" s="42"/>
      <c r="G352" s="42"/>
      <c r="H352" s="42"/>
      <c r="I352" s="42"/>
      <c r="J352" s="42"/>
      <c r="K352" s="375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</row>
    <row r="353">
      <c r="A353" s="125"/>
      <c r="B353" s="321"/>
      <c r="C353" s="374"/>
      <c r="D353" s="42"/>
      <c r="E353" s="42"/>
      <c r="F353" s="42"/>
      <c r="G353" s="42"/>
      <c r="H353" s="42"/>
      <c r="I353" s="42"/>
      <c r="J353" s="42"/>
      <c r="K353" s="375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</row>
    <row r="354">
      <c r="A354" s="125"/>
      <c r="B354" s="321"/>
      <c r="C354" s="374"/>
      <c r="D354" s="42"/>
      <c r="E354" s="42"/>
      <c r="F354" s="42"/>
      <c r="G354" s="42"/>
      <c r="H354" s="42"/>
      <c r="I354" s="42"/>
      <c r="J354" s="42"/>
      <c r="K354" s="375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</row>
    <row r="355">
      <c r="A355" s="125"/>
      <c r="B355" s="321"/>
      <c r="C355" s="374"/>
      <c r="D355" s="42"/>
      <c r="E355" s="42"/>
      <c r="F355" s="42"/>
      <c r="G355" s="42"/>
      <c r="H355" s="42"/>
      <c r="I355" s="42"/>
      <c r="J355" s="42"/>
      <c r="K355" s="375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</row>
    <row r="356">
      <c r="A356" s="125"/>
      <c r="B356" s="321"/>
      <c r="C356" s="374"/>
      <c r="D356" s="42"/>
      <c r="E356" s="42"/>
      <c r="F356" s="42"/>
      <c r="G356" s="42"/>
      <c r="H356" s="42"/>
      <c r="I356" s="42"/>
      <c r="J356" s="42"/>
      <c r="K356" s="375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</row>
    <row r="357">
      <c r="A357" s="125"/>
      <c r="B357" s="321"/>
      <c r="C357" s="374"/>
      <c r="D357" s="42"/>
      <c r="E357" s="42"/>
      <c r="F357" s="42"/>
      <c r="G357" s="42"/>
      <c r="H357" s="42"/>
      <c r="I357" s="42"/>
      <c r="J357" s="42"/>
      <c r="K357" s="375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</row>
    <row r="358">
      <c r="A358" s="125"/>
      <c r="B358" s="321"/>
      <c r="C358" s="374"/>
      <c r="D358" s="42"/>
      <c r="E358" s="42"/>
      <c r="F358" s="42"/>
      <c r="G358" s="42"/>
      <c r="H358" s="42"/>
      <c r="I358" s="42"/>
      <c r="J358" s="42"/>
      <c r="K358" s="375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</row>
    <row r="359">
      <c r="A359" s="125"/>
      <c r="B359" s="321"/>
      <c r="C359" s="374"/>
      <c r="D359" s="42"/>
      <c r="E359" s="42"/>
      <c r="F359" s="42"/>
      <c r="G359" s="42"/>
      <c r="H359" s="42"/>
      <c r="I359" s="42"/>
      <c r="J359" s="42"/>
      <c r="K359" s="375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</row>
    <row r="360">
      <c r="A360" s="125"/>
      <c r="B360" s="321"/>
      <c r="C360" s="374"/>
      <c r="D360" s="42"/>
      <c r="E360" s="42"/>
      <c r="F360" s="42"/>
      <c r="G360" s="42"/>
      <c r="H360" s="42"/>
      <c r="I360" s="42"/>
      <c r="J360" s="42"/>
      <c r="K360" s="375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</row>
    <row r="361">
      <c r="A361" s="125"/>
      <c r="B361" s="321"/>
      <c r="C361" s="374"/>
      <c r="D361" s="42"/>
      <c r="E361" s="42"/>
      <c r="F361" s="42"/>
      <c r="G361" s="42"/>
      <c r="H361" s="42"/>
      <c r="I361" s="42"/>
      <c r="J361" s="42"/>
      <c r="K361" s="375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</row>
    <row r="362">
      <c r="A362" s="125"/>
      <c r="B362" s="321"/>
      <c r="C362" s="374"/>
      <c r="D362" s="42"/>
      <c r="E362" s="42"/>
      <c r="F362" s="42"/>
      <c r="G362" s="42"/>
      <c r="H362" s="42"/>
      <c r="I362" s="42"/>
      <c r="J362" s="42"/>
      <c r="K362" s="375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</row>
    <row r="363">
      <c r="A363" s="125"/>
      <c r="B363" s="321"/>
      <c r="C363" s="374"/>
      <c r="D363" s="42"/>
      <c r="E363" s="42"/>
      <c r="F363" s="42"/>
      <c r="G363" s="42"/>
      <c r="H363" s="42"/>
      <c r="I363" s="42"/>
      <c r="J363" s="42"/>
      <c r="K363" s="375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</row>
    <row r="364">
      <c r="A364" s="125"/>
      <c r="B364" s="321"/>
      <c r="C364" s="374"/>
      <c r="D364" s="42"/>
      <c r="E364" s="42"/>
      <c r="F364" s="42"/>
      <c r="G364" s="42"/>
      <c r="H364" s="42"/>
      <c r="I364" s="42"/>
      <c r="J364" s="42"/>
      <c r="K364" s="375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</row>
    <row r="365">
      <c r="A365" s="125"/>
      <c r="B365" s="321"/>
      <c r="C365" s="374"/>
      <c r="D365" s="42"/>
      <c r="E365" s="42"/>
      <c r="F365" s="42"/>
      <c r="G365" s="42"/>
      <c r="H365" s="42"/>
      <c r="I365" s="42"/>
      <c r="J365" s="42"/>
      <c r="K365" s="375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</row>
    <row r="366">
      <c r="A366" s="125"/>
      <c r="B366" s="321"/>
      <c r="C366" s="374"/>
      <c r="D366" s="42"/>
      <c r="E366" s="42"/>
      <c r="F366" s="42"/>
      <c r="G366" s="42"/>
      <c r="H366" s="42"/>
      <c r="I366" s="42"/>
      <c r="J366" s="42"/>
      <c r="K366" s="375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</row>
    <row r="367">
      <c r="A367" s="125"/>
      <c r="B367" s="321"/>
      <c r="C367" s="374"/>
      <c r="D367" s="42"/>
      <c r="E367" s="42"/>
      <c r="F367" s="42"/>
      <c r="G367" s="42"/>
      <c r="H367" s="42"/>
      <c r="I367" s="42"/>
      <c r="J367" s="42"/>
      <c r="K367" s="375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</row>
    <row r="368">
      <c r="A368" s="125"/>
      <c r="B368" s="321"/>
      <c r="C368" s="374"/>
      <c r="D368" s="42"/>
      <c r="E368" s="42"/>
      <c r="F368" s="42"/>
      <c r="G368" s="42"/>
      <c r="H368" s="42"/>
      <c r="I368" s="42"/>
      <c r="J368" s="42"/>
      <c r="K368" s="375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</row>
    <row r="369">
      <c r="A369" s="125"/>
      <c r="B369" s="321"/>
      <c r="C369" s="374"/>
      <c r="D369" s="42"/>
      <c r="E369" s="42"/>
      <c r="F369" s="42"/>
      <c r="G369" s="42"/>
      <c r="H369" s="42"/>
      <c r="I369" s="42"/>
      <c r="J369" s="42"/>
      <c r="K369" s="375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</row>
    <row r="370">
      <c r="A370" s="125"/>
      <c r="B370" s="321"/>
      <c r="C370" s="374"/>
      <c r="D370" s="42"/>
      <c r="E370" s="42"/>
      <c r="F370" s="42"/>
      <c r="G370" s="42"/>
      <c r="H370" s="42"/>
      <c r="I370" s="42"/>
      <c r="J370" s="42"/>
      <c r="K370" s="375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</row>
    <row r="371">
      <c r="A371" s="125"/>
      <c r="B371" s="321"/>
      <c r="C371" s="374"/>
      <c r="D371" s="42"/>
      <c r="E371" s="42"/>
      <c r="F371" s="42"/>
      <c r="G371" s="42"/>
      <c r="H371" s="42"/>
      <c r="I371" s="42"/>
      <c r="J371" s="42"/>
      <c r="K371" s="375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</row>
    <row r="372">
      <c r="A372" s="125"/>
      <c r="B372" s="321"/>
      <c r="C372" s="374"/>
      <c r="D372" s="42"/>
      <c r="E372" s="42"/>
      <c r="F372" s="42"/>
      <c r="G372" s="42"/>
      <c r="H372" s="42"/>
      <c r="I372" s="42"/>
      <c r="J372" s="42"/>
      <c r="K372" s="375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</row>
    <row r="373">
      <c r="A373" s="125"/>
      <c r="B373" s="321"/>
      <c r="C373" s="374"/>
      <c r="D373" s="42"/>
      <c r="E373" s="42"/>
      <c r="F373" s="42"/>
      <c r="G373" s="42"/>
      <c r="H373" s="42"/>
      <c r="I373" s="42"/>
      <c r="J373" s="42"/>
      <c r="K373" s="375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</row>
    <row r="374">
      <c r="A374" s="125"/>
      <c r="B374" s="321"/>
      <c r="C374" s="374"/>
      <c r="D374" s="42"/>
      <c r="E374" s="42"/>
      <c r="F374" s="42"/>
      <c r="G374" s="42"/>
      <c r="H374" s="42"/>
      <c r="I374" s="42"/>
      <c r="J374" s="42"/>
      <c r="K374" s="375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</row>
    <row r="375">
      <c r="A375" s="125"/>
      <c r="B375" s="321"/>
      <c r="C375" s="374"/>
      <c r="D375" s="42"/>
      <c r="E375" s="42"/>
      <c r="F375" s="42"/>
      <c r="G375" s="42"/>
      <c r="H375" s="42"/>
      <c r="I375" s="42"/>
      <c r="J375" s="42"/>
      <c r="K375" s="375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</row>
    <row r="376">
      <c r="A376" s="125"/>
      <c r="B376" s="321"/>
      <c r="C376" s="374"/>
      <c r="D376" s="42"/>
      <c r="E376" s="42"/>
      <c r="F376" s="42"/>
      <c r="G376" s="42"/>
      <c r="H376" s="42"/>
      <c r="I376" s="42"/>
      <c r="J376" s="42"/>
      <c r="K376" s="375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</row>
    <row r="377">
      <c r="A377" s="125"/>
      <c r="B377" s="321"/>
      <c r="C377" s="374"/>
      <c r="D377" s="42"/>
      <c r="E377" s="42"/>
      <c r="F377" s="42"/>
      <c r="G377" s="42"/>
      <c r="H377" s="42"/>
      <c r="I377" s="42"/>
      <c r="J377" s="42"/>
      <c r="K377" s="375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</row>
    <row r="378">
      <c r="A378" s="125"/>
      <c r="B378" s="321"/>
      <c r="C378" s="374"/>
      <c r="D378" s="42"/>
      <c r="E378" s="42"/>
      <c r="F378" s="42"/>
      <c r="G378" s="42"/>
      <c r="H378" s="42"/>
      <c r="I378" s="42"/>
      <c r="J378" s="42"/>
      <c r="K378" s="375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</row>
    <row r="379">
      <c r="A379" s="125"/>
      <c r="B379" s="321"/>
      <c r="C379" s="374"/>
      <c r="D379" s="42"/>
      <c r="E379" s="42"/>
      <c r="F379" s="42"/>
      <c r="G379" s="42"/>
      <c r="H379" s="42"/>
      <c r="I379" s="42"/>
      <c r="J379" s="42"/>
      <c r="K379" s="375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</row>
    <row r="380">
      <c r="A380" s="125"/>
      <c r="B380" s="321"/>
      <c r="C380" s="374"/>
      <c r="D380" s="42"/>
      <c r="E380" s="42"/>
      <c r="F380" s="42"/>
      <c r="G380" s="42"/>
      <c r="H380" s="42"/>
      <c r="I380" s="42"/>
      <c r="J380" s="42"/>
      <c r="K380" s="375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</row>
    <row r="381">
      <c r="A381" s="125"/>
      <c r="B381" s="321"/>
      <c r="C381" s="374"/>
      <c r="D381" s="42"/>
      <c r="E381" s="42"/>
      <c r="F381" s="42"/>
      <c r="G381" s="42"/>
      <c r="H381" s="42"/>
      <c r="I381" s="42"/>
      <c r="J381" s="42"/>
      <c r="K381" s="375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</row>
    <row r="382">
      <c r="A382" s="125"/>
      <c r="B382" s="321"/>
      <c r="C382" s="374"/>
      <c r="D382" s="42"/>
      <c r="E382" s="42"/>
      <c r="F382" s="42"/>
      <c r="G382" s="42"/>
      <c r="H382" s="42"/>
      <c r="I382" s="42"/>
      <c r="J382" s="42"/>
      <c r="K382" s="375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</row>
    <row r="383">
      <c r="A383" s="125"/>
      <c r="B383" s="321"/>
      <c r="C383" s="374"/>
      <c r="D383" s="42"/>
      <c r="E383" s="42"/>
      <c r="F383" s="42"/>
      <c r="G383" s="42"/>
      <c r="H383" s="42"/>
      <c r="I383" s="42"/>
      <c r="J383" s="42"/>
      <c r="K383" s="375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</row>
    <row r="384">
      <c r="A384" s="125"/>
      <c r="B384" s="321"/>
      <c r="C384" s="374"/>
      <c r="D384" s="42"/>
      <c r="E384" s="42"/>
      <c r="F384" s="42"/>
      <c r="G384" s="42"/>
      <c r="H384" s="42"/>
      <c r="I384" s="42"/>
      <c r="J384" s="42"/>
      <c r="K384" s="375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</row>
    <row r="385">
      <c r="A385" s="125"/>
      <c r="B385" s="321"/>
      <c r="C385" s="374"/>
      <c r="D385" s="42"/>
      <c r="E385" s="42"/>
      <c r="F385" s="42"/>
      <c r="G385" s="42"/>
      <c r="H385" s="42"/>
      <c r="I385" s="42"/>
      <c r="J385" s="42"/>
      <c r="K385" s="375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</row>
    <row r="386">
      <c r="A386" s="125"/>
      <c r="B386" s="321"/>
      <c r="C386" s="374"/>
      <c r="D386" s="42"/>
      <c r="E386" s="42"/>
      <c r="F386" s="42"/>
      <c r="G386" s="42"/>
      <c r="H386" s="42"/>
      <c r="I386" s="42"/>
      <c r="J386" s="42"/>
      <c r="K386" s="375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</row>
    <row r="387">
      <c r="A387" s="125"/>
      <c r="B387" s="321"/>
      <c r="C387" s="374"/>
      <c r="D387" s="42"/>
      <c r="E387" s="42"/>
      <c r="F387" s="42"/>
      <c r="G387" s="42"/>
      <c r="H387" s="42"/>
      <c r="I387" s="42"/>
      <c r="J387" s="42"/>
      <c r="K387" s="375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</row>
    <row r="388">
      <c r="A388" s="125"/>
      <c r="B388" s="321"/>
      <c r="C388" s="374"/>
      <c r="D388" s="42"/>
      <c r="E388" s="42"/>
      <c r="F388" s="42"/>
      <c r="G388" s="42"/>
      <c r="H388" s="42"/>
      <c r="I388" s="42"/>
      <c r="J388" s="42"/>
      <c r="K388" s="375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</row>
    <row r="389">
      <c r="A389" s="125"/>
      <c r="B389" s="321"/>
      <c r="C389" s="374"/>
      <c r="D389" s="42"/>
      <c r="E389" s="42"/>
      <c r="F389" s="42"/>
      <c r="G389" s="42"/>
      <c r="H389" s="42"/>
      <c r="I389" s="42"/>
      <c r="J389" s="42"/>
      <c r="K389" s="375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</row>
    <row r="390">
      <c r="A390" s="125"/>
      <c r="B390" s="321"/>
      <c r="C390" s="374"/>
      <c r="D390" s="42"/>
      <c r="E390" s="42"/>
      <c r="F390" s="42"/>
      <c r="G390" s="42"/>
      <c r="H390" s="42"/>
      <c r="I390" s="42"/>
      <c r="J390" s="42"/>
      <c r="K390" s="375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</row>
    <row r="391">
      <c r="A391" s="125"/>
      <c r="B391" s="321"/>
      <c r="C391" s="374"/>
      <c r="D391" s="42"/>
      <c r="E391" s="42"/>
      <c r="F391" s="42"/>
      <c r="G391" s="42"/>
      <c r="H391" s="42"/>
      <c r="I391" s="42"/>
      <c r="J391" s="42"/>
      <c r="K391" s="375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</row>
    <row r="392">
      <c r="A392" s="125"/>
      <c r="B392" s="321"/>
      <c r="C392" s="374"/>
      <c r="D392" s="42"/>
      <c r="E392" s="42"/>
      <c r="F392" s="42"/>
      <c r="G392" s="42"/>
      <c r="H392" s="42"/>
      <c r="I392" s="42"/>
      <c r="J392" s="42"/>
      <c r="K392" s="375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</row>
    <row r="393">
      <c r="A393" s="125"/>
      <c r="B393" s="321"/>
      <c r="C393" s="374"/>
      <c r="D393" s="42"/>
      <c r="E393" s="42"/>
      <c r="F393" s="42"/>
      <c r="G393" s="42"/>
      <c r="H393" s="42"/>
      <c r="I393" s="42"/>
      <c r="J393" s="42"/>
      <c r="K393" s="375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</row>
    <row r="394">
      <c r="A394" s="125"/>
      <c r="B394" s="321"/>
      <c r="C394" s="374"/>
      <c r="D394" s="42"/>
      <c r="E394" s="42"/>
      <c r="F394" s="42"/>
      <c r="G394" s="42"/>
      <c r="H394" s="42"/>
      <c r="I394" s="42"/>
      <c r="J394" s="42"/>
      <c r="K394" s="375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</row>
    <row r="395">
      <c r="A395" s="125"/>
      <c r="B395" s="321"/>
      <c r="C395" s="374"/>
      <c r="D395" s="42"/>
      <c r="E395" s="42"/>
      <c r="F395" s="42"/>
      <c r="G395" s="42"/>
      <c r="H395" s="42"/>
      <c r="I395" s="42"/>
      <c r="J395" s="42"/>
      <c r="K395" s="375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</row>
    <row r="396">
      <c r="A396" s="125"/>
      <c r="B396" s="321"/>
      <c r="C396" s="374"/>
      <c r="D396" s="42"/>
      <c r="E396" s="42"/>
      <c r="F396" s="42"/>
      <c r="G396" s="42"/>
      <c r="H396" s="42"/>
      <c r="I396" s="42"/>
      <c r="J396" s="42"/>
      <c r="K396" s="375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</row>
    <row r="397">
      <c r="A397" s="125"/>
      <c r="B397" s="321"/>
      <c r="C397" s="374"/>
      <c r="D397" s="42"/>
      <c r="E397" s="42"/>
      <c r="F397" s="42"/>
      <c r="G397" s="42"/>
      <c r="H397" s="42"/>
      <c r="I397" s="42"/>
      <c r="J397" s="42"/>
      <c r="K397" s="375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</row>
    <row r="398">
      <c r="A398" s="125"/>
      <c r="B398" s="321"/>
      <c r="C398" s="374"/>
      <c r="D398" s="42"/>
      <c r="E398" s="42"/>
      <c r="F398" s="42"/>
      <c r="G398" s="42"/>
      <c r="H398" s="42"/>
      <c r="I398" s="42"/>
      <c r="J398" s="42"/>
      <c r="K398" s="375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</row>
    <row r="399">
      <c r="A399" s="125"/>
      <c r="B399" s="321"/>
      <c r="C399" s="374"/>
      <c r="D399" s="42"/>
      <c r="E399" s="42"/>
      <c r="F399" s="42"/>
      <c r="G399" s="42"/>
      <c r="H399" s="42"/>
      <c r="I399" s="42"/>
      <c r="J399" s="42"/>
      <c r="K399" s="375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</row>
    <row r="400">
      <c r="A400" s="125"/>
      <c r="B400" s="321"/>
      <c r="C400" s="374"/>
      <c r="D400" s="42"/>
      <c r="E400" s="42"/>
      <c r="F400" s="42"/>
      <c r="G400" s="42"/>
      <c r="H400" s="42"/>
      <c r="I400" s="42"/>
      <c r="J400" s="42"/>
      <c r="K400" s="375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</row>
    <row r="401">
      <c r="A401" s="125"/>
      <c r="B401" s="321"/>
      <c r="C401" s="374"/>
      <c r="D401" s="42"/>
      <c r="E401" s="42"/>
      <c r="F401" s="42"/>
      <c r="G401" s="42"/>
      <c r="H401" s="42"/>
      <c r="I401" s="42"/>
      <c r="J401" s="42"/>
      <c r="K401" s="375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</row>
    <row r="402">
      <c r="A402" s="125"/>
      <c r="B402" s="321"/>
      <c r="C402" s="374"/>
      <c r="D402" s="42"/>
      <c r="E402" s="42"/>
      <c r="F402" s="42"/>
      <c r="G402" s="42"/>
      <c r="H402" s="42"/>
      <c r="I402" s="42"/>
      <c r="J402" s="42"/>
      <c r="K402" s="375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</row>
    <row r="403">
      <c r="A403" s="125"/>
      <c r="B403" s="321"/>
      <c r="C403" s="374"/>
      <c r="D403" s="42"/>
      <c r="E403" s="42"/>
      <c r="F403" s="42"/>
      <c r="G403" s="42"/>
      <c r="H403" s="42"/>
      <c r="I403" s="42"/>
      <c r="J403" s="42"/>
      <c r="K403" s="375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</row>
    <row r="404">
      <c r="A404" s="125"/>
      <c r="B404" s="321"/>
      <c r="C404" s="374"/>
      <c r="D404" s="42"/>
      <c r="E404" s="42"/>
      <c r="F404" s="42"/>
      <c r="G404" s="42"/>
      <c r="H404" s="42"/>
      <c r="I404" s="42"/>
      <c r="J404" s="42"/>
      <c r="K404" s="375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</row>
    <row r="405">
      <c r="A405" s="125"/>
      <c r="B405" s="321"/>
      <c r="C405" s="374"/>
      <c r="D405" s="42"/>
      <c r="E405" s="42"/>
      <c r="F405" s="42"/>
      <c r="G405" s="42"/>
      <c r="H405" s="42"/>
      <c r="I405" s="42"/>
      <c r="J405" s="42"/>
      <c r="K405" s="375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</row>
    <row r="406">
      <c r="A406" s="125"/>
      <c r="B406" s="321"/>
      <c r="C406" s="374"/>
      <c r="D406" s="42"/>
      <c r="E406" s="42"/>
      <c r="F406" s="42"/>
      <c r="G406" s="42"/>
      <c r="H406" s="42"/>
      <c r="I406" s="42"/>
      <c r="J406" s="42"/>
      <c r="K406" s="375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</row>
    <row r="407">
      <c r="A407" s="125"/>
      <c r="B407" s="321"/>
      <c r="C407" s="374"/>
      <c r="D407" s="42"/>
      <c r="E407" s="42"/>
      <c r="F407" s="42"/>
      <c r="G407" s="42"/>
      <c r="H407" s="42"/>
      <c r="I407" s="42"/>
      <c r="J407" s="42"/>
      <c r="K407" s="375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</row>
    <row r="408">
      <c r="A408" s="125"/>
      <c r="B408" s="321"/>
      <c r="C408" s="374"/>
      <c r="D408" s="42"/>
      <c r="E408" s="42"/>
      <c r="F408" s="42"/>
      <c r="G408" s="42"/>
      <c r="H408" s="42"/>
      <c r="I408" s="42"/>
      <c r="J408" s="42"/>
      <c r="K408" s="375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</row>
    <row r="409">
      <c r="A409" s="125"/>
      <c r="B409" s="321"/>
      <c r="C409" s="374"/>
      <c r="D409" s="42"/>
      <c r="E409" s="42"/>
      <c r="F409" s="42"/>
      <c r="G409" s="42"/>
      <c r="H409" s="42"/>
      <c r="I409" s="42"/>
      <c r="J409" s="42"/>
      <c r="K409" s="375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</row>
    <row r="410">
      <c r="A410" s="125"/>
      <c r="B410" s="321"/>
      <c r="C410" s="374"/>
      <c r="D410" s="42"/>
      <c r="E410" s="42"/>
      <c r="F410" s="42"/>
      <c r="G410" s="42"/>
      <c r="H410" s="42"/>
      <c r="I410" s="42"/>
      <c r="J410" s="42"/>
      <c r="K410" s="375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</row>
    <row r="411">
      <c r="A411" s="125"/>
      <c r="B411" s="321"/>
      <c r="C411" s="374"/>
      <c r="D411" s="42"/>
      <c r="E411" s="42"/>
      <c r="F411" s="42"/>
      <c r="G411" s="42"/>
      <c r="H411" s="42"/>
      <c r="I411" s="42"/>
      <c r="J411" s="42"/>
      <c r="K411" s="375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</row>
    <row r="412">
      <c r="A412" s="125"/>
      <c r="B412" s="321"/>
      <c r="C412" s="374"/>
      <c r="D412" s="42"/>
      <c r="E412" s="42"/>
      <c r="F412" s="42"/>
      <c r="G412" s="42"/>
      <c r="H412" s="42"/>
      <c r="I412" s="42"/>
      <c r="J412" s="42"/>
      <c r="K412" s="375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</row>
    <row r="413">
      <c r="A413" s="125"/>
      <c r="B413" s="321"/>
      <c r="C413" s="374"/>
      <c r="D413" s="42"/>
      <c r="E413" s="42"/>
      <c r="F413" s="42"/>
      <c r="G413" s="42"/>
      <c r="H413" s="42"/>
      <c r="I413" s="42"/>
      <c r="J413" s="42"/>
      <c r="K413" s="375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</row>
    <row r="414">
      <c r="A414" s="125"/>
      <c r="B414" s="321"/>
      <c r="C414" s="374"/>
      <c r="D414" s="42"/>
      <c r="E414" s="42"/>
      <c r="F414" s="42"/>
      <c r="G414" s="42"/>
      <c r="H414" s="42"/>
      <c r="I414" s="42"/>
      <c r="J414" s="42"/>
      <c r="K414" s="375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</row>
    <row r="415">
      <c r="A415" s="125"/>
      <c r="B415" s="321"/>
      <c r="C415" s="374"/>
      <c r="D415" s="42"/>
      <c r="E415" s="42"/>
      <c r="F415" s="42"/>
      <c r="G415" s="42"/>
      <c r="H415" s="42"/>
      <c r="I415" s="42"/>
      <c r="J415" s="42"/>
      <c r="K415" s="375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</row>
    <row r="416">
      <c r="A416" s="125"/>
      <c r="B416" s="321"/>
      <c r="C416" s="374"/>
      <c r="D416" s="42"/>
      <c r="E416" s="42"/>
      <c r="F416" s="42"/>
      <c r="G416" s="42"/>
      <c r="H416" s="42"/>
      <c r="I416" s="42"/>
      <c r="J416" s="42"/>
      <c r="K416" s="375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</row>
    <row r="417">
      <c r="A417" s="125"/>
      <c r="B417" s="321"/>
      <c r="C417" s="374"/>
      <c r="D417" s="42"/>
      <c r="E417" s="42"/>
      <c r="F417" s="42"/>
      <c r="G417" s="42"/>
      <c r="H417" s="42"/>
      <c r="I417" s="42"/>
      <c r="J417" s="42"/>
      <c r="K417" s="375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</row>
    <row r="418">
      <c r="A418" s="125"/>
      <c r="B418" s="321"/>
      <c r="C418" s="374"/>
      <c r="D418" s="42"/>
      <c r="E418" s="42"/>
      <c r="F418" s="42"/>
      <c r="G418" s="42"/>
      <c r="H418" s="42"/>
      <c r="I418" s="42"/>
      <c r="J418" s="42"/>
      <c r="K418" s="375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</row>
    <row r="419">
      <c r="A419" s="125"/>
      <c r="B419" s="321"/>
      <c r="C419" s="374"/>
      <c r="D419" s="42"/>
      <c r="E419" s="42"/>
      <c r="F419" s="42"/>
      <c r="G419" s="42"/>
      <c r="H419" s="42"/>
      <c r="I419" s="42"/>
      <c r="J419" s="42"/>
      <c r="K419" s="375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</row>
    <row r="420">
      <c r="A420" s="125"/>
      <c r="B420" s="321"/>
      <c r="C420" s="374"/>
      <c r="D420" s="42"/>
      <c r="E420" s="42"/>
      <c r="F420" s="42"/>
      <c r="G420" s="42"/>
      <c r="H420" s="42"/>
      <c r="I420" s="42"/>
      <c r="J420" s="42"/>
      <c r="K420" s="375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</row>
    <row r="421">
      <c r="A421" s="125"/>
      <c r="B421" s="321"/>
      <c r="C421" s="374"/>
      <c r="D421" s="42"/>
      <c r="E421" s="42"/>
      <c r="F421" s="42"/>
      <c r="G421" s="42"/>
      <c r="H421" s="42"/>
      <c r="I421" s="42"/>
      <c r="J421" s="42"/>
      <c r="K421" s="375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</row>
    <row r="422">
      <c r="A422" s="125"/>
      <c r="B422" s="321"/>
      <c r="C422" s="374"/>
      <c r="D422" s="42"/>
      <c r="E422" s="42"/>
      <c r="F422" s="42"/>
      <c r="G422" s="42"/>
      <c r="H422" s="42"/>
      <c r="I422" s="42"/>
      <c r="J422" s="42"/>
      <c r="K422" s="375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</row>
    <row r="423">
      <c r="A423" s="125"/>
      <c r="B423" s="321"/>
      <c r="C423" s="374"/>
      <c r="D423" s="42"/>
      <c r="E423" s="42"/>
      <c r="F423" s="42"/>
      <c r="G423" s="42"/>
      <c r="H423" s="42"/>
      <c r="I423" s="42"/>
      <c r="J423" s="42"/>
      <c r="K423" s="375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</row>
    <row r="424">
      <c r="A424" s="125"/>
      <c r="B424" s="321"/>
      <c r="C424" s="374"/>
      <c r="D424" s="42"/>
      <c r="E424" s="42"/>
      <c r="F424" s="42"/>
      <c r="G424" s="42"/>
      <c r="H424" s="42"/>
      <c r="I424" s="42"/>
      <c r="J424" s="42"/>
      <c r="K424" s="375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</row>
    <row r="425">
      <c r="A425" s="125"/>
      <c r="B425" s="321"/>
      <c r="C425" s="374"/>
      <c r="D425" s="42"/>
      <c r="E425" s="42"/>
      <c r="F425" s="42"/>
      <c r="G425" s="42"/>
      <c r="H425" s="42"/>
      <c r="I425" s="42"/>
      <c r="J425" s="42"/>
      <c r="K425" s="375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</row>
    <row r="426">
      <c r="A426" s="125"/>
      <c r="B426" s="321"/>
      <c r="C426" s="374"/>
      <c r="D426" s="42"/>
      <c r="E426" s="42"/>
      <c r="F426" s="42"/>
      <c r="G426" s="42"/>
      <c r="H426" s="42"/>
      <c r="I426" s="42"/>
      <c r="J426" s="42"/>
      <c r="K426" s="375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</row>
    <row r="427">
      <c r="A427" s="125"/>
      <c r="B427" s="321"/>
      <c r="C427" s="374"/>
      <c r="D427" s="42"/>
      <c r="E427" s="42"/>
      <c r="F427" s="42"/>
      <c r="G427" s="42"/>
      <c r="H427" s="42"/>
      <c r="I427" s="42"/>
      <c r="J427" s="42"/>
      <c r="K427" s="375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</row>
    <row r="428">
      <c r="A428" s="125"/>
      <c r="B428" s="321"/>
      <c r="C428" s="374"/>
      <c r="D428" s="42"/>
      <c r="E428" s="42"/>
      <c r="F428" s="42"/>
      <c r="G428" s="42"/>
      <c r="H428" s="42"/>
      <c r="I428" s="42"/>
      <c r="J428" s="42"/>
      <c r="K428" s="375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</row>
    <row r="429">
      <c r="A429" s="125"/>
      <c r="B429" s="321"/>
      <c r="C429" s="374"/>
      <c r="D429" s="42"/>
      <c r="E429" s="42"/>
      <c r="F429" s="42"/>
      <c r="G429" s="42"/>
      <c r="H429" s="42"/>
      <c r="I429" s="42"/>
      <c r="J429" s="42"/>
      <c r="K429" s="375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</row>
    <row r="430">
      <c r="A430" s="125"/>
      <c r="B430" s="321"/>
      <c r="C430" s="374"/>
      <c r="D430" s="42"/>
      <c r="E430" s="42"/>
      <c r="F430" s="42"/>
      <c r="G430" s="42"/>
      <c r="H430" s="42"/>
      <c r="I430" s="42"/>
      <c r="J430" s="42"/>
      <c r="K430" s="375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</row>
    <row r="431">
      <c r="A431" s="125"/>
      <c r="B431" s="321"/>
      <c r="C431" s="374"/>
      <c r="D431" s="42"/>
      <c r="E431" s="42"/>
      <c r="F431" s="42"/>
      <c r="G431" s="42"/>
      <c r="H431" s="42"/>
      <c r="I431" s="42"/>
      <c r="J431" s="42"/>
      <c r="K431" s="375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</row>
    <row r="432">
      <c r="A432" s="125"/>
      <c r="B432" s="321"/>
      <c r="C432" s="374"/>
      <c r="D432" s="42"/>
      <c r="E432" s="42"/>
      <c r="F432" s="42"/>
      <c r="G432" s="42"/>
      <c r="H432" s="42"/>
      <c r="I432" s="42"/>
      <c r="J432" s="42"/>
      <c r="K432" s="375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</row>
    <row r="433">
      <c r="A433" s="125"/>
      <c r="B433" s="321"/>
      <c r="C433" s="374"/>
      <c r="D433" s="42"/>
      <c r="E433" s="42"/>
      <c r="F433" s="42"/>
      <c r="G433" s="42"/>
      <c r="H433" s="42"/>
      <c r="I433" s="42"/>
      <c r="J433" s="42"/>
      <c r="K433" s="375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</row>
    <row r="434">
      <c r="A434" s="125"/>
      <c r="B434" s="321"/>
      <c r="C434" s="374"/>
      <c r="D434" s="42"/>
      <c r="E434" s="42"/>
      <c r="F434" s="42"/>
      <c r="G434" s="42"/>
      <c r="H434" s="42"/>
      <c r="I434" s="42"/>
      <c r="J434" s="42"/>
      <c r="K434" s="375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</row>
    <row r="435">
      <c r="A435" s="125"/>
      <c r="B435" s="321"/>
      <c r="C435" s="374"/>
      <c r="D435" s="42"/>
      <c r="E435" s="42"/>
      <c r="F435" s="42"/>
      <c r="G435" s="42"/>
      <c r="H435" s="42"/>
      <c r="I435" s="42"/>
      <c r="J435" s="42"/>
      <c r="K435" s="375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</row>
    <row r="436">
      <c r="A436" s="125"/>
      <c r="B436" s="321"/>
      <c r="C436" s="374"/>
      <c r="D436" s="42"/>
      <c r="E436" s="42"/>
      <c r="F436" s="42"/>
      <c r="G436" s="42"/>
      <c r="H436" s="42"/>
      <c r="I436" s="42"/>
      <c r="J436" s="42"/>
      <c r="K436" s="375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</row>
    <row r="437">
      <c r="A437" s="125"/>
      <c r="B437" s="321"/>
      <c r="C437" s="374"/>
      <c r="D437" s="42"/>
      <c r="E437" s="42"/>
      <c r="F437" s="42"/>
      <c r="G437" s="42"/>
      <c r="H437" s="42"/>
      <c r="I437" s="42"/>
      <c r="J437" s="42"/>
      <c r="K437" s="375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</row>
    <row r="438">
      <c r="A438" s="125"/>
      <c r="B438" s="321"/>
      <c r="C438" s="374"/>
      <c r="D438" s="42"/>
      <c r="E438" s="42"/>
      <c r="F438" s="42"/>
      <c r="G438" s="42"/>
      <c r="H438" s="42"/>
      <c r="I438" s="42"/>
      <c r="J438" s="42"/>
      <c r="K438" s="375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</row>
    <row r="439">
      <c r="A439" s="125"/>
      <c r="B439" s="321"/>
      <c r="C439" s="374"/>
      <c r="D439" s="42"/>
      <c r="E439" s="42"/>
      <c r="F439" s="42"/>
      <c r="G439" s="42"/>
      <c r="H439" s="42"/>
      <c r="I439" s="42"/>
      <c r="J439" s="42"/>
      <c r="K439" s="375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</row>
    <row r="440">
      <c r="A440" s="125"/>
      <c r="B440" s="321"/>
      <c r="C440" s="374"/>
      <c r="D440" s="42"/>
      <c r="E440" s="42"/>
      <c r="F440" s="42"/>
      <c r="G440" s="42"/>
      <c r="H440" s="42"/>
      <c r="I440" s="42"/>
      <c r="J440" s="42"/>
      <c r="K440" s="375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</row>
    <row r="441">
      <c r="A441" s="125"/>
      <c r="B441" s="321"/>
      <c r="C441" s="374"/>
      <c r="D441" s="42"/>
      <c r="E441" s="42"/>
      <c r="F441" s="42"/>
      <c r="G441" s="42"/>
      <c r="H441" s="42"/>
      <c r="I441" s="42"/>
      <c r="J441" s="42"/>
      <c r="K441" s="375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</row>
    <row r="442">
      <c r="A442" s="125"/>
      <c r="B442" s="321"/>
      <c r="C442" s="374"/>
      <c r="D442" s="42"/>
      <c r="E442" s="42"/>
      <c r="F442" s="42"/>
      <c r="G442" s="42"/>
      <c r="H442" s="42"/>
      <c r="I442" s="42"/>
      <c r="J442" s="42"/>
      <c r="K442" s="375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</row>
    <row r="443">
      <c r="A443" s="125"/>
      <c r="B443" s="321"/>
      <c r="C443" s="374"/>
      <c r="D443" s="42"/>
      <c r="E443" s="42"/>
      <c r="F443" s="42"/>
      <c r="G443" s="42"/>
      <c r="H443" s="42"/>
      <c r="I443" s="42"/>
      <c r="J443" s="42"/>
      <c r="K443" s="375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</row>
    <row r="444">
      <c r="A444" s="125"/>
      <c r="B444" s="321"/>
      <c r="C444" s="374"/>
      <c r="D444" s="42"/>
      <c r="E444" s="42"/>
      <c r="F444" s="42"/>
      <c r="G444" s="42"/>
      <c r="H444" s="42"/>
      <c r="I444" s="42"/>
      <c r="J444" s="42"/>
      <c r="K444" s="375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</row>
    <row r="445">
      <c r="A445" s="125"/>
      <c r="B445" s="321"/>
      <c r="C445" s="374"/>
      <c r="D445" s="42"/>
      <c r="E445" s="42"/>
      <c r="F445" s="42"/>
      <c r="G445" s="42"/>
      <c r="H445" s="42"/>
      <c r="I445" s="42"/>
      <c r="J445" s="42"/>
      <c r="K445" s="375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</row>
    <row r="446">
      <c r="A446" s="125"/>
      <c r="B446" s="321"/>
      <c r="C446" s="374"/>
      <c r="D446" s="42"/>
      <c r="E446" s="42"/>
      <c r="F446" s="42"/>
      <c r="G446" s="42"/>
      <c r="H446" s="42"/>
      <c r="I446" s="42"/>
      <c r="J446" s="42"/>
      <c r="K446" s="375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</row>
    <row r="447">
      <c r="A447" s="125"/>
      <c r="B447" s="321"/>
      <c r="C447" s="374"/>
      <c r="D447" s="42"/>
      <c r="E447" s="42"/>
      <c r="F447" s="42"/>
      <c r="G447" s="42"/>
      <c r="H447" s="42"/>
      <c r="I447" s="42"/>
      <c r="J447" s="42"/>
      <c r="K447" s="375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</row>
    <row r="448">
      <c r="A448" s="125"/>
      <c r="B448" s="321"/>
      <c r="C448" s="374"/>
      <c r="D448" s="42"/>
      <c r="E448" s="42"/>
      <c r="F448" s="42"/>
      <c r="G448" s="42"/>
      <c r="H448" s="42"/>
      <c r="I448" s="42"/>
      <c r="J448" s="42"/>
      <c r="K448" s="375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</row>
    <row r="449">
      <c r="A449" s="125"/>
      <c r="B449" s="321"/>
      <c r="C449" s="374"/>
      <c r="D449" s="42"/>
      <c r="E449" s="42"/>
      <c r="F449" s="42"/>
      <c r="G449" s="42"/>
      <c r="H449" s="42"/>
      <c r="I449" s="42"/>
      <c r="J449" s="42"/>
      <c r="K449" s="375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</row>
    <row r="450">
      <c r="A450" s="125"/>
      <c r="B450" s="321"/>
      <c r="C450" s="374"/>
      <c r="D450" s="42"/>
      <c r="E450" s="42"/>
      <c r="F450" s="42"/>
      <c r="G450" s="42"/>
      <c r="H450" s="42"/>
      <c r="I450" s="42"/>
      <c r="J450" s="42"/>
      <c r="K450" s="375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</row>
    <row r="451">
      <c r="A451" s="125"/>
      <c r="B451" s="321"/>
      <c r="C451" s="374"/>
      <c r="D451" s="42"/>
      <c r="E451" s="42"/>
      <c r="F451" s="42"/>
      <c r="G451" s="42"/>
      <c r="H451" s="42"/>
      <c r="I451" s="42"/>
      <c r="J451" s="42"/>
      <c r="K451" s="375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</row>
    <row r="452">
      <c r="A452" s="125"/>
      <c r="B452" s="321"/>
      <c r="C452" s="374"/>
      <c r="D452" s="42"/>
      <c r="E452" s="42"/>
      <c r="F452" s="42"/>
      <c r="G452" s="42"/>
      <c r="H452" s="42"/>
      <c r="I452" s="42"/>
      <c r="J452" s="42"/>
      <c r="K452" s="375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</row>
    <row r="453">
      <c r="A453" s="125"/>
      <c r="B453" s="321"/>
      <c r="C453" s="374"/>
      <c r="D453" s="42"/>
      <c r="E453" s="42"/>
      <c r="F453" s="42"/>
      <c r="G453" s="42"/>
      <c r="H453" s="42"/>
      <c r="I453" s="42"/>
      <c r="J453" s="42"/>
      <c r="K453" s="375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</row>
    <row r="454">
      <c r="A454" s="125"/>
      <c r="B454" s="321"/>
      <c r="C454" s="374"/>
      <c r="D454" s="42"/>
      <c r="E454" s="42"/>
      <c r="F454" s="42"/>
      <c r="G454" s="42"/>
      <c r="H454" s="42"/>
      <c r="I454" s="42"/>
      <c r="J454" s="42"/>
      <c r="K454" s="375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</row>
    <row r="455">
      <c r="A455" s="125"/>
      <c r="B455" s="321"/>
      <c r="C455" s="374"/>
      <c r="D455" s="42"/>
      <c r="E455" s="42"/>
      <c r="F455" s="42"/>
      <c r="G455" s="42"/>
      <c r="H455" s="42"/>
      <c r="I455" s="42"/>
      <c r="J455" s="42"/>
      <c r="K455" s="375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</row>
    <row r="456">
      <c r="A456" s="125"/>
      <c r="B456" s="321"/>
      <c r="C456" s="374"/>
      <c r="D456" s="42"/>
      <c r="E456" s="42"/>
      <c r="F456" s="42"/>
      <c r="G456" s="42"/>
      <c r="H456" s="42"/>
      <c r="I456" s="42"/>
      <c r="J456" s="42"/>
      <c r="K456" s="375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</row>
    <row r="457">
      <c r="A457" s="125"/>
      <c r="B457" s="321"/>
      <c r="C457" s="374"/>
      <c r="D457" s="42"/>
      <c r="E457" s="42"/>
      <c r="F457" s="42"/>
      <c r="G457" s="42"/>
      <c r="H457" s="42"/>
      <c r="I457" s="42"/>
      <c r="J457" s="42"/>
      <c r="K457" s="375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</row>
    <row r="458">
      <c r="A458" s="125"/>
      <c r="B458" s="321"/>
      <c r="C458" s="374"/>
      <c r="D458" s="42"/>
      <c r="E458" s="42"/>
      <c r="F458" s="42"/>
      <c r="G458" s="42"/>
      <c r="H458" s="42"/>
      <c r="I458" s="42"/>
      <c r="J458" s="42"/>
      <c r="K458" s="375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</row>
    <row r="459">
      <c r="A459" s="125"/>
      <c r="B459" s="321"/>
      <c r="C459" s="374"/>
      <c r="D459" s="42"/>
      <c r="E459" s="42"/>
      <c r="F459" s="42"/>
      <c r="G459" s="42"/>
      <c r="H459" s="42"/>
      <c r="I459" s="42"/>
      <c r="J459" s="42"/>
      <c r="K459" s="375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</row>
    <row r="460">
      <c r="A460" s="125"/>
      <c r="B460" s="321"/>
      <c r="C460" s="374"/>
      <c r="D460" s="42"/>
      <c r="E460" s="42"/>
      <c r="F460" s="42"/>
      <c r="G460" s="42"/>
      <c r="H460" s="42"/>
      <c r="I460" s="42"/>
      <c r="J460" s="42"/>
      <c r="K460" s="375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</row>
    <row r="461">
      <c r="A461" s="125"/>
      <c r="B461" s="321"/>
      <c r="C461" s="374"/>
      <c r="D461" s="42"/>
      <c r="E461" s="42"/>
      <c r="F461" s="42"/>
      <c r="G461" s="42"/>
      <c r="H461" s="42"/>
      <c r="I461" s="42"/>
      <c r="J461" s="42"/>
      <c r="K461" s="375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</row>
    <row r="462">
      <c r="A462" s="125"/>
      <c r="B462" s="321"/>
      <c r="C462" s="374"/>
      <c r="D462" s="42"/>
      <c r="E462" s="42"/>
      <c r="F462" s="42"/>
      <c r="G462" s="42"/>
      <c r="H462" s="42"/>
      <c r="I462" s="42"/>
      <c r="J462" s="42"/>
      <c r="K462" s="375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</row>
    <row r="463">
      <c r="A463" s="125"/>
      <c r="B463" s="321"/>
      <c r="C463" s="374"/>
      <c r="D463" s="42"/>
      <c r="E463" s="42"/>
      <c r="F463" s="42"/>
      <c r="G463" s="42"/>
      <c r="H463" s="42"/>
      <c r="I463" s="42"/>
      <c r="J463" s="42"/>
      <c r="K463" s="375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</row>
    <row r="464">
      <c r="A464" s="125"/>
      <c r="B464" s="321"/>
      <c r="C464" s="374"/>
      <c r="D464" s="42"/>
      <c r="E464" s="42"/>
      <c r="F464" s="42"/>
      <c r="G464" s="42"/>
      <c r="H464" s="42"/>
      <c r="I464" s="42"/>
      <c r="J464" s="42"/>
      <c r="K464" s="375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</row>
    <row r="465">
      <c r="A465" s="125"/>
      <c r="B465" s="321"/>
      <c r="C465" s="374"/>
      <c r="D465" s="42"/>
      <c r="E465" s="42"/>
      <c r="F465" s="42"/>
      <c r="G465" s="42"/>
      <c r="H465" s="42"/>
      <c r="I465" s="42"/>
      <c r="J465" s="42"/>
      <c r="K465" s="375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</row>
    <row r="466">
      <c r="A466" s="125"/>
      <c r="B466" s="321"/>
      <c r="C466" s="374"/>
      <c r="D466" s="42"/>
      <c r="E466" s="42"/>
      <c r="F466" s="42"/>
      <c r="G466" s="42"/>
      <c r="H466" s="42"/>
      <c r="I466" s="42"/>
      <c r="J466" s="42"/>
      <c r="K466" s="375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</row>
    <row r="467">
      <c r="A467" s="125"/>
      <c r="B467" s="321"/>
      <c r="C467" s="374"/>
      <c r="D467" s="42"/>
      <c r="E467" s="42"/>
      <c r="F467" s="42"/>
      <c r="G467" s="42"/>
      <c r="H467" s="42"/>
      <c r="I467" s="42"/>
      <c r="J467" s="42"/>
      <c r="K467" s="375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</row>
    <row r="468">
      <c r="A468" s="125"/>
      <c r="B468" s="321"/>
      <c r="C468" s="374"/>
      <c r="D468" s="42"/>
      <c r="E468" s="42"/>
      <c r="F468" s="42"/>
      <c r="G468" s="42"/>
      <c r="H468" s="42"/>
      <c r="I468" s="42"/>
      <c r="J468" s="42"/>
      <c r="K468" s="375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</row>
    <row r="469">
      <c r="A469" s="125"/>
      <c r="B469" s="321"/>
      <c r="C469" s="374"/>
      <c r="D469" s="42"/>
      <c r="E469" s="42"/>
      <c r="F469" s="42"/>
      <c r="G469" s="42"/>
      <c r="H469" s="42"/>
      <c r="I469" s="42"/>
      <c r="J469" s="42"/>
      <c r="K469" s="375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</row>
    <row r="470">
      <c r="A470" s="125"/>
      <c r="B470" s="321"/>
      <c r="C470" s="374"/>
      <c r="D470" s="42"/>
      <c r="E470" s="42"/>
      <c r="F470" s="42"/>
      <c r="G470" s="42"/>
      <c r="H470" s="42"/>
      <c r="I470" s="42"/>
      <c r="J470" s="42"/>
      <c r="K470" s="375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</row>
    <row r="471">
      <c r="A471" s="125"/>
      <c r="B471" s="321"/>
      <c r="C471" s="374"/>
      <c r="D471" s="42"/>
      <c r="E471" s="42"/>
      <c r="F471" s="42"/>
      <c r="G471" s="42"/>
      <c r="H471" s="42"/>
      <c r="I471" s="42"/>
      <c r="J471" s="42"/>
      <c r="K471" s="375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</row>
    <row r="472">
      <c r="A472" s="125"/>
      <c r="B472" s="321"/>
      <c r="C472" s="374"/>
      <c r="D472" s="42"/>
      <c r="E472" s="42"/>
      <c r="F472" s="42"/>
      <c r="G472" s="42"/>
      <c r="H472" s="42"/>
      <c r="I472" s="42"/>
      <c r="J472" s="42"/>
      <c r="K472" s="375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</row>
    <row r="473">
      <c r="A473" s="125"/>
      <c r="B473" s="321"/>
      <c r="C473" s="374"/>
      <c r="D473" s="42"/>
      <c r="E473" s="42"/>
      <c r="F473" s="42"/>
      <c r="G473" s="42"/>
      <c r="H473" s="42"/>
      <c r="I473" s="42"/>
      <c r="J473" s="42"/>
      <c r="K473" s="375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</row>
    <row r="474">
      <c r="A474" s="125"/>
      <c r="B474" s="321"/>
      <c r="C474" s="374"/>
      <c r="D474" s="42"/>
      <c r="E474" s="42"/>
      <c r="F474" s="42"/>
      <c r="G474" s="42"/>
      <c r="H474" s="42"/>
      <c r="I474" s="42"/>
      <c r="J474" s="42"/>
      <c r="K474" s="375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</row>
    <row r="475">
      <c r="A475" s="125"/>
      <c r="B475" s="321"/>
      <c r="C475" s="374"/>
      <c r="D475" s="42"/>
      <c r="E475" s="42"/>
      <c r="F475" s="42"/>
      <c r="G475" s="42"/>
      <c r="H475" s="42"/>
      <c r="I475" s="42"/>
      <c r="J475" s="42"/>
      <c r="K475" s="375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</row>
    <row r="476">
      <c r="A476" s="125"/>
      <c r="B476" s="321"/>
      <c r="C476" s="374"/>
      <c r="D476" s="42"/>
      <c r="E476" s="42"/>
      <c r="F476" s="42"/>
      <c r="G476" s="42"/>
      <c r="H476" s="42"/>
      <c r="I476" s="42"/>
      <c r="J476" s="42"/>
      <c r="K476" s="375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</row>
    <row r="477">
      <c r="A477" s="125"/>
      <c r="B477" s="321"/>
      <c r="C477" s="374"/>
      <c r="D477" s="42"/>
      <c r="E477" s="42"/>
      <c r="F477" s="42"/>
      <c r="G477" s="42"/>
      <c r="H477" s="42"/>
      <c r="I477" s="42"/>
      <c r="J477" s="42"/>
      <c r="K477" s="375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</row>
    <row r="478">
      <c r="A478" s="125"/>
      <c r="B478" s="321"/>
      <c r="C478" s="374"/>
      <c r="D478" s="42"/>
      <c r="E478" s="42"/>
      <c r="F478" s="42"/>
      <c r="G478" s="42"/>
      <c r="H478" s="42"/>
      <c r="I478" s="42"/>
      <c r="J478" s="42"/>
      <c r="K478" s="375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</row>
    <row r="479">
      <c r="A479" s="125"/>
      <c r="B479" s="321"/>
      <c r="C479" s="374"/>
      <c r="D479" s="42"/>
      <c r="E479" s="42"/>
      <c r="F479" s="42"/>
      <c r="G479" s="42"/>
      <c r="H479" s="42"/>
      <c r="I479" s="42"/>
      <c r="J479" s="42"/>
      <c r="K479" s="375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</row>
    <row r="480">
      <c r="A480" s="125"/>
      <c r="B480" s="321"/>
      <c r="C480" s="374"/>
      <c r="D480" s="42"/>
      <c r="E480" s="42"/>
      <c r="F480" s="42"/>
      <c r="G480" s="42"/>
      <c r="H480" s="42"/>
      <c r="I480" s="42"/>
      <c r="J480" s="42"/>
      <c r="K480" s="375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</row>
    <row r="481">
      <c r="A481" s="125"/>
      <c r="B481" s="321"/>
      <c r="C481" s="374"/>
      <c r="D481" s="42"/>
      <c r="E481" s="42"/>
      <c r="F481" s="42"/>
      <c r="G481" s="42"/>
      <c r="H481" s="42"/>
      <c r="I481" s="42"/>
      <c r="J481" s="42"/>
      <c r="K481" s="375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</row>
    <row r="482">
      <c r="A482" s="125"/>
      <c r="B482" s="321"/>
      <c r="C482" s="374"/>
      <c r="D482" s="42"/>
      <c r="E482" s="42"/>
      <c r="F482" s="42"/>
      <c r="G482" s="42"/>
      <c r="H482" s="42"/>
      <c r="I482" s="42"/>
      <c r="J482" s="42"/>
      <c r="K482" s="375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</row>
    <row r="483">
      <c r="A483" s="125"/>
      <c r="B483" s="321"/>
      <c r="C483" s="374"/>
      <c r="D483" s="42"/>
      <c r="E483" s="42"/>
      <c r="F483" s="42"/>
      <c r="G483" s="42"/>
      <c r="H483" s="42"/>
      <c r="I483" s="42"/>
      <c r="J483" s="42"/>
      <c r="K483" s="375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</row>
    <row r="484">
      <c r="A484" s="125"/>
      <c r="B484" s="321"/>
      <c r="C484" s="374"/>
      <c r="D484" s="42"/>
      <c r="E484" s="42"/>
      <c r="F484" s="42"/>
      <c r="G484" s="42"/>
      <c r="H484" s="42"/>
      <c r="I484" s="42"/>
      <c r="J484" s="42"/>
      <c r="K484" s="375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</row>
    <row r="485">
      <c r="A485" s="125"/>
      <c r="B485" s="321"/>
      <c r="C485" s="374"/>
      <c r="D485" s="42"/>
      <c r="E485" s="42"/>
      <c r="F485" s="42"/>
      <c r="G485" s="42"/>
      <c r="H485" s="42"/>
      <c r="I485" s="42"/>
      <c r="J485" s="42"/>
      <c r="K485" s="375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</row>
    <row r="486">
      <c r="A486" s="125"/>
      <c r="B486" s="321"/>
      <c r="C486" s="374"/>
      <c r="D486" s="42"/>
      <c r="E486" s="42"/>
      <c r="F486" s="42"/>
      <c r="G486" s="42"/>
      <c r="H486" s="42"/>
      <c r="I486" s="42"/>
      <c r="J486" s="42"/>
      <c r="K486" s="375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</row>
    <row r="487">
      <c r="A487" s="125"/>
      <c r="B487" s="321"/>
      <c r="C487" s="374"/>
      <c r="D487" s="42"/>
      <c r="E487" s="42"/>
      <c r="F487" s="42"/>
      <c r="G487" s="42"/>
      <c r="H487" s="42"/>
      <c r="I487" s="42"/>
      <c r="J487" s="42"/>
      <c r="K487" s="375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</row>
    <row r="488">
      <c r="A488" s="125"/>
      <c r="B488" s="321"/>
      <c r="C488" s="374"/>
      <c r="D488" s="42"/>
      <c r="E488" s="42"/>
      <c r="F488" s="42"/>
      <c r="G488" s="42"/>
      <c r="H488" s="42"/>
      <c r="I488" s="42"/>
      <c r="J488" s="42"/>
      <c r="K488" s="375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</row>
    <row r="489">
      <c r="A489" s="125"/>
      <c r="B489" s="321"/>
      <c r="C489" s="374"/>
      <c r="D489" s="42"/>
      <c r="E489" s="42"/>
      <c r="F489" s="42"/>
      <c r="G489" s="42"/>
      <c r="H489" s="42"/>
      <c r="I489" s="42"/>
      <c r="J489" s="42"/>
      <c r="K489" s="375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</row>
    <row r="490">
      <c r="A490" s="125"/>
      <c r="B490" s="321"/>
      <c r="C490" s="374"/>
      <c r="D490" s="42"/>
      <c r="E490" s="42"/>
      <c r="F490" s="42"/>
      <c r="G490" s="42"/>
      <c r="H490" s="42"/>
      <c r="I490" s="42"/>
      <c r="J490" s="42"/>
      <c r="K490" s="375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</row>
    <row r="491">
      <c r="A491" s="125"/>
      <c r="B491" s="321"/>
      <c r="C491" s="374"/>
      <c r="D491" s="42"/>
      <c r="E491" s="42"/>
      <c r="F491" s="42"/>
      <c r="G491" s="42"/>
      <c r="H491" s="42"/>
      <c r="I491" s="42"/>
      <c r="J491" s="42"/>
      <c r="K491" s="375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</row>
    <row r="492">
      <c r="A492" s="125"/>
      <c r="B492" s="321"/>
      <c r="C492" s="374"/>
      <c r="D492" s="42"/>
      <c r="E492" s="42"/>
      <c r="F492" s="42"/>
      <c r="G492" s="42"/>
      <c r="H492" s="42"/>
      <c r="I492" s="42"/>
      <c r="J492" s="42"/>
      <c r="K492" s="375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</row>
    <row r="493">
      <c r="A493" s="125"/>
      <c r="B493" s="321"/>
      <c r="C493" s="374"/>
      <c r="D493" s="42"/>
      <c r="E493" s="42"/>
      <c r="F493" s="42"/>
      <c r="G493" s="42"/>
      <c r="H493" s="42"/>
      <c r="I493" s="42"/>
      <c r="J493" s="42"/>
      <c r="K493" s="375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</row>
    <row r="494">
      <c r="A494" s="125"/>
      <c r="B494" s="321"/>
      <c r="C494" s="374"/>
      <c r="D494" s="42"/>
      <c r="E494" s="42"/>
      <c r="F494" s="42"/>
      <c r="G494" s="42"/>
      <c r="H494" s="42"/>
      <c r="I494" s="42"/>
      <c r="J494" s="42"/>
      <c r="K494" s="375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</row>
    <row r="495">
      <c r="A495" s="125"/>
      <c r="B495" s="321"/>
      <c r="C495" s="374"/>
      <c r="D495" s="42"/>
      <c r="E495" s="42"/>
      <c r="F495" s="42"/>
      <c r="G495" s="42"/>
      <c r="H495" s="42"/>
      <c r="I495" s="42"/>
      <c r="J495" s="42"/>
      <c r="K495" s="375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</row>
    <row r="496">
      <c r="A496" s="125"/>
      <c r="B496" s="321"/>
      <c r="C496" s="374"/>
      <c r="D496" s="42"/>
      <c r="E496" s="42"/>
      <c r="F496" s="42"/>
      <c r="G496" s="42"/>
      <c r="H496" s="42"/>
      <c r="I496" s="42"/>
      <c r="J496" s="42"/>
      <c r="K496" s="375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</row>
    <row r="497">
      <c r="A497" s="125"/>
      <c r="B497" s="321"/>
      <c r="C497" s="374"/>
      <c r="D497" s="42"/>
      <c r="E497" s="42"/>
      <c r="F497" s="42"/>
      <c r="G497" s="42"/>
      <c r="H497" s="42"/>
      <c r="I497" s="42"/>
      <c r="J497" s="42"/>
      <c r="K497" s="375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</row>
    <row r="498">
      <c r="A498" s="125"/>
      <c r="B498" s="321"/>
      <c r="C498" s="374"/>
      <c r="D498" s="42"/>
      <c r="E498" s="42"/>
      <c r="F498" s="42"/>
      <c r="G498" s="42"/>
      <c r="H498" s="42"/>
      <c r="I498" s="42"/>
      <c r="J498" s="42"/>
      <c r="K498" s="375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</row>
    <row r="499">
      <c r="A499" s="125"/>
      <c r="B499" s="321"/>
      <c r="C499" s="374"/>
      <c r="D499" s="42"/>
      <c r="E499" s="42"/>
      <c r="F499" s="42"/>
      <c r="G499" s="42"/>
      <c r="H499" s="42"/>
      <c r="I499" s="42"/>
      <c r="J499" s="42"/>
      <c r="K499" s="375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</row>
    <row r="500">
      <c r="A500" s="125"/>
      <c r="B500" s="321"/>
      <c r="C500" s="374"/>
      <c r="D500" s="42"/>
      <c r="E500" s="42"/>
      <c r="F500" s="42"/>
      <c r="G500" s="42"/>
      <c r="H500" s="42"/>
      <c r="I500" s="42"/>
      <c r="J500" s="42"/>
      <c r="K500" s="375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</row>
    <row r="501">
      <c r="A501" s="125"/>
      <c r="B501" s="321"/>
      <c r="C501" s="374"/>
      <c r="D501" s="42"/>
      <c r="E501" s="42"/>
      <c r="F501" s="42"/>
      <c r="G501" s="42"/>
      <c r="H501" s="42"/>
      <c r="I501" s="42"/>
      <c r="J501" s="42"/>
      <c r="K501" s="375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</row>
    <row r="502">
      <c r="A502" s="125"/>
      <c r="B502" s="321"/>
      <c r="C502" s="374"/>
      <c r="D502" s="42"/>
      <c r="E502" s="42"/>
      <c r="F502" s="42"/>
      <c r="G502" s="42"/>
      <c r="H502" s="42"/>
      <c r="I502" s="42"/>
      <c r="J502" s="42"/>
      <c r="K502" s="375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</row>
    <row r="503">
      <c r="A503" s="125"/>
      <c r="B503" s="321"/>
      <c r="C503" s="374"/>
      <c r="D503" s="42"/>
      <c r="E503" s="42"/>
      <c r="F503" s="42"/>
      <c r="G503" s="42"/>
      <c r="H503" s="42"/>
      <c r="I503" s="42"/>
      <c r="J503" s="42"/>
      <c r="K503" s="375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</row>
    <row r="504">
      <c r="A504" s="125"/>
      <c r="B504" s="321"/>
      <c r="C504" s="374"/>
      <c r="D504" s="42"/>
      <c r="E504" s="42"/>
      <c r="F504" s="42"/>
      <c r="G504" s="42"/>
      <c r="H504" s="42"/>
      <c r="I504" s="42"/>
      <c r="J504" s="42"/>
      <c r="K504" s="375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</row>
    <row r="505">
      <c r="A505" s="125"/>
      <c r="B505" s="321"/>
      <c r="C505" s="374"/>
      <c r="D505" s="42"/>
      <c r="E505" s="42"/>
      <c r="F505" s="42"/>
      <c r="G505" s="42"/>
      <c r="H505" s="42"/>
      <c r="I505" s="42"/>
      <c r="J505" s="42"/>
      <c r="K505" s="375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</row>
    <row r="506">
      <c r="A506" s="125"/>
      <c r="B506" s="323"/>
      <c r="C506" s="374"/>
      <c r="D506" s="42"/>
      <c r="E506" s="42"/>
      <c r="F506" s="42"/>
      <c r="G506" s="42"/>
      <c r="H506" s="42"/>
      <c r="I506" s="42"/>
      <c r="J506" s="42"/>
      <c r="K506" s="375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</row>
    <row r="507">
      <c r="A507" s="125"/>
      <c r="B507" s="323"/>
      <c r="C507" s="374"/>
      <c r="D507" s="42"/>
      <c r="E507" s="42"/>
      <c r="F507" s="42"/>
      <c r="G507" s="42"/>
      <c r="H507" s="42"/>
      <c r="I507" s="42"/>
      <c r="J507" s="42"/>
      <c r="K507" s="375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</row>
    <row r="508">
      <c r="A508" s="125"/>
      <c r="B508" s="323"/>
      <c r="C508" s="374"/>
      <c r="D508" s="42"/>
      <c r="E508" s="42"/>
      <c r="F508" s="42"/>
      <c r="G508" s="42"/>
      <c r="H508" s="42"/>
      <c r="I508" s="42"/>
      <c r="J508" s="42"/>
      <c r="K508" s="375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</row>
    <row r="509">
      <c r="A509" s="125"/>
      <c r="B509" s="323"/>
      <c r="C509" s="374"/>
      <c r="D509" s="42"/>
      <c r="E509" s="42"/>
      <c r="F509" s="42"/>
      <c r="G509" s="42"/>
      <c r="H509" s="42"/>
      <c r="I509" s="42"/>
      <c r="J509" s="42"/>
      <c r="K509" s="375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</row>
    <row r="510">
      <c r="A510" s="125"/>
      <c r="B510" s="323"/>
      <c r="C510" s="374"/>
      <c r="D510" s="42"/>
      <c r="E510" s="42"/>
      <c r="F510" s="42"/>
      <c r="G510" s="42"/>
      <c r="H510" s="42"/>
      <c r="I510" s="42"/>
      <c r="J510" s="42"/>
      <c r="K510" s="375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</row>
    <row r="511">
      <c r="A511" s="125"/>
      <c r="B511" s="323"/>
      <c r="C511" s="374"/>
      <c r="D511" s="42"/>
      <c r="E511" s="42"/>
      <c r="F511" s="42"/>
      <c r="G511" s="42"/>
      <c r="H511" s="42"/>
      <c r="I511" s="42"/>
      <c r="J511" s="42"/>
      <c r="K511" s="375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</row>
    <row r="512">
      <c r="A512" s="125"/>
      <c r="B512" s="323"/>
      <c r="C512" s="374"/>
      <c r="D512" s="42"/>
      <c r="E512" s="42"/>
      <c r="F512" s="42"/>
      <c r="G512" s="42"/>
      <c r="H512" s="42"/>
      <c r="I512" s="42"/>
      <c r="J512" s="42"/>
      <c r="K512" s="375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</row>
    <row r="513">
      <c r="A513" s="125"/>
      <c r="B513" s="323"/>
      <c r="C513" s="374"/>
      <c r="D513" s="42"/>
      <c r="E513" s="42"/>
      <c r="F513" s="42"/>
      <c r="G513" s="42"/>
      <c r="H513" s="42"/>
      <c r="I513" s="42"/>
      <c r="J513" s="42"/>
      <c r="K513" s="375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</row>
    <row r="514">
      <c r="A514" s="125"/>
      <c r="B514" s="323"/>
      <c r="C514" s="374"/>
      <c r="D514" s="42"/>
      <c r="E514" s="42"/>
      <c r="F514" s="42"/>
      <c r="G514" s="42"/>
      <c r="H514" s="42"/>
      <c r="I514" s="42"/>
      <c r="J514" s="42"/>
      <c r="K514" s="375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</row>
    <row r="515">
      <c r="A515" s="125"/>
      <c r="B515" s="323"/>
      <c r="C515" s="374"/>
      <c r="D515" s="42"/>
      <c r="E515" s="42"/>
      <c r="F515" s="42"/>
      <c r="G515" s="42"/>
      <c r="H515" s="42"/>
      <c r="I515" s="42"/>
      <c r="J515" s="42"/>
      <c r="K515" s="375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</row>
    <row r="516">
      <c r="A516" s="125"/>
      <c r="B516" s="323"/>
      <c r="C516" s="374"/>
      <c r="D516" s="42"/>
      <c r="E516" s="42"/>
      <c r="F516" s="42"/>
      <c r="G516" s="42"/>
      <c r="H516" s="42"/>
      <c r="I516" s="42"/>
      <c r="J516" s="42"/>
      <c r="K516" s="375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</row>
    <row r="517">
      <c r="A517" s="125"/>
      <c r="B517" s="323"/>
      <c r="C517" s="374"/>
      <c r="D517" s="42"/>
      <c r="E517" s="42"/>
      <c r="F517" s="42"/>
      <c r="G517" s="42"/>
      <c r="H517" s="42"/>
      <c r="I517" s="42"/>
      <c r="J517" s="42"/>
      <c r="K517" s="375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</row>
    <row r="518">
      <c r="A518" s="125"/>
      <c r="B518" s="323"/>
      <c r="C518" s="374"/>
      <c r="D518" s="42"/>
      <c r="E518" s="42"/>
      <c r="F518" s="42"/>
      <c r="G518" s="42"/>
      <c r="H518" s="42"/>
      <c r="I518" s="42"/>
      <c r="J518" s="42"/>
      <c r="K518" s="375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</row>
    <row r="519">
      <c r="A519" s="125"/>
      <c r="B519" s="323"/>
      <c r="C519" s="374"/>
      <c r="D519" s="42"/>
      <c r="E519" s="42"/>
      <c r="F519" s="42"/>
      <c r="G519" s="42"/>
      <c r="H519" s="42"/>
      <c r="I519" s="42"/>
      <c r="J519" s="42"/>
      <c r="K519" s="375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</row>
    <row r="520">
      <c r="A520" s="125"/>
      <c r="B520" s="323"/>
      <c r="C520" s="374"/>
      <c r="D520" s="42"/>
      <c r="E520" s="42"/>
      <c r="F520" s="42"/>
      <c r="G520" s="42"/>
      <c r="H520" s="42"/>
      <c r="I520" s="42"/>
      <c r="J520" s="42"/>
      <c r="K520" s="375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</row>
    <row r="521">
      <c r="A521" s="125"/>
      <c r="B521" s="323"/>
      <c r="C521" s="374"/>
      <c r="D521" s="42"/>
      <c r="E521" s="42"/>
      <c r="F521" s="42"/>
      <c r="G521" s="42"/>
      <c r="H521" s="42"/>
      <c r="I521" s="42"/>
      <c r="J521" s="42"/>
      <c r="K521" s="375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</row>
    <row r="522">
      <c r="A522" s="125"/>
      <c r="B522" s="323"/>
      <c r="C522" s="374"/>
      <c r="D522" s="42"/>
      <c r="E522" s="42"/>
      <c r="F522" s="42"/>
      <c r="G522" s="42"/>
      <c r="H522" s="42"/>
      <c r="I522" s="42"/>
      <c r="J522" s="42"/>
      <c r="K522" s="375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</row>
    <row r="523">
      <c r="A523" s="125"/>
      <c r="B523" s="323"/>
      <c r="C523" s="374"/>
      <c r="D523" s="42"/>
      <c r="E523" s="42"/>
      <c r="F523" s="42"/>
      <c r="G523" s="42"/>
      <c r="H523" s="42"/>
      <c r="I523" s="42"/>
      <c r="J523" s="42"/>
      <c r="K523" s="375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</row>
    <row r="524">
      <c r="A524" s="125"/>
      <c r="B524" s="323"/>
      <c r="C524" s="374"/>
      <c r="D524" s="42"/>
      <c r="E524" s="42"/>
      <c r="F524" s="42"/>
      <c r="G524" s="42"/>
      <c r="H524" s="42"/>
      <c r="I524" s="42"/>
      <c r="J524" s="42"/>
      <c r="K524" s="375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</row>
    <row r="525">
      <c r="A525" s="125"/>
      <c r="B525" s="323"/>
      <c r="C525" s="374"/>
      <c r="D525" s="42"/>
      <c r="E525" s="42"/>
      <c r="F525" s="42"/>
      <c r="G525" s="42"/>
      <c r="H525" s="42"/>
      <c r="I525" s="42"/>
      <c r="J525" s="42"/>
      <c r="K525" s="375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</row>
    <row r="526">
      <c r="A526" s="125"/>
      <c r="B526" s="323"/>
      <c r="C526" s="374"/>
      <c r="D526" s="42"/>
      <c r="E526" s="42"/>
      <c r="F526" s="42"/>
      <c r="G526" s="42"/>
      <c r="H526" s="42"/>
      <c r="I526" s="42"/>
      <c r="J526" s="42"/>
      <c r="K526" s="375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</row>
    <row r="527">
      <c r="A527" s="125"/>
      <c r="B527" s="323"/>
      <c r="C527" s="374"/>
      <c r="D527" s="42"/>
      <c r="E527" s="42"/>
      <c r="F527" s="42"/>
      <c r="G527" s="42"/>
      <c r="H527" s="42"/>
      <c r="I527" s="42"/>
      <c r="J527" s="42"/>
      <c r="K527" s="375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</row>
    <row r="528">
      <c r="A528" s="125"/>
      <c r="B528" s="323"/>
      <c r="C528" s="374"/>
      <c r="D528" s="42"/>
      <c r="E528" s="42"/>
      <c r="F528" s="42"/>
      <c r="G528" s="42"/>
      <c r="H528" s="42"/>
      <c r="I528" s="42"/>
      <c r="J528" s="42"/>
      <c r="K528" s="375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</row>
    <row r="529">
      <c r="A529" s="125"/>
      <c r="B529" s="323"/>
      <c r="C529" s="374"/>
      <c r="D529" s="42"/>
      <c r="E529" s="42"/>
      <c r="F529" s="42"/>
      <c r="G529" s="42"/>
      <c r="H529" s="42"/>
      <c r="I529" s="42"/>
      <c r="J529" s="42"/>
      <c r="K529" s="375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</row>
    <row r="530">
      <c r="A530" s="125"/>
      <c r="B530" s="323"/>
      <c r="C530" s="374"/>
      <c r="D530" s="42"/>
      <c r="E530" s="42"/>
      <c r="F530" s="42"/>
      <c r="G530" s="42"/>
      <c r="H530" s="42"/>
      <c r="I530" s="42"/>
      <c r="J530" s="42"/>
      <c r="K530" s="375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</row>
    <row r="531">
      <c r="A531" s="125"/>
      <c r="B531" s="323"/>
      <c r="C531" s="374"/>
      <c r="D531" s="42"/>
      <c r="E531" s="42"/>
      <c r="F531" s="42"/>
      <c r="G531" s="42"/>
      <c r="H531" s="42"/>
      <c r="I531" s="42"/>
      <c r="J531" s="42"/>
      <c r="K531" s="375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</row>
    <row r="532">
      <c r="A532" s="125"/>
      <c r="B532" s="323"/>
      <c r="C532" s="374"/>
      <c r="D532" s="42"/>
      <c r="E532" s="42"/>
      <c r="F532" s="42"/>
      <c r="G532" s="42"/>
      <c r="H532" s="42"/>
      <c r="I532" s="42"/>
      <c r="J532" s="42"/>
      <c r="K532" s="375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</row>
    <row r="533">
      <c r="A533" s="125"/>
      <c r="B533" s="323"/>
      <c r="C533" s="374"/>
      <c r="D533" s="42"/>
      <c r="E533" s="42"/>
      <c r="F533" s="42"/>
      <c r="G533" s="42"/>
      <c r="H533" s="42"/>
      <c r="I533" s="42"/>
      <c r="J533" s="42"/>
      <c r="K533" s="375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</row>
    <row r="534">
      <c r="A534" s="125"/>
      <c r="B534" s="323"/>
      <c r="C534" s="374"/>
      <c r="D534" s="42"/>
      <c r="E534" s="42"/>
      <c r="F534" s="42"/>
      <c r="G534" s="42"/>
      <c r="H534" s="42"/>
      <c r="I534" s="42"/>
      <c r="J534" s="42"/>
      <c r="K534" s="375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</row>
    <row r="535">
      <c r="A535" s="125"/>
      <c r="B535" s="323"/>
      <c r="C535" s="374"/>
      <c r="D535" s="42"/>
      <c r="E535" s="42"/>
      <c r="F535" s="42"/>
      <c r="G535" s="42"/>
      <c r="H535" s="42"/>
      <c r="I535" s="42"/>
      <c r="J535" s="42"/>
      <c r="K535" s="375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</row>
    <row r="536">
      <c r="A536" s="125"/>
      <c r="B536" s="323"/>
      <c r="C536" s="374"/>
      <c r="D536" s="42"/>
      <c r="E536" s="42"/>
      <c r="F536" s="42"/>
      <c r="G536" s="42"/>
      <c r="H536" s="42"/>
      <c r="I536" s="42"/>
      <c r="J536" s="42"/>
      <c r="K536" s="375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</row>
    <row r="537">
      <c r="A537" s="125"/>
      <c r="B537" s="323"/>
      <c r="C537" s="374"/>
      <c r="D537" s="42"/>
      <c r="E537" s="42"/>
      <c r="F537" s="42"/>
      <c r="G537" s="42"/>
      <c r="H537" s="42"/>
      <c r="I537" s="42"/>
      <c r="J537" s="42"/>
      <c r="K537" s="375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</row>
    <row r="538">
      <c r="A538" s="125"/>
      <c r="B538" s="323"/>
      <c r="C538" s="374"/>
      <c r="D538" s="42"/>
      <c r="E538" s="42"/>
      <c r="F538" s="42"/>
      <c r="G538" s="42"/>
      <c r="H538" s="42"/>
      <c r="I538" s="42"/>
      <c r="J538" s="42"/>
      <c r="K538" s="375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</row>
    <row r="539">
      <c r="A539" s="125"/>
      <c r="B539" s="323"/>
      <c r="C539" s="374"/>
      <c r="D539" s="42"/>
      <c r="E539" s="42"/>
      <c r="F539" s="42"/>
      <c r="G539" s="42"/>
      <c r="H539" s="42"/>
      <c r="I539" s="42"/>
      <c r="J539" s="42"/>
      <c r="K539" s="375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</row>
    <row r="540">
      <c r="A540" s="125"/>
      <c r="B540" s="323"/>
      <c r="C540" s="374"/>
      <c r="D540" s="42"/>
      <c r="E540" s="42"/>
      <c r="F540" s="42"/>
      <c r="G540" s="42"/>
      <c r="H540" s="42"/>
      <c r="I540" s="42"/>
      <c r="J540" s="42"/>
      <c r="K540" s="375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</row>
    <row r="541">
      <c r="A541" s="125"/>
      <c r="B541" s="323"/>
      <c r="C541" s="374"/>
      <c r="D541" s="42"/>
      <c r="E541" s="42"/>
      <c r="F541" s="42"/>
      <c r="G541" s="42"/>
      <c r="H541" s="42"/>
      <c r="I541" s="42"/>
      <c r="J541" s="42"/>
      <c r="K541" s="375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</row>
    <row r="542">
      <c r="A542" s="125"/>
      <c r="B542" s="323"/>
      <c r="C542" s="374"/>
      <c r="D542" s="42"/>
      <c r="E542" s="42"/>
      <c r="F542" s="42"/>
      <c r="G542" s="42"/>
      <c r="H542" s="42"/>
      <c r="I542" s="42"/>
      <c r="J542" s="42"/>
      <c r="K542" s="375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</row>
    <row r="543">
      <c r="A543" s="125"/>
      <c r="B543" s="323"/>
      <c r="C543" s="374"/>
      <c r="D543" s="42"/>
      <c r="E543" s="42"/>
      <c r="F543" s="42"/>
      <c r="G543" s="42"/>
      <c r="H543" s="42"/>
      <c r="I543" s="42"/>
      <c r="J543" s="42"/>
      <c r="K543" s="375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</row>
    <row r="544">
      <c r="A544" s="125"/>
      <c r="B544" s="323"/>
      <c r="C544" s="374"/>
      <c r="D544" s="42"/>
      <c r="E544" s="42"/>
      <c r="F544" s="42"/>
      <c r="G544" s="42"/>
      <c r="H544" s="42"/>
      <c r="I544" s="42"/>
      <c r="J544" s="42"/>
      <c r="K544" s="375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</row>
    <row r="545">
      <c r="A545" s="125"/>
      <c r="B545" s="323"/>
      <c r="C545" s="374"/>
      <c r="D545" s="42"/>
      <c r="E545" s="42"/>
      <c r="F545" s="42"/>
      <c r="G545" s="42"/>
      <c r="H545" s="42"/>
      <c r="I545" s="42"/>
      <c r="J545" s="42"/>
      <c r="K545" s="375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</row>
    <row r="546">
      <c r="A546" s="125"/>
      <c r="B546" s="323"/>
      <c r="C546" s="374"/>
      <c r="D546" s="42"/>
      <c r="E546" s="42"/>
      <c r="F546" s="42"/>
      <c r="G546" s="42"/>
      <c r="H546" s="42"/>
      <c r="I546" s="42"/>
      <c r="J546" s="42"/>
      <c r="K546" s="375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</row>
    <row r="547">
      <c r="A547" s="125"/>
      <c r="B547" s="323"/>
      <c r="C547" s="374"/>
      <c r="D547" s="42"/>
      <c r="E547" s="42"/>
      <c r="F547" s="42"/>
      <c r="G547" s="42"/>
      <c r="H547" s="42"/>
      <c r="I547" s="42"/>
      <c r="J547" s="42"/>
      <c r="K547" s="375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</row>
    <row r="548">
      <c r="A548" s="125"/>
      <c r="B548" s="323"/>
      <c r="C548" s="374"/>
      <c r="D548" s="42"/>
      <c r="E548" s="42"/>
      <c r="F548" s="42"/>
      <c r="G548" s="42"/>
      <c r="H548" s="42"/>
      <c r="I548" s="42"/>
      <c r="J548" s="42"/>
      <c r="K548" s="375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</row>
    <row r="549">
      <c r="A549" s="125"/>
      <c r="B549" s="323"/>
      <c r="C549" s="374"/>
      <c r="D549" s="42"/>
      <c r="E549" s="42"/>
      <c r="F549" s="42"/>
      <c r="G549" s="42"/>
      <c r="H549" s="42"/>
      <c r="I549" s="42"/>
      <c r="J549" s="42"/>
      <c r="K549" s="375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</row>
    <row r="550">
      <c r="A550" s="125"/>
      <c r="B550" s="323"/>
      <c r="C550" s="374"/>
      <c r="D550" s="42"/>
      <c r="E550" s="42"/>
      <c r="F550" s="42"/>
      <c r="G550" s="42"/>
      <c r="H550" s="42"/>
      <c r="I550" s="42"/>
      <c r="J550" s="42"/>
      <c r="K550" s="375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</row>
    <row r="551">
      <c r="A551" s="125"/>
      <c r="B551" s="323"/>
      <c r="C551" s="374"/>
      <c r="D551" s="42"/>
      <c r="E551" s="42"/>
      <c r="F551" s="42"/>
      <c r="G551" s="42"/>
      <c r="H551" s="42"/>
      <c r="I551" s="42"/>
      <c r="J551" s="42"/>
      <c r="K551" s="375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</row>
    <row r="552">
      <c r="A552" s="125"/>
      <c r="B552" s="323"/>
      <c r="C552" s="374"/>
      <c r="D552" s="42"/>
      <c r="E552" s="42"/>
      <c r="F552" s="42"/>
      <c r="G552" s="42"/>
      <c r="H552" s="42"/>
      <c r="I552" s="42"/>
      <c r="J552" s="42"/>
      <c r="K552" s="375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</row>
    <row r="553">
      <c r="A553" s="125"/>
      <c r="B553" s="323"/>
      <c r="C553" s="374"/>
      <c r="D553" s="42"/>
      <c r="E553" s="42"/>
      <c r="F553" s="42"/>
      <c r="G553" s="42"/>
      <c r="H553" s="42"/>
      <c r="I553" s="42"/>
      <c r="J553" s="42"/>
      <c r="K553" s="375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</row>
    <row r="554">
      <c r="A554" s="125"/>
      <c r="B554" s="323"/>
      <c r="C554" s="374"/>
      <c r="D554" s="42"/>
      <c r="E554" s="42"/>
      <c r="F554" s="42"/>
      <c r="G554" s="42"/>
      <c r="H554" s="42"/>
      <c r="I554" s="42"/>
      <c r="J554" s="42"/>
      <c r="K554" s="375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</row>
    <row r="555">
      <c r="A555" s="125"/>
      <c r="B555" s="323"/>
      <c r="C555" s="374"/>
      <c r="D555" s="42"/>
      <c r="E555" s="42"/>
      <c r="F555" s="42"/>
      <c r="G555" s="42"/>
      <c r="H555" s="42"/>
      <c r="I555" s="42"/>
      <c r="J555" s="42"/>
      <c r="K555" s="375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</row>
    <row r="556">
      <c r="A556" s="125"/>
      <c r="B556" s="323"/>
      <c r="C556" s="374"/>
      <c r="D556" s="42"/>
      <c r="E556" s="42"/>
      <c r="F556" s="42"/>
      <c r="G556" s="42"/>
      <c r="H556" s="42"/>
      <c r="I556" s="42"/>
      <c r="J556" s="42"/>
      <c r="K556" s="375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</row>
    <row r="557">
      <c r="A557" s="125"/>
      <c r="B557" s="323"/>
      <c r="C557" s="374"/>
      <c r="D557" s="42"/>
      <c r="E557" s="42"/>
      <c r="F557" s="42"/>
      <c r="G557" s="42"/>
      <c r="H557" s="42"/>
      <c r="I557" s="42"/>
      <c r="J557" s="42"/>
      <c r="K557" s="375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</row>
    <row r="558">
      <c r="A558" s="125"/>
      <c r="B558" s="323"/>
      <c r="C558" s="374"/>
      <c r="D558" s="42"/>
      <c r="E558" s="42"/>
      <c r="F558" s="42"/>
      <c r="G558" s="42"/>
      <c r="H558" s="42"/>
      <c r="I558" s="42"/>
      <c r="J558" s="42"/>
      <c r="K558" s="375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</row>
    <row r="559">
      <c r="A559" s="125"/>
      <c r="B559" s="323"/>
      <c r="C559" s="374"/>
      <c r="D559" s="42"/>
      <c r="E559" s="42"/>
      <c r="F559" s="42"/>
      <c r="G559" s="42"/>
      <c r="H559" s="42"/>
      <c r="I559" s="42"/>
      <c r="J559" s="42"/>
      <c r="K559" s="375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</row>
    <row r="560">
      <c r="A560" s="125"/>
      <c r="B560" s="323"/>
      <c r="C560" s="374"/>
      <c r="D560" s="42"/>
      <c r="E560" s="42"/>
      <c r="F560" s="42"/>
      <c r="G560" s="42"/>
      <c r="H560" s="42"/>
      <c r="I560" s="42"/>
      <c r="J560" s="42"/>
      <c r="K560" s="375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</row>
    <row r="561">
      <c r="A561" s="125"/>
      <c r="B561" s="323"/>
      <c r="C561" s="374"/>
      <c r="D561" s="42"/>
      <c r="E561" s="42"/>
      <c r="F561" s="42"/>
      <c r="G561" s="42"/>
      <c r="H561" s="42"/>
      <c r="I561" s="42"/>
      <c r="J561" s="42"/>
      <c r="K561" s="375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</row>
    <row r="562">
      <c r="A562" s="125"/>
      <c r="B562" s="323"/>
      <c r="C562" s="374"/>
      <c r="D562" s="42"/>
      <c r="E562" s="42"/>
      <c r="F562" s="42"/>
      <c r="G562" s="42"/>
      <c r="H562" s="42"/>
      <c r="I562" s="42"/>
      <c r="J562" s="42"/>
      <c r="K562" s="375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</row>
    <row r="563">
      <c r="A563" s="125"/>
      <c r="B563" s="323"/>
      <c r="C563" s="374"/>
      <c r="D563" s="42"/>
      <c r="E563" s="42"/>
      <c r="F563" s="42"/>
      <c r="G563" s="42"/>
      <c r="H563" s="42"/>
      <c r="I563" s="42"/>
      <c r="J563" s="42"/>
      <c r="K563" s="375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</row>
    <row r="564">
      <c r="A564" s="125"/>
      <c r="B564" s="323"/>
      <c r="C564" s="374"/>
      <c r="D564" s="42"/>
      <c r="E564" s="42"/>
      <c r="F564" s="42"/>
      <c r="G564" s="42"/>
      <c r="H564" s="42"/>
      <c r="I564" s="42"/>
      <c r="J564" s="42"/>
      <c r="K564" s="375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</row>
    <row r="565">
      <c r="A565" s="125"/>
      <c r="B565" s="323"/>
      <c r="C565" s="374"/>
      <c r="D565" s="42"/>
      <c r="E565" s="42"/>
      <c r="F565" s="42"/>
      <c r="G565" s="42"/>
      <c r="H565" s="42"/>
      <c r="I565" s="42"/>
      <c r="J565" s="42"/>
      <c r="K565" s="375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</row>
    <row r="566">
      <c r="A566" s="125"/>
      <c r="B566" s="323"/>
      <c r="C566" s="374"/>
      <c r="D566" s="42"/>
      <c r="E566" s="42"/>
      <c r="F566" s="42"/>
      <c r="G566" s="42"/>
      <c r="H566" s="42"/>
      <c r="I566" s="42"/>
      <c r="J566" s="42"/>
      <c r="K566" s="375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</row>
    <row r="567">
      <c r="A567" s="125"/>
      <c r="B567" s="323"/>
      <c r="C567" s="374"/>
      <c r="D567" s="42"/>
      <c r="E567" s="42"/>
      <c r="F567" s="42"/>
      <c r="G567" s="42"/>
      <c r="H567" s="42"/>
      <c r="I567" s="42"/>
      <c r="J567" s="42"/>
      <c r="K567" s="375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</row>
    <row r="568">
      <c r="A568" s="125"/>
      <c r="B568" s="323"/>
      <c r="C568" s="374"/>
      <c r="D568" s="42"/>
      <c r="E568" s="42"/>
      <c r="F568" s="42"/>
      <c r="G568" s="42"/>
      <c r="H568" s="42"/>
      <c r="I568" s="42"/>
      <c r="J568" s="42"/>
      <c r="K568" s="375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</row>
    <row r="569">
      <c r="A569" s="125"/>
      <c r="B569" s="323"/>
      <c r="C569" s="374"/>
      <c r="D569" s="42"/>
      <c r="E569" s="42"/>
      <c r="F569" s="42"/>
      <c r="G569" s="42"/>
      <c r="H569" s="42"/>
      <c r="I569" s="42"/>
      <c r="J569" s="42"/>
      <c r="K569" s="375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</row>
    <row r="570">
      <c r="A570" s="125"/>
      <c r="B570" s="323"/>
      <c r="C570" s="374"/>
      <c r="D570" s="42"/>
      <c r="E570" s="42"/>
      <c r="F570" s="42"/>
      <c r="G570" s="42"/>
      <c r="H570" s="42"/>
      <c r="I570" s="42"/>
      <c r="J570" s="42"/>
      <c r="K570" s="375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</row>
    <row r="571">
      <c r="A571" s="125"/>
      <c r="B571" s="323"/>
      <c r="C571" s="374"/>
      <c r="D571" s="42"/>
      <c r="E571" s="42"/>
      <c r="F571" s="42"/>
      <c r="G571" s="42"/>
      <c r="H571" s="42"/>
      <c r="I571" s="42"/>
      <c r="J571" s="42"/>
      <c r="K571" s="375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</row>
    <row r="572">
      <c r="A572" s="125"/>
      <c r="B572" s="323"/>
      <c r="C572" s="374"/>
      <c r="D572" s="42"/>
      <c r="E572" s="42"/>
      <c r="F572" s="42"/>
      <c r="G572" s="42"/>
      <c r="H572" s="42"/>
      <c r="I572" s="42"/>
      <c r="J572" s="42"/>
      <c r="K572" s="375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</row>
    <row r="573">
      <c r="A573" s="125"/>
      <c r="B573" s="323"/>
      <c r="C573" s="374"/>
      <c r="D573" s="42"/>
      <c r="E573" s="42"/>
      <c r="F573" s="42"/>
      <c r="G573" s="42"/>
      <c r="H573" s="42"/>
      <c r="I573" s="42"/>
      <c r="J573" s="42"/>
      <c r="K573" s="375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</row>
    <row r="574">
      <c r="A574" s="125"/>
      <c r="B574" s="323"/>
      <c r="C574" s="374"/>
      <c r="D574" s="42"/>
      <c r="E574" s="42"/>
      <c r="F574" s="42"/>
      <c r="G574" s="42"/>
      <c r="H574" s="42"/>
      <c r="I574" s="42"/>
      <c r="J574" s="42"/>
      <c r="K574" s="375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</row>
    <row r="575">
      <c r="A575" s="125"/>
      <c r="B575" s="323"/>
      <c r="C575" s="374"/>
      <c r="D575" s="42"/>
      <c r="E575" s="42"/>
      <c r="F575" s="42"/>
      <c r="G575" s="42"/>
      <c r="H575" s="42"/>
      <c r="I575" s="42"/>
      <c r="J575" s="42"/>
      <c r="K575" s="375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</row>
    <row r="576">
      <c r="A576" s="125"/>
      <c r="B576" s="323"/>
      <c r="C576" s="374"/>
      <c r="D576" s="42"/>
      <c r="E576" s="42"/>
      <c r="F576" s="42"/>
      <c r="G576" s="42"/>
      <c r="H576" s="42"/>
      <c r="I576" s="42"/>
      <c r="J576" s="42"/>
      <c r="K576" s="375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</row>
    <row r="577">
      <c r="A577" s="125"/>
      <c r="B577" s="323"/>
      <c r="C577" s="374"/>
      <c r="D577" s="42"/>
      <c r="E577" s="42"/>
      <c r="F577" s="42"/>
      <c r="G577" s="42"/>
      <c r="H577" s="42"/>
      <c r="I577" s="42"/>
      <c r="J577" s="42"/>
      <c r="K577" s="375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</row>
    <row r="578">
      <c r="A578" s="125"/>
      <c r="B578" s="323"/>
      <c r="C578" s="374"/>
      <c r="D578" s="42"/>
      <c r="E578" s="42"/>
      <c r="F578" s="42"/>
      <c r="G578" s="42"/>
      <c r="H578" s="42"/>
      <c r="I578" s="42"/>
      <c r="J578" s="42"/>
      <c r="K578" s="375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</row>
    <row r="579">
      <c r="A579" s="125"/>
      <c r="B579" s="323"/>
      <c r="C579" s="374"/>
      <c r="D579" s="42"/>
      <c r="E579" s="42"/>
      <c r="F579" s="42"/>
      <c r="G579" s="42"/>
      <c r="H579" s="42"/>
      <c r="I579" s="42"/>
      <c r="J579" s="42"/>
      <c r="K579" s="375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</row>
    <row r="580">
      <c r="A580" s="125"/>
      <c r="B580" s="323"/>
      <c r="C580" s="374"/>
      <c r="D580" s="42"/>
      <c r="E580" s="42"/>
      <c r="F580" s="42"/>
      <c r="G580" s="42"/>
      <c r="H580" s="42"/>
      <c r="I580" s="42"/>
      <c r="J580" s="42"/>
      <c r="K580" s="375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</row>
    <row r="581">
      <c r="A581" s="125"/>
      <c r="B581" s="323"/>
      <c r="C581" s="374"/>
      <c r="D581" s="42"/>
      <c r="E581" s="42"/>
      <c r="F581" s="42"/>
      <c r="G581" s="42"/>
      <c r="H581" s="42"/>
      <c r="I581" s="42"/>
      <c r="J581" s="42"/>
      <c r="K581" s="375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</row>
    <row r="582">
      <c r="A582" s="125"/>
      <c r="B582" s="323"/>
      <c r="C582" s="374"/>
      <c r="D582" s="42"/>
      <c r="E582" s="42"/>
      <c r="F582" s="42"/>
      <c r="G582" s="42"/>
      <c r="H582" s="42"/>
      <c r="I582" s="42"/>
      <c r="J582" s="42"/>
      <c r="K582" s="375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</row>
    <row r="583">
      <c r="A583" s="125"/>
      <c r="B583" s="323"/>
      <c r="C583" s="374"/>
      <c r="D583" s="42"/>
      <c r="E583" s="42"/>
      <c r="F583" s="42"/>
      <c r="G583" s="42"/>
      <c r="H583" s="42"/>
      <c r="I583" s="42"/>
      <c r="J583" s="42"/>
      <c r="K583" s="375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</row>
    <row r="584">
      <c r="A584" s="125"/>
      <c r="B584" s="323"/>
      <c r="C584" s="374"/>
      <c r="D584" s="42"/>
      <c r="E584" s="42"/>
      <c r="F584" s="42"/>
      <c r="G584" s="42"/>
      <c r="H584" s="42"/>
      <c r="I584" s="42"/>
      <c r="J584" s="42"/>
      <c r="K584" s="375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</row>
    <row r="585">
      <c r="A585" s="125"/>
      <c r="B585" s="323"/>
      <c r="C585" s="374"/>
      <c r="D585" s="42"/>
      <c r="E585" s="42"/>
      <c r="F585" s="42"/>
      <c r="G585" s="42"/>
      <c r="H585" s="42"/>
      <c r="I585" s="42"/>
      <c r="J585" s="42"/>
      <c r="K585" s="375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</row>
    <row r="586">
      <c r="A586" s="125"/>
      <c r="B586" s="323"/>
      <c r="C586" s="374"/>
      <c r="D586" s="42"/>
      <c r="E586" s="42"/>
      <c r="F586" s="42"/>
      <c r="G586" s="42"/>
      <c r="H586" s="42"/>
      <c r="I586" s="42"/>
      <c r="J586" s="42"/>
      <c r="K586" s="375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</row>
    <row r="587">
      <c r="A587" s="125"/>
      <c r="B587" s="323"/>
      <c r="C587" s="374"/>
      <c r="D587" s="42"/>
      <c r="E587" s="42"/>
      <c r="F587" s="42"/>
      <c r="G587" s="42"/>
      <c r="H587" s="42"/>
      <c r="I587" s="42"/>
      <c r="J587" s="42"/>
      <c r="K587" s="375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</row>
    <row r="588">
      <c r="A588" s="125"/>
      <c r="B588" s="323"/>
      <c r="C588" s="374"/>
      <c r="D588" s="42"/>
      <c r="E588" s="42"/>
      <c r="F588" s="42"/>
      <c r="G588" s="42"/>
      <c r="H588" s="42"/>
      <c r="I588" s="42"/>
      <c r="J588" s="42"/>
      <c r="K588" s="375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</row>
    <row r="589">
      <c r="A589" s="125"/>
      <c r="B589" s="323"/>
      <c r="C589" s="374"/>
      <c r="D589" s="42"/>
      <c r="E589" s="42"/>
      <c r="F589" s="42"/>
      <c r="G589" s="42"/>
      <c r="H589" s="42"/>
      <c r="I589" s="42"/>
      <c r="J589" s="42"/>
      <c r="K589" s="375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</row>
    <row r="590">
      <c r="A590" s="125"/>
      <c r="B590" s="323"/>
      <c r="C590" s="374"/>
      <c r="D590" s="42"/>
      <c r="E590" s="42"/>
      <c r="F590" s="42"/>
      <c r="G590" s="42"/>
      <c r="H590" s="42"/>
      <c r="I590" s="42"/>
      <c r="J590" s="42"/>
      <c r="K590" s="375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</row>
    <row r="591">
      <c r="A591" s="125"/>
      <c r="B591" s="323"/>
      <c r="C591" s="374"/>
      <c r="D591" s="42"/>
      <c r="E591" s="42"/>
      <c r="F591" s="42"/>
      <c r="G591" s="42"/>
      <c r="H591" s="42"/>
      <c r="I591" s="42"/>
      <c r="J591" s="42"/>
      <c r="K591" s="375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</row>
    <row r="592">
      <c r="A592" s="125"/>
      <c r="B592" s="323"/>
      <c r="C592" s="374"/>
      <c r="D592" s="42"/>
      <c r="E592" s="42"/>
      <c r="F592" s="42"/>
      <c r="G592" s="42"/>
      <c r="H592" s="42"/>
      <c r="I592" s="42"/>
      <c r="J592" s="42"/>
      <c r="K592" s="375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</row>
    <row r="593">
      <c r="A593" s="125"/>
      <c r="B593" s="323"/>
      <c r="C593" s="374"/>
      <c r="D593" s="42"/>
      <c r="E593" s="42"/>
      <c r="F593" s="42"/>
      <c r="G593" s="42"/>
      <c r="H593" s="42"/>
      <c r="I593" s="42"/>
      <c r="J593" s="42"/>
      <c r="K593" s="375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</row>
    <row r="594">
      <c r="A594" s="125"/>
      <c r="B594" s="323"/>
      <c r="C594" s="374"/>
      <c r="D594" s="42"/>
      <c r="E594" s="42"/>
      <c r="F594" s="42"/>
      <c r="G594" s="42"/>
      <c r="H594" s="42"/>
      <c r="I594" s="42"/>
      <c r="J594" s="42"/>
      <c r="K594" s="375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</row>
    <row r="595">
      <c r="A595" s="125"/>
      <c r="B595" s="323"/>
      <c r="C595" s="374"/>
      <c r="D595" s="42"/>
      <c r="E595" s="42"/>
      <c r="F595" s="42"/>
      <c r="G595" s="42"/>
      <c r="H595" s="42"/>
      <c r="I595" s="42"/>
      <c r="J595" s="42"/>
      <c r="K595" s="375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</row>
    <row r="596">
      <c r="A596" s="125"/>
      <c r="B596" s="323"/>
      <c r="C596" s="374"/>
      <c r="D596" s="42"/>
      <c r="E596" s="42"/>
      <c r="F596" s="42"/>
      <c r="G596" s="42"/>
      <c r="H596" s="42"/>
      <c r="I596" s="42"/>
      <c r="J596" s="42"/>
      <c r="K596" s="375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</row>
    <row r="597">
      <c r="A597" s="125"/>
      <c r="B597" s="323"/>
      <c r="C597" s="374"/>
      <c r="D597" s="42"/>
      <c r="E597" s="42"/>
      <c r="F597" s="42"/>
      <c r="G597" s="42"/>
      <c r="H597" s="42"/>
      <c r="I597" s="42"/>
      <c r="J597" s="42"/>
      <c r="K597" s="375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</row>
    <row r="598">
      <c r="A598" s="125"/>
      <c r="B598" s="323"/>
      <c r="C598" s="374"/>
      <c r="D598" s="42"/>
      <c r="E598" s="42"/>
      <c r="F598" s="42"/>
      <c r="G598" s="42"/>
      <c r="H598" s="42"/>
      <c r="I598" s="42"/>
      <c r="J598" s="42"/>
      <c r="K598" s="375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</row>
    <row r="599">
      <c r="A599" s="125"/>
      <c r="B599" s="323"/>
      <c r="C599" s="374"/>
      <c r="D599" s="42"/>
      <c r="E599" s="42"/>
      <c r="F599" s="42"/>
      <c r="G599" s="42"/>
      <c r="H599" s="42"/>
      <c r="I599" s="42"/>
      <c r="J599" s="42"/>
      <c r="K599" s="375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</row>
    <row r="600">
      <c r="A600" s="125"/>
      <c r="B600" s="323"/>
      <c r="C600" s="374"/>
      <c r="D600" s="42"/>
      <c r="E600" s="42"/>
      <c r="F600" s="42"/>
      <c r="G600" s="42"/>
      <c r="H600" s="42"/>
      <c r="I600" s="42"/>
      <c r="J600" s="42"/>
      <c r="K600" s="375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</row>
    <row r="601">
      <c r="A601" s="125"/>
      <c r="B601" s="323"/>
      <c r="C601" s="374"/>
      <c r="D601" s="42"/>
      <c r="E601" s="42"/>
      <c r="F601" s="42"/>
      <c r="G601" s="42"/>
      <c r="H601" s="42"/>
      <c r="I601" s="42"/>
      <c r="J601" s="42"/>
      <c r="K601" s="375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</row>
    <row r="602">
      <c r="A602" s="125"/>
      <c r="B602" s="323"/>
      <c r="C602" s="374"/>
      <c r="D602" s="42"/>
      <c r="E602" s="42"/>
      <c r="F602" s="42"/>
      <c r="G602" s="42"/>
      <c r="H602" s="42"/>
      <c r="I602" s="42"/>
      <c r="J602" s="42"/>
      <c r="K602" s="375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</row>
    <row r="603">
      <c r="A603" s="125"/>
      <c r="B603" s="323"/>
      <c r="C603" s="374"/>
      <c r="D603" s="42"/>
      <c r="E603" s="42"/>
      <c r="F603" s="42"/>
      <c r="G603" s="42"/>
      <c r="H603" s="42"/>
      <c r="I603" s="42"/>
      <c r="J603" s="42"/>
      <c r="K603" s="375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</row>
    <row r="604">
      <c r="A604" s="125"/>
      <c r="B604" s="323"/>
      <c r="C604" s="374"/>
      <c r="D604" s="42"/>
      <c r="E604" s="42"/>
      <c r="F604" s="42"/>
      <c r="G604" s="42"/>
      <c r="H604" s="42"/>
      <c r="I604" s="42"/>
      <c r="J604" s="42"/>
      <c r="K604" s="375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</row>
    <row r="605">
      <c r="A605" s="125"/>
      <c r="B605" s="323"/>
      <c r="C605" s="374"/>
      <c r="D605" s="42"/>
      <c r="E605" s="42"/>
      <c r="F605" s="42"/>
      <c r="G605" s="42"/>
      <c r="H605" s="42"/>
      <c r="I605" s="42"/>
      <c r="J605" s="42"/>
      <c r="K605" s="375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</row>
    <row r="606">
      <c r="A606" s="125"/>
      <c r="B606" s="323"/>
      <c r="C606" s="374"/>
      <c r="D606" s="42"/>
      <c r="E606" s="42"/>
      <c r="F606" s="42"/>
      <c r="G606" s="42"/>
      <c r="H606" s="42"/>
      <c r="I606" s="42"/>
      <c r="J606" s="42"/>
      <c r="K606" s="375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</row>
    <row r="607">
      <c r="A607" s="125"/>
      <c r="B607" s="323"/>
      <c r="C607" s="374"/>
      <c r="D607" s="42"/>
      <c r="E607" s="42"/>
      <c r="F607" s="42"/>
      <c r="G607" s="42"/>
      <c r="H607" s="42"/>
      <c r="I607" s="42"/>
      <c r="J607" s="42"/>
      <c r="K607" s="375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</row>
    <row r="608">
      <c r="A608" s="125"/>
      <c r="B608" s="323"/>
      <c r="C608" s="374"/>
      <c r="D608" s="42"/>
      <c r="E608" s="42"/>
      <c r="F608" s="42"/>
      <c r="G608" s="42"/>
      <c r="H608" s="42"/>
      <c r="I608" s="42"/>
      <c r="J608" s="42"/>
      <c r="K608" s="375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</row>
    <row r="609">
      <c r="A609" s="125"/>
      <c r="B609" s="323"/>
      <c r="C609" s="374"/>
      <c r="D609" s="42"/>
      <c r="E609" s="42"/>
      <c r="F609" s="42"/>
      <c r="G609" s="42"/>
      <c r="H609" s="42"/>
      <c r="I609" s="42"/>
      <c r="J609" s="42"/>
      <c r="K609" s="375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</row>
    <row r="610">
      <c r="A610" s="125"/>
      <c r="B610" s="323"/>
      <c r="C610" s="374"/>
      <c r="D610" s="42"/>
      <c r="E610" s="42"/>
      <c r="F610" s="42"/>
      <c r="G610" s="42"/>
      <c r="H610" s="42"/>
      <c r="I610" s="42"/>
      <c r="J610" s="42"/>
      <c r="K610" s="375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</row>
    <row r="611">
      <c r="A611" s="125"/>
      <c r="B611" s="323"/>
      <c r="C611" s="374"/>
      <c r="D611" s="42"/>
      <c r="E611" s="42"/>
      <c r="F611" s="42"/>
      <c r="G611" s="42"/>
      <c r="H611" s="42"/>
      <c r="I611" s="42"/>
      <c r="J611" s="42"/>
      <c r="K611" s="375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</row>
    <row r="612">
      <c r="A612" s="125"/>
      <c r="B612" s="323"/>
      <c r="C612" s="374"/>
      <c r="D612" s="42"/>
      <c r="E612" s="42"/>
      <c r="F612" s="42"/>
      <c r="G612" s="42"/>
      <c r="H612" s="42"/>
      <c r="I612" s="42"/>
      <c r="J612" s="42"/>
      <c r="K612" s="375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</row>
    <row r="613">
      <c r="A613" s="125"/>
      <c r="B613" s="323"/>
      <c r="C613" s="374"/>
      <c r="D613" s="42"/>
      <c r="E613" s="42"/>
      <c r="F613" s="42"/>
      <c r="G613" s="42"/>
      <c r="H613" s="42"/>
      <c r="I613" s="42"/>
      <c r="J613" s="42"/>
      <c r="K613" s="375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</row>
    <row r="614">
      <c r="A614" s="125"/>
      <c r="B614" s="323"/>
      <c r="C614" s="374"/>
      <c r="D614" s="42"/>
      <c r="E614" s="42"/>
      <c r="F614" s="42"/>
      <c r="G614" s="42"/>
      <c r="H614" s="42"/>
      <c r="I614" s="42"/>
      <c r="J614" s="42"/>
      <c r="K614" s="375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</row>
    <row r="615">
      <c r="A615" s="125"/>
      <c r="B615" s="323"/>
      <c r="C615" s="374"/>
      <c r="D615" s="42"/>
      <c r="E615" s="42"/>
      <c r="F615" s="42"/>
      <c r="G615" s="42"/>
      <c r="H615" s="42"/>
      <c r="I615" s="42"/>
      <c r="J615" s="42"/>
      <c r="K615" s="375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</row>
    <row r="616">
      <c r="A616" s="125"/>
      <c r="B616" s="323"/>
      <c r="C616" s="374"/>
      <c r="D616" s="42"/>
      <c r="E616" s="42"/>
      <c r="F616" s="42"/>
      <c r="G616" s="42"/>
      <c r="H616" s="42"/>
      <c r="I616" s="42"/>
      <c r="J616" s="42"/>
      <c r="K616" s="375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</row>
    <row r="617">
      <c r="A617" s="125"/>
      <c r="B617" s="323"/>
      <c r="C617" s="374"/>
      <c r="D617" s="42"/>
      <c r="E617" s="42"/>
      <c r="F617" s="42"/>
      <c r="G617" s="42"/>
      <c r="H617" s="42"/>
      <c r="I617" s="42"/>
      <c r="J617" s="42"/>
      <c r="K617" s="375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</row>
    <row r="618">
      <c r="A618" s="125"/>
      <c r="B618" s="323"/>
      <c r="C618" s="374"/>
      <c r="D618" s="42"/>
      <c r="E618" s="42"/>
      <c r="F618" s="42"/>
      <c r="G618" s="42"/>
      <c r="H618" s="42"/>
      <c r="I618" s="42"/>
      <c r="J618" s="42"/>
      <c r="K618" s="375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</row>
    <row r="619">
      <c r="A619" s="125"/>
      <c r="B619" s="323"/>
      <c r="C619" s="374"/>
      <c r="D619" s="42"/>
      <c r="E619" s="42"/>
      <c r="F619" s="42"/>
      <c r="G619" s="42"/>
      <c r="H619" s="42"/>
      <c r="I619" s="42"/>
      <c r="J619" s="42"/>
      <c r="K619" s="375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</row>
    <row r="620">
      <c r="A620" s="125"/>
      <c r="B620" s="323"/>
      <c r="C620" s="374"/>
      <c r="D620" s="42"/>
      <c r="E620" s="42"/>
      <c r="F620" s="42"/>
      <c r="G620" s="42"/>
      <c r="H620" s="42"/>
      <c r="I620" s="42"/>
      <c r="J620" s="42"/>
      <c r="K620" s="375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</row>
    <row r="621">
      <c r="A621" s="125"/>
      <c r="B621" s="323"/>
      <c r="C621" s="374"/>
      <c r="D621" s="42"/>
      <c r="E621" s="42"/>
      <c r="F621" s="42"/>
      <c r="G621" s="42"/>
      <c r="H621" s="42"/>
      <c r="I621" s="42"/>
      <c r="J621" s="42"/>
      <c r="K621" s="375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</row>
    <row r="622">
      <c r="A622" s="125"/>
      <c r="B622" s="323"/>
      <c r="C622" s="374"/>
      <c r="D622" s="42"/>
      <c r="E622" s="42"/>
      <c r="F622" s="42"/>
      <c r="G622" s="42"/>
      <c r="H622" s="42"/>
      <c r="I622" s="42"/>
      <c r="J622" s="42"/>
      <c r="K622" s="375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</row>
    <row r="623">
      <c r="A623" s="125"/>
      <c r="B623" s="323"/>
      <c r="C623" s="374"/>
      <c r="D623" s="42"/>
      <c r="E623" s="42"/>
      <c r="F623" s="42"/>
      <c r="G623" s="42"/>
      <c r="H623" s="42"/>
      <c r="I623" s="42"/>
      <c r="J623" s="42"/>
      <c r="K623" s="375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</row>
    <row r="624">
      <c r="A624" s="125"/>
      <c r="B624" s="323"/>
      <c r="C624" s="374"/>
      <c r="D624" s="42"/>
      <c r="E624" s="42"/>
      <c r="F624" s="42"/>
      <c r="G624" s="42"/>
      <c r="H624" s="42"/>
      <c r="I624" s="42"/>
      <c r="J624" s="42"/>
      <c r="K624" s="375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</row>
    <row r="625">
      <c r="A625" s="125"/>
      <c r="B625" s="323"/>
      <c r="C625" s="374"/>
      <c r="D625" s="42"/>
      <c r="E625" s="42"/>
      <c r="F625" s="42"/>
      <c r="G625" s="42"/>
      <c r="H625" s="42"/>
      <c r="I625" s="42"/>
      <c r="J625" s="42"/>
      <c r="K625" s="375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</row>
    <row r="626">
      <c r="A626" s="125"/>
      <c r="B626" s="323"/>
      <c r="C626" s="374"/>
      <c r="D626" s="42"/>
      <c r="E626" s="42"/>
      <c r="F626" s="42"/>
      <c r="G626" s="42"/>
      <c r="H626" s="42"/>
      <c r="I626" s="42"/>
      <c r="J626" s="42"/>
      <c r="K626" s="375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</row>
    <row r="627">
      <c r="A627" s="125"/>
      <c r="B627" s="323"/>
      <c r="C627" s="374"/>
      <c r="D627" s="42"/>
      <c r="E627" s="42"/>
      <c r="F627" s="42"/>
      <c r="G627" s="42"/>
      <c r="H627" s="42"/>
      <c r="I627" s="42"/>
      <c r="J627" s="42"/>
      <c r="K627" s="375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</row>
    <row r="628">
      <c r="A628" s="125"/>
      <c r="B628" s="323"/>
      <c r="C628" s="374"/>
      <c r="D628" s="42"/>
      <c r="E628" s="42"/>
      <c r="F628" s="42"/>
      <c r="G628" s="42"/>
      <c r="H628" s="42"/>
      <c r="I628" s="42"/>
      <c r="J628" s="42"/>
      <c r="K628" s="375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</row>
    <row r="629">
      <c r="A629" s="125"/>
      <c r="B629" s="323"/>
      <c r="C629" s="374"/>
      <c r="D629" s="42"/>
      <c r="E629" s="42"/>
      <c r="F629" s="42"/>
      <c r="G629" s="42"/>
      <c r="H629" s="42"/>
      <c r="I629" s="42"/>
      <c r="J629" s="42"/>
      <c r="K629" s="375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</row>
    <row r="630">
      <c r="A630" s="125"/>
      <c r="B630" s="323"/>
      <c r="C630" s="374"/>
      <c r="D630" s="42"/>
      <c r="E630" s="42"/>
      <c r="F630" s="42"/>
      <c r="G630" s="42"/>
      <c r="H630" s="42"/>
      <c r="I630" s="42"/>
      <c r="J630" s="42"/>
      <c r="K630" s="375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</row>
    <row r="631">
      <c r="A631" s="125"/>
      <c r="B631" s="323"/>
      <c r="C631" s="374"/>
      <c r="D631" s="42"/>
      <c r="E631" s="42"/>
      <c r="F631" s="42"/>
      <c r="G631" s="42"/>
      <c r="H631" s="42"/>
      <c r="I631" s="42"/>
      <c r="J631" s="42"/>
      <c r="K631" s="375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</row>
    <row r="632">
      <c r="A632" s="125"/>
      <c r="B632" s="323"/>
      <c r="C632" s="374"/>
      <c r="D632" s="42"/>
      <c r="E632" s="42"/>
      <c r="F632" s="42"/>
      <c r="G632" s="42"/>
      <c r="H632" s="42"/>
      <c r="I632" s="42"/>
      <c r="J632" s="42"/>
      <c r="K632" s="375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</row>
    <row r="633">
      <c r="A633" s="125"/>
      <c r="B633" s="323"/>
      <c r="C633" s="374"/>
      <c r="D633" s="42"/>
      <c r="E633" s="42"/>
      <c r="F633" s="42"/>
      <c r="G633" s="42"/>
      <c r="H633" s="42"/>
      <c r="I633" s="42"/>
      <c r="J633" s="42"/>
      <c r="K633" s="375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</row>
    <row r="634">
      <c r="A634" s="125"/>
      <c r="B634" s="323"/>
      <c r="C634" s="374"/>
      <c r="D634" s="42"/>
      <c r="E634" s="42"/>
      <c r="F634" s="42"/>
      <c r="G634" s="42"/>
      <c r="H634" s="42"/>
      <c r="I634" s="42"/>
      <c r="J634" s="42"/>
      <c r="K634" s="375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</row>
    <row r="635">
      <c r="A635" s="125"/>
      <c r="B635" s="323"/>
      <c r="C635" s="374"/>
      <c r="D635" s="42"/>
      <c r="E635" s="42"/>
      <c r="F635" s="42"/>
      <c r="G635" s="42"/>
      <c r="H635" s="42"/>
      <c r="I635" s="42"/>
      <c r="J635" s="42"/>
      <c r="K635" s="375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</row>
    <row r="636">
      <c r="A636" s="125"/>
      <c r="B636" s="323"/>
      <c r="C636" s="374"/>
      <c r="D636" s="42"/>
      <c r="E636" s="42"/>
      <c r="F636" s="42"/>
      <c r="G636" s="42"/>
      <c r="H636" s="42"/>
      <c r="I636" s="42"/>
      <c r="J636" s="42"/>
      <c r="K636" s="375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</row>
    <row r="637">
      <c r="A637" s="125"/>
      <c r="B637" s="323"/>
      <c r="C637" s="374"/>
      <c r="D637" s="42"/>
      <c r="E637" s="42"/>
      <c r="F637" s="42"/>
      <c r="G637" s="42"/>
      <c r="H637" s="42"/>
      <c r="I637" s="42"/>
      <c r="J637" s="42"/>
      <c r="K637" s="375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</row>
    <row r="638">
      <c r="A638" s="125"/>
      <c r="B638" s="323"/>
      <c r="C638" s="374"/>
      <c r="D638" s="42"/>
      <c r="E638" s="42"/>
      <c r="F638" s="42"/>
      <c r="G638" s="42"/>
      <c r="H638" s="42"/>
      <c r="I638" s="42"/>
      <c r="J638" s="42"/>
      <c r="K638" s="375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</row>
    <row r="639">
      <c r="A639" s="125"/>
      <c r="B639" s="323"/>
      <c r="C639" s="374"/>
      <c r="D639" s="42"/>
      <c r="E639" s="42"/>
      <c r="F639" s="42"/>
      <c r="G639" s="42"/>
      <c r="H639" s="42"/>
      <c r="I639" s="42"/>
      <c r="J639" s="42"/>
      <c r="K639" s="375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</row>
    <row r="640">
      <c r="A640" s="125"/>
      <c r="B640" s="323"/>
      <c r="C640" s="374"/>
      <c r="D640" s="42"/>
      <c r="E640" s="42"/>
      <c r="F640" s="42"/>
      <c r="G640" s="42"/>
      <c r="H640" s="42"/>
      <c r="I640" s="42"/>
      <c r="J640" s="42"/>
      <c r="K640" s="375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</row>
    <row r="641">
      <c r="A641" s="125"/>
      <c r="B641" s="323"/>
      <c r="C641" s="374"/>
      <c r="D641" s="42"/>
      <c r="E641" s="42"/>
      <c r="F641" s="42"/>
      <c r="G641" s="42"/>
      <c r="H641" s="42"/>
      <c r="I641" s="42"/>
      <c r="J641" s="42"/>
      <c r="K641" s="375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</row>
    <row r="642">
      <c r="A642" s="125"/>
      <c r="B642" s="323"/>
      <c r="C642" s="374"/>
      <c r="D642" s="42"/>
      <c r="E642" s="42"/>
      <c r="F642" s="42"/>
      <c r="G642" s="42"/>
      <c r="H642" s="42"/>
      <c r="I642" s="42"/>
      <c r="J642" s="42"/>
      <c r="K642" s="375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</row>
    <row r="643">
      <c r="A643" s="125"/>
      <c r="B643" s="323"/>
      <c r="C643" s="374"/>
      <c r="D643" s="42"/>
      <c r="E643" s="42"/>
      <c r="F643" s="42"/>
      <c r="G643" s="42"/>
      <c r="H643" s="42"/>
      <c r="I643" s="42"/>
      <c r="J643" s="42"/>
      <c r="K643" s="375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</row>
    <row r="644">
      <c r="A644" s="125"/>
      <c r="B644" s="323"/>
      <c r="C644" s="374"/>
      <c r="D644" s="42"/>
      <c r="E644" s="42"/>
      <c r="F644" s="42"/>
      <c r="G644" s="42"/>
      <c r="H644" s="42"/>
      <c r="I644" s="42"/>
      <c r="J644" s="42"/>
      <c r="K644" s="375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</row>
    <row r="645">
      <c r="A645" s="125"/>
      <c r="B645" s="323"/>
      <c r="C645" s="374"/>
      <c r="D645" s="42"/>
      <c r="E645" s="42"/>
      <c r="F645" s="42"/>
      <c r="G645" s="42"/>
      <c r="H645" s="42"/>
      <c r="I645" s="42"/>
      <c r="J645" s="42"/>
      <c r="K645" s="375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</row>
    <row r="646">
      <c r="A646" s="125"/>
      <c r="B646" s="323"/>
      <c r="C646" s="374"/>
      <c r="D646" s="42"/>
      <c r="E646" s="42"/>
      <c r="F646" s="42"/>
      <c r="G646" s="42"/>
      <c r="H646" s="42"/>
      <c r="I646" s="42"/>
      <c r="J646" s="42"/>
      <c r="K646" s="375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</row>
    <row r="647">
      <c r="A647" s="125"/>
      <c r="B647" s="323"/>
      <c r="C647" s="374"/>
      <c r="D647" s="42"/>
      <c r="E647" s="42"/>
      <c r="F647" s="42"/>
      <c r="G647" s="42"/>
      <c r="H647" s="42"/>
      <c r="I647" s="42"/>
      <c r="J647" s="42"/>
      <c r="K647" s="375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</row>
    <row r="648">
      <c r="A648" s="125"/>
      <c r="B648" s="323"/>
      <c r="C648" s="374"/>
      <c r="D648" s="42"/>
      <c r="E648" s="42"/>
      <c r="F648" s="42"/>
      <c r="G648" s="42"/>
      <c r="H648" s="42"/>
      <c r="I648" s="42"/>
      <c r="J648" s="42"/>
      <c r="K648" s="375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</row>
    <row r="649">
      <c r="A649" s="125"/>
      <c r="B649" s="323"/>
      <c r="C649" s="374"/>
      <c r="D649" s="42"/>
      <c r="E649" s="42"/>
      <c r="F649" s="42"/>
      <c r="G649" s="42"/>
      <c r="H649" s="42"/>
      <c r="I649" s="42"/>
      <c r="J649" s="42"/>
      <c r="K649" s="375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</row>
    <row r="650">
      <c r="A650" s="125"/>
      <c r="B650" s="323"/>
      <c r="C650" s="374"/>
      <c r="D650" s="42"/>
      <c r="E650" s="42"/>
      <c r="F650" s="42"/>
      <c r="G650" s="42"/>
      <c r="H650" s="42"/>
      <c r="I650" s="42"/>
      <c r="J650" s="42"/>
      <c r="K650" s="375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</row>
    <row r="651">
      <c r="A651" s="125"/>
      <c r="B651" s="323"/>
      <c r="C651" s="374"/>
      <c r="D651" s="42"/>
      <c r="E651" s="42"/>
      <c r="F651" s="42"/>
      <c r="G651" s="42"/>
      <c r="H651" s="42"/>
      <c r="I651" s="42"/>
      <c r="J651" s="42"/>
      <c r="K651" s="375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</row>
    <row r="652">
      <c r="A652" s="125"/>
      <c r="B652" s="323"/>
      <c r="C652" s="374"/>
      <c r="D652" s="42"/>
      <c r="E652" s="42"/>
      <c r="F652" s="42"/>
      <c r="G652" s="42"/>
      <c r="H652" s="42"/>
      <c r="I652" s="42"/>
      <c r="J652" s="42"/>
      <c r="K652" s="375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</row>
    <row r="653">
      <c r="A653" s="125"/>
      <c r="B653" s="323"/>
      <c r="C653" s="374"/>
      <c r="D653" s="42"/>
      <c r="E653" s="42"/>
      <c r="F653" s="42"/>
      <c r="G653" s="42"/>
      <c r="H653" s="42"/>
      <c r="I653" s="42"/>
      <c r="J653" s="42"/>
      <c r="K653" s="375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</row>
    <row r="654">
      <c r="A654" s="125"/>
      <c r="B654" s="323"/>
      <c r="C654" s="374"/>
      <c r="D654" s="42"/>
      <c r="E654" s="42"/>
      <c r="F654" s="42"/>
      <c r="G654" s="42"/>
      <c r="H654" s="42"/>
      <c r="I654" s="42"/>
      <c r="J654" s="42"/>
      <c r="K654" s="375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</row>
    <row r="655">
      <c r="A655" s="125"/>
      <c r="B655" s="323"/>
      <c r="C655" s="374"/>
      <c r="D655" s="42"/>
      <c r="E655" s="42"/>
      <c r="F655" s="42"/>
      <c r="G655" s="42"/>
      <c r="H655" s="42"/>
      <c r="I655" s="42"/>
      <c r="J655" s="42"/>
      <c r="K655" s="375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</row>
    <row r="656">
      <c r="A656" s="125"/>
      <c r="B656" s="323"/>
      <c r="C656" s="374"/>
      <c r="D656" s="42"/>
      <c r="E656" s="42"/>
      <c r="F656" s="42"/>
      <c r="G656" s="42"/>
      <c r="H656" s="42"/>
      <c r="I656" s="42"/>
      <c r="J656" s="42"/>
      <c r="K656" s="375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</row>
    <row r="657">
      <c r="A657" s="125"/>
      <c r="B657" s="323"/>
      <c r="C657" s="374"/>
      <c r="D657" s="42"/>
      <c r="E657" s="42"/>
      <c r="F657" s="42"/>
      <c r="G657" s="42"/>
      <c r="H657" s="42"/>
      <c r="I657" s="42"/>
      <c r="J657" s="42"/>
      <c r="K657" s="375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</row>
    <row r="658">
      <c r="A658" s="125"/>
      <c r="B658" s="323"/>
      <c r="C658" s="374"/>
      <c r="D658" s="42"/>
      <c r="E658" s="42"/>
      <c r="F658" s="42"/>
      <c r="G658" s="42"/>
      <c r="H658" s="42"/>
      <c r="I658" s="42"/>
      <c r="J658" s="42"/>
      <c r="K658" s="375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</row>
    <row r="659">
      <c r="A659" s="125"/>
      <c r="B659" s="323"/>
      <c r="C659" s="374"/>
      <c r="D659" s="42"/>
      <c r="E659" s="42"/>
      <c r="F659" s="42"/>
      <c r="G659" s="42"/>
      <c r="H659" s="42"/>
      <c r="I659" s="42"/>
      <c r="J659" s="42"/>
      <c r="K659" s="375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</row>
    <row r="660">
      <c r="A660" s="125"/>
      <c r="B660" s="323"/>
      <c r="C660" s="374"/>
      <c r="D660" s="42"/>
      <c r="E660" s="42"/>
      <c r="F660" s="42"/>
      <c r="G660" s="42"/>
      <c r="H660" s="42"/>
      <c r="I660" s="42"/>
      <c r="J660" s="42"/>
      <c r="K660" s="375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</row>
    <row r="661">
      <c r="A661" s="125"/>
      <c r="B661" s="323"/>
      <c r="C661" s="374"/>
      <c r="D661" s="42"/>
      <c r="E661" s="42"/>
      <c r="F661" s="42"/>
      <c r="G661" s="42"/>
      <c r="H661" s="42"/>
      <c r="I661" s="42"/>
      <c r="J661" s="42"/>
      <c r="K661" s="375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</row>
    <row r="662">
      <c r="A662" s="125"/>
      <c r="B662" s="323"/>
      <c r="C662" s="374"/>
      <c r="D662" s="42"/>
      <c r="E662" s="42"/>
      <c r="F662" s="42"/>
      <c r="G662" s="42"/>
      <c r="H662" s="42"/>
      <c r="I662" s="42"/>
      <c r="J662" s="42"/>
      <c r="K662" s="375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</row>
    <row r="663">
      <c r="A663" s="125"/>
      <c r="B663" s="323"/>
      <c r="C663" s="374"/>
      <c r="D663" s="42"/>
      <c r="E663" s="42"/>
      <c r="F663" s="42"/>
      <c r="G663" s="42"/>
      <c r="H663" s="42"/>
      <c r="I663" s="42"/>
      <c r="J663" s="42"/>
      <c r="K663" s="375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</row>
    <row r="664">
      <c r="A664" s="125"/>
      <c r="B664" s="323"/>
      <c r="C664" s="374"/>
      <c r="D664" s="42"/>
      <c r="E664" s="42"/>
      <c r="F664" s="42"/>
      <c r="G664" s="42"/>
      <c r="H664" s="42"/>
      <c r="I664" s="42"/>
      <c r="J664" s="42"/>
      <c r="K664" s="375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</row>
    <row r="665">
      <c r="A665" s="125"/>
      <c r="B665" s="323"/>
      <c r="C665" s="374"/>
      <c r="D665" s="42"/>
      <c r="E665" s="42"/>
      <c r="F665" s="42"/>
      <c r="G665" s="42"/>
      <c r="H665" s="42"/>
      <c r="I665" s="42"/>
      <c r="J665" s="42"/>
      <c r="K665" s="375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</row>
    <row r="666">
      <c r="A666" s="125"/>
      <c r="B666" s="323"/>
      <c r="C666" s="374"/>
      <c r="D666" s="42"/>
      <c r="E666" s="42"/>
      <c r="F666" s="42"/>
      <c r="G666" s="42"/>
      <c r="H666" s="42"/>
      <c r="I666" s="42"/>
      <c r="J666" s="42"/>
      <c r="K666" s="375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</row>
    <row r="667">
      <c r="A667" s="125"/>
      <c r="B667" s="323"/>
      <c r="C667" s="374"/>
      <c r="D667" s="42"/>
      <c r="E667" s="42"/>
      <c r="F667" s="42"/>
      <c r="G667" s="42"/>
      <c r="H667" s="42"/>
      <c r="I667" s="42"/>
      <c r="J667" s="42"/>
      <c r="K667" s="375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</row>
    <row r="668">
      <c r="A668" s="125"/>
      <c r="B668" s="323"/>
      <c r="C668" s="374"/>
      <c r="D668" s="42"/>
      <c r="E668" s="42"/>
      <c r="F668" s="42"/>
      <c r="G668" s="42"/>
      <c r="H668" s="42"/>
      <c r="I668" s="42"/>
      <c r="J668" s="42"/>
      <c r="K668" s="375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</row>
    <row r="669">
      <c r="A669" s="125"/>
      <c r="B669" s="323"/>
      <c r="C669" s="374"/>
      <c r="D669" s="42"/>
      <c r="E669" s="42"/>
      <c r="F669" s="42"/>
      <c r="G669" s="42"/>
      <c r="H669" s="42"/>
      <c r="I669" s="42"/>
      <c r="J669" s="42"/>
      <c r="K669" s="375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</row>
    <row r="670">
      <c r="A670" s="125"/>
      <c r="B670" s="323"/>
      <c r="C670" s="374"/>
      <c r="D670" s="42"/>
      <c r="E670" s="42"/>
      <c r="F670" s="42"/>
      <c r="G670" s="42"/>
      <c r="H670" s="42"/>
      <c r="I670" s="42"/>
      <c r="J670" s="42"/>
      <c r="K670" s="375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</row>
    <row r="671">
      <c r="A671" s="125"/>
      <c r="B671" s="323"/>
      <c r="C671" s="374"/>
      <c r="D671" s="42"/>
      <c r="E671" s="42"/>
      <c r="F671" s="42"/>
      <c r="G671" s="42"/>
      <c r="H671" s="42"/>
      <c r="I671" s="42"/>
      <c r="J671" s="42"/>
      <c r="K671" s="375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</row>
    <row r="672">
      <c r="A672" s="125"/>
      <c r="B672" s="323"/>
      <c r="C672" s="374"/>
      <c r="D672" s="42"/>
      <c r="E672" s="42"/>
      <c r="F672" s="42"/>
      <c r="G672" s="42"/>
      <c r="H672" s="42"/>
      <c r="I672" s="42"/>
      <c r="J672" s="42"/>
      <c r="K672" s="375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</row>
    <row r="673">
      <c r="A673" s="125"/>
      <c r="B673" s="323"/>
      <c r="C673" s="374"/>
      <c r="D673" s="42"/>
      <c r="E673" s="42"/>
      <c r="F673" s="42"/>
      <c r="G673" s="42"/>
      <c r="H673" s="42"/>
      <c r="I673" s="42"/>
      <c r="J673" s="42"/>
      <c r="K673" s="375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</row>
    <row r="674">
      <c r="A674" s="125"/>
      <c r="B674" s="323"/>
      <c r="C674" s="374"/>
      <c r="D674" s="42"/>
      <c r="E674" s="42"/>
      <c r="F674" s="42"/>
      <c r="G674" s="42"/>
      <c r="H674" s="42"/>
      <c r="I674" s="42"/>
      <c r="J674" s="42"/>
      <c r="K674" s="375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</row>
    <row r="675">
      <c r="A675" s="125"/>
      <c r="B675" s="323"/>
      <c r="C675" s="374"/>
      <c r="D675" s="42"/>
      <c r="E675" s="42"/>
      <c r="F675" s="42"/>
      <c r="G675" s="42"/>
      <c r="H675" s="42"/>
      <c r="I675" s="42"/>
      <c r="J675" s="42"/>
      <c r="K675" s="375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</row>
    <row r="676">
      <c r="A676" s="125"/>
      <c r="B676" s="323"/>
      <c r="C676" s="374"/>
      <c r="D676" s="42"/>
      <c r="E676" s="42"/>
      <c r="F676" s="42"/>
      <c r="G676" s="42"/>
      <c r="H676" s="42"/>
      <c r="I676" s="42"/>
      <c r="J676" s="42"/>
      <c r="K676" s="375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</row>
    <row r="677">
      <c r="A677" s="125"/>
      <c r="B677" s="323"/>
      <c r="C677" s="374"/>
      <c r="D677" s="42"/>
      <c r="E677" s="42"/>
      <c r="F677" s="42"/>
      <c r="G677" s="42"/>
      <c r="H677" s="42"/>
      <c r="I677" s="42"/>
      <c r="J677" s="42"/>
      <c r="K677" s="375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</row>
    <row r="678">
      <c r="A678" s="125"/>
      <c r="B678" s="323"/>
      <c r="C678" s="374"/>
      <c r="D678" s="42"/>
      <c r="E678" s="42"/>
      <c r="F678" s="42"/>
      <c r="G678" s="42"/>
      <c r="H678" s="42"/>
      <c r="I678" s="42"/>
      <c r="J678" s="42"/>
      <c r="K678" s="375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</row>
    <row r="679">
      <c r="A679" s="125"/>
      <c r="B679" s="323"/>
      <c r="C679" s="374"/>
      <c r="D679" s="42"/>
      <c r="E679" s="42"/>
      <c r="F679" s="42"/>
      <c r="G679" s="42"/>
      <c r="H679" s="42"/>
      <c r="I679" s="42"/>
      <c r="J679" s="42"/>
      <c r="K679" s="375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</row>
    <row r="680">
      <c r="A680" s="125"/>
      <c r="B680" s="323"/>
      <c r="C680" s="374"/>
      <c r="D680" s="42"/>
      <c r="E680" s="42"/>
      <c r="F680" s="42"/>
      <c r="G680" s="42"/>
      <c r="H680" s="42"/>
      <c r="I680" s="42"/>
      <c r="J680" s="42"/>
      <c r="K680" s="375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</row>
    <row r="681">
      <c r="A681" s="125"/>
      <c r="B681" s="323"/>
      <c r="C681" s="374"/>
      <c r="D681" s="42"/>
      <c r="E681" s="42"/>
      <c r="F681" s="42"/>
      <c r="G681" s="42"/>
      <c r="H681" s="42"/>
      <c r="I681" s="42"/>
      <c r="J681" s="42"/>
      <c r="K681" s="375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</row>
    <row r="682">
      <c r="A682" s="125"/>
      <c r="B682" s="323"/>
      <c r="C682" s="374"/>
      <c r="D682" s="42"/>
      <c r="E682" s="42"/>
      <c r="F682" s="42"/>
      <c r="G682" s="42"/>
      <c r="H682" s="42"/>
      <c r="I682" s="42"/>
      <c r="J682" s="42"/>
      <c r="K682" s="375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</row>
    <row r="683">
      <c r="A683" s="125"/>
      <c r="B683" s="323"/>
      <c r="C683" s="374"/>
      <c r="D683" s="42"/>
      <c r="E683" s="42"/>
      <c r="F683" s="42"/>
      <c r="G683" s="42"/>
      <c r="H683" s="42"/>
      <c r="I683" s="42"/>
      <c r="J683" s="42"/>
      <c r="K683" s="375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</row>
    <row r="684">
      <c r="A684" s="125"/>
      <c r="B684" s="323"/>
      <c r="C684" s="374"/>
      <c r="D684" s="42"/>
      <c r="E684" s="42"/>
      <c r="F684" s="42"/>
      <c r="G684" s="42"/>
      <c r="H684" s="42"/>
      <c r="I684" s="42"/>
      <c r="J684" s="42"/>
      <c r="K684" s="375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</row>
    <row r="685">
      <c r="A685" s="125"/>
      <c r="B685" s="323"/>
      <c r="C685" s="374"/>
      <c r="D685" s="42"/>
      <c r="E685" s="42"/>
      <c r="F685" s="42"/>
      <c r="G685" s="42"/>
      <c r="H685" s="42"/>
      <c r="I685" s="42"/>
      <c r="J685" s="42"/>
      <c r="K685" s="375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</row>
    <row r="686">
      <c r="A686" s="125"/>
      <c r="B686" s="323"/>
      <c r="C686" s="374"/>
      <c r="D686" s="42"/>
      <c r="E686" s="42"/>
      <c r="F686" s="42"/>
      <c r="G686" s="42"/>
      <c r="H686" s="42"/>
      <c r="I686" s="42"/>
      <c r="J686" s="42"/>
      <c r="K686" s="375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</row>
    <row r="687">
      <c r="A687" s="125"/>
      <c r="B687" s="323"/>
      <c r="C687" s="374"/>
      <c r="D687" s="42"/>
      <c r="E687" s="42"/>
      <c r="F687" s="42"/>
      <c r="G687" s="42"/>
      <c r="H687" s="42"/>
      <c r="I687" s="42"/>
      <c r="J687" s="42"/>
      <c r="K687" s="375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</row>
    <row r="688">
      <c r="A688" s="125"/>
      <c r="B688" s="323"/>
      <c r="C688" s="374"/>
      <c r="D688" s="42"/>
      <c r="E688" s="42"/>
      <c r="F688" s="42"/>
      <c r="G688" s="42"/>
      <c r="H688" s="42"/>
      <c r="I688" s="42"/>
      <c r="J688" s="42"/>
      <c r="K688" s="375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</row>
    <row r="689">
      <c r="A689" s="125"/>
      <c r="B689" s="323"/>
      <c r="C689" s="374"/>
      <c r="D689" s="42"/>
      <c r="E689" s="42"/>
      <c r="F689" s="42"/>
      <c r="G689" s="42"/>
      <c r="H689" s="42"/>
      <c r="I689" s="42"/>
      <c r="J689" s="42"/>
      <c r="K689" s="375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</row>
    <row r="690">
      <c r="A690" s="125"/>
      <c r="B690" s="323"/>
      <c r="C690" s="374"/>
      <c r="D690" s="42"/>
      <c r="E690" s="42"/>
      <c r="F690" s="42"/>
      <c r="G690" s="42"/>
      <c r="H690" s="42"/>
      <c r="I690" s="42"/>
      <c r="J690" s="42"/>
      <c r="K690" s="375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</row>
    <row r="691">
      <c r="A691" s="125"/>
      <c r="B691" s="323"/>
      <c r="C691" s="374"/>
      <c r="D691" s="42"/>
      <c r="E691" s="42"/>
      <c r="F691" s="42"/>
      <c r="G691" s="42"/>
      <c r="H691" s="42"/>
      <c r="I691" s="42"/>
      <c r="J691" s="42"/>
      <c r="K691" s="375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</row>
    <row r="692">
      <c r="A692" s="125"/>
      <c r="B692" s="323"/>
      <c r="C692" s="374"/>
      <c r="D692" s="42"/>
      <c r="E692" s="42"/>
      <c r="F692" s="42"/>
      <c r="G692" s="42"/>
      <c r="H692" s="42"/>
      <c r="I692" s="42"/>
      <c r="J692" s="42"/>
      <c r="K692" s="375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</row>
    <row r="693">
      <c r="A693" s="125"/>
      <c r="B693" s="323"/>
      <c r="C693" s="374"/>
      <c r="D693" s="42"/>
      <c r="E693" s="42"/>
      <c r="F693" s="42"/>
      <c r="G693" s="42"/>
      <c r="H693" s="42"/>
      <c r="I693" s="42"/>
      <c r="J693" s="42"/>
      <c r="K693" s="375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</row>
    <row r="694">
      <c r="A694" s="125"/>
      <c r="B694" s="323"/>
      <c r="C694" s="374"/>
      <c r="D694" s="42"/>
      <c r="E694" s="42"/>
      <c r="F694" s="42"/>
      <c r="G694" s="42"/>
      <c r="H694" s="42"/>
      <c r="I694" s="42"/>
      <c r="J694" s="42"/>
      <c r="K694" s="375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</row>
    <row r="695">
      <c r="A695" s="125"/>
      <c r="B695" s="323"/>
      <c r="C695" s="374"/>
      <c r="D695" s="42"/>
      <c r="E695" s="42"/>
      <c r="F695" s="42"/>
      <c r="G695" s="42"/>
      <c r="H695" s="42"/>
      <c r="I695" s="42"/>
      <c r="J695" s="42"/>
      <c r="K695" s="375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</row>
    <row r="696">
      <c r="A696" s="125"/>
      <c r="B696" s="323"/>
      <c r="C696" s="374"/>
      <c r="D696" s="42"/>
      <c r="E696" s="42"/>
      <c r="F696" s="42"/>
      <c r="G696" s="42"/>
      <c r="H696" s="42"/>
      <c r="I696" s="42"/>
      <c r="J696" s="42"/>
      <c r="K696" s="375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</row>
    <row r="697">
      <c r="A697" s="125"/>
      <c r="B697" s="323"/>
      <c r="C697" s="374"/>
      <c r="D697" s="42"/>
      <c r="E697" s="42"/>
      <c r="F697" s="42"/>
      <c r="G697" s="42"/>
      <c r="H697" s="42"/>
      <c r="I697" s="42"/>
      <c r="J697" s="42"/>
      <c r="K697" s="375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</row>
    <row r="698">
      <c r="A698" s="125"/>
      <c r="B698" s="323"/>
      <c r="C698" s="374"/>
      <c r="D698" s="42"/>
      <c r="E698" s="42"/>
      <c r="F698" s="42"/>
      <c r="G698" s="42"/>
      <c r="H698" s="42"/>
      <c r="I698" s="42"/>
      <c r="J698" s="42"/>
      <c r="K698" s="375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</row>
    <row r="699">
      <c r="A699" s="125"/>
      <c r="B699" s="323"/>
      <c r="C699" s="374"/>
      <c r="D699" s="42"/>
      <c r="E699" s="42"/>
      <c r="F699" s="42"/>
      <c r="G699" s="42"/>
      <c r="H699" s="42"/>
      <c r="I699" s="42"/>
      <c r="J699" s="42"/>
      <c r="K699" s="375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</row>
    <row r="700">
      <c r="A700" s="125"/>
      <c r="B700" s="323"/>
      <c r="C700" s="374"/>
      <c r="D700" s="42"/>
      <c r="E700" s="42"/>
      <c r="F700" s="42"/>
      <c r="G700" s="42"/>
      <c r="H700" s="42"/>
      <c r="I700" s="42"/>
      <c r="J700" s="42"/>
      <c r="K700" s="375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</row>
    <row r="701">
      <c r="A701" s="125"/>
      <c r="B701" s="323"/>
      <c r="C701" s="374"/>
      <c r="D701" s="42"/>
      <c r="E701" s="42"/>
      <c r="F701" s="42"/>
      <c r="G701" s="42"/>
      <c r="H701" s="42"/>
      <c r="I701" s="42"/>
      <c r="J701" s="42"/>
      <c r="K701" s="375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</row>
    <row r="702">
      <c r="A702" s="125"/>
      <c r="B702" s="323"/>
      <c r="C702" s="374"/>
      <c r="D702" s="42"/>
      <c r="E702" s="42"/>
      <c r="F702" s="42"/>
      <c r="G702" s="42"/>
      <c r="H702" s="42"/>
      <c r="I702" s="42"/>
      <c r="J702" s="42"/>
      <c r="K702" s="375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</row>
    <row r="703">
      <c r="A703" s="125"/>
      <c r="B703" s="323"/>
      <c r="C703" s="374"/>
      <c r="D703" s="42"/>
      <c r="E703" s="42"/>
      <c r="F703" s="42"/>
      <c r="G703" s="42"/>
      <c r="H703" s="42"/>
      <c r="I703" s="42"/>
      <c r="J703" s="42"/>
      <c r="K703" s="375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</row>
    <row r="704">
      <c r="A704" s="125"/>
      <c r="B704" s="323"/>
      <c r="C704" s="374"/>
      <c r="D704" s="42"/>
      <c r="E704" s="42"/>
      <c r="F704" s="42"/>
      <c r="G704" s="42"/>
      <c r="H704" s="42"/>
      <c r="I704" s="42"/>
      <c r="J704" s="42"/>
      <c r="K704" s="375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</row>
    <row r="705">
      <c r="A705" s="125"/>
      <c r="B705" s="323"/>
      <c r="C705" s="374"/>
      <c r="D705" s="42"/>
      <c r="E705" s="42"/>
      <c r="F705" s="42"/>
      <c r="G705" s="42"/>
      <c r="H705" s="42"/>
      <c r="I705" s="42"/>
      <c r="J705" s="42"/>
      <c r="K705" s="375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</row>
    <row r="706">
      <c r="A706" s="125"/>
      <c r="B706" s="323"/>
      <c r="C706" s="374"/>
      <c r="D706" s="42"/>
      <c r="E706" s="42"/>
      <c r="F706" s="42"/>
      <c r="G706" s="42"/>
      <c r="H706" s="42"/>
      <c r="I706" s="42"/>
      <c r="J706" s="42"/>
      <c r="K706" s="375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</row>
    <row r="707">
      <c r="A707" s="125"/>
      <c r="B707" s="323"/>
      <c r="C707" s="374"/>
      <c r="D707" s="42"/>
      <c r="E707" s="42"/>
      <c r="F707" s="42"/>
      <c r="G707" s="42"/>
      <c r="H707" s="42"/>
      <c r="I707" s="42"/>
      <c r="J707" s="42"/>
      <c r="K707" s="375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</row>
    <row r="708">
      <c r="A708" s="125"/>
      <c r="B708" s="323"/>
      <c r="C708" s="374"/>
      <c r="D708" s="42"/>
      <c r="E708" s="42"/>
      <c r="F708" s="42"/>
      <c r="G708" s="42"/>
      <c r="H708" s="42"/>
      <c r="I708" s="42"/>
      <c r="J708" s="42"/>
      <c r="K708" s="375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</row>
    <row r="709">
      <c r="A709" s="125"/>
      <c r="B709" s="323"/>
      <c r="C709" s="374"/>
      <c r="D709" s="42"/>
      <c r="E709" s="42"/>
      <c r="F709" s="42"/>
      <c r="G709" s="42"/>
      <c r="H709" s="42"/>
      <c r="I709" s="42"/>
      <c r="J709" s="42"/>
      <c r="K709" s="375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</row>
    <row r="710">
      <c r="A710" s="125"/>
      <c r="B710" s="323"/>
      <c r="C710" s="374"/>
      <c r="D710" s="42"/>
      <c r="E710" s="42"/>
      <c r="F710" s="42"/>
      <c r="G710" s="42"/>
      <c r="H710" s="42"/>
      <c r="I710" s="42"/>
      <c r="J710" s="42"/>
      <c r="K710" s="375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</row>
    <row r="711">
      <c r="A711" s="125"/>
      <c r="B711" s="323"/>
      <c r="C711" s="374"/>
      <c r="D711" s="42"/>
      <c r="E711" s="42"/>
      <c r="F711" s="42"/>
      <c r="G711" s="42"/>
      <c r="H711" s="42"/>
      <c r="I711" s="42"/>
      <c r="J711" s="42"/>
      <c r="K711" s="375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</row>
    <row r="712">
      <c r="A712" s="125"/>
      <c r="B712" s="323"/>
      <c r="C712" s="374"/>
      <c r="D712" s="42"/>
      <c r="E712" s="42"/>
      <c r="F712" s="42"/>
      <c r="G712" s="42"/>
      <c r="H712" s="42"/>
      <c r="I712" s="42"/>
      <c r="J712" s="42"/>
      <c r="K712" s="375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</row>
    <row r="713">
      <c r="A713" s="125"/>
      <c r="B713" s="323"/>
      <c r="C713" s="374"/>
      <c r="D713" s="42"/>
      <c r="E713" s="42"/>
      <c r="F713" s="42"/>
      <c r="G713" s="42"/>
      <c r="H713" s="42"/>
      <c r="I713" s="42"/>
      <c r="J713" s="42"/>
      <c r="K713" s="375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</row>
    <row r="714">
      <c r="A714" s="125"/>
      <c r="B714" s="323"/>
      <c r="C714" s="374"/>
      <c r="D714" s="42"/>
      <c r="E714" s="42"/>
      <c r="F714" s="42"/>
      <c r="G714" s="42"/>
      <c r="H714" s="42"/>
      <c r="I714" s="42"/>
      <c r="J714" s="42"/>
      <c r="K714" s="375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</row>
    <row r="715">
      <c r="A715" s="125"/>
      <c r="B715" s="323"/>
      <c r="C715" s="374"/>
      <c r="D715" s="42"/>
      <c r="E715" s="42"/>
      <c r="F715" s="42"/>
      <c r="G715" s="42"/>
      <c r="H715" s="42"/>
      <c r="I715" s="42"/>
      <c r="J715" s="42"/>
      <c r="K715" s="375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</row>
    <row r="716">
      <c r="A716" s="125"/>
      <c r="B716" s="323"/>
      <c r="C716" s="374"/>
      <c r="D716" s="42"/>
      <c r="E716" s="42"/>
      <c r="F716" s="42"/>
      <c r="G716" s="42"/>
      <c r="H716" s="42"/>
      <c r="I716" s="42"/>
      <c r="J716" s="42"/>
      <c r="K716" s="375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</row>
    <row r="717">
      <c r="A717" s="125"/>
      <c r="B717" s="323"/>
      <c r="C717" s="374"/>
      <c r="D717" s="42"/>
      <c r="E717" s="42"/>
      <c r="F717" s="42"/>
      <c r="G717" s="42"/>
      <c r="H717" s="42"/>
      <c r="I717" s="42"/>
      <c r="J717" s="42"/>
      <c r="K717" s="375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</row>
    <row r="718">
      <c r="A718" s="125"/>
      <c r="B718" s="323"/>
      <c r="C718" s="374"/>
      <c r="D718" s="42"/>
      <c r="E718" s="42"/>
      <c r="F718" s="42"/>
      <c r="G718" s="42"/>
      <c r="H718" s="42"/>
      <c r="I718" s="42"/>
      <c r="J718" s="42"/>
      <c r="K718" s="375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</row>
    <row r="719">
      <c r="A719" s="125"/>
      <c r="B719" s="323"/>
      <c r="C719" s="374"/>
      <c r="D719" s="42"/>
      <c r="E719" s="42"/>
      <c r="F719" s="42"/>
      <c r="G719" s="42"/>
      <c r="H719" s="42"/>
      <c r="I719" s="42"/>
      <c r="J719" s="42"/>
      <c r="K719" s="375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</row>
    <row r="720">
      <c r="A720" s="125"/>
      <c r="B720" s="323"/>
      <c r="C720" s="374"/>
      <c r="D720" s="42"/>
      <c r="E720" s="42"/>
      <c r="F720" s="42"/>
      <c r="G720" s="42"/>
      <c r="H720" s="42"/>
      <c r="I720" s="42"/>
      <c r="J720" s="42"/>
      <c r="K720" s="375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</row>
    <row r="721">
      <c r="A721" s="125"/>
      <c r="B721" s="323"/>
      <c r="C721" s="374"/>
      <c r="D721" s="42"/>
      <c r="E721" s="42"/>
      <c r="F721" s="42"/>
      <c r="G721" s="42"/>
      <c r="H721" s="42"/>
      <c r="I721" s="42"/>
      <c r="J721" s="42"/>
      <c r="K721" s="375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</row>
    <row r="722">
      <c r="A722" s="125"/>
      <c r="B722" s="323"/>
      <c r="C722" s="374"/>
      <c r="D722" s="42"/>
      <c r="E722" s="42"/>
      <c r="F722" s="42"/>
      <c r="G722" s="42"/>
      <c r="H722" s="42"/>
      <c r="I722" s="42"/>
      <c r="J722" s="42"/>
      <c r="K722" s="375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</row>
    <row r="723">
      <c r="A723" s="125"/>
      <c r="B723" s="323"/>
      <c r="C723" s="374"/>
      <c r="D723" s="42"/>
      <c r="E723" s="42"/>
      <c r="F723" s="42"/>
      <c r="G723" s="42"/>
      <c r="H723" s="42"/>
      <c r="I723" s="42"/>
      <c r="J723" s="42"/>
      <c r="K723" s="375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</row>
    <row r="724">
      <c r="A724" s="125"/>
      <c r="B724" s="323"/>
      <c r="C724" s="374"/>
      <c r="D724" s="42"/>
      <c r="E724" s="42"/>
      <c r="F724" s="42"/>
      <c r="G724" s="42"/>
      <c r="H724" s="42"/>
      <c r="I724" s="42"/>
      <c r="J724" s="42"/>
      <c r="K724" s="375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</row>
    <row r="725">
      <c r="A725" s="125"/>
      <c r="B725" s="323"/>
      <c r="C725" s="374"/>
      <c r="D725" s="42"/>
      <c r="E725" s="42"/>
      <c r="F725" s="42"/>
      <c r="G725" s="42"/>
      <c r="H725" s="42"/>
      <c r="I725" s="42"/>
      <c r="J725" s="42"/>
      <c r="K725" s="375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</row>
    <row r="726">
      <c r="A726" s="125"/>
      <c r="B726" s="323"/>
      <c r="C726" s="374"/>
      <c r="D726" s="42"/>
      <c r="E726" s="42"/>
      <c r="F726" s="42"/>
      <c r="G726" s="42"/>
      <c r="H726" s="42"/>
      <c r="I726" s="42"/>
      <c r="J726" s="42"/>
      <c r="K726" s="375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</row>
    <row r="727">
      <c r="A727" s="125"/>
      <c r="B727" s="323"/>
      <c r="C727" s="374"/>
      <c r="D727" s="42"/>
      <c r="E727" s="42"/>
      <c r="F727" s="42"/>
      <c r="G727" s="42"/>
      <c r="H727" s="42"/>
      <c r="I727" s="42"/>
      <c r="J727" s="42"/>
      <c r="K727" s="375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</row>
    <row r="728">
      <c r="A728" s="125"/>
      <c r="B728" s="323"/>
      <c r="C728" s="374"/>
      <c r="D728" s="42"/>
      <c r="E728" s="42"/>
      <c r="F728" s="42"/>
      <c r="G728" s="42"/>
      <c r="H728" s="42"/>
      <c r="I728" s="42"/>
      <c r="J728" s="42"/>
      <c r="K728" s="375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</row>
    <row r="729">
      <c r="A729" s="125"/>
      <c r="B729" s="323"/>
      <c r="C729" s="374"/>
      <c r="D729" s="42"/>
      <c r="E729" s="42"/>
      <c r="F729" s="42"/>
      <c r="G729" s="42"/>
      <c r="H729" s="42"/>
      <c r="I729" s="42"/>
      <c r="J729" s="42"/>
      <c r="K729" s="375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</row>
    <row r="730">
      <c r="A730" s="125"/>
      <c r="B730" s="323"/>
      <c r="C730" s="374"/>
      <c r="D730" s="42"/>
      <c r="E730" s="42"/>
      <c r="F730" s="42"/>
      <c r="G730" s="42"/>
      <c r="H730" s="42"/>
      <c r="I730" s="42"/>
      <c r="J730" s="42"/>
      <c r="K730" s="375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</row>
    <row r="731">
      <c r="A731" s="125"/>
      <c r="B731" s="323"/>
      <c r="C731" s="374"/>
      <c r="D731" s="42"/>
      <c r="E731" s="42"/>
      <c r="F731" s="42"/>
      <c r="G731" s="42"/>
      <c r="H731" s="42"/>
      <c r="I731" s="42"/>
      <c r="J731" s="42"/>
      <c r="K731" s="375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</row>
    <row r="732">
      <c r="A732" s="125"/>
      <c r="B732" s="323"/>
      <c r="C732" s="374"/>
      <c r="D732" s="42"/>
      <c r="E732" s="42"/>
      <c r="F732" s="42"/>
      <c r="G732" s="42"/>
      <c r="H732" s="42"/>
      <c r="I732" s="42"/>
      <c r="J732" s="42"/>
      <c r="K732" s="375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</row>
    <row r="733">
      <c r="A733" s="125"/>
      <c r="B733" s="323"/>
      <c r="C733" s="374"/>
      <c r="D733" s="42"/>
      <c r="E733" s="42"/>
      <c r="F733" s="42"/>
      <c r="G733" s="42"/>
      <c r="H733" s="42"/>
      <c r="I733" s="42"/>
      <c r="J733" s="42"/>
      <c r="K733" s="375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</row>
    <row r="734">
      <c r="A734" s="125"/>
      <c r="B734" s="323"/>
      <c r="C734" s="374"/>
      <c r="D734" s="42"/>
      <c r="E734" s="42"/>
      <c r="F734" s="42"/>
      <c r="G734" s="42"/>
      <c r="H734" s="42"/>
      <c r="I734" s="42"/>
      <c r="J734" s="42"/>
      <c r="K734" s="375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</row>
    <row r="735">
      <c r="A735" s="125"/>
      <c r="B735" s="323"/>
      <c r="C735" s="374"/>
      <c r="D735" s="42"/>
      <c r="E735" s="42"/>
      <c r="F735" s="42"/>
      <c r="G735" s="42"/>
      <c r="H735" s="42"/>
      <c r="I735" s="42"/>
      <c r="J735" s="42"/>
      <c r="K735" s="375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</row>
    <row r="736">
      <c r="A736" s="125"/>
      <c r="B736" s="323"/>
      <c r="C736" s="374"/>
      <c r="D736" s="42"/>
      <c r="E736" s="42"/>
      <c r="F736" s="42"/>
      <c r="G736" s="42"/>
      <c r="H736" s="42"/>
      <c r="I736" s="42"/>
      <c r="J736" s="42"/>
      <c r="K736" s="375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</row>
    <row r="737">
      <c r="A737" s="125"/>
      <c r="B737" s="323"/>
      <c r="C737" s="374"/>
      <c r="D737" s="42"/>
      <c r="E737" s="42"/>
      <c r="F737" s="42"/>
      <c r="G737" s="42"/>
      <c r="H737" s="42"/>
      <c r="I737" s="42"/>
      <c r="J737" s="42"/>
      <c r="K737" s="375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</row>
    <row r="738">
      <c r="A738" s="125"/>
      <c r="B738" s="323"/>
      <c r="C738" s="374"/>
      <c r="D738" s="42"/>
      <c r="E738" s="42"/>
      <c r="F738" s="42"/>
      <c r="G738" s="42"/>
      <c r="H738" s="42"/>
      <c r="I738" s="42"/>
      <c r="J738" s="42"/>
      <c r="K738" s="375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</row>
    <row r="739">
      <c r="A739" s="125"/>
      <c r="B739" s="323"/>
      <c r="C739" s="374"/>
      <c r="D739" s="42"/>
      <c r="E739" s="42"/>
      <c r="F739" s="42"/>
      <c r="G739" s="42"/>
      <c r="H739" s="42"/>
      <c r="I739" s="42"/>
      <c r="J739" s="42"/>
      <c r="K739" s="375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</row>
    <row r="740">
      <c r="A740" s="125"/>
      <c r="B740" s="323"/>
      <c r="C740" s="374"/>
      <c r="D740" s="42"/>
      <c r="E740" s="42"/>
      <c r="F740" s="42"/>
      <c r="G740" s="42"/>
      <c r="H740" s="42"/>
      <c r="I740" s="42"/>
      <c r="J740" s="42"/>
      <c r="K740" s="375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</row>
    <row r="741">
      <c r="A741" s="125"/>
      <c r="B741" s="323"/>
      <c r="C741" s="374"/>
      <c r="D741" s="42"/>
      <c r="E741" s="42"/>
      <c r="F741" s="42"/>
      <c r="G741" s="42"/>
      <c r="H741" s="42"/>
      <c r="I741" s="42"/>
      <c r="J741" s="42"/>
      <c r="K741" s="375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</row>
    <row r="742">
      <c r="A742" s="125"/>
      <c r="B742" s="323"/>
      <c r="C742" s="374"/>
      <c r="D742" s="42"/>
      <c r="E742" s="42"/>
      <c r="F742" s="42"/>
      <c r="G742" s="42"/>
      <c r="H742" s="42"/>
      <c r="I742" s="42"/>
      <c r="J742" s="42"/>
      <c r="K742" s="375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</row>
    <row r="743">
      <c r="A743" s="125"/>
      <c r="B743" s="323"/>
      <c r="C743" s="374"/>
      <c r="D743" s="42"/>
      <c r="E743" s="42"/>
      <c r="F743" s="42"/>
      <c r="G743" s="42"/>
      <c r="H743" s="42"/>
      <c r="I743" s="42"/>
      <c r="J743" s="42"/>
      <c r="K743" s="375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</row>
    <row r="744">
      <c r="A744" s="125"/>
      <c r="B744" s="323"/>
      <c r="C744" s="374"/>
      <c r="D744" s="42"/>
      <c r="E744" s="42"/>
      <c r="F744" s="42"/>
      <c r="G744" s="42"/>
      <c r="H744" s="42"/>
      <c r="I744" s="42"/>
      <c r="J744" s="42"/>
      <c r="K744" s="375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</row>
    <row r="745">
      <c r="A745" s="125"/>
      <c r="B745" s="323"/>
      <c r="C745" s="374"/>
      <c r="D745" s="42"/>
      <c r="E745" s="42"/>
      <c r="F745" s="42"/>
      <c r="G745" s="42"/>
      <c r="H745" s="42"/>
      <c r="I745" s="42"/>
      <c r="J745" s="42"/>
      <c r="K745" s="375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</row>
    <row r="746">
      <c r="A746" s="125"/>
      <c r="B746" s="323"/>
      <c r="C746" s="374"/>
      <c r="D746" s="42"/>
      <c r="E746" s="42"/>
      <c r="F746" s="42"/>
      <c r="G746" s="42"/>
      <c r="H746" s="42"/>
      <c r="I746" s="42"/>
      <c r="J746" s="42"/>
      <c r="K746" s="375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</row>
    <row r="747">
      <c r="A747" s="125"/>
      <c r="B747" s="323"/>
      <c r="C747" s="374"/>
      <c r="D747" s="42"/>
      <c r="E747" s="42"/>
      <c r="F747" s="42"/>
      <c r="G747" s="42"/>
      <c r="H747" s="42"/>
      <c r="I747" s="42"/>
      <c r="J747" s="42"/>
      <c r="K747" s="375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</row>
    <row r="748">
      <c r="A748" s="125"/>
      <c r="B748" s="323"/>
      <c r="C748" s="374"/>
      <c r="D748" s="42"/>
      <c r="E748" s="42"/>
      <c r="F748" s="42"/>
      <c r="G748" s="42"/>
      <c r="H748" s="42"/>
      <c r="I748" s="42"/>
      <c r="J748" s="42"/>
      <c r="K748" s="375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</row>
    <row r="749">
      <c r="A749" s="125"/>
      <c r="B749" s="323"/>
      <c r="C749" s="374"/>
      <c r="D749" s="42"/>
      <c r="E749" s="42"/>
      <c r="F749" s="42"/>
      <c r="G749" s="42"/>
      <c r="H749" s="42"/>
      <c r="I749" s="42"/>
      <c r="J749" s="42"/>
      <c r="K749" s="375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</row>
    <row r="750">
      <c r="A750" s="125"/>
      <c r="B750" s="323"/>
      <c r="C750" s="374"/>
      <c r="D750" s="42"/>
      <c r="E750" s="42"/>
      <c r="F750" s="42"/>
      <c r="G750" s="42"/>
      <c r="H750" s="42"/>
      <c r="I750" s="42"/>
      <c r="J750" s="42"/>
      <c r="K750" s="375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</row>
    <row r="751">
      <c r="A751" s="125"/>
      <c r="B751" s="323"/>
      <c r="C751" s="374"/>
      <c r="D751" s="42"/>
      <c r="E751" s="42"/>
      <c r="F751" s="42"/>
      <c r="G751" s="42"/>
      <c r="H751" s="42"/>
      <c r="I751" s="42"/>
      <c r="J751" s="42"/>
      <c r="K751" s="375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</row>
    <row r="752">
      <c r="A752" s="125"/>
      <c r="B752" s="323"/>
      <c r="C752" s="374"/>
      <c r="D752" s="42"/>
      <c r="E752" s="42"/>
      <c r="F752" s="42"/>
      <c r="G752" s="42"/>
      <c r="H752" s="42"/>
      <c r="I752" s="42"/>
      <c r="J752" s="42"/>
      <c r="K752" s="375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</row>
    <row r="753">
      <c r="A753" s="125"/>
      <c r="B753" s="323"/>
      <c r="C753" s="374"/>
      <c r="D753" s="42"/>
      <c r="E753" s="42"/>
      <c r="F753" s="42"/>
      <c r="G753" s="42"/>
      <c r="H753" s="42"/>
      <c r="I753" s="42"/>
      <c r="J753" s="42"/>
      <c r="K753" s="375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</row>
    <row r="754">
      <c r="A754" s="125"/>
      <c r="B754" s="323"/>
      <c r="C754" s="374"/>
      <c r="D754" s="42"/>
      <c r="E754" s="42"/>
      <c r="F754" s="42"/>
      <c r="G754" s="42"/>
      <c r="H754" s="42"/>
      <c r="I754" s="42"/>
      <c r="J754" s="42"/>
      <c r="K754" s="375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</row>
    <row r="755">
      <c r="A755" s="125"/>
      <c r="B755" s="323"/>
      <c r="C755" s="374"/>
      <c r="D755" s="42"/>
      <c r="E755" s="42"/>
      <c r="F755" s="42"/>
      <c r="G755" s="42"/>
      <c r="H755" s="42"/>
      <c r="I755" s="42"/>
      <c r="J755" s="42"/>
      <c r="K755" s="375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</row>
    <row r="756">
      <c r="A756" s="125"/>
      <c r="B756" s="323"/>
      <c r="C756" s="374"/>
      <c r="D756" s="42"/>
      <c r="E756" s="42"/>
      <c r="F756" s="42"/>
      <c r="G756" s="42"/>
      <c r="H756" s="42"/>
      <c r="I756" s="42"/>
      <c r="J756" s="42"/>
      <c r="K756" s="375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</row>
    <row r="757">
      <c r="A757" s="125"/>
      <c r="B757" s="323"/>
      <c r="C757" s="374"/>
      <c r="D757" s="42"/>
      <c r="E757" s="42"/>
      <c r="F757" s="42"/>
      <c r="G757" s="42"/>
      <c r="H757" s="42"/>
      <c r="I757" s="42"/>
      <c r="J757" s="42"/>
      <c r="K757" s="375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</row>
    <row r="758">
      <c r="A758" s="125"/>
      <c r="B758" s="323"/>
      <c r="C758" s="374"/>
      <c r="D758" s="42"/>
      <c r="E758" s="42"/>
      <c r="F758" s="42"/>
      <c r="G758" s="42"/>
      <c r="H758" s="42"/>
      <c r="I758" s="42"/>
      <c r="J758" s="42"/>
      <c r="K758" s="375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</row>
    <row r="759">
      <c r="A759" s="125"/>
      <c r="B759" s="323"/>
      <c r="C759" s="374"/>
      <c r="D759" s="42"/>
      <c r="E759" s="42"/>
      <c r="F759" s="42"/>
      <c r="G759" s="42"/>
      <c r="H759" s="42"/>
      <c r="I759" s="42"/>
      <c r="J759" s="42"/>
      <c r="K759" s="375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</row>
    <row r="760">
      <c r="A760" s="125"/>
      <c r="B760" s="323"/>
      <c r="C760" s="374"/>
      <c r="D760" s="42"/>
      <c r="E760" s="42"/>
      <c r="F760" s="42"/>
      <c r="G760" s="42"/>
      <c r="H760" s="42"/>
      <c r="I760" s="42"/>
      <c r="J760" s="42"/>
      <c r="K760" s="375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</row>
    <row r="761">
      <c r="A761" s="125"/>
      <c r="B761" s="323"/>
      <c r="C761" s="374"/>
      <c r="D761" s="42"/>
      <c r="E761" s="42"/>
      <c r="F761" s="42"/>
      <c r="G761" s="42"/>
      <c r="H761" s="42"/>
      <c r="I761" s="42"/>
      <c r="J761" s="42"/>
      <c r="K761" s="375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</row>
    <row r="762">
      <c r="A762" s="125"/>
      <c r="B762" s="323"/>
      <c r="C762" s="374"/>
      <c r="D762" s="42"/>
      <c r="E762" s="42"/>
      <c r="F762" s="42"/>
      <c r="G762" s="42"/>
      <c r="H762" s="42"/>
      <c r="I762" s="42"/>
      <c r="J762" s="42"/>
      <c r="K762" s="375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</row>
    <row r="763">
      <c r="A763" s="125"/>
      <c r="B763" s="323"/>
      <c r="C763" s="374"/>
      <c r="D763" s="42"/>
      <c r="E763" s="42"/>
      <c r="F763" s="42"/>
      <c r="G763" s="42"/>
      <c r="H763" s="42"/>
      <c r="I763" s="42"/>
      <c r="J763" s="42"/>
      <c r="K763" s="375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</row>
    <row r="764">
      <c r="A764" s="125"/>
      <c r="B764" s="323"/>
      <c r="C764" s="374"/>
      <c r="D764" s="42"/>
      <c r="E764" s="42"/>
      <c r="F764" s="42"/>
      <c r="G764" s="42"/>
      <c r="H764" s="42"/>
      <c r="I764" s="42"/>
      <c r="J764" s="42"/>
      <c r="K764" s="375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</row>
    <row r="765">
      <c r="A765" s="125"/>
      <c r="B765" s="323"/>
      <c r="C765" s="374"/>
      <c r="D765" s="42"/>
      <c r="E765" s="42"/>
      <c r="F765" s="42"/>
      <c r="G765" s="42"/>
      <c r="H765" s="42"/>
      <c r="I765" s="42"/>
      <c r="J765" s="42"/>
      <c r="K765" s="375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</row>
    <row r="766">
      <c r="A766" s="125"/>
      <c r="B766" s="323"/>
      <c r="C766" s="374"/>
      <c r="D766" s="42"/>
      <c r="E766" s="42"/>
      <c r="F766" s="42"/>
      <c r="G766" s="42"/>
      <c r="H766" s="42"/>
      <c r="I766" s="42"/>
      <c r="J766" s="42"/>
      <c r="K766" s="375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</row>
    <row r="767">
      <c r="A767" s="125"/>
      <c r="B767" s="323"/>
      <c r="C767" s="374"/>
      <c r="D767" s="42"/>
      <c r="E767" s="42"/>
      <c r="F767" s="42"/>
      <c r="G767" s="42"/>
      <c r="H767" s="42"/>
      <c r="I767" s="42"/>
      <c r="J767" s="42"/>
      <c r="K767" s="375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</row>
    <row r="768">
      <c r="A768" s="125"/>
      <c r="B768" s="323"/>
      <c r="C768" s="374"/>
      <c r="D768" s="42"/>
      <c r="E768" s="42"/>
      <c r="F768" s="42"/>
      <c r="G768" s="42"/>
      <c r="H768" s="42"/>
      <c r="I768" s="42"/>
      <c r="J768" s="42"/>
      <c r="K768" s="375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</row>
    <row r="769">
      <c r="A769" s="125"/>
      <c r="B769" s="323"/>
      <c r="C769" s="374"/>
      <c r="D769" s="42"/>
      <c r="E769" s="42"/>
      <c r="F769" s="42"/>
      <c r="G769" s="42"/>
      <c r="H769" s="42"/>
      <c r="I769" s="42"/>
      <c r="J769" s="42"/>
      <c r="K769" s="375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</row>
    <row r="770">
      <c r="A770" s="125"/>
      <c r="B770" s="323"/>
      <c r="C770" s="374"/>
      <c r="D770" s="42"/>
      <c r="E770" s="42"/>
      <c r="F770" s="42"/>
      <c r="G770" s="42"/>
      <c r="H770" s="42"/>
      <c r="I770" s="42"/>
      <c r="J770" s="42"/>
      <c r="K770" s="375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</row>
    <row r="771">
      <c r="A771" s="125"/>
      <c r="B771" s="323"/>
      <c r="C771" s="374"/>
      <c r="D771" s="42"/>
      <c r="E771" s="42"/>
      <c r="F771" s="42"/>
      <c r="G771" s="42"/>
      <c r="H771" s="42"/>
      <c r="I771" s="42"/>
      <c r="J771" s="42"/>
      <c r="K771" s="375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</row>
    <row r="772">
      <c r="A772" s="125"/>
      <c r="B772" s="323"/>
      <c r="C772" s="374"/>
      <c r="D772" s="42"/>
      <c r="E772" s="42"/>
      <c r="F772" s="42"/>
      <c r="G772" s="42"/>
      <c r="H772" s="42"/>
      <c r="I772" s="42"/>
      <c r="J772" s="42"/>
      <c r="K772" s="375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</row>
    <row r="773">
      <c r="A773" s="125"/>
      <c r="B773" s="323"/>
      <c r="C773" s="374"/>
      <c r="D773" s="42"/>
      <c r="E773" s="42"/>
      <c r="F773" s="42"/>
      <c r="G773" s="42"/>
      <c r="H773" s="42"/>
      <c r="I773" s="42"/>
      <c r="J773" s="42"/>
      <c r="K773" s="375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</row>
    <row r="774">
      <c r="A774" s="125"/>
      <c r="B774" s="323"/>
      <c r="C774" s="374"/>
      <c r="D774" s="42"/>
      <c r="E774" s="42"/>
      <c r="F774" s="42"/>
      <c r="G774" s="42"/>
      <c r="H774" s="42"/>
      <c r="I774" s="42"/>
      <c r="J774" s="42"/>
      <c r="K774" s="375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</row>
    <row r="775">
      <c r="A775" s="125"/>
      <c r="B775" s="323"/>
      <c r="C775" s="374"/>
      <c r="D775" s="42"/>
      <c r="E775" s="42"/>
      <c r="F775" s="42"/>
      <c r="G775" s="42"/>
      <c r="H775" s="42"/>
      <c r="I775" s="42"/>
      <c r="J775" s="42"/>
      <c r="K775" s="375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</row>
    <row r="776">
      <c r="A776" s="125"/>
      <c r="B776" s="323"/>
      <c r="C776" s="374"/>
      <c r="D776" s="42"/>
      <c r="E776" s="42"/>
      <c r="F776" s="42"/>
      <c r="G776" s="42"/>
      <c r="H776" s="42"/>
      <c r="I776" s="42"/>
      <c r="J776" s="42"/>
      <c r="K776" s="375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</row>
    <row r="777">
      <c r="A777" s="125"/>
      <c r="B777" s="323"/>
      <c r="C777" s="374"/>
      <c r="D777" s="42"/>
      <c r="E777" s="42"/>
      <c r="F777" s="42"/>
      <c r="G777" s="42"/>
      <c r="H777" s="42"/>
      <c r="I777" s="42"/>
      <c r="J777" s="42"/>
      <c r="K777" s="375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</row>
    <row r="778">
      <c r="A778" s="125"/>
      <c r="B778" s="323"/>
      <c r="C778" s="374"/>
      <c r="D778" s="42"/>
      <c r="E778" s="42"/>
      <c r="F778" s="42"/>
      <c r="G778" s="42"/>
      <c r="H778" s="42"/>
      <c r="I778" s="42"/>
      <c r="J778" s="42"/>
      <c r="K778" s="375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</row>
    <row r="779">
      <c r="A779" s="125"/>
      <c r="B779" s="323"/>
      <c r="C779" s="374"/>
      <c r="D779" s="42"/>
      <c r="E779" s="42"/>
      <c r="F779" s="42"/>
      <c r="G779" s="42"/>
      <c r="H779" s="42"/>
      <c r="I779" s="42"/>
      <c r="J779" s="42"/>
      <c r="K779" s="375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</row>
    <row r="780">
      <c r="A780" s="125"/>
      <c r="B780" s="323"/>
      <c r="C780" s="374"/>
      <c r="D780" s="42"/>
      <c r="E780" s="42"/>
      <c r="F780" s="42"/>
      <c r="G780" s="42"/>
      <c r="H780" s="42"/>
      <c r="I780" s="42"/>
      <c r="J780" s="42"/>
      <c r="K780" s="375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</row>
    <row r="781">
      <c r="A781" s="125"/>
      <c r="B781" s="323"/>
      <c r="C781" s="374"/>
      <c r="D781" s="42"/>
      <c r="E781" s="42"/>
      <c r="F781" s="42"/>
      <c r="G781" s="42"/>
      <c r="H781" s="42"/>
      <c r="I781" s="42"/>
      <c r="J781" s="42"/>
      <c r="K781" s="375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</row>
    <row r="782">
      <c r="A782" s="125"/>
      <c r="B782" s="323"/>
      <c r="C782" s="374"/>
      <c r="D782" s="42"/>
      <c r="E782" s="42"/>
      <c r="F782" s="42"/>
      <c r="G782" s="42"/>
      <c r="H782" s="42"/>
      <c r="I782" s="42"/>
      <c r="J782" s="42"/>
      <c r="K782" s="375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</row>
    <row r="783">
      <c r="A783" s="125"/>
      <c r="B783" s="323"/>
      <c r="C783" s="374"/>
      <c r="D783" s="42"/>
      <c r="E783" s="42"/>
      <c r="F783" s="42"/>
      <c r="G783" s="42"/>
      <c r="H783" s="42"/>
      <c r="I783" s="42"/>
      <c r="J783" s="42"/>
      <c r="K783" s="375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</row>
    <row r="784">
      <c r="A784" s="125"/>
      <c r="B784" s="323"/>
      <c r="C784" s="374"/>
      <c r="D784" s="42"/>
      <c r="E784" s="42"/>
      <c r="F784" s="42"/>
      <c r="G784" s="42"/>
      <c r="H784" s="42"/>
      <c r="I784" s="42"/>
      <c r="J784" s="42"/>
      <c r="K784" s="375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</row>
    <row r="785">
      <c r="A785" s="125"/>
      <c r="B785" s="323"/>
      <c r="C785" s="374"/>
      <c r="D785" s="42"/>
      <c r="E785" s="42"/>
      <c r="F785" s="42"/>
      <c r="G785" s="42"/>
      <c r="H785" s="42"/>
      <c r="I785" s="42"/>
      <c r="J785" s="42"/>
      <c r="K785" s="375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</row>
    <row r="786">
      <c r="A786" s="125"/>
      <c r="B786" s="323"/>
      <c r="C786" s="374"/>
      <c r="D786" s="42"/>
      <c r="E786" s="42"/>
      <c r="F786" s="42"/>
      <c r="G786" s="42"/>
      <c r="H786" s="42"/>
      <c r="I786" s="42"/>
      <c r="J786" s="42"/>
      <c r="K786" s="375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</row>
    <row r="787">
      <c r="A787" s="125"/>
      <c r="B787" s="323"/>
      <c r="C787" s="374"/>
      <c r="D787" s="42"/>
      <c r="E787" s="42"/>
      <c r="F787" s="42"/>
      <c r="G787" s="42"/>
      <c r="H787" s="42"/>
      <c r="I787" s="42"/>
      <c r="J787" s="42"/>
      <c r="K787" s="375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</row>
    <row r="788">
      <c r="A788" s="125"/>
      <c r="B788" s="323"/>
      <c r="C788" s="374"/>
      <c r="D788" s="42"/>
      <c r="E788" s="42"/>
      <c r="F788" s="42"/>
      <c r="G788" s="42"/>
      <c r="H788" s="42"/>
      <c r="I788" s="42"/>
      <c r="J788" s="42"/>
      <c r="K788" s="375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</row>
    <row r="789">
      <c r="A789" s="125"/>
      <c r="B789" s="323"/>
      <c r="C789" s="374"/>
      <c r="D789" s="42"/>
      <c r="E789" s="42"/>
      <c r="F789" s="42"/>
      <c r="G789" s="42"/>
      <c r="H789" s="42"/>
      <c r="I789" s="42"/>
      <c r="J789" s="42"/>
      <c r="K789" s="375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</row>
    <row r="790">
      <c r="A790" s="125"/>
      <c r="B790" s="323"/>
      <c r="C790" s="374"/>
      <c r="D790" s="42"/>
      <c r="E790" s="42"/>
      <c r="F790" s="42"/>
      <c r="G790" s="42"/>
      <c r="H790" s="42"/>
      <c r="I790" s="42"/>
      <c r="J790" s="42"/>
      <c r="K790" s="375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</row>
    <row r="791">
      <c r="A791" s="125"/>
      <c r="B791" s="323"/>
      <c r="C791" s="374"/>
      <c r="D791" s="42"/>
      <c r="E791" s="42"/>
      <c r="F791" s="42"/>
      <c r="G791" s="42"/>
      <c r="H791" s="42"/>
      <c r="I791" s="42"/>
      <c r="J791" s="42"/>
      <c r="K791" s="375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</row>
    <row r="792">
      <c r="A792" s="125"/>
      <c r="B792" s="323"/>
      <c r="C792" s="374"/>
      <c r="D792" s="42"/>
      <c r="E792" s="42"/>
      <c r="F792" s="42"/>
      <c r="G792" s="42"/>
      <c r="H792" s="42"/>
      <c r="I792" s="42"/>
      <c r="J792" s="42"/>
      <c r="K792" s="375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</row>
    <row r="793">
      <c r="A793" s="125"/>
      <c r="B793" s="323"/>
      <c r="C793" s="374"/>
      <c r="D793" s="42"/>
      <c r="E793" s="42"/>
      <c r="F793" s="42"/>
      <c r="G793" s="42"/>
      <c r="H793" s="42"/>
      <c r="I793" s="42"/>
      <c r="J793" s="42"/>
      <c r="K793" s="375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</row>
    <row r="794">
      <c r="A794" s="125"/>
      <c r="B794" s="323"/>
      <c r="C794" s="374"/>
      <c r="D794" s="42"/>
      <c r="E794" s="42"/>
      <c r="F794" s="42"/>
      <c r="G794" s="42"/>
      <c r="H794" s="42"/>
      <c r="I794" s="42"/>
      <c r="J794" s="42"/>
      <c r="K794" s="375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</row>
    <row r="795">
      <c r="A795" s="125"/>
      <c r="B795" s="323"/>
      <c r="C795" s="374"/>
      <c r="D795" s="42"/>
      <c r="E795" s="42"/>
      <c r="F795" s="42"/>
      <c r="G795" s="42"/>
      <c r="H795" s="42"/>
      <c r="I795" s="42"/>
      <c r="J795" s="42"/>
      <c r="K795" s="375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</row>
    <row r="796">
      <c r="A796" s="125"/>
      <c r="B796" s="323"/>
      <c r="C796" s="374"/>
      <c r="D796" s="42"/>
      <c r="E796" s="42"/>
      <c r="F796" s="42"/>
      <c r="G796" s="42"/>
      <c r="H796" s="42"/>
      <c r="I796" s="42"/>
      <c r="J796" s="42"/>
      <c r="K796" s="375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</row>
    <row r="797">
      <c r="A797" s="125"/>
      <c r="B797" s="323"/>
      <c r="C797" s="374"/>
      <c r="D797" s="42"/>
      <c r="E797" s="42"/>
      <c r="F797" s="42"/>
      <c r="G797" s="42"/>
      <c r="H797" s="42"/>
      <c r="I797" s="42"/>
      <c r="J797" s="42"/>
      <c r="K797" s="375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</row>
    <row r="798">
      <c r="A798" s="125"/>
      <c r="B798" s="323"/>
      <c r="C798" s="374"/>
      <c r="D798" s="42"/>
      <c r="E798" s="42"/>
      <c r="F798" s="42"/>
      <c r="G798" s="42"/>
      <c r="H798" s="42"/>
      <c r="I798" s="42"/>
      <c r="J798" s="42"/>
      <c r="K798" s="375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</row>
    <row r="799">
      <c r="A799" s="125"/>
      <c r="B799" s="323"/>
      <c r="C799" s="374"/>
      <c r="D799" s="42"/>
      <c r="E799" s="42"/>
      <c r="F799" s="42"/>
      <c r="G799" s="42"/>
      <c r="H799" s="42"/>
      <c r="I799" s="42"/>
      <c r="J799" s="42"/>
      <c r="K799" s="375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</row>
    <row r="800">
      <c r="A800" s="125"/>
      <c r="B800" s="323"/>
      <c r="C800" s="374"/>
      <c r="D800" s="42"/>
      <c r="E800" s="42"/>
      <c r="F800" s="42"/>
      <c r="G800" s="42"/>
      <c r="H800" s="42"/>
      <c r="I800" s="42"/>
      <c r="J800" s="42"/>
      <c r="K800" s="375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</row>
    <row r="801">
      <c r="A801" s="125"/>
      <c r="B801" s="323"/>
      <c r="C801" s="374"/>
      <c r="D801" s="42"/>
      <c r="E801" s="42"/>
      <c r="F801" s="42"/>
      <c r="G801" s="42"/>
      <c r="H801" s="42"/>
      <c r="I801" s="42"/>
      <c r="J801" s="42"/>
      <c r="K801" s="375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</row>
    <row r="802">
      <c r="A802" s="125"/>
      <c r="B802" s="323"/>
      <c r="C802" s="374"/>
      <c r="D802" s="42"/>
      <c r="E802" s="42"/>
      <c r="F802" s="42"/>
      <c r="G802" s="42"/>
      <c r="H802" s="42"/>
      <c r="I802" s="42"/>
      <c r="J802" s="42"/>
      <c r="K802" s="375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</row>
    <row r="803">
      <c r="A803" s="125"/>
      <c r="B803" s="323"/>
      <c r="C803" s="374"/>
      <c r="D803" s="42"/>
      <c r="E803" s="42"/>
      <c r="F803" s="42"/>
      <c r="G803" s="42"/>
      <c r="H803" s="42"/>
      <c r="I803" s="42"/>
      <c r="J803" s="42"/>
      <c r="K803" s="375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</row>
    <row r="804">
      <c r="A804" s="125"/>
      <c r="B804" s="323"/>
      <c r="C804" s="374"/>
      <c r="D804" s="42"/>
      <c r="E804" s="42"/>
      <c r="F804" s="42"/>
      <c r="G804" s="42"/>
      <c r="H804" s="42"/>
      <c r="I804" s="42"/>
      <c r="J804" s="42"/>
      <c r="K804" s="375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</row>
    <row r="805">
      <c r="A805" s="125"/>
      <c r="B805" s="323"/>
      <c r="C805" s="374"/>
      <c r="D805" s="42"/>
      <c r="E805" s="42"/>
      <c r="F805" s="42"/>
      <c r="G805" s="42"/>
      <c r="H805" s="42"/>
      <c r="I805" s="42"/>
      <c r="J805" s="42"/>
      <c r="K805" s="375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</row>
    <row r="806">
      <c r="A806" s="125"/>
      <c r="B806" s="323"/>
      <c r="C806" s="374"/>
      <c r="D806" s="42"/>
      <c r="E806" s="42"/>
      <c r="F806" s="42"/>
      <c r="G806" s="42"/>
      <c r="H806" s="42"/>
      <c r="I806" s="42"/>
      <c r="J806" s="42"/>
      <c r="K806" s="375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</row>
    <row r="807">
      <c r="A807" s="125"/>
      <c r="B807" s="323"/>
      <c r="C807" s="374"/>
      <c r="D807" s="42"/>
      <c r="E807" s="42"/>
      <c r="F807" s="42"/>
      <c r="G807" s="42"/>
      <c r="H807" s="42"/>
      <c r="I807" s="42"/>
      <c r="J807" s="42"/>
      <c r="K807" s="375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</row>
    <row r="808">
      <c r="A808" s="125"/>
      <c r="B808" s="323"/>
      <c r="C808" s="374"/>
      <c r="D808" s="42"/>
      <c r="E808" s="42"/>
      <c r="F808" s="42"/>
      <c r="G808" s="42"/>
      <c r="H808" s="42"/>
      <c r="I808" s="42"/>
      <c r="J808" s="42"/>
      <c r="K808" s="375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</row>
    <row r="809">
      <c r="A809" s="125"/>
      <c r="B809" s="323"/>
      <c r="C809" s="374"/>
      <c r="D809" s="42"/>
      <c r="E809" s="42"/>
      <c r="F809" s="42"/>
      <c r="G809" s="42"/>
      <c r="H809" s="42"/>
      <c r="I809" s="42"/>
      <c r="J809" s="42"/>
      <c r="K809" s="375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</row>
    <row r="810">
      <c r="A810" s="125"/>
      <c r="B810" s="323"/>
      <c r="C810" s="374"/>
      <c r="D810" s="42"/>
      <c r="E810" s="42"/>
      <c r="F810" s="42"/>
      <c r="G810" s="42"/>
      <c r="H810" s="42"/>
      <c r="I810" s="42"/>
      <c r="J810" s="42"/>
      <c r="K810" s="375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</row>
    <row r="811">
      <c r="A811" s="125"/>
      <c r="B811" s="323"/>
      <c r="C811" s="374"/>
      <c r="D811" s="42"/>
      <c r="E811" s="42"/>
      <c r="F811" s="42"/>
      <c r="G811" s="42"/>
      <c r="H811" s="42"/>
      <c r="I811" s="42"/>
      <c r="J811" s="42"/>
      <c r="K811" s="375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</row>
    <row r="812">
      <c r="A812" s="125"/>
      <c r="B812" s="323"/>
      <c r="C812" s="374"/>
      <c r="D812" s="42"/>
      <c r="E812" s="42"/>
      <c r="F812" s="42"/>
      <c r="G812" s="42"/>
      <c r="H812" s="42"/>
      <c r="I812" s="42"/>
      <c r="J812" s="42"/>
      <c r="K812" s="375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</row>
    <row r="813">
      <c r="A813" s="125"/>
      <c r="B813" s="323"/>
      <c r="C813" s="374"/>
      <c r="D813" s="42"/>
      <c r="E813" s="42"/>
      <c r="F813" s="42"/>
      <c r="G813" s="42"/>
      <c r="H813" s="42"/>
      <c r="I813" s="42"/>
      <c r="J813" s="42"/>
      <c r="K813" s="375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</row>
    <row r="814">
      <c r="A814" s="125"/>
      <c r="B814" s="323"/>
      <c r="C814" s="374"/>
      <c r="D814" s="42"/>
      <c r="E814" s="42"/>
      <c r="F814" s="42"/>
      <c r="G814" s="42"/>
      <c r="H814" s="42"/>
      <c r="I814" s="42"/>
      <c r="J814" s="42"/>
      <c r="K814" s="375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</row>
    <row r="815">
      <c r="A815" s="125"/>
      <c r="B815" s="323"/>
      <c r="C815" s="374"/>
      <c r="D815" s="42"/>
      <c r="E815" s="42"/>
      <c r="F815" s="42"/>
      <c r="G815" s="42"/>
      <c r="H815" s="42"/>
      <c r="I815" s="42"/>
      <c r="J815" s="42"/>
      <c r="K815" s="375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</row>
    <row r="816">
      <c r="A816" s="125"/>
      <c r="B816" s="323"/>
      <c r="C816" s="374"/>
      <c r="D816" s="42"/>
      <c r="E816" s="42"/>
      <c r="F816" s="42"/>
      <c r="G816" s="42"/>
      <c r="H816" s="42"/>
      <c r="I816" s="42"/>
      <c r="J816" s="42"/>
      <c r="K816" s="375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</row>
    <row r="817">
      <c r="A817" s="125"/>
      <c r="B817" s="323"/>
      <c r="C817" s="374"/>
      <c r="D817" s="42"/>
      <c r="E817" s="42"/>
      <c r="F817" s="42"/>
      <c r="G817" s="42"/>
      <c r="H817" s="42"/>
      <c r="I817" s="42"/>
      <c r="J817" s="42"/>
      <c r="K817" s="375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</row>
    <row r="818">
      <c r="A818" s="125"/>
      <c r="B818" s="323"/>
      <c r="C818" s="374"/>
      <c r="D818" s="42"/>
      <c r="E818" s="42"/>
      <c r="F818" s="42"/>
      <c r="G818" s="42"/>
      <c r="H818" s="42"/>
      <c r="I818" s="42"/>
      <c r="J818" s="42"/>
      <c r="K818" s="375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</row>
    <row r="819">
      <c r="A819" s="125"/>
      <c r="B819" s="323"/>
      <c r="C819" s="374"/>
      <c r="D819" s="42"/>
      <c r="E819" s="42"/>
      <c r="F819" s="42"/>
      <c r="G819" s="42"/>
      <c r="H819" s="42"/>
      <c r="I819" s="42"/>
      <c r="J819" s="42"/>
      <c r="K819" s="375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</row>
    <row r="820">
      <c r="A820" s="125"/>
      <c r="B820" s="323"/>
      <c r="C820" s="374"/>
      <c r="D820" s="42"/>
      <c r="E820" s="42"/>
      <c r="F820" s="42"/>
      <c r="G820" s="42"/>
      <c r="H820" s="42"/>
      <c r="I820" s="42"/>
      <c r="J820" s="42"/>
      <c r="K820" s="375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</row>
    <row r="821">
      <c r="A821" s="125"/>
      <c r="B821" s="323"/>
      <c r="C821" s="374"/>
      <c r="D821" s="42"/>
      <c r="E821" s="42"/>
      <c r="F821" s="42"/>
      <c r="G821" s="42"/>
      <c r="H821" s="42"/>
      <c r="I821" s="42"/>
      <c r="J821" s="42"/>
      <c r="K821" s="375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</row>
    <row r="822">
      <c r="A822" s="125"/>
      <c r="B822" s="323"/>
      <c r="C822" s="374"/>
      <c r="D822" s="42"/>
      <c r="E822" s="42"/>
      <c r="F822" s="42"/>
      <c r="G822" s="42"/>
      <c r="H822" s="42"/>
      <c r="I822" s="42"/>
      <c r="J822" s="42"/>
      <c r="K822" s="375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</row>
    <row r="823">
      <c r="A823" s="125"/>
      <c r="B823" s="323"/>
      <c r="C823" s="374"/>
      <c r="D823" s="42"/>
      <c r="E823" s="42"/>
      <c r="F823" s="42"/>
      <c r="G823" s="42"/>
      <c r="H823" s="42"/>
      <c r="I823" s="42"/>
      <c r="J823" s="42"/>
      <c r="K823" s="375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</row>
    <row r="824">
      <c r="A824" s="125"/>
      <c r="B824" s="323"/>
      <c r="C824" s="374"/>
      <c r="D824" s="42"/>
      <c r="E824" s="42"/>
      <c r="F824" s="42"/>
      <c r="G824" s="42"/>
      <c r="H824" s="42"/>
      <c r="I824" s="42"/>
      <c r="J824" s="42"/>
      <c r="K824" s="375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</row>
    <row r="825">
      <c r="A825" s="125"/>
      <c r="B825" s="323"/>
      <c r="C825" s="374"/>
      <c r="D825" s="42"/>
      <c r="E825" s="42"/>
      <c r="F825" s="42"/>
      <c r="G825" s="42"/>
      <c r="H825" s="42"/>
      <c r="I825" s="42"/>
      <c r="J825" s="42"/>
      <c r="K825" s="375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</row>
    <row r="826">
      <c r="A826" s="125"/>
      <c r="B826" s="323"/>
      <c r="C826" s="374"/>
      <c r="D826" s="42"/>
      <c r="E826" s="42"/>
      <c r="F826" s="42"/>
      <c r="G826" s="42"/>
      <c r="H826" s="42"/>
      <c r="I826" s="42"/>
      <c r="J826" s="42"/>
      <c r="K826" s="375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</row>
    <row r="827">
      <c r="A827" s="125"/>
      <c r="B827" s="323"/>
      <c r="C827" s="374"/>
      <c r="D827" s="42"/>
      <c r="E827" s="42"/>
      <c r="F827" s="42"/>
      <c r="G827" s="42"/>
      <c r="H827" s="42"/>
      <c r="I827" s="42"/>
      <c r="J827" s="42"/>
      <c r="K827" s="375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</row>
    <row r="828">
      <c r="A828" s="125"/>
      <c r="B828" s="323"/>
      <c r="C828" s="374"/>
      <c r="D828" s="42"/>
      <c r="E828" s="42"/>
      <c r="F828" s="42"/>
      <c r="G828" s="42"/>
      <c r="H828" s="42"/>
      <c r="I828" s="42"/>
      <c r="J828" s="42"/>
      <c r="K828" s="375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</row>
    <row r="829">
      <c r="A829" s="125"/>
      <c r="B829" s="323"/>
      <c r="C829" s="374"/>
      <c r="D829" s="42"/>
      <c r="E829" s="42"/>
      <c r="F829" s="42"/>
      <c r="G829" s="42"/>
      <c r="H829" s="42"/>
      <c r="I829" s="42"/>
      <c r="J829" s="42"/>
      <c r="K829" s="375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</row>
    <row r="830">
      <c r="A830" s="125"/>
      <c r="B830" s="323"/>
      <c r="C830" s="374"/>
      <c r="D830" s="42"/>
      <c r="E830" s="42"/>
      <c r="F830" s="42"/>
      <c r="G830" s="42"/>
      <c r="H830" s="42"/>
      <c r="I830" s="42"/>
      <c r="J830" s="42"/>
      <c r="K830" s="375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</row>
    <row r="831">
      <c r="A831" s="125"/>
      <c r="B831" s="323"/>
      <c r="C831" s="374"/>
      <c r="D831" s="42"/>
      <c r="E831" s="42"/>
      <c r="F831" s="42"/>
      <c r="G831" s="42"/>
      <c r="H831" s="42"/>
      <c r="I831" s="42"/>
      <c r="J831" s="42"/>
      <c r="K831" s="375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</row>
    <row r="832">
      <c r="A832" s="125"/>
      <c r="B832" s="323"/>
      <c r="C832" s="374"/>
      <c r="D832" s="42"/>
      <c r="E832" s="42"/>
      <c r="F832" s="42"/>
      <c r="G832" s="42"/>
      <c r="H832" s="42"/>
      <c r="I832" s="42"/>
      <c r="J832" s="42"/>
      <c r="K832" s="375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</row>
    <row r="833">
      <c r="A833" s="125"/>
      <c r="B833" s="323"/>
      <c r="C833" s="374"/>
      <c r="D833" s="42"/>
      <c r="E833" s="42"/>
      <c r="F833" s="42"/>
      <c r="G833" s="42"/>
      <c r="H833" s="42"/>
      <c r="I833" s="42"/>
      <c r="J833" s="42"/>
      <c r="K833" s="375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</row>
    <row r="834">
      <c r="A834" s="125"/>
      <c r="B834" s="323"/>
      <c r="C834" s="374"/>
      <c r="D834" s="42"/>
      <c r="E834" s="42"/>
      <c r="F834" s="42"/>
      <c r="G834" s="42"/>
      <c r="H834" s="42"/>
      <c r="I834" s="42"/>
      <c r="J834" s="42"/>
      <c r="K834" s="375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</row>
    <row r="835">
      <c r="A835" s="125"/>
      <c r="B835" s="323"/>
      <c r="C835" s="374"/>
      <c r="D835" s="42"/>
      <c r="E835" s="42"/>
      <c r="F835" s="42"/>
      <c r="G835" s="42"/>
      <c r="H835" s="42"/>
      <c r="I835" s="42"/>
      <c r="J835" s="42"/>
      <c r="K835" s="375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</row>
    <row r="836">
      <c r="A836" s="125"/>
      <c r="B836" s="323"/>
      <c r="C836" s="374"/>
      <c r="D836" s="42"/>
      <c r="E836" s="42"/>
      <c r="F836" s="42"/>
      <c r="G836" s="42"/>
      <c r="H836" s="42"/>
      <c r="I836" s="42"/>
      <c r="J836" s="42"/>
      <c r="K836" s="375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</row>
    <row r="837">
      <c r="A837" s="125"/>
      <c r="B837" s="323"/>
      <c r="C837" s="374"/>
      <c r="D837" s="42"/>
      <c r="E837" s="42"/>
      <c r="F837" s="42"/>
      <c r="G837" s="42"/>
      <c r="H837" s="42"/>
      <c r="I837" s="42"/>
      <c r="J837" s="42"/>
      <c r="K837" s="375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</row>
    <row r="838">
      <c r="A838" s="125"/>
      <c r="B838" s="323"/>
      <c r="C838" s="374"/>
      <c r="D838" s="42"/>
      <c r="E838" s="42"/>
      <c r="F838" s="42"/>
      <c r="G838" s="42"/>
      <c r="H838" s="42"/>
      <c r="I838" s="42"/>
      <c r="J838" s="42"/>
      <c r="K838" s="375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</row>
    <row r="839">
      <c r="A839" s="125"/>
      <c r="B839" s="323"/>
      <c r="C839" s="374"/>
      <c r="D839" s="42"/>
      <c r="E839" s="42"/>
      <c r="F839" s="42"/>
      <c r="G839" s="42"/>
      <c r="H839" s="42"/>
      <c r="I839" s="42"/>
      <c r="J839" s="42"/>
      <c r="K839" s="375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</row>
    <row r="840">
      <c r="A840" s="125"/>
      <c r="B840" s="323"/>
      <c r="C840" s="374"/>
      <c r="D840" s="42"/>
      <c r="E840" s="42"/>
      <c r="F840" s="42"/>
      <c r="G840" s="42"/>
      <c r="H840" s="42"/>
      <c r="I840" s="42"/>
      <c r="J840" s="42"/>
      <c r="K840" s="375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</row>
    <row r="841">
      <c r="A841" s="125"/>
      <c r="B841" s="323"/>
      <c r="C841" s="374"/>
      <c r="D841" s="42"/>
      <c r="E841" s="42"/>
      <c r="F841" s="42"/>
      <c r="G841" s="42"/>
      <c r="H841" s="42"/>
      <c r="I841" s="42"/>
      <c r="J841" s="42"/>
      <c r="K841" s="375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</row>
    <row r="842">
      <c r="A842" s="125"/>
      <c r="B842" s="323"/>
      <c r="C842" s="374"/>
      <c r="D842" s="42"/>
      <c r="E842" s="42"/>
      <c r="F842" s="42"/>
      <c r="G842" s="42"/>
      <c r="H842" s="42"/>
      <c r="I842" s="42"/>
      <c r="J842" s="42"/>
      <c r="K842" s="375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</row>
    <row r="843">
      <c r="A843" s="125"/>
      <c r="B843" s="323"/>
      <c r="C843" s="374"/>
      <c r="D843" s="42"/>
      <c r="E843" s="42"/>
      <c r="F843" s="42"/>
      <c r="G843" s="42"/>
      <c r="H843" s="42"/>
      <c r="I843" s="42"/>
      <c r="J843" s="42"/>
      <c r="K843" s="375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</row>
    <row r="844">
      <c r="A844" s="125"/>
      <c r="B844" s="323"/>
      <c r="C844" s="374"/>
      <c r="D844" s="42"/>
      <c r="E844" s="42"/>
      <c r="F844" s="42"/>
      <c r="G844" s="42"/>
      <c r="H844" s="42"/>
      <c r="I844" s="42"/>
      <c r="J844" s="42"/>
      <c r="K844" s="375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</row>
    <row r="845">
      <c r="A845" s="125"/>
      <c r="B845" s="323"/>
      <c r="C845" s="374"/>
      <c r="D845" s="42"/>
      <c r="E845" s="42"/>
      <c r="F845" s="42"/>
      <c r="G845" s="42"/>
      <c r="H845" s="42"/>
      <c r="I845" s="42"/>
      <c r="J845" s="42"/>
      <c r="K845" s="375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</row>
    <row r="846">
      <c r="A846" s="125"/>
      <c r="B846" s="323"/>
      <c r="C846" s="374"/>
      <c r="D846" s="42"/>
      <c r="E846" s="42"/>
      <c r="F846" s="42"/>
      <c r="G846" s="42"/>
      <c r="H846" s="42"/>
      <c r="I846" s="42"/>
      <c r="J846" s="42"/>
      <c r="K846" s="375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</row>
    <row r="847">
      <c r="A847" s="125"/>
      <c r="B847" s="323"/>
      <c r="C847" s="374"/>
      <c r="D847" s="42"/>
      <c r="E847" s="42"/>
      <c r="F847" s="42"/>
      <c r="G847" s="42"/>
      <c r="H847" s="42"/>
      <c r="I847" s="42"/>
      <c r="J847" s="42"/>
      <c r="K847" s="375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</row>
    <row r="848">
      <c r="A848" s="125"/>
      <c r="B848" s="323"/>
      <c r="C848" s="374"/>
      <c r="D848" s="42"/>
      <c r="E848" s="42"/>
      <c r="F848" s="42"/>
      <c r="G848" s="42"/>
      <c r="H848" s="42"/>
      <c r="I848" s="42"/>
      <c r="J848" s="42"/>
      <c r="K848" s="375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</row>
    <row r="849">
      <c r="A849" s="125"/>
      <c r="B849" s="323"/>
      <c r="C849" s="374"/>
      <c r="D849" s="42"/>
      <c r="E849" s="42"/>
      <c r="F849" s="42"/>
      <c r="G849" s="42"/>
      <c r="H849" s="42"/>
      <c r="I849" s="42"/>
      <c r="J849" s="42"/>
      <c r="K849" s="375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</row>
    <row r="850">
      <c r="A850" s="125"/>
      <c r="B850" s="323"/>
      <c r="C850" s="374"/>
      <c r="D850" s="42"/>
      <c r="E850" s="42"/>
      <c r="F850" s="42"/>
      <c r="G850" s="42"/>
      <c r="H850" s="42"/>
      <c r="I850" s="42"/>
      <c r="J850" s="42"/>
      <c r="K850" s="375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</row>
    <row r="851">
      <c r="A851" s="125"/>
      <c r="B851" s="323"/>
      <c r="C851" s="374"/>
      <c r="D851" s="42"/>
      <c r="E851" s="42"/>
      <c r="F851" s="42"/>
      <c r="G851" s="42"/>
      <c r="H851" s="42"/>
      <c r="I851" s="42"/>
      <c r="J851" s="42"/>
      <c r="K851" s="375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</row>
    <row r="852">
      <c r="A852" s="125"/>
      <c r="B852" s="323"/>
      <c r="C852" s="374"/>
      <c r="D852" s="42"/>
      <c r="E852" s="42"/>
      <c r="F852" s="42"/>
      <c r="G852" s="42"/>
      <c r="H852" s="42"/>
      <c r="I852" s="42"/>
      <c r="J852" s="42"/>
      <c r="K852" s="375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</row>
    <row r="853">
      <c r="A853" s="125"/>
      <c r="B853" s="323"/>
      <c r="C853" s="374"/>
      <c r="D853" s="42"/>
      <c r="E853" s="42"/>
      <c r="F853" s="42"/>
      <c r="G853" s="42"/>
      <c r="H853" s="42"/>
      <c r="I853" s="42"/>
      <c r="J853" s="42"/>
      <c r="K853" s="375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</row>
    <row r="854">
      <c r="A854" s="125"/>
      <c r="B854" s="323"/>
      <c r="C854" s="374"/>
      <c r="D854" s="42"/>
      <c r="E854" s="42"/>
      <c r="F854" s="42"/>
      <c r="G854" s="42"/>
      <c r="H854" s="42"/>
      <c r="I854" s="42"/>
      <c r="J854" s="42"/>
      <c r="K854" s="375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</row>
    <row r="855">
      <c r="A855" s="125"/>
      <c r="B855" s="323"/>
      <c r="C855" s="374"/>
      <c r="D855" s="42"/>
      <c r="E855" s="42"/>
      <c r="F855" s="42"/>
      <c r="G855" s="42"/>
      <c r="H855" s="42"/>
      <c r="I855" s="42"/>
      <c r="J855" s="42"/>
      <c r="K855" s="375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</row>
    <row r="856">
      <c r="A856" s="125"/>
      <c r="B856" s="323"/>
      <c r="C856" s="374"/>
      <c r="D856" s="42"/>
      <c r="E856" s="42"/>
      <c r="F856" s="42"/>
      <c r="G856" s="42"/>
      <c r="H856" s="42"/>
      <c r="I856" s="42"/>
      <c r="J856" s="42"/>
      <c r="K856" s="375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</row>
    <row r="857">
      <c r="A857" s="125"/>
      <c r="B857" s="323"/>
      <c r="C857" s="374"/>
      <c r="D857" s="42"/>
      <c r="E857" s="42"/>
      <c r="F857" s="42"/>
      <c r="G857" s="42"/>
      <c r="H857" s="42"/>
      <c r="I857" s="42"/>
      <c r="J857" s="42"/>
      <c r="K857" s="375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</row>
    <row r="858">
      <c r="A858" s="125"/>
      <c r="B858" s="323"/>
      <c r="C858" s="374"/>
      <c r="D858" s="42"/>
      <c r="E858" s="42"/>
      <c r="F858" s="42"/>
      <c r="G858" s="42"/>
      <c r="H858" s="42"/>
      <c r="I858" s="42"/>
      <c r="J858" s="42"/>
      <c r="K858" s="375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</row>
    <row r="859">
      <c r="A859" s="125"/>
      <c r="B859" s="323"/>
      <c r="C859" s="374"/>
      <c r="D859" s="42"/>
      <c r="E859" s="42"/>
      <c r="F859" s="42"/>
      <c r="G859" s="42"/>
      <c r="H859" s="42"/>
      <c r="I859" s="42"/>
      <c r="J859" s="42"/>
      <c r="K859" s="375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</row>
    <row r="860">
      <c r="A860" s="125"/>
      <c r="B860" s="323"/>
      <c r="C860" s="374"/>
      <c r="D860" s="42"/>
      <c r="E860" s="42"/>
      <c r="F860" s="42"/>
      <c r="G860" s="42"/>
      <c r="H860" s="42"/>
      <c r="I860" s="42"/>
      <c r="J860" s="42"/>
      <c r="K860" s="375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</row>
    <row r="861">
      <c r="A861" s="125"/>
      <c r="B861" s="323"/>
      <c r="C861" s="374"/>
      <c r="D861" s="42"/>
      <c r="E861" s="42"/>
      <c r="F861" s="42"/>
      <c r="G861" s="42"/>
      <c r="H861" s="42"/>
      <c r="I861" s="42"/>
      <c r="J861" s="42"/>
      <c r="K861" s="375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</row>
    <row r="862">
      <c r="A862" s="125"/>
      <c r="B862" s="323"/>
      <c r="C862" s="374"/>
      <c r="D862" s="42"/>
      <c r="E862" s="42"/>
      <c r="F862" s="42"/>
      <c r="G862" s="42"/>
      <c r="H862" s="42"/>
      <c r="I862" s="42"/>
      <c r="J862" s="42"/>
      <c r="K862" s="375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</row>
    <row r="863">
      <c r="A863" s="125"/>
      <c r="B863" s="323"/>
      <c r="C863" s="374"/>
      <c r="D863" s="42"/>
      <c r="E863" s="42"/>
      <c r="F863" s="42"/>
      <c r="G863" s="42"/>
      <c r="H863" s="42"/>
      <c r="I863" s="42"/>
      <c r="J863" s="42"/>
      <c r="K863" s="375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</row>
    <row r="864">
      <c r="A864" s="125"/>
      <c r="B864" s="323"/>
      <c r="C864" s="374"/>
      <c r="D864" s="42"/>
      <c r="E864" s="42"/>
      <c r="F864" s="42"/>
      <c r="G864" s="42"/>
      <c r="H864" s="42"/>
      <c r="I864" s="42"/>
      <c r="J864" s="42"/>
      <c r="K864" s="375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</row>
    <row r="865">
      <c r="A865" s="125"/>
      <c r="B865" s="323"/>
      <c r="C865" s="374"/>
      <c r="D865" s="42"/>
      <c r="E865" s="42"/>
      <c r="F865" s="42"/>
      <c r="G865" s="42"/>
      <c r="H865" s="42"/>
      <c r="I865" s="42"/>
      <c r="J865" s="42"/>
      <c r="K865" s="375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</row>
    <row r="866">
      <c r="A866" s="125"/>
      <c r="B866" s="323"/>
      <c r="C866" s="374"/>
      <c r="D866" s="42"/>
      <c r="E866" s="42"/>
      <c r="F866" s="42"/>
      <c r="G866" s="42"/>
      <c r="H866" s="42"/>
      <c r="I866" s="42"/>
      <c r="J866" s="42"/>
      <c r="K866" s="375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</row>
    <row r="867">
      <c r="A867" s="125"/>
      <c r="B867" s="323"/>
      <c r="C867" s="374"/>
      <c r="D867" s="42"/>
      <c r="E867" s="42"/>
      <c r="F867" s="42"/>
      <c r="G867" s="42"/>
      <c r="H867" s="42"/>
      <c r="I867" s="42"/>
      <c r="J867" s="42"/>
      <c r="K867" s="375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</row>
    <row r="868">
      <c r="A868" s="125"/>
      <c r="B868" s="323"/>
      <c r="C868" s="374"/>
      <c r="D868" s="42"/>
      <c r="E868" s="42"/>
      <c r="F868" s="42"/>
      <c r="G868" s="42"/>
      <c r="H868" s="42"/>
      <c r="I868" s="42"/>
      <c r="J868" s="42"/>
      <c r="K868" s="375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</row>
    <row r="869">
      <c r="A869" s="125"/>
      <c r="B869" s="323"/>
      <c r="C869" s="374"/>
      <c r="D869" s="42"/>
      <c r="E869" s="42"/>
      <c r="F869" s="42"/>
      <c r="G869" s="42"/>
      <c r="H869" s="42"/>
      <c r="I869" s="42"/>
      <c r="J869" s="42"/>
      <c r="K869" s="375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</row>
    <row r="870">
      <c r="A870" s="125"/>
      <c r="B870" s="323"/>
      <c r="C870" s="374"/>
      <c r="D870" s="42"/>
      <c r="E870" s="42"/>
      <c r="F870" s="42"/>
      <c r="G870" s="42"/>
      <c r="H870" s="42"/>
      <c r="I870" s="42"/>
      <c r="J870" s="42"/>
      <c r="K870" s="375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</row>
    <row r="871">
      <c r="A871" s="125"/>
      <c r="B871" s="323"/>
      <c r="C871" s="374"/>
      <c r="D871" s="42"/>
      <c r="E871" s="42"/>
      <c r="F871" s="42"/>
      <c r="G871" s="42"/>
      <c r="H871" s="42"/>
      <c r="I871" s="42"/>
      <c r="J871" s="42"/>
      <c r="K871" s="375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</row>
    <row r="872">
      <c r="A872" s="125"/>
      <c r="B872" s="323"/>
      <c r="C872" s="374"/>
      <c r="D872" s="42"/>
      <c r="E872" s="42"/>
      <c r="F872" s="42"/>
      <c r="G872" s="42"/>
      <c r="H872" s="42"/>
      <c r="I872" s="42"/>
      <c r="J872" s="42"/>
      <c r="K872" s="375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</row>
    <row r="873">
      <c r="A873" s="125"/>
      <c r="B873" s="323"/>
      <c r="C873" s="374"/>
      <c r="D873" s="42"/>
      <c r="E873" s="42"/>
      <c r="F873" s="42"/>
      <c r="G873" s="42"/>
      <c r="H873" s="42"/>
      <c r="I873" s="42"/>
      <c r="J873" s="42"/>
      <c r="K873" s="375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</row>
    <row r="874">
      <c r="A874" s="125"/>
      <c r="B874" s="323"/>
      <c r="C874" s="374"/>
      <c r="D874" s="42"/>
      <c r="E874" s="42"/>
      <c r="F874" s="42"/>
      <c r="G874" s="42"/>
      <c r="H874" s="42"/>
      <c r="I874" s="42"/>
      <c r="J874" s="42"/>
      <c r="K874" s="375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</row>
    <row r="875">
      <c r="A875" s="125"/>
      <c r="B875" s="323"/>
      <c r="C875" s="374"/>
      <c r="D875" s="42"/>
      <c r="E875" s="42"/>
      <c r="F875" s="42"/>
      <c r="G875" s="42"/>
      <c r="H875" s="42"/>
      <c r="I875" s="42"/>
      <c r="J875" s="42"/>
      <c r="K875" s="375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</row>
    <row r="876">
      <c r="A876" s="125"/>
      <c r="B876" s="323"/>
      <c r="C876" s="374"/>
      <c r="D876" s="42"/>
      <c r="E876" s="42"/>
      <c r="F876" s="42"/>
      <c r="G876" s="42"/>
      <c r="H876" s="42"/>
      <c r="I876" s="42"/>
      <c r="J876" s="42"/>
      <c r="K876" s="375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</row>
    <row r="877">
      <c r="A877" s="125"/>
      <c r="B877" s="323"/>
      <c r="C877" s="374"/>
      <c r="D877" s="42"/>
      <c r="E877" s="42"/>
      <c r="F877" s="42"/>
      <c r="G877" s="42"/>
      <c r="H877" s="42"/>
      <c r="I877" s="42"/>
      <c r="J877" s="42"/>
      <c r="K877" s="375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</row>
    <row r="878">
      <c r="A878" s="125"/>
      <c r="B878" s="323"/>
      <c r="C878" s="374"/>
      <c r="D878" s="42"/>
      <c r="E878" s="42"/>
      <c r="F878" s="42"/>
      <c r="G878" s="42"/>
      <c r="H878" s="42"/>
      <c r="I878" s="42"/>
      <c r="J878" s="42"/>
      <c r="K878" s="375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</row>
    <row r="879">
      <c r="A879" s="125"/>
      <c r="B879" s="323"/>
      <c r="C879" s="374"/>
      <c r="D879" s="42"/>
      <c r="E879" s="42"/>
      <c r="F879" s="42"/>
      <c r="G879" s="42"/>
      <c r="H879" s="42"/>
      <c r="I879" s="42"/>
      <c r="J879" s="42"/>
      <c r="K879" s="375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</row>
    <row r="880">
      <c r="A880" s="125"/>
      <c r="B880" s="323"/>
      <c r="C880" s="374"/>
      <c r="D880" s="42"/>
      <c r="E880" s="42"/>
      <c r="F880" s="42"/>
      <c r="G880" s="42"/>
      <c r="H880" s="42"/>
      <c r="I880" s="42"/>
      <c r="J880" s="42"/>
      <c r="K880" s="375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</row>
    <row r="881">
      <c r="A881" s="125"/>
      <c r="B881" s="323"/>
      <c r="C881" s="374"/>
      <c r="D881" s="42"/>
      <c r="E881" s="42"/>
      <c r="F881" s="42"/>
      <c r="G881" s="42"/>
      <c r="H881" s="42"/>
      <c r="I881" s="42"/>
      <c r="J881" s="42"/>
      <c r="K881" s="375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</row>
    <row r="882">
      <c r="A882" s="125"/>
      <c r="B882" s="323"/>
      <c r="C882" s="374"/>
      <c r="D882" s="42"/>
      <c r="E882" s="42"/>
      <c r="F882" s="42"/>
      <c r="G882" s="42"/>
      <c r="H882" s="42"/>
      <c r="I882" s="42"/>
      <c r="J882" s="42"/>
      <c r="K882" s="375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</row>
    <row r="883">
      <c r="A883" s="125"/>
      <c r="B883" s="323"/>
      <c r="C883" s="374"/>
      <c r="D883" s="42"/>
      <c r="E883" s="42"/>
      <c r="F883" s="42"/>
      <c r="G883" s="42"/>
      <c r="H883" s="42"/>
      <c r="I883" s="42"/>
      <c r="J883" s="42"/>
      <c r="K883" s="375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</row>
    <row r="884">
      <c r="A884" s="125"/>
      <c r="B884" s="323"/>
      <c r="C884" s="374"/>
      <c r="D884" s="42"/>
      <c r="E884" s="42"/>
      <c r="F884" s="42"/>
      <c r="G884" s="42"/>
      <c r="H884" s="42"/>
      <c r="I884" s="42"/>
      <c r="J884" s="42"/>
      <c r="K884" s="375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</row>
    <row r="885">
      <c r="A885" s="125"/>
      <c r="B885" s="323"/>
      <c r="C885" s="374"/>
      <c r="D885" s="42"/>
      <c r="E885" s="42"/>
      <c r="F885" s="42"/>
      <c r="G885" s="42"/>
      <c r="H885" s="42"/>
      <c r="I885" s="42"/>
      <c r="J885" s="42"/>
      <c r="K885" s="375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</row>
    <row r="886">
      <c r="A886" s="125"/>
      <c r="B886" s="323"/>
      <c r="C886" s="374"/>
      <c r="D886" s="42"/>
      <c r="E886" s="42"/>
      <c r="F886" s="42"/>
      <c r="G886" s="42"/>
      <c r="H886" s="42"/>
      <c r="I886" s="42"/>
      <c r="J886" s="42"/>
      <c r="K886" s="375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</row>
    <row r="887">
      <c r="A887" s="125"/>
      <c r="B887" s="323"/>
      <c r="C887" s="374"/>
      <c r="D887" s="42"/>
      <c r="E887" s="42"/>
      <c r="F887" s="42"/>
      <c r="G887" s="42"/>
      <c r="H887" s="42"/>
      <c r="I887" s="42"/>
      <c r="J887" s="42"/>
      <c r="K887" s="375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</row>
    <row r="888">
      <c r="A888" s="125"/>
      <c r="B888" s="323"/>
      <c r="C888" s="374"/>
      <c r="D888" s="42"/>
      <c r="E888" s="42"/>
      <c r="F888" s="42"/>
      <c r="G888" s="42"/>
      <c r="H888" s="42"/>
      <c r="I888" s="42"/>
      <c r="J888" s="42"/>
      <c r="K888" s="375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</row>
    <row r="889">
      <c r="A889" s="125"/>
      <c r="B889" s="323"/>
      <c r="C889" s="374"/>
      <c r="D889" s="42"/>
      <c r="E889" s="42"/>
      <c r="F889" s="42"/>
      <c r="G889" s="42"/>
      <c r="H889" s="42"/>
      <c r="I889" s="42"/>
      <c r="J889" s="42"/>
      <c r="K889" s="375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</row>
    <row r="890">
      <c r="A890" s="125"/>
      <c r="B890" s="323"/>
      <c r="C890" s="374"/>
      <c r="D890" s="42"/>
      <c r="E890" s="42"/>
      <c r="F890" s="42"/>
      <c r="G890" s="42"/>
      <c r="H890" s="42"/>
      <c r="I890" s="42"/>
      <c r="J890" s="42"/>
      <c r="K890" s="375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</row>
    <row r="891">
      <c r="A891" s="125"/>
      <c r="B891" s="323"/>
      <c r="C891" s="374"/>
      <c r="D891" s="42"/>
      <c r="E891" s="42"/>
      <c r="F891" s="42"/>
      <c r="G891" s="42"/>
      <c r="H891" s="42"/>
      <c r="I891" s="42"/>
      <c r="J891" s="42"/>
      <c r="K891" s="375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</row>
    <row r="892">
      <c r="A892" s="125"/>
      <c r="B892" s="323"/>
      <c r="C892" s="374"/>
      <c r="D892" s="42"/>
      <c r="E892" s="42"/>
      <c r="F892" s="42"/>
      <c r="G892" s="42"/>
      <c r="H892" s="42"/>
      <c r="I892" s="42"/>
      <c r="J892" s="42"/>
      <c r="K892" s="375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</row>
    <row r="893">
      <c r="A893" s="125"/>
      <c r="B893" s="323"/>
      <c r="C893" s="374"/>
      <c r="D893" s="42"/>
      <c r="E893" s="42"/>
      <c r="F893" s="42"/>
      <c r="G893" s="42"/>
      <c r="H893" s="42"/>
      <c r="I893" s="42"/>
      <c r="J893" s="42"/>
      <c r="K893" s="375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</row>
    <row r="894">
      <c r="A894" s="125"/>
      <c r="B894" s="323"/>
      <c r="C894" s="374"/>
      <c r="D894" s="42"/>
      <c r="E894" s="42"/>
      <c r="F894" s="42"/>
      <c r="G894" s="42"/>
      <c r="H894" s="42"/>
      <c r="I894" s="42"/>
      <c r="J894" s="42"/>
      <c r="K894" s="375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</row>
    <row r="895">
      <c r="A895" s="125"/>
      <c r="B895" s="323"/>
      <c r="C895" s="374"/>
      <c r="D895" s="42"/>
      <c r="E895" s="42"/>
      <c r="F895" s="42"/>
      <c r="G895" s="42"/>
      <c r="H895" s="42"/>
      <c r="I895" s="42"/>
      <c r="J895" s="42"/>
      <c r="K895" s="375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</row>
    <row r="896">
      <c r="A896" s="125"/>
      <c r="B896" s="323"/>
      <c r="C896" s="374"/>
      <c r="D896" s="42"/>
      <c r="E896" s="42"/>
      <c r="F896" s="42"/>
      <c r="G896" s="42"/>
      <c r="H896" s="42"/>
      <c r="I896" s="42"/>
      <c r="J896" s="42"/>
      <c r="K896" s="375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</row>
    <row r="897">
      <c r="A897" s="125"/>
      <c r="B897" s="323"/>
      <c r="C897" s="374"/>
      <c r="D897" s="42"/>
      <c r="E897" s="42"/>
      <c r="F897" s="42"/>
      <c r="G897" s="42"/>
      <c r="H897" s="42"/>
      <c r="I897" s="42"/>
      <c r="J897" s="42"/>
      <c r="K897" s="375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</row>
    <row r="898">
      <c r="A898" s="125"/>
      <c r="B898" s="323"/>
      <c r="C898" s="374"/>
      <c r="D898" s="42"/>
      <c r="E898" s="42"/>
      <c r="F898" s="42"/>
      <c r="G898" s="42"/>
      <c r="H898" s="42"/>
      <c r="I898" s="42"/>
      <c r="J898" s="42"/>
      <c r="K898" s="375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</row>
    <row r="899">
      <c r="A899" s="125"/>
      <c r="B899" s="323"/>
      <c r="C899" s="374"/>
      <c r="D899" s="42"/>
      <c r="E899" s="42"/>
      <c r="F899" s="42"/>
      <c r="G899" s="42"/>
      <c r="H899" s="42"/>
      <c r="I899" s="42"/>
      <c r="J899" s="42"/>
      <c r="K899" s="375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</row>
    <row r="900">
      <c r="A900" s="125"/>
      <c r="B900" s="323"/>
      <c r="C900" s="374"/>
      <c r="D900" s="42"/>
      <c r="E900" s="42"/>
      <c r="F900" s="42"/>
      <c r="G900" s="42"/>
      <c r="H900" s="42"/>
      <c r="I900" s="42"/>
      <c r="J900" s="42"/>
      <c r="K900" s="375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</row>
    <row r="901">
      <c r="A901" s="125"/>
      <c r="B901" s="323"/>
      <c r="C901" s="374"/>
      <c r="D901" s="42"/>
      <c r="E901" s="42"/>
      <c r="F901" s="42"/>
      <c r="G901" s="42"/>
      <c r="H901" s="42"/>
      <c r="I901" s="42"/>
      <c r="J901" s="42"/>
      <c r="K901" s="375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</row>
    <row r="902">
      <c r="A902" s="125"/>
      <c r="B902" s="323"/>
      <c r="C902" s="374"/>
      <c r="D902" s="42"/>
      <c r="E902" s="42"/>
      <c r="F902" s="42"/>
      <c r="G902" s="42"/>
      <c r="H902" s="42"/>
      <c r="I902" s="42"/>
      <c r="J902" s="42"/>
      <c r="K902" s="375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</row>
    <row r="903">
      <c r="A903" s="125"/>
      <c r="B903" s="323"/>
      <c r="C903" s="374"/>
      <c r="D903" s="42"/>
      <c r="E903" s="42"/>
      <c r="F903" s="42"/>
      <c r="G903" s="42"/>
      <c r="H903" s="42"/>
      <c r="I903" s="42"/>
      <c r="J903" s="42"/>
      <c r="K903" s="375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</row>
    <row r="904">
      <c r="A904" s="125"/>
      <c r="B904" s="323"/>
      <c r="C904" s="374"/>
      <c r="D904" s="42"/>
      <c r="E904" s="42"/>
      <c r="F904" s="42"/>
      <c r="G904" s="42"/>
      <c r="H904" s="42"/>
      <c r="I904" s="42"/>
      <c r="J904" s="42"/>
      <c r="K904" s="375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</row>
    <row r="905">
      <c r="A905" s="125"/>
      <c r="B905" s="323"/>
      <c r="C905" s="374"/>
      <c r="D905" s="42"/>
      <c r="E905" s="42"/>
      <c r="F905" s="42"/>
      <c r="G905" s="42"/>
      <c r="H905" s="42"/>
      <c r="I905" s="42"/>
      <c r="J905" s="42"/>
      <c r="K905" s="375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</row>
    <row r="906">
      <c r="A906" s="125"/>
      <c r="B906" s="323"/>
      <c r="C906" s="374"/>
      <c r="D906" s="42"/>
      <c r="E906" s="42"/>
      <c r="F906" s="42"/>
      <c r="G906" s="42"/>
      <c r="H906" s="42"/>
      <c r="I906" s="42"/>
      <c r="J906" s="42"/>
      <c r="K906" s="375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</row>
    <row r="907">
      <c r="A907" s="125"/>
      <c r="B907" s="323"/>
      <c r="C907" s="374"/>
      <c r="D907" s="42"/>
      <c r="E907" s="42"/>
      <c r="F907" s="42"/>
      <c r="G907" s="42"/>
      <c r="H907" s="42"/>
      <c r="I907" s="42"/>
      <c r="J907" s="42"/>
      <c r="K907" s="375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</row>
    <row r="908">
      <c r="A908" s="125"/>
      <c r="B908" s="323"/>
      <c r="C908" s="374"/>
      <c r="D908" s="42"/>
      <c r="E908" s="42"/>
      <c r="F908" s="42"/>
      <c r="G908" s="42"/>
      <c r="H908" s="42"/>
      <c r="I908" s="42"/>
      <c r="J908" s="42"/>
      <c r="K908" s="375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</row>
    <row r="909">
      <c r="A909" s="125"/>
      <c r="B909" s="323"/>
      <c r="C909" s="374"/>
      <c r="D909" s="42"/>
      <c r="E909" s="42"/>
      <c r="F909" s="42"/>
      <c r="G909" s="42"/>
      <c r="H909" s="42"/>
      <c r="I909" s="42"/>
      <c r="J909" s="42"/>
      <c r="K909" s="375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</row>
    <row r="910">
      <c r="A910" s="125"/>
      <c r="B910" s="323"/>
      <c r="C910" s="374"/>
      <c r="D910" s="42"/>
      <c r="E910" s="42"/>
      <c r="F910" s="42"/>
      <c r="G910" s="42"/>
      <c r="H910" s="42"/>
      <c r="I910" s="42"/>
      <c r="J910" s="42"/>
      <c r="K910" s="375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</row>
    <row r="911">
      <c r="A911" s="125"/>
      <c r="B911" s="323"/>
      <c r="C911" s="374"/>
      <c r="D911" s="42"/>
      <c r="E911" s="42"/>
      <c r="F911" s="42"/>
      <c r="G911" s="42"/>
      <c r="H911" s="42"/>
      <c r="I911" s="42"/>
      <c r="J911" s="42"/>
      <c r="K911" s="375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</row>
    <row r="912">
      <c r="A912" s="125"/>
      <c r="B912" s="323"/>
      <c r="C912" s="374"/>
      <c r="D912" s="42"/>
      <c r="E912" s="42"/>
      <c r="F912" s="42"/>
      <c r="G912" s="42"/>
      <c r="H912" s="42"/>
      <c r="I912" s="42"/>
      <c r="J912" s="42"/>
      <c r="K912" s="375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</row>
    <row r="913">
      <c r="A913" s="125"/>
      <c r="B913" s="323"/>
      <c r="C913" s="374"/>
      <c r="D913" s="42"/>
      <c r="E913" s="42"/>
      <c r="F913" s="42"/>
      <c r="G913" s="42"/>
      <c r="H913" s="42"/>
      <c r="I913" s="42"/>
      <c r="J913" s="42"/>
      <c r="K913" s="375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</row>
    <row r="914">
      <c r="A914" s="125"/>
      <c r="B914" s="323"/>
      <c r="C914" s="374"/>
      <c r="D914" s="42"/>
      <c r="E914" s="42"/>
      <c r="F914" s="42"/>
      <c r="G914" s="42"/>
      <c r="H914" s="42"/>
      <c r="I914" s="42"/>
      <c r="J914" s="42"/>
      <c r="K914" s="375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</row>
    <row r="915">
      <c r="A915" s="125"/>
      <c r="B915" s="323"/>
      <c r="C915" s="374"/>
      <c r="D915" s="42"/>
      <c r="E915" s="42"/>
      <c r="F915" s="42"/>
      <c r="G915" s="42"/>
      <c r="H915" s="42"/>
      <c r="I915" s="42"/>
      <c r="J915" s="42"/>
      <c r="K915" s="375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</row>
    <row r="916">
      <c r="A916" s="125"/>
      <c r="B916" s="323"/>
      <c r="C916" s="374"/>
      <c r="D916" s="42"/>
      <c r="E916" s="42"/>
      <c r="F916" s="42"/>
      <c r="G916" s="42"/>
      <c r="H916" s="42"/>
      <c r="I916" s="42"/>
      <c r="J916" s="42"/>
      <c r="K916" s="375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</row>
    <row r="917">
      <c r="A917" s="125"/>
      <c r="B917" s="323"/>
      <c r="C917" s="374"/>
      <c r="D917" s="42"/>
      <c r="E917" s="42"/>
      <c r="F917" s="42"/>
      <c r="G917" s="42"/>
      <c r="H917" s="42"/>
      <c r="I917" s="42"/>
      <c r="J917" s="42"/>
      <c r="K917" s="375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</row>
    <row r="918">
      <c r="A918" s="125"/>
      <c r="B918" s="323"/>
      <c r="C918" s="374"/>
      <c r="D918" s="42"/>
      <c r="E918" s="42"/>
      <c r="F918" s="42"/>
      <c r="G918" s="42"/>
      <c r="H918" s="42"/>
      <c r="I918" s="42"/>
      <c r="J918" s="42"/>
      <c r="K918" s="375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</row>
    <row r="919">
      <c r="A919" s="125"/>
      <c r="B919" s="323"/>
      <c r="C919" s="374"/>
      <c r="D919" s="42"/>
      <c r="E919" s="42"/>
      <c r="F919" s="42"/>
      <c r="G919" s="42"/>
      <c r="H919" s="42"/>
      <c r="I919" s="42"/>
      <c r="J919" s="42"/>
      <c r="K919" s="375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</row>
    <row r="920">
      <c r="A920" s="125"/>
      <c r="B920" s="323"/>
      <c r="C920" s="374"/>
      <c r="D920" s="42"/>
      <c r="E920" s="42"/>
      <c r="F920" s="42"/>
      <c r="G920" s="42"/>
      <c r="H920" s="42"/>
      <c r="I920" s="42"/>
      <c r="J920" s="42"/>
      <c r="K920" s="375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</row>
    <row r="921">
      <c r="A921" s="125"/>
      <c r="B921" s="323"/>
      <c r="C921" s="374"/>
      <c r="D921" s="42"/>
      <c r="E921" s="42"/>
      <c r="F921" s="42"/>
      <c r="G921" s="42"/>
      <c r="H921" s="42"/>
      <c r="I921" s="42"/>
      <c r="J921" s="42"/>
      <c r="K921" s="375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</row>
    <row r="922">
      <c r="A922" s="125"/>
      <c r="B922" s="323"/>
      <c r="C922" s="374"/>
      <c r="D922" s="42"/>
      <c r="E922" s="42"/>
      <c r="F922" s="42"/>
      <c r="G922" s="42"/>
      <c r="H922" s="42"/>
      <c r="I922" s="42"/>
      <c r="J922" s="42"/>
      <c r="K922" s="375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</row>
    <row r="923">
      <c r="A923" s="125"/>
      <c r="B923" s="323"/>
      <c r="C923" s="374"/>
      <c r="D923" s="42"/>
      <c r="E923" s="42"/>
      <c r="F923" s="42"/>
      <c r="G923" s="42"/>
      <c r="H923" s="42"/>
      <c r="I923" s="42"/>
      <c r="J923" s="42"/>
      <c r="K923" s="375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</row>
    <row r="924">
      <c r="A924" s="125"/>
      <c r="B924" s="323"/>
      <c r="C924" s="374"/>
      <c r="D924" s="42"/>
      <c r="E924" s="42"/>
      <c r="F924" s="42"/>
      <c r="G924" s="42"/>
      <c r="H924" s="42"/>
      <c r="I924" s="42"/>
      <c r="J924" s="42"/>
      <c r="K924" s="375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</row>
    <row r="925">
      <c r="A925" s="125"/>
      <c r="B925" s="323"/>
      <c r="C925" s="374"/>
      <c r="D925" s="42"/>
      <c r="E925" s="42"/>
      <c r="F925" s="42"/>
      <c r="G925" s="42"/>
      <c r="H925" s="42"/>
      <c r="I925" s="42"/>
      <c r="J925" s="42"/>
      <c r="K925" s="375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</row>
    <row r="926">
      <c r="A926" s="125"/>
      <c r="B926" s="323"/>
      <c r="C926" s="374"/>
      <c r="D926" s="42"/>
      <c r="E926" s="42"/>
      <c r="F926" s="42"/>
      <c r="G926" s="42"/>
      <c r="H926" s="42"/>
      <c r="I926" s="42"/>
      <c r="J926" s="42"/>
      <c r="K926" s="375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</row>
    <row r="927">
      <c r="A927" s="125"/>
      <c r="B927" s="323"/>
      <c r="C927" s="374"/>
      <c r="D927" s="42"/>
      <c r="E927" s="42"/>
      <c r="F927" s="42"/>
      <c r="G927" s="42"/>
      <c r="H927" s="42"/>
      <c r="I927" s="42"/>
      <c r="J927" s="42"/>
      <c r="K927" s="375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</row>
    <row r="928">
      <c r="A928" s="125"/>
      <c r="B928" s="323"/>
      <c r="C928" s="374"/>
      <c r="D928" s="42"/>
      <c r="E928" s="42"/>
      <c r="F928" s="42"/>
      <c r="G928" s="42"/>
      <c r="H928" s="42"/>
      <c r="I928" s="42"/>
      <c r="J928" s="42"/>
      <c r="K928" s="375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</row>
    <row r="929">
      <c r="A929" s="125"/>
      <c r="B929" s="323"/>
      <c r="C929" s="374"/>
      <c r="D929" s="42"/>
      <c r="E929" s="42"/>
      <c r="F929" s="42"/>
      <c r="G929" s="42"/>
      <c r="H929" s="42"/>
      <c r="I929" s="42"/>
      <c r="J929" s="42"/>
      <c r="K929" s="375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</row>
    <row r="930">
      <c r="A930" s="125"/>
      <c r="B930" s="323"/>
      <c r="C930" s="374"/>
      <c r="D930" s="42"/>
      <c r="E930" s="42"/>
      <c r="F930" s="42"/>
      <c r="G930" s="42"/>
      <c r="H930" s="42"/>
      <c r="I930" s="42"/>
      <c r="J930" s="42"/>
      <c r="K930" s="375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</row>
    <row r="931">
      <c r="A931" s="125"/>
      <c r="B931" s="323"/>
      <c r="C931" s="374"/>
      <c r="D931" s="42"/>
      <c r="E931" s="42"/>
      <c r="F931" s="42"/>
      <c r="G931" s="42"/>
      <c r="H931" s="42"/>
      <c r="I931" s="42"/>
      <c r="J931" s="42"/>
      <c r="K931" s="375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</row>
    <row r="932">
      <c r="A932" s="125"/>
      <c r="B932" s="323"/>
      <c r="C932" s="374"/>
      <c r="D932" s="42"/>
      <c r="E932" s="42"/>
      <c r="F932" s="42"/>
      <c r="G932" s="42"/>
      <c r="H932" s="42"/>
      <c r="I932" s="42"/>
      <c r="J932" s="42"/>
      <c r="K932" s="375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</row>
    <row r="933">
      <c r="A933" s="125"/>
      <c r="B933" s="323"/>
      <c r="C933" s="374"/>
      <c r="D933" s="42"/>
      <c r="E933" s="42"/>
      <c r="F933" s="42"/>
      <c r="G933" s="42"/>
      <c r="H933" s="42"/>
      <c r="I933" s="42"/>
      <c r="J933" s="42"/>
      <c r="K933" s="375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</row>
    <row r="934">
      <c r="A934" s="125"/>
      <c r="B934" s="323"/>
      <c r="C934" s="374"/>
      <c r="D934" s="42"/>
      <c r="E934" s="42"/>
      <c r="F934" s="42"/>
      <c r="G934" s="42"/>
      <c r="H934" s="42"/>
      <c r="I934" s="42"/>
      <c r="J934" s="42"/>
      <c r="K934" s="375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</row>
    <row r="935">
      <c r="A935" s="125"/>
      <c r="B935" s="323"/>
      <c r="C935" s="374"/>
      <c r="D935" s="42"/>
      <c r="E935" s="42"/>
      <c r="F935" s="42"/>
      <c r="G935" s="42"/>
      <c r="H935" s="42"/>
      <c r="I935" s="42"/>
      <c r="J935" s="42"/>
      <c r="K935" s="375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</row>
    <row r="936">
      <c r="A936" s="125"/>
      <c r="B936" s="323"/>
      <c r="C936" s="374"/>
      <c r="D936" s="42"/>
      <c r="E936" s="42"/>
      <c r="F936" s="42"/>
      <c r="G936" s="42"/>
      <c r="H936" s="42"/>
      <c r="I936" s="42"/>
      <c r="J936" s="42"/>
      <c r="K936" s="375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</row>
    <row r="937">
      <c r="A937" s="125"/>
      <c r="B937" s="323"/>
      <c r="C937" s="374"/>
      <c r="D937" s="42"/>
      <c r="E937" s="42"/>
      <c r="F937" s="42"/>
      <c r="G937" s="42"/>
      <c r="H937" s="42"/>
      <c r="I937" s="42"/>
      <c r="J937" s="42"/>
      <c r="K937" s="375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</row>
    <row r="938">
      <c r="A938" s="125"/>
      <c r="B938" s="323"/>
      <c r="C938" s="374"/>
      <c r="D938" s="42"/>
      <c r="E938" s="42"/>
      <c r="F938" s="42"/>
      <c r="G938" s="42"/>
      <c r="H938" s="42"/>
      <c r="I938" s="42"/>
      <c r="J938" s="42"/>
      <c r="K938" s="375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</row>
    <row r="939">
      <c r="A939" s="125"/>
      <c r="B939" s="323"/>
      <c r="C939" s="374"/>
      <c r="D939" s="42"/>
      <c r="E939" s="42"/>
      <c r="F939" s="42"/>
      <c r="G939" s="42"/>
      <c r="H939" s="42"/>
      <c r="I939" s="42"/>
      <c r="J939" s="42"/>
      <c r="K939" s="375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</row>
    <row r="940">
      <c r="A940" s="125"/>
      <c r="B940" s="323"/>
      <c r="C940" s="374"/>
      <c r="D940" s="42"/>
      <c r="E940" s="42"/>
      <c r="F940" s="42"/>
      <c r="G940" s="42"/>
      <c r="H940" s="42"/>
      <c r="I940" s="42"/>
      <c r="J940" s="42"/>
      <c r="K940" s="375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</row>
    <row r="941">
      <c r="A941" s="125"/>
      <c r="B941" s="323"/>
      <c r="C941" s="374"/>
      <c r="D941" s="42"/>
      <c r="E941" s="42"/>
      <c r="F941" s="42"/>
      <c r="G941" s="42"/>
      <c r="H941" s="42"/>
      <c r="I941" s="42"/>
      <c r="J941" s="42"/>
      <c r="K941" s="375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</row>
    <row r="942">
      <c r="A942" s="125"/>
      <c r="B942" s="323"/>
      <c r="C942" s="374"/>
      <c r="D942" s="42"/>
      <c r="E942" s="42"/>
      <c r="F942" s="42"/>
      <c r="G942" s="42"/>
      <c r="H942" s="42"/>
      <c r="I942" s="42"/>
      <c r="J942" s="42"/>
      <c r="K942" s="375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</row>
    <row r="943">
      <c r="A943" s="125"/>
      <c r="B943" s="323"/>
      <c r="C943" s="374"/>
      <c r="D943" s="42"/>
      <c r="E943" s="42"/>
      <c r="F943" s="42"/>
      <c r="G943" s="42"/>
      <c r="H943" s="42"/>
      <c r="I943" s="42"/>
      <c r="J943" s="42"/>
      <c r="K943" s="375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</row>
    <row r="944">
      <c r="A944" s="125"/>
      <c r="B944" s="323"/>
      <c r="C944" s="374"/>
      <c r="D944" s="42"/>
      <c r="E944" s="42"/>
      <c r="F944" s="42"/>
      <c r="G944" s="42"/>
      <c r="H944" s="42"/>
      <c r="I944" s="42"/>
      <c r="J944" s="42"/>
      <c r="K944" s="375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</row>
    <row r="945">
      <c r="A945" s="125"/>
      <c r="B945" s="323"/>
      <c r="C945" s="374"/>
      <c r="D945" s="42"/>
      <c r="E945" s="42"/>
      <c r="F945" s="42"/>
      <c r="G945" s="42"/>
      <c r="H945" s="42"/>
      <c r="I945" s="42"/>
      <c r="J945" s="42"/>
      <c r="K945" s="375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</row>
    <row r="946">
      <c r="A946" s="125"/>
      <c r="B946" s="323"/>
      <c r="C946" s="374"/>
      <c r="D946" s="42"/>
      <c r="E946" s="42"/>
      <c r="F946" s="42"/>
      <c r="G946" s="42"/>
      <c r="H946" s="42"/>
      <c r="I946" s="42"/>
      <c r="J946" s="42"/>
      <c r="K946" s="375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</row>
    <row r="947">
      <c r="A947" s="125"/>
      <c r="B947" s="323"/>
      <c r="C947" s="374"/>
      <c r="D947" s="42"/>
      <c r="E947" s="42"/>
      <c r="F947" s="42"/>
      <c r="G947" s="42"/>
      <c r="H947" s="42"/>
      <c r="I947" s="42"/>
      <c r="J947" s="42"/>
      <c r="K947" s="375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</row>
    <row r="948">
      <c r="A948" s="125"/>
      <c r="B948" s="323"/>
      <c r="C948" s="374"/>
      <c r="D948" s="42"/>
      <c r="E948" s="42"/>
      <c r="F948" s="42"/>
      <c r="G948" s="42"/>
      <c r="H948" s="42"/>
      <c r="I948" s="42"/>
      <c r="J948" s="42"/>
      <c r="K948" s="375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</row>
    <row r="949">
      <c r="A949" s="125"/>
      <c r="B949" s="323"/>
      <c r="C949" s="374"/>
      <c r="D949" s="42"/>
      <c r="E949" s="42"/>
      <c r="F949" s="42"/>
      <c r="G949" s="42"/>
      <c r="H949" s="42"/>
      <c r="I949" s="42"/>
      <c r="J949" s="42"/>
      <c r="K949" s="375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</row>
    <row r="950">
      <c r="A950" s="125"/>
      <c r="B950" s="323"/>
      <c r="C950" s="374"/>
      <c r="D950" s="42"/>
      <c r="E950" s="42"/>
      <c r="F950" s="42"/>
      <c r="G950" s="42"/>
      <c r="H950" s="42"/>
      <c r="I950" s="42"/>
      <c r="J950" s="42"/>
      <c r="K950" s="375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</row>
    <row r="951">
      <c r="A951" s="125"/>
      <c r="B951" s="323"/>
      <c r="C951" s="374"/>
      <c r="D951" s="42"/>
      <c r="E951" s="42"/>
      <c r="F951" s="42"/>
      <c r="G951" s="42"/>
      <c r="H951" s="42"/>
      <c r="I951" s="42"/>
      <c r="J951" s="42"/>
      <c r="K951" s="375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</row>
    <row r="952">
      <c r="A952" s="125"/>
      <c r="B952" s="323"/>
      <c r="C952" s="374"/>
      <c r="D952" s="42"/>
      <c r="E952" s="42"/>
      <c r="F952" s="42"/>
      <c r="G952" s="42"/>
      <c r="H952" s="42"/>
      <c r="I952" s="42"/>
      <c r="J952" s="42"/>
      <c r="K952" s="375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</row>
    <row r="953">
      <c r="A953" s="125"/>
      <c r="B953" s="323"/>
      <c r="C953" s="374"/>
      <c r="D953" s="42"/>
      <c r="E953" s="42"/>
      <c r="F953" s="42"/>
      <c r="G953" s="42"/>
      <c r="H953" s="42"/>
      <c r="I953" s="42"/>
      <c r="J953" s="42"/>
      <c r="K953" s="375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</row>
    <row r="954">
      <c r="A954" s="125"/>
      <c r="B954" s="323"/>
      <c r="C954" s="374"/>
      <c r="D954" s="42"/>
      <c r="E954" s="42"/>
      <c r="F954" s="42"/>
      <c r="G954" s="42"/>
      <c r="H954" s="42"/>
      <c r="I954" s="42"/>
      <c r="J954" s="42"/>
      <c r="K954" s="375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</row>
    <row r="955">
      <c r="A955" s="125"/>
      <c r="B955" s="323"/>
      <c r="C955" s="374"/>
      <c r="D955" s="42"/>
      <c r="E955" s="42"/>
      <c r="F955" s="42"/>
      <c r="G955" s="42"/>
      <c r="H955" s="42"/>
      <c r="I955" s="42"/>
      <c r="J955" s="42"/>
      <c r="K955" s="375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</row>
    <row r="956">
      <c r="A956" s="125"/>
      <c r="B956" s="323"/>
      <c r="C956" s="374"/>
      <c r="D956" s="42"/>
      <c r="E956" s="42"/>
      <c r="F956" s="42"/>
      <c r="G956" s="42"/>
      <c r="H956" s="42"/>
      <c r="I956" s="42"/>
      <c r="J956" s="42"/>
      <c r="K956" s="375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</row>
    <row r="957">
      <c r="A957" s="125"/>
      <c r="B957" s="323"/>
      <c r="C957" s="374"/>
      <c r="D957" s="42"/>
      <c r="E957" s="42"/>
      <c r="F957" s="42"/>
      <c r="G957" s="42"/>
      <c r="H957" s="42"/>
      <c r="I957" s="42"/>
      <c r="J957" s="42"/>
      <c r="K957" s="375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</row>
    <row r="958">
      <c r="A958" s="125"/>
      <c r="B958" s="323"/>
      <c r="C958" s="374"/>
      <c r="D958" s="42"/>
      <c r="E958" s="42"/>
      <c r="F958" s="42"/>
      <c r="G958" s="42"/>
      <c r="H958" s="42"/>
      <c r="I958" s="42"/>
      <c r="J958" s="42"/>
      <c r="K958" s="375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</row>
    <row r="959">
      <c r="A959" s="125"/>
      <c r="B959" s="323"/>
      <c r="C959" s="374"/>
      <c r="D959" s="42"/>
      <c r="E959" s="42"/>
      <c r="F959" s="42"/>
      <c r="G959" s="42"/>
      <c r="H959" s="42"/>
      <c r="I959" s="42"/>
      <c r="J959" s="42"/>
      <c r="K959" s="375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</row>
    <row r="960">
      <c r="A960" s="125"/>
      <c r="B960" s="323"/>
      <c r="C960" s="374"/>
      <c r="D960" s="42"/>
      <c r="E960" s="42"/>
      <c r="F960" s="42"/>
      <c r="G960" s="42"/>
      <c r="H960" s="42"/>
      <c r="I960" s="42"/>
      <c r="J960" s="42"/>
      <c r="K960" s="375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</row>
    <row r="961">
      <c r="A961" s="125"/>
      <c r="B961" s="323"/>
      <c r="C961" s="374"/>
      <c r="D961" s="42"/>
      <c r="E961" s="42"/>
      <c r="F961" s="42"/>
      <c r="G961" s="42"/>
      <c r="H961" s="42"/>
      <c r="I961" s="42"/>
      <c r="J961" s="42"/>
      <c r="K961" s="375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</row>
    <row r="962">
      <c r="A962" s="125"/>
      <c r="B962" s="323"/>
      <c r="C962" s="374"/>
      <c r="D962" s="42"/>
      <c r="E962" s="42"/>
      <c r="F962" s="42"/>
      <c r="G962" s="42"/>
      <c r="H962" s="42"/>
      <c r="I962" s="42"/>
      <c r="J962" s="42"/>
      <c r="K962" s="375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</row>
    <row r="963">
      <c r="A963" s="125"/>
      <c r="B963" s="323"/>
      <c r="C963" s="374"/>
      <c r="D963" s="42"/>
      <c r="E963" s="42"/>
      <c r="F963" s="42"/>
      <c r="G963" s="42"/>
      <c r="H963" s="42"/>
      <c r="I963" s="42"/>
      <c r="J963" s="42"/>
      <c r="K963" s="375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</row>
    <row r="964">
      <c r="A964" s="125"/>
      <c r="B964" s="323"/>
      <c r="C964" s="374"/>
      <c r="D964" s="42"/>
      <c r="E964" s="42"/>
      <c r="F964" s="42"/>
      <c r="G964" s="42"/>
      <c r="H964" s="42"/>
      <c r="I964" s="42"/>
      <c r="J964" s="42"/>
      <c r="K964" s="375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</row>
    <row r="965">
      <c r="A965" s="125"/>
      <c r="B965" s="323"/>
      <c r="C965" s="374"/>
      <c r="D965" s="42"/>
      <c r="E965" s="42"/>
      <c r="F965" s="42"/>
      <c r="G965" s="42"/>
      <c r="H965" s="42"/>
      <c r="I965" s="42"/>
      <c r="J965" s="42"/>
      <c r="K965" s="375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</row>
    <row r="966">
      <c r="A966" s="125"/>
      <c r="B966" s="323"/>
      <c r="C966" s="374"/>
      <c r="D966" s="42"/>
      <c r="E966" s="42"/>
      <c r="F966" s="42"/>
      <c r="G966" s="42"/>
      <c r="H966" s="42"/>
      <c r="I966" s="42"/>
      <c r="J966" s="42"/>
      <c r="K966" s="375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</row>
    <row r="967">
      <c r="A967" s="125"/>
      <c r="B967" s="323"/>
      <c r="C967" s="374"/>
      <c r="D967" s="42"/>
      <c r="E967" s="42"/>
      <c r="F967" s="42"/>
      <c r="G967" s="42"/>
      <c r="H967" s="42"/>
      <c r="I967" s="42"/>
      <c r="J967" s="42"/>
      <c r="K967" s="375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</row>
    <row r="968">
      <c r="A968" s="125"/>
      <c r="B968" s="323"/>
      <c r="C968" s="374"/>
      <c r="D968" s="42"/>
      <c r="E968" s="42"/>
      <c r="F968" s="42"/>
      <c r="G968" s="42"/>
      <c r="H968" s="42"/>
      <c r="I968" s="42"/>
      <c r="J968" s="42"/>
      <c r="K968" s="375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</row>
    <row r="969">
      <c r="A969" s="125"/>
      <c r="B969" s="323"/>
      <c r="C969" s="374"/>
      <c r="D969" s="42"/>
      <c r="E969" s="42"/>
      <c r="F969" s="42"/>
      <c r="G969" s="42"/>
      <c r="H969" s="42"/>
      <c r="I969" s="42"/>
      <c r="J969" s="42"/>
      <c r="K969" s="375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</row>
    <row r="970">
      <c r="A970" s="125"/>
      <c r="B970" s="323"/>
      <c r="C970" s="374"/>
      <c r="D970" s="42"/>
      <c r="E970" s="42"/>
      <c r="F970" s="42"/>
      <c r="G970" s="42"/>
      <c r="H970" s="42"/>
      <c r="I970" s="42"/>
      <c r="J970" s="42"/>
      <c r="K970" s="375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</row>
    <row r="971">
      <c r="A971" s="125"/>
      <c r="B971" s="323"/>
      <c r="C971" s="374"/>
      <c r="D971" s="42"/>
      <c r="E971" s="42"/>
      <c r="F971" s="42"/>
      <c r="G971" s="42"/>
      <c r="H971" s="42"/>
      <c r="I971" s="42"/>
      <c r="J971" s="42"/>
      <c r="K971" s="375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</row>
    <row r="972">
      <c r="A972" s="125"/>
      <c r="B972" s="323"/>
      <c r="C972" s="374"/>
      <c r="D972" s="42"/>
      <c r="E972" s="42"/>
      <c r="F972" s="42"/>
      <c r="G972" s="42"/>
      <c r="H972" s="42"/>
      <c r="I972" s="42"/>
      <c r="J972" s="42"/>
      <c r="K972" s="375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</row>
    <row r="973">
      <c r="A973" s="125"/>
      <c r="B973" s="323"/>
      <c r="C973" s="374"/>
      <c r="D973" s="42"/>
      <c r="E973" s="42"/>
      <c r="F973" s="42"/>
      <c r="G973" s="42"/>
      <c r="H973" s="42"/>
      <c r="I973" s="42"/>
      <c r="J973" s="42"/>
      <c r="K973" s="375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</row>
    <row r="974">
      <c r="A974" s="125"/>
      <c r="B974" s="323"/>
      <c r="C974" s="374"/>
      <c r="D974" s="42"/>
      <c r="E974" s="42"/>
      <c r="F974" s="42"/>
      <c r="G974" s="42"/>
      <c r="H974" s="42"/>
      <c r="I974" s="42"/>
      <c r="J974" s="42"/>
      <c r="K974" s="375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</row>
    <row r="975">
      <c r="A975" s="125"/>
      <c r="B975" s="323"/>
      <c r="C975" s="374"/>
      <c r="D975" s="42"/>
      <c r="E975" s="42"/>
      <c r="F975" s="42"/>
      <c r="G975" s="42"/>
      <c r="H975" s="42"/>
      <c r="I975" s="42"/>
      <c r="J975" s="42"/>
      <c r="K975" s="375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</row>
    <row r="976">
      <c r="A976" s="125"/>
      <c r="B976" s="323"/>
      <c r="C976" s="374"/>
      <c r="D976" s="42"/>
      <c r="E976" s="42"/>
      <c r="F976" s="42"/>
      <c r="G976" s="42"/>
      <c r="H976" s="42"/>
      <c r="I976" s="42"/>
      <c r="J976" s="42"/>
      <c r="K976" s="375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</row>
    <row r="977">
      <c r="A977" s="125"/>
      <c r="B977" s="323"/>
      <c r="C977" s="374"/>
      <c r="D977" s="42"/>
      <c r="E977" s="42"/>
      <c r="F977" s="42"/>
      <c r="G977" s="42"/>
      <c r="H977" s="42"/>
      <c r="I977" s="42"/>
      <c r="J977" s="42"/>
      <c r="K977" s="375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</row>
    <row r="978">
      <c r="A978" s="125"/>
      <c r="B978" s="323"/>
      <c r="C978" s="374"/>
      <c r="D978" s="42"/>
      <c r="E978" s="42"/>
      <c r="F978" s="42"/>
      <c r="G978" s="42"/>
      <c r="H978" s="42"/>
      <c r="I978" s="42"/>
      <c r="J978" s="42"/>
      <c r="K978" s="375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</row>
    <row r="979">
      <c r="A979" s="125"/>
      <c r="B979" s="323"/>
      <c r="C979" s="374"/>
      <c r="D979" s="42"/>
      <c r="E979" s="42"/>
      <c r="F979" s="42"/>
      <c r="G979" s="42"/>
      <c r="H979" s="42"/>
      <c r="I979" s="42"/>
      <c r="J979" s="42"/>
      <c r="K979" s="375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</row>
    <row r="980">
      <c r="A980" s="125"/>
      <c r="B980" s="323"/>
      <c r="C980" s="374"/>
      <c r="D980" s="42"/>
      <c r="E980" s="42"/>
      <c r="F980" s="42"/>
      <c r="G980" s="42"/>
      <c r="H980" s="42"/>
      <c r="I980" s="42"/>
      <c r="J980" s="42"/>
      <c r="K980" s="375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</row>
    <row r="981">
      <c r="A981" s="125"/>
      <c r="B981" s="323"/>
      <c r="C981" s="374"/>
      <c r="D981" s="42"/>
      <c r="E981" s="42"/>
      <c r="F981" s="42"/>
      <c r="G981" s="42"/>
      <c r="H981" s="42"/>
      <c r="I981" s="42"/>
      <c r="J981" s="42"/>
      <c r="K981" s="375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</row>
    <row r="982">
      <c r="A982" s="125"/>
      <c r="B982" s="323"/>
      <c r="C982" s="374"/>
      <c r="D982" s="42"/>
      <c r="E982" s="42"/>
      <c r="F982" s="42"/>
      <c r="G982" s="42"/>
      <c r="H982" s="42"/>
      <c r="I982" s="42"/>
      <c r="J982" s="42"/>
      <c r="K982" s="375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</row>
    <row r="983">
      <c r="A983" s="125"/>
      <c r="B983" s="323"/>
      <c r="C983" s="374"/>
      <c r="D983" s="42"/>
      <c r="E983" s="42"/>
      <c r="F983" s="42"/>
      <c r="G983" s="42"/>
      <c r="H983" s="42"/>
      <c r="I983" s="42"/>
      <c r="J983" s="42"/>
      <c r="K983" s="375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</row>
    <row r="984">
      <c r="A984" s="125"/>
      <c r="B984" s="323"/>
      <c r="C984" s="374"/>
      <c r="D984" s="42"/>
      <c r="E984" s="42"/>
      <c r="F984" s="42"/>
      <c r="G984" s="42"/>
      <c r="H984" s="42"/>
      <c r="I984" s="42"/>
      <c r="J984" s="42"/>
      <c r="K984" s="375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</row>
    <row r="985">
      <c r="A985" s="125"/>
      <c r="B985" s="323"/>
      <c r="C985" s="374"/>
      <c r="D985" s="42"/>
      <c r="E985" s="42"/>
      <c r="F985" s="42"/>
      <c r="G985" s="42"/>
      <c r="H985" s="42"/>
      <c r="I985" s="42"/>
      <c r="J985" s="42"/>
      <c r="K985" s="375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</row>
    <row r="986">
      <c r="A986" s="125"/>
      <c r="B986" s="323"/>
      <c r="C986" s="374"/>
      <c r="D986" s="42"/>
      <c r="E986" s="42"/>
      <c r="F986" s="42"/>
      <c r="G986" s="42"/>
      <c r="H986" s="42"/>
      <c r="I986" s="42"/>
      <c r="J986" s="42"/>
      <c r="K986" s="375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</row>
    <row r="987">
      <c r="A987" s="125"/>
      <c r="B987" s="323"/>
      <c r="C987" s="374"/>
      <c r="D987" s="42"/>
      <c r="E987" s="42"/>
      <c r="F987" s="42"/>
      <c r="G987" s="42"/>
      <c r="H987" s="42"/>
      <c r="I987" s="42"/>
      <c r="J987" s="42"/>
      <c r="K987" s="375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</row>
    <row r="988">
      <c r="A988" s="125"/>
      <c r="B988" s="323"/>
      <c r="C988" s="374"/>
      <c r="D988" s="42"/>
      <c r="E988" s="42"/>
      <c r="F988" s="42"/>
      <c r="G988" s="42"/>
      <c r="H988" s="42"/>
      <c r="I988" s="42"/>
      <c r="J988" s="42"/>
      <c r="K988" s="375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</row>
    <row r="989">
      <c r="A989" s="125"/>
      <c r="B989" s="323"/>
      <c r="C989" s="374"/>
      <c r="D989" s="42"/>
      <c r="E989" s="42"/>
      <c r="F989" s="42"/>
      <c r="G989" s="42"/>
      <c r="H989" s="42"/>
      <c r="I989" s="42"/>
      <c r="J989" s="42"/>
      <c r="K989" s="375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</row>
    <row r="990">
      <c r="A990" s="125"/>
      <c r="B990" s="323"/>
      <c r="C990" s="374"/>
      <c r="D990" s="42"/>
      <c r="E990" s="42"/>
      <c r="F990" s="42"/>
      <c r="G990" s="42"/>
      <c r="H990" s="42"/>
      <c r="I990" s="42"/>
      <c r="J990" s="42"/>
      <c r="K990" s="375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</row>
    <row r="991">
      <c r="A991" s="125"/>
      <c r="B991" s="323"/>
      <c r="C991" s="374"/>
      <c r="D991" s="42"/>
      <c r="E991" s="42"/>
      <c r="F991" s="42"/>
      <c r="G991" s="42"/>
      <c r="H991" s="42"/>
      <c r="I991" s="42"/>
      <c r="J991" s="42"/>
      <c r="K991" s="375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</row>
    <row r="992">
      <c r="A992" s="125"/>
      <c r="B992" s="323"/>
      <c r="C992" s="374"/>
      <c r="D992" s="42"/>
      <c r="E992" s="42"/>
      <c r="F992" s="42"/>
      <c r="G992" s="42"/>
      <c r="H992" s="42"/>
      <c r="I992" s="42"/>
      <c r="J992" s="42"/>
      <c r="K992" s="375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</row>
    <row r="993">
      <c r="A993" s="125"/>
      <c r="B993" s="323"/>
      <c r="C993" s="374"/>
      <c r="D993" s="42"/>
      <c r="E993" s="42"/>
      <c r="F993" s="42"/>
      <c r="G993" s="42"/>
      <c r="H993" s="42"/>
      <c r="I993" s="42"/>
      <c r="J993" s="42"/>
      <c r="K993" s="375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</row>
    <row r="994">
      <c r="A994" s="125"/>
      <c r="B994" s="323"/>
      <c r="C994" s="374"/>
      <c r="D994" s="42"/>
      <c r="E994" s="42"/>
      <c r="F994" s="42"/>
      <c r="G994" s="42"/>
      <c r="H994" s="42"/>
      <c r="I994" s="42"/>
      <c r="J994" s="42"/>
      <c r="K994" s="375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</row>
    <row r="995">
      <c r="A995" s="125"/>
      <c r="B995" s="323"/>
      <c r="C995" s="374"/>
      <c r="D995" s="42"/>
      <c r="E995" s="42"/>
      <c r="F995" s="42"/>
      <c r="G995" s="42"/>
      <c r="H995" s="42"/>
      <c r="I995" s="42"/>
      <c r="J995" s="42"/>
      <c r="K995" s="375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</row>
    <row r="996">
      <c r="A996" s="125"/>
      <c r="B996" s="323"/>
      <c r="C996" s="374"/>
      <c r="D996" s="42"/>
      <c r="E996" s="42"/>
      <c r="F996" s="42"/>
      <c r="G996" s="42"/>
      <c r="H996" s="42"/>
      <c r="I996" s="42"/>
      <c r="J996" s="42"/>
      <c r="K996" s="375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</row>
    <row r="997">
      <c r="A997" s="125"/>
      <c r="B997" s="323"/>
      <c r="C997" s="374"/>
      <c r="D997" s="42"/>
      <c r="E997" s="42"/>
      <c r="F997" s="42"/>
      <c r="G997" s="42"/>
      <c r="H997" s="42"/>
      <c r="I997" s="42"/>
      <c r="J997" s="42"/>
      <c r="K997" s="375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</row>
    <row r="998">
      <c r="A998" s="125"/>
      <c r="B998" s="323"/>
      <c r="C998" s="374"/>
      <c r="D998" s="42"/>
      <c r="E998" s="42"/>
      <c r="F998" s="42"/>
      <c r="G998" s="42"/>
      <c r="H998" s="42"/>
      <c r="I998" s="42"/>
      <c r="J998" s="42"/>
      <c r="K998" s="375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</row>
    <row r="999">
      <c r="A999" s="125"/>
      <c r="B999" s="323"/>
      <c r="C999" s="374"/>
      <c r="D999" s="42"/>
      <c r="E999" s="42"/>
      <c r="F999" s="42"/>
      <c r="G999" s="42"/>
      <c r="H999" s="42"/>
      <c r="I999" s="42"/>
      <c r="J999" s="42"/>
      <c r="K999" s="375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</row>
    <row r="1000">
      <c r="A1000" s="125"/>
      <c r="B1000" s="323"/>
      <c r="C1000" s="374"/>
      <c r="D1000" s="42"/>
      <c r="E1000" s="42"/>
      <c r="F1000" s="42"/>
      <c r="G1000" s="42"/>
      <c r="H1000" s="42"/>
      <c r="I1000" s="42"/>
      <c r="J1000" s="42"/>
      <c r="K1000" s="375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</row>
    <row r="1001">
      <c r="A1001" s="125"/>
      <c r="B1001" s="323"/>
      <c r="C1001" s="374"/>
      <c r="D1001" s="42"/>
      <c r="E1001" s="42"/>
      <c r="F1001" s="42"/>
      <c r="G1001" s="42"/>
      <c r="H1001" s="42"/>
      <c r="I1001" s="42"/>
      <c r="J1001" s="42"/>
      <c r="K1001" s="375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</row>
    <row r="1002">
      <c r="A1002" s="125"/>
      <c r="B1002" s="323"/>
      <c r="C1002" s="374"/>
      <c r="D1002" s="42"/>
      <c r="E1002" s="42"/>
      <c r="F1002" s="42"/>
      <c r="G1002" s="42"/>
      <c r="H1002" s="42"/>
      <c r="I1002" s="42"/>
      <c r="J1002" s="42"/>
      <c r="K1002" s="375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</row>
    <row r="1003">
      <c r="A1003" s="125"/>
      <c r="B1003" s="323"/>
      <c r="C1003" s="374"/>
      <c r="D1003" s="42"/>
      <c r="E1003" s="42"/>
      <c r="F1003" s="42"/>
      <c r="G1003" s="42"/>
      <c r="H1003" s="42"/>
      <c r="I1003" s="42"/>
      <c r="J1003" s="42"/>
      <c r="K1003" s="375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  <c r="AA1003" s="42"/>
    </row>
    <row r="1004">
      <c r="A1004" s="125"/>
      <c r="B1004" s="323"/>
      <c r="C1004" s="374"/>
      <c r="D1004" s="42"/>
      <c r="E1004" s="42"/>
      <c r="F1004" s="42"/>
      <c r="G1004" s="42"/>
      <c r="H1004" s="42"/>
      <c r="I1004" s="42"/>
      <c r="J1004" s="42"/>
      <c r="K1004" s="375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  <c r="AA1004" s="42"/>
    </row>
    <row r="1005">
      <c r="A1005" s="125"/>
      <c r="B1005" s="323"/>
      <c r="C1005" s="374"/>
      <c r="D1005" s="42"/>
      <c r="E1005" s="42"/>
      <c r="F1005" s="42"/>
      <c r="G1005" s="42"/>
      <c r="H1005" s="42"/>
      <c r="I1005" s="42"/>
      <c r="J1005" s="42"/>
      <c r="K1005" s="375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  <c r="AA1005" s="42"/>
    </row>
    <row r="1006">
      <c r="A1006" s="125"/>
      <c r="B1006" s="323"/>
      <c r="C1006" s="374"/>
      <c r="D1006" s="42"/>
      <c r="E1006" s="42"/>
      <c r="F1006" s="42"/>
      <c r="G1006" s="42"/>
      <c r="H1006" s="42"/>
      <c r="I1006" s="42"/>
      <c r="J1006" s="42"/>
      <c r="K1006" s="375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  <c r="AA1006" s="42"/>
    </row>
    <row r="1007">
      <c r="A1007" s="125"/>
      <c r="B1007" s="323"/>
      <c r="C1007" s="374"/>
      <c r="D1007" s="42"/>
      <c r="E1007" s="42"/>
      <c r="F1007" s="42"/>
      <c r="G1007" s="42"/>
      <c r="H1007" s="42"/>
      <c r="I1007" s="42"/>
      <c r="J1007" s="42"/>
      <c r="K1007" s="375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  <c r="AA1007" s="42"/>
    </row>
    <row r="1008">
      <c r="A1008" s="125"/>
      <c r="B1008" s="323"/>
      <c r="C1008" s="374"/>
      <c r="D1008" s="42"/>
      <c r="E1008" s="42"/>
      <c r="F1008" s="42"/>
      <c r="G1008" s="42"/>
      <c r="H1008" s="42"/>
      <c r="I1008" s="42"/>
      <c r="J1008" s="42"/>
      <c r="K1008" s="375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  <c r="AA1008" s="42"/>
    </row>
    <row r="1009">
      <c r="A1009" s="125"/>
      <c r="B1009" s="323"/>
      <c r="C1009" s="374"/>
      <c r="D1009" s="42"/>
      <c r="E1009" s="42"/>
      <c r="F1009" s="42"/>
      <c r="G1009" s="42"/>
      <c r="H1009" s="42"/>
      <c r="I1009" s="42"/>
      <c r="J1009" s="42"/>
      <c r="K1009" s="375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  <c r="AA1009" s="42"/>
    </row>
    <row r="1010">
      <c r="A1010" s="125"/>
      <c r="B1010" s="323"/>
      <c r="C1010" s="374"/>
      <c r="D1010" s="42"/>
      <c r="E1010" s="42"/>
      <c r="F1010" s="42"/>
      <c r="G1010" s="42"/>
      <c r="H1010" s="42"/>
      <c r="I1010" s="42"/>
      <c r="J1010" s="42"/>
      <c r="K1010" s="375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  <c r="AA1010" s="42"/>
    </row>
    <row r="1011">
      <c r="A1011" s="125"/>
      <c r="B1011" s="323"/>
      <c r="C1011" s="374"/>
      <c r="D1011" s="42"/>
      <c r="E1011" s="42"/>
      <c r="F1011" s="42"/>
      <c r="G1011" s="42"/>
      <c r="H1011" s="42"/>
      <c r="I1011" s="42"/>
      <c r="J1011" s="42"/>
      <c r="K1011" s="375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  <c r="AA1011" s="42"/>
    </row>
    <row r="1012">
      <c r="A1012" s="125"/>
      <c r="B1012" s="323"/>
      <c r="C1012" s="374"/>
      <c r="D1012" s="42"/>
      <c r="E1012" s="42"/>
      <c r="F1012" s="42"/>
      <c r="G1012" s="42"/>
      <c r="H1012" s="42"/>
      <c r="I1012" s="42"/>
      <c r="J1012" s="42"/>
      <c r="K1012" s="375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  <c r="AA1012" s="42"/>
    </row>
    <row r="1013">
      <c r="A1013" s="125"/>
      <c r="B1013" s="323"/>
      <c r="C1013" s="374"/>
      <c r="D1013" s="42"/>
      <c r="E1013" s="42"/>
      <c r="F1013" s="42"/>
      <c r="G1013" s="42"/>
      <c r="H1013" s="42"/>
      <c r="I1013" s="42"/>
      <c r="J1013" s="42"/>
      <c r="K1013" s="375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</row>
    <row r="1014">
      <c r="A1014" s="125"/>
      <c r="B1014" s="323"/>
      <c r="C1014" s="374"/>
      <c r="D1014" s="42"/>
      <c r="E1014" s="42"/>
      <c r="F1014" s="42"/>
      <c r="G1014" s="42"/>
      <c r="H1014" s="42"/>
      <c r="I1014" s="42"/>
      <c r="J1014" s="42"/>
      <c r="K1014" s="375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  <c r="AA1014" s="42"/>
    </row>
    <row r="1015">
      <c r="A1015" s="125"/>
      <c r="B1015" s="323"/>
      <c r="C1015" s="374"/>
      <c r="D1015" s="42"/>
      <c r="E1015" s="42"/>
      <c r="F1015" s="42"/>
      <c r="G1015" s="42"/>
      <c r="H1015" s="42"/>
      <c r="I1015" s="42"/>
      <c r="J1015" s="42"/>
      <c r="K1015" s="375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  <c r="AA1015" s="42"/>
    </row>
    <row r="1016">
      <c r="A1016" s="125"/>
      <c r="B1016" s="323"/>
      <c r="C1016" s="374"/>
      <c r="D1016" s="42"/>
      <c r="E1016" s="42"/>
      <c r="F1016" s="42"/>
      <c r="G1016" s="42"/>
      <c r="H1016" s="42"/>
      <c r="I1016" s="42"/>
      <c r="J1016" s="42"/>
      <c r="K1016" s="375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</row>
    <row r="1017">
      <c r="A1017" s="125"/>
      <c r="B1017" s="323"/>
      <c r="C1017" s="374"/>
      <c r="D1017" s="42"/>
      <c r="E1017" s="42"/>
      <c r="F1017" s="42"/>
      <c r="G1017" s="42"/>
      <c r="H1017" s="42"/>
      <c r="I1017" s="42"/>
      <c r="J1017" s="42"/>
      <c r="K1017" s="375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  <c r="Y1017" s="42"/>
      <c r="Z1017" s="42"/>
      <c r="AA1017" s="42"/>
    </row>
    <row r="1018">
      <c r="A1018" s="125"/>
      <c r="B1018" s="323"/>
      <c r="C1018" s="374"/>
      <c r="D1018" s="42"/>
      <c r="E1018" s="42"/>
      <c r="F1018" s="42"/>
      <c r="G1018" s="42"/>
      <c r="H1018" s="42"/>
      <c r="I1018" s="42"/>
      <c r="J1018" s="42"/>
      <c r="K1018" s="375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  <c r="AA1018" s="42"/>
    </row>
    <row r="1019">
      <c r="A1019" s="125"/>
      <c r="B1019" s="323"/>
      <c r="C1019" s="374"/>
      <c r="D1019" s="42"/>
      <c r="E1019" s="42"/>
      <c r="F1019" s="42"/>
      <c r="G1019" s="42"/>
      <c r="H1019" s="42"/>
      <c r="I1019" s="42"/>
      <c r="J1019" s="42"/>
      <c r="K1019" s="375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2"/>
      <c r="Z1019" s="42"/>
      <c r="AA1019" s="42"/>
    </row>
    <row r="1020">
      <c r="A1020" s="125"/>
      <c r="B1020" s="323"/>
      <c r="C1020" s="374"/>
      <c r="D1020" s="42"/>
      <c r="E1020" s="42"/>
      <c r="F1020" s="42"/>
      <c r="G1020" s="42"/>
      <c r="H1020" s="42"/>
      <c r="I1020" s="42"/>
      <c r="J1020" s="42"/>
      <c r="K1020" s="375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  <c r="Z1020" s="42"/>
      <c r="AA1020" s="42"/>
    </row>
    <row r="1021">
      <c r="A1021" s="125"/>
      <c r="B1021" s="323"/>
      <c r="C1021" s="374"/>
      <c r="D1021" s="42"/>
      <c r="E1021" s="42"/>
      <c r="F1021" s="42"/>
      <c r="G1021" s="42"/>
      <c r="H1021" s="42"/>
      <c r="I1021" s="42"/>
      <c r="J1021" s="42"/>
      <c r="K1021" s="375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2"/>
      <c r="Z1021" s="42"/>
      <c r="AA1021" s="42"/>
    </row>
    <row r="1022">
      <c r="A1022" s="125"/>
      <c r="B1022" s="323"/>
      <c r="C1022" s="374"/>
      <c r="D1022" s="42"/>
      <c r="E1022" s="42"/>
      <c r="F1022" s="42"/>
      <c r="G1022" s="42"/>
      <c r="H1022" s="42"/>
      <c r="I1022" s="42"/>
      <c r="J1022" s="42"/>
      <c r="K1022" s="375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  <c r="AA1022" s="42"/>
    </row>
    <row r="1023">
      <c r="A1023" s="125"/>
      <c r="B1023" s="323"/>
      <c r="C1023" s="374"/>
      <c r="D1023" s="42"/>
      <c r="E1023" s="42"/>
      <c r="F1023" s="42"/>
      <c r="G1023" s="42"/>
      <c r="H1023" s="42"/>
      <c r="I1023" s="42"/>
      <c r="J1023" s="42"/>
      <c r="K1023" s="375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  <c r="Y1023" s="42"/>
      <c r="Z1023" s="42"/>
      <c r="AA1023" s="42"/>
    </row>
    <row r="1024">
      <c r="A1024" s="125"/>
      <c r="B1024" s="323"/>
      <c r="C1024" s="374"/>
      <c r="D1024" s="42"/>
      <c r="E1024" s="42"/>
      <c r="F1024" s="42"/>
      <c r="G1024" s="42"/>
      <c r="H1024" s="42"/>
      <c r="I1024" s="42"/>
      <c r="J1024" s="42"/>
      <c r="K1024" s="375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2"/>
      <c r="Z1024" s="42"/>
      <c r="AA1024" s="42"/>
    </row>
    <row r="1025">
      <c r="A1025" s="125"/>
      <c r="B1025" s="323"/>
      <c r="C1025" s="374"/>
      <c r="D1025" s="42"/>
      <c r="E1025" s="42"/>
      <c r="F1025" s="42"/>
      <c r="G1025" s="42"/>
      <c r="H1025" s="42"/>
      <c r="I1025" s="42"/>
      <c r="J1025" s="42"/>
      <c r="K1025" s="375"/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  <c r="W1025" s="42"/>
      <c r="X1025" s="42"/>
      <c r="Y1025" s="42"/>
      <c r="Z1025" s="42"/>
      <c r="AA1025" s="42"/>
    </row>
    <row r="1026">
      <c r="A1026" s="125"/>
      <c r="B1026" s="323"/>
      <c r="C1026" s="374"/>
      <c r="D1026" s="42"/>
      <c r="E1026" s="42"/>
      <c r="F1026" s="42"/>
      <c r="G1026" s="42"/>
      <c r="H1026" s="42"/>
      <c r="I1026" s="42"/>
      <c r="J1026" s="42"/>
      <c r="K1026" s="375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2"/>
      <c r="Z1026" s="42"/>
      <c r="AA1026" s="42"/>
    </row>
    <row r="1027">
      <c r="A1027" s="125"/>
      <c r="B1027" s="323"/>
      <c r="C1027" s="374"/>
      <c r="D1027" s="42"/>
      <c r="E1027" s="42"/>
      <c r="F1027" s="42"/>
      <c r="G1027" s="42"/>
      <c r="H1027" s="42"/>
      <c r="I1027" s="42"/>
      <c r="J1027" s="42"/>
      <c r="K1027" s="375"/>
      <c r="L1027" s="42"/>
      <c r="M1027" s="42"/>
      <c r="N1027" s="42"/>
      <c r="O1027" s="42"/>
      <c r="P1027" s="42"/>
      <c r="Q1027" s="42"/>
      <c r="R1027" s="42"/>
      <c r="S1027" s="42"/>
      <c r="T1027" s="42"/>
      <c r="U1027" s="42"/>
      <c r="V1027" s="42"/>
      <c r="W1027" s="42"/>
      <c r="X1027" s="42"/>
      <c r="Y1027" s="42"/>
      <c r="Z1027" s="42"/>
      <c r="AA1027" s="42"/>
    </row>
    <row r="1028">
      <c r="A1028" s="125"/>
      <c r="B1028" s="323"/>
      <c r="C1028" s="374"/>
      <c r="D1028" s="42"/>
      <c r="E1028" s="42"/>
      <c r="F1028" s="42"/>
      <c r="G1028" s="42"/>
      <c r="H1028" s="42"/>
      <c r="I1028" s="42"/>
      <c r="J1028" s="42"/>
      <c r="K1028" s="375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  <c r="Y1028" s="42"/>
      <c r="Z1028" s="42"/>
      <c r="AA1028" s="42"/>
    </row>
    <row r="1029">
      <c r="A1029" s="125"/>
      <c r="B1029" s="323"/>
      <c r="C1029" s="374"/>
      <c r="D1029" s="42"/>
      <c r="E1029" s="42"/>
      <c r="F1029" s="42"/>
      <c r="G1029" s="42"/>
      <c r="H1029" s="42"/>
      <c r="I1029" s="42"/>
      <c r="J1029" s="42"/>
      <c r="K1029" s="375"/>
      <c r="L1029" s="42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  <c r="W1029" s="42"/>
      <c r="X1029" s="42"/>
      <c r="Y1029" s="42"/>
      <c r="Z1029" s="42"/>
      <c r="AA1029" s="42"/>
    </row>
    <row r="1030">
      <c r="A1030" s="125"/>
      <c r="B1030" s="323"/>
      <c r="C1030" s="374"/>
      <c r="D1030" s="42"/>
      <c r="E1030" s="42"/>
      <c r="F1030" s="42"/>
      <c r="G1030" s="42"/>
      <c r="H1030" s="42"/>
      <c r="I1030" s="42"/>
      <c r="J1030" s="42"/>
      <c r="K1030" s="375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2"/>
      <c r="Z1030" s="42"/>
      <c r="AA1030" s="42"/>
    </row>
    <row r="1031">
      <c r="A1031" s="125"/>
      <c r="B1031" s="323"/>
      <c r="C1031" s="374"/>
      <c r="D1031" s="42"/>
      <c r="E1031" s="42"/>
      <c r="F1031" s="42"/>
      <c r="G1031" s="42"/>
      <c r="H1031" s="42"/>
      <c r="I1031" s="42"/>
      <c r="J1031" s="42"/>
      <c r="K1031" s="375"/>
      <c r="L1031" s="42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  <c r="W1031" s="42"/>
      <c r="X1031" s="42"/>
      <c r="Y1031" s="42"/>
      <c r="Z1031" s="42"/>
      <c r="AA1031" s="42"/>
    </row>
    <row r="1032">
      <c r="A1032" s="125"/>
      <c r="B1032" s="323"/>
      <c r="C1032" s="374"/>
      <c r="D1032" s="42"/>
      <c r="E1032" s="42"/>
      <c r="F1032" s="42"/>
      <c r="G1032" s="42"/>
      <c r="H1032" s="42"/>
      <c r="I1032" s="42"/>
      <c r="J1032" s="42"/>
      <c r="K1032" s="375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  <c r="X1032" s="42"/>
      <c r="Y1032" s="42"/>
      <c r="Z1032" s="42"/>
      <c r="AA1032" s="42"/>
    </row>
    <row r="1033">
      <c r="A1033" s="125"/>
      <c r="B1033" s="323"/>
      <c r="C1033" s="374"/>
      <c r="D1033" s="42"/>
      <c r="E1033" s="42"/>
      <c r="F1033" s="42"/>
      <c r="G1033" s="42"/>
      <c r="H1033" s="42"/>
      <c r="I1033" s="42"/>
      <c r="J1033" s="42"/>
      <c r="K1033" s="375"/>
      <c r="L1033" s="42"/>
      <c r="M1033" s="42"/>
      <c r="N1033" s="42"/>
      <c r="O1033" s="42"/>
      <c r="P1033" s="42"/>
      <c r="Q1033" s="42"/>
      <c r="R1033" s="42"/>
      <c r="S1033" s="42"/>
      <c r="T1033" s="42"/>
      <c r="U1033" s="42"/>
      <c r="V1033" s="42"/>
      <c r="W1033" s="42"/>
      <c r="X1033" s="42"/>
      <c r="Y1033" s="42"/>
      <c r="Z1033" s="42"/>
      <c r="AA1033" s="42"/>
    </row>
    <row r="1034">
      <c r="A1034" s="125"/>
      <c r="B1034" s="323"/>
      <c r="C1034" s="374"/>
      <c r="D1034" s="42"/>
      <c r="E1034" s="42"/>
      <c r="F1034" s="42"/>
      <c r="G1034" s="42"/>
      <c r="H1034" s="42"/>
      <c r="I1034" s="42"/>
      <c r="J1034" s="42"/>
      <c r="K1034" s="375"/>
      <c r="L1034" s="42"/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  <c r="W1034" s="42"/>
      <c r="X1034" s="42"/>
      <c r="Y1034" s="42"/>
      <c r="Z1034" s="42"/>
      <c r="AA1034" s="42"/>
    </row>
    <row r="1035">
      <c r="A1035" s="125"/>
      <c r="B1035" s="323"/>
      <c r="C1035" s="374"/>
      <c r="D1035" s="42"/>
      <c r="E1035" s="42"/>
      <c r="F1035" s="42"/>
      <c r="G1035" s="42"/>
      <c r="H1035" s="42"/>
      <c r="I1035" s="42"/>
      <c r="J1035" s="42"/>
      <c r="K1035" s="375"/>
      <c r="L1035" s="42"/>
      <c r="M1035" s="42"/>
      <c r="N1035" s="42"/>
      <c r="O1035" s="42"/>
      <c r="P1035" s="42"/>
      <c r="Q1035" s="42"/>
      <c r="R1035" s="42"/>
      <c r="S1035" s="42"/>
      <c r="T1035" s="42"/>
      <c r="U1035" s="42"/>
      <c r="V1035" s="42"/>
      <c r="W1035" s="42"/>
      <c r="X1035" s="42"/>
      <c r="Y1035" s="42"/>
      <c r="Z1035" s="42"/>
      <c r="AA1035" s="42"/>
    </row>
    <row r="1036">
      <c r="A1036" s="125"/>
      <c r="B1036" s="323"/>
      <c r="C1036" s="374"/>
      <c r="D1036" s="42"/>
      <c r="E1036" s="42"/>
      <c r="F1036" s="42"/>
      <c r="G1036" s="42"/>
      <c r="H1036" s="42"/>
      <c r="I1036" s="42"/>
      <c r="J1036" s="42"/>
      <c r="K1036" s="375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  <c r="X1036" s="42"/>
      <c r="Y1036" s="42"/>
      <c r="Z1036" s="42"/>
      <c r="AA1036" s="42"/>
    </row>
    <row r="1037">
      <c r="A1037" s="125"/>
      <c r="B1037" s="323"/>
      <c r="C1037" s="374"/>
      <c r="D1037" s="42"/>
      <c r="E1037" s="42"/>
      <c r="F1037" s="42"/>
      <c r="G1037" s="42"/>
      <c r="H1037" s="42"/>
      <c r="I1037" s="42"/>
      <c r="J1037" s="42"/>
      <c r="K1037" s="375"/>
      <c r="L1037" s="42"/>
      <c r="M1037" s="42"/>
      <c r="N1037" s="42"/>
      <c r="O1037" s="42"/>
      <c r="P1037" s="42"/>
      <c r="Q1037" s="42"/>
      <c r="R1037" s="42"/>
      <c r="S1037" s="42"/>
      <c r="T1037" s="42"/>
      <c r="U1037" s="42"/>
      <c r="V1037" s="42"/>
      <c r="W1037" s="42"/>
      <c r="X1037" s="42"/>
      <c r="Y1037" s="42"/>
      <c r="Z1037" s="42"/>
      <c r="AA1037" s="42"/>
    </row>
    <row r="1038">
      <c r="A1038" s="125"/>
      <c r="B1038" s="323"/>
      <c r="C1038" s="374"/>
      <c r="D1038" s="42"/>
      <c r="E1038" s="42"/>
      <c r="F1038" s="42"/>
      <c r="G1038" s="42"/>
      <c r="H1038" s="42"/>
      <c r="I1038" s="42"/>
      <c r="J1038" s="42"/>
      <c r="K1038" s="375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2"/>
      <c r="Z1038" s="42"/>
      <c r="AA1038" s="42"/>
    </row>
    <row r="1039">
      <c r="A1039" s="125"/>
      <c r="B1039" s="323"/>
      <c r="C1039" s="374"/>
      <c r="D1039" s="42"/>
      <c r="E1039" s="42"/>
      <c r="F1039" s="42"/>
      <c r="G1039" s="42"/>
      <c r="H1039" s="42"/>
      <c r="I1039" s="42"/>
      <c r="J1039" s="42"/>
      <c r="K1039" s="375"/>
      <c r="L1039" s="42"/>
      <c r="M1039" s="42"/>
      <c r="N1039" s="42"/>
      <c r="O1039" s="42"/>
      <c r="P1039" s="42"/>
      <c r="Q1039" s="42"/>
      <c r="R1039" s="42"/>
      <c r="S1039" s="42"/>
      <c r="T1039" s="42"/>
      <c r="U1039" s="42"/>
      <c r="V1039" s="42"/>
      <c r="W1039" s="42"/>
      <c r="X1039" s="42"/>
      <c r="Y1039" s="42"/>
      <c r="Z1039" s="42"/>
      <c r="AA1039" s="42"/>
    </row>
    <row r="1040">
      <c r="A1040" s="125"/>
      <c r="B1040" s="323"/>
      <c r="C1040" s="374"/>
      <c r="D1040" s="42"/>
      <c r="E1040" s="42"/>
      <c r="F1040" s="42"/>
      <c r="G1040" s="42"/>
      <c r="H1040" s="42"/>
      <c r="I1040" s="42"/>
      <c r="J1040" s="42"/>
      <c r="K1040" s="375"/>
      <c r="L1040" s="42"/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  <c r="W1040" s="42"/>
      <c r="X1040" s="42"/>
      <c r="Y1040" s="42"/>
      <c r="Z1040" s="42"/>
      <c r="AA1040" s="42"/>
    </row>
    <row r="1041">
      <c r="A1041" s="125"/>
      <c r="B1041" s="323"/>
      <c r="C1041" s="374"/>
      <c r="D1041" s="42"/>
      <c r="E1041" s="42"/>
      <c r="F1041" s="42"/>
      <c r="G1041" s="42"/>
      <c r="H1041" s="42"/>
      <c r="I1041" s="42"/>
      <c r="J1041" s="42"/>
      <c r="K1041" s="375"/>
      <c r="L1041" s="42"/>
      <c r="M1041" s="42"/>
      <c r="N1041" s="42"/>
      <c r="O1041" s="42"/>
      <c r="P1041" s="42"/>
      <c r="Q1041" s="42"/>
      <c r="R1041" s="42"/>
      <c r="S1041" s="42"/>
      <c r="T1041" s="42"/>
      <c r="U1041" s="42"/>
      <c r="V1041" s="42"/>
      <c r="W1041" s="42"/>
      <c r="X1041" s="42"/>
      <c r="Y1041" s="42"/>
      <c r="Z1041" s="42"/>
      <c r="AA1041" s="42"/>
    </row>
    <row r="1042">
      <c r="A1042" s="125"/>
      <c r="B1042" s="323"/>
      <c r="C1042" s="374"/>
      <c r="D1042" s="42"/>
      <c r="E1042" s="42"/>
      <c r="F1042" s="42"/>
      <c r="G1042" s="42"/>
      <c r="H1042" s="42"/>
      <c r="I1042" s="42"/>
      <c r="J1042" s="42"/>
      <c r="K1042" s="375"/>
      <c r="L1042" s="42"/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  <c r="W1042" s="42"/>
      <c r="X1042" s="42"/>
      <c r="Y1042" s="42"/>
      <c r="Z1042" s="42"/>
      <c r="AA1042" s="42"/>
    </row>
    <row r="1043">
      <c r="A1043" s="125"/>
      <c r="B1043" s="323"/>
      <c r="C1043" s="374"/>
      <c r="D1043" s="42"/>
      <c r="E1043" s="42"/>
      <c r="F1043" s="42"/>
      <c r="G1043" s="42"/>
      <c r="H1043" s="42"/>
      <c r="I1043" s="42"/>
      <c r="J1043" s="42"/>
      <c r="K1043" s="375"/>
      <c r="L1043" s="42"/>
      <c r="M1043" s="42"/>
      <c r="N1043" s="42"/>
      <c r="O1043" s="42"/>
      <c r="P1043" s="42"/>
      <c r="Q1043" s="42"/>
      <c r="R1043" s="42"/>
      <c r="S1043" s="42"/>
      <c r="T1043" s="42"/>
      <c r="U1043" s="42"/>
      <c r="V1043" s="42"/>
      <c r="W1043" s="42"/>
      <c r="X1043" s="42"/>
      <c r="Y1043" s="42"/>
      <c r="Z1043" s="42"/>
      <c r="AA1043" s="42"/>
    </row>
    <row r="1044">
      <c r="A1044" s="125"/>
      <c r="B1044" s="323"/>
      <c r="C1044" s="374"/>
      <c r="D1044" s="42"/>
      <c r="E1044" s="42"/>
      <c r="F1044" s="42"/>
      <c r="G1044" s="42"/>
      <c r="H1044" s="42"/>
      <c r="I1044" s="42"/>
      <c r="J1044" s="42"/>
      <c r="K1044" s="375"/>
      <c r="L1044" s="42"/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  <c r="W1044" s="42"/>
      <c r="X1044" s="42"/>
      <c r="Y1044" s="42"/>
      <c r="Z1044" s="42"/>
      <c r="AA1044" s="42"/>
    </row>
    <row r="1045">
      <c r="A1045" s="125"/>
      <c r="B1045" s="323"/>
      <c r="C1045" s="374"/>
      <c r="D1045" s="42"/>
      <c r="E1045" s="42"/>
      <c r="F1045" s="42"/>
      <c r="G1045" s="42"/>
      <c r="H1045" s="42"/>
      <c r="I1045" s="42"/>
      <c r="J1045" s="42"/>
      <c r="K1045" s="375"/>
      <c r="L1045" s="42"/>
      <c r="M1045" s="42"/>
      <c r="N1045" s="42"/>
      <c r="O1045" s="42"/>
      <c r="P1045" s="42"/>
      <c r="Q1045" s="42"/>
      <c r="R1045" s="42"/>
      <c r="S1045" s="42"/>
      <c r="T1045" s="42"/>
      <c r="U1045" s="42"/>
      <c r="V1045" s="42"/>
      <c r="W1045" s="42"/>
      <c r="X1045" s="42"/>
      <c r="Y1045" s="42"/>
      <c r="Z1045" s="42"/>
      <c r="AA1045" s="42"/>
    </row>
    <row r="1046">
      <c r="A1046" s="125"/>
      <c r="B1046" s="323"/>
      <c r="C1046" s="374"/>
      <c r="D1046" s="42"/>
      <c r="E1046" s="42"/>
      <c r="F1046" s="42"/>
      <c r="G1046" s="42"/>
      <c r="H1046" s="42"/>
      <c r="I1046" s="42"/>
      <c r="J1046" s="42"/>
      <c r="K1046" s="375"/>
      <c r="L1046" s="42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2"/>
      <c r="X1046" s="42"/>
      <c r="Y1046" s="42"/>
      <c r="Z1046" s="42"/>
      <c r="AA1046" s="42"/>
    </row>
    <row r="1047">
      <c r="A1047" s="125"/>
      <c r="B1047" s="323"/>
      <c r="C1047" s="374"/>
      <c r="D1047" s="42"/>
      <c r="E1047" s="42"/>
      <c r="F1047" s="42"/>
      <c r="G1047" s="42"/>
      <c r="H1047" s="42"/>
      <c r="I1047" s="42"/>
      <c r="J1047" s="42"/>
      <c r="K1047" s="375"/>
      <c r="L1047" s="42"/>
      <c r="M1047" s="42"/>
      <c r="N1047" s="42"/>
      <c r="O1047" s="42"/>
      <c r="P1047" s="42"/>
      <c r="Q1047" s="42"/>
      <c r="R1047" s="42"/>
      <c r="S1047" s="42"/>
      <c r="T1047" s="42"/>
      <c r="U1047" s="42"/>
      <c r="V1047" s="42"/>
      <c r="W1047" s="42"/>
      <c r="X1047" s="42"/>
      <c r="Y1047" s="42"/>
      <c r="Z1047" s="42"/>
      <c r="AA1047" s="42"/>
    </row>
    <row r="1048">
      <c r="A1048" s="125"/>
      <c r="B1048" s="323"/>
      <c r="C1048" s="374"/>
      <c r="D1048" s="42"/>
      <c r="E1048" s="42"/>
      <c r="F1048" s="42"/>
      <c r="G1048" s="42"/>
      <c r="H1048" s="42"/>
      <c r="I1048" s="42"/>
      <c r="J1048" s="42"/>
      <c r="K1048" s="375"/>
      <c r="L1048" s="42"/>
      <c r="M1048" s="42"/>
      <c r="N1048" s="42"/>
      <c r="O1048" s="42"/>
      <c r="P1048" s="42"/>
      <c r="Q1048" s="42"/>
      <c r="R1048" s="42"/>
      <c r="S1048" s="42"/>
      <c r="T1048" s="42"/>
      <c r="U1048" s="42"/>
      <c r="V1048" s="42"/>
      <c r="W1048" s="42"/>
      <c r="X1048" s="42"/>
      <c r="Y1048" s="42"/>
      <c r="Z1048" s="42"/>
      <c r="AA1048" s="42"/>
    </row>
    <row r="1049">
      <c r="A1049" s="125"/>
      <c r="B1049" s="323"/>
      <c r="C1049" s="374"/>
      <c r="D1049" s="42"/>
      <c r="E1049" s="42"/>
      <c r="F1049" s="42"/>
      <c r="G1049" s="42"/>
      <c r="H1049" s="42"/>
      <c r="I1049" s="42"/>
      <c r="J1049" s="42"/>
      <c r="K1049" s="375"/>
      <c r="L1049" s="42"/>
      <c r="M1049" s="42"/>
      <c r="N1049" s="42"/>
      <c r="O1049" s="42"/>
      <c r="P1049" s="42"/>
      <c r="Q1049" s="42"/>
      <c r="R1049" s="42"/>
      <c r="S1049" s="42"/>
      <c r="T1049" s="42"/>
      <c r="U1049" s="42"/>
      <c r="V1049" s="42"/>
      <c r="W1049" s="42"/>
      <c r="X1049" s="42"/>
      <c r="Y1049" s="42"/>
      <c r="Z1049" s="42"/>
      <c r="AA1049" s="42"/>
    </row>
    <row r="1050">
      <c r="A1050" s="125"/>
      <c r="B1050" s="323"/>
      <c r="C1050" s="374"/>
      <c r="D1050" s="42"/>
      <c r="E1050" s="42"/>
      <c r="F1050" s="42"/>
      <c r="G1050" s="42"/>
      <c r="H1050" s="42"/>
      <c r="I1050" s="42"/>
      <c r="J1050" s="42"/>
      <c r="K1050" s="375"/>
      <c r="L1050" s="42"/>
      <c r="M1050" s="42"/>
      <c r="N1050" s="42"/>
      <c r="O1050" s="42"/>
      <c r="P1050" s="42"/>
      <c r="Q1050" s="42"/>
      <c r="R1050" s="42"/>
      <c r="S1050" s="42"/>
      <c r="T1050" s="42"/>
      <c r="U1050" s="42"/>
      <c r="V1050" s="42"/>
      <c r="W1050" s="42"/>
      <c r="X1050" s="42"/>
      <c r="Y1050" s="42"/>
      <c r="Z1050" s="42"/>
      <c r="AA1050" s="42"/>
    </row>
    <row r="1051">
      <c r="A1051" s="125"/>
      <c r="B1051" s="323"/>
      <c r="C1051" s="374"/>
      <c r="D1051" s="42"/>
      <c r="E1051" s="42"/>
      <c r="F1051" s="42"/>
      <c r="G1051" s="42"/>
      <c r="H1051" s="42"/>
      <c r="I1051" s="42"/>
      <c r="J1051" s="42"/>
      <c r="K1051" s="375"/>
      <c r="L1051" s="42"/>
      <c r="M1051" s="42"/>
      <c r="N1051" s="42"/>
      <c r="O1051" s="42"/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</row>
    <row r="1052">
      <c r="A1052" s="125"/>
      <c r="B1052" s="323"/>
      <c r="C1052" s="374"/>
      <c r="D1052" s="42"/>
      <c r="E1052" s="42"/>
      <c r="F1052" s="42"/>
      <c r="G1052" s="42"/>
      <c r="H1052" s="42"/>
      <c r="I1052" s="42"/>
      <c r="J1052" s="42"/>
      <c r="K1052" s="375"/>
      <c r="L1052" s="42"/>
      <c r="M1052" s="42"/>
      <c r="N1052" s="42"/>
      <c r="O1052" s="42"/>
      <c r="P1052" s="42"/>
      <c r="Q1052" s="42"/>
      <c r="R1052" s="42"/>
      <c r="S1052" s="42"/>
      <c r="T1052" s="42"/>
      <c r="U1052" s="42"/>
      <c r="V1052" s="42"/>
      <c r="W1052" s="42"/>
      <c r="X1052" s="42"/>
      <c r="Y1052" s="42"/>
      <c r="Z1052" s="42"/>
      <c r="AA1052" s="42"/>
    </row>
    <row r="1053">
      <c r="A1053" s="125"/>
      <c r="B1053" s="323"/>
      <c r="C1053" s="374"/>
      <c r="D1053" s="42"/>
      <c r="E1053" s="42"/>
      <c r="F1053" s="42"/>
      <c r="G1053" s="42"/>
      <c r="H1053" s="42"/>
      <c r="I1053" s="42"/>
      <c r="J1053" s="42"/>
      <c r="K1053" s="375"/>
      <c r="L1053" s="42"/>
      <c r="M1053" s="42"/>
      <c r="N1053" s="42"/>
      <c r="O1053" s="42"/>
      <c r="P1053" s="42"/>
      <c r="Q1053" s="42"/>
      <c r="R1053" s="42"/>
      <c r="S1053" s="42"/>
      <c r="T1053" s="42"/>
      <c r="U1053" s="42"/>
      <c r="V1053" s="42"/>
      <c r="W1053" s="42"/>
      <c r="X1053" s="42"/>
      <c r="Y1053" s="42"/>
      <c r="Z1053" s="42"/>
      <c r="AA1053" s="42"/>
    </row>
    <row r="1054">
      <c r="A1054" s="125"/>
      <c r="B1054" s="323"/>
      <c r="C1054" s="374"/>
      <c r="D1054" s="42"/>
      <c r="E1054" s="42"/>
      <c r="F1054" s="42"/>
      <c r="G1054" s="42"/>
      <c r="H1054" s="42"/>
      <c r="I1054" s="42"/>
      <c r="J1054" s="42"/>
      <c r="K1054" s="375"/>
      <c r="L1054" s="42"/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</row>
    <row r="1055">
      <c r="A1055" s="125"/>
      <c r="B1055" s="323"/>
      <c r="C1055" s="374"/>
      <c r="D1055" s="42"/>
      <c r="E1055" s="42"/>
      <c r="F1055" s="42"/>
      <c r="G1055" s="42"/>
      <c r="H1055" s="42"/>
      <c r="I1055" s="42"/>
      <c r="J1055" s="42"/>
      <c r="K1055" s="375"/>
      <c r="L1055" s="42"/>
      <c r="M1055" s="42"/>
      <c r="N1055" s="42"/>
      <c r="O1055" s="42"/>
      <c r="P1055" s="42"/>
      <c r="Q1055" s="42"/>
      <c r="R1055" s="42"/>
      <c r="S1055" s="42"/>
      <c r="T1055" s="42"/>
      <c r="U1055" s="42"/>
      <c r="V1055" s="42"/>
      <c r="W1055" s="42"/>
      <c r="X1055" s="42"/>
      <c r="Y1055" s="42"/>
      <c r="Z1055" s="42"/>
      <c r="AA1055" s="42"/>
    </row>
    <row r="1056">
      <c r="A1056" s="125"/>
      <c r="B1056" s="323"/>
      <c r="C1056" s="374"/>
      <c r="D1056" s="42"/>
      <c r="E1056" s="42"/>
      <c r="F1056" s="42"/>
      <c r="G1056" s="42"/>
      <c r="H1056" s="42"/>
      <c r="I1056" s="42"/>
      <c r="J1056" s="42"/>
      <c r="K1056" s="375"/>
      <c r="L1056" s="42"/>
      <c r="M1056" s="42"/>
      <c r="N1056" s="42"/>
      <c r="O1056" s="42"/>
      <c r="P1056" s="42"/>
      <c r="Q1056" s="42"/>
      <c r="R1056" s="42"/>
      <c r="S1056" s="42"/>
      <c r="T1056" s="42"/>
      <c r="U1056" s="42"/>
      <c r="V1056" s="42"/>
      <c r="W1056" s="42"/>
      <c r="X1056" s="42"/>
      <c r="Y1056" s="42"/>
      <c r="Z1056" s="42"/>
      <c r="AA1056" s="42"/>
    </row>
    <row r="1057">
      <c r="A1057" s="125"/>
      <c r="B1057" s="323"/>
      <c r="C1057" s="374"/>
      <c r="D1057" s="42"/>
      <c r="E1057" s="42"/>
      <c r="F1057" s="42"/>
      <c r="G1057" s="42"/>
      <c r="H1057" s="42"/>
      <c r="I1057" s="42"/>
      <c r="J1057" s="42"/>
      <c r="K1057" s="375"/>
      <c r="L1057" s="42"/>
      <c r="M1057" s="42"/>
      <c r="N1057" s="42"/>
      <c r="O1057" s="42"/>
      <c r="P1057" s="42"/>
      <c r="Q1057" s="42"/>
      <c r="R1057" s="42"/>
      <c r="S1057" s="42"/>
      <c r="T1057" s="42"/>
      <c r="U1057" s="42"/>
      <c r="V1057" s="42"/>
      <c r="W1057" s="42"/>
      <c r="X1057" s="42"/>
      <c r="Y1057" s="42"/>
      <c r="Z1057" s="42"/>
      <c r="AA1057" s="42"/>
    </row>
    <row r="1058">
      <c r="A1058" s="125"/>
      <c r="B1058" s="323"/>
      <c r="C1058" s="374"/>
      <c r="D1058" s="42"/>
      <c r="E1058" s="42"/>
      <c r="F1058" s="42"/>
      <c r="G1058" s="42"/>
      <c r="H1058" s="42"/>
      <c r="I1058" s="42"/>
      <c r="J1058" s="42"/>
      <c r="K1058" s="375"/>
      <c r="L1058" s="42"/>
      <c r="M1058" s="42"/>
      <c r="N1058" s="42"/>
      <c r="O1058" s="42"/>
      <c r="P1058" s="42"/>
      <c r="Q1058" s="42"/>
      <c r="R1058" s="42"/>
      <c r="S1058" s="42"/>
      <c r="T1058" s="42"/>
      <c r="U1058" s="42"/>
      <c r="V1058" s="42"/>
      <c r="W1058" s="42"/>
      <c r="X1058" s="42"/>
      <c r="Y1058" s="42"/>
      <c r="Z1058" s="42"/>
      <c r="AA1058" s="42"/>
    </row>
    <row r="1059">
      <c r="A1059" s="125"/>
      <c r="B1059" s="323"/>
      <c r="C1059" s="374"/>
      <c r="D1059" s="42"/>
      <c r="E1059" s="42"/>
      <c r="F1059" s="42"/>
      <c r="G1059" s="42"/>
      <c r="H1059" s="42"/>
      <c r="I1059" s="42"/>
      <c r="J1059" s="42"/>
      <c r="K1059" s="375"/>
      <c r="L1059" s="42"/>
      <c r="M1059" s="42"/>
      <c r="N1059" s="42"/>
      <c r="O1059" s="42"/>
      <c r="P1059" s="42"/>
      <c r="Q1059" s="42"/>
      <c r="R1059" s="42"/>
      <c r="S1059" s="42"/>
      <c r="T1059" s="42"/>
      <c r="U1059" s="42"/>
      <c r="V1059" s="42"/>
      <c r="W1059" s="42"/>
      <c r="X1059" s="42"/>
      <c r="Y1059" s="42"/>
      <c r="Z1059" s="42"/>
      <c r="AA1059" s="42"/>
    </row>
    <row r="1060">
      <c r="A1060" s="125"/>
      <c r="B1060" s="323"/>
      <c r="C1060" s="374"/>
      <c r="D1060" s="42"/>
      <c r="E1060" s="42"/>
      <c r="F1060" s="42"/>
      <c r="G1060" s="42"/>
      <c r="H1060" s="42"/>
      <c r="I1060" s="42"/>
      <c r="J1060" s="42"/>
      <c r="K1060" s="375"/>
      <c r="L1060" s="42"/>
      <c r="M1060" s="42"/>
      <c r="N1060" s="42"/>
      <c r="O1060" s="42"/>
      <c r="P1060" s="42"/>
      <c r="Q1060" s="42"/>
      <c r="R1060" s="42"/>
      <c r="S1060" s="42"/>
      <c r="T1060" s="42"/>
      <c r="U1060" s="42"/>
      <c r="V1060" s="42"/>
      <c r="W1060" s="42"/>
      <c r="X1060" s="42"/>
      <c r="Y1060" s="42"/>
      <c r="Z1060" s="42"/>
      <c r="AA1060" s="42"/>
    </row>
    <row r="1061">
      <c r="A1061" s="125"/>
      <c r="B1061" s="323"/>
      <c r="C1061" s="374"/>
      <c r="D1061" s="42"/>
      <c r="E1061" s="42"/>
      <c r="F1061" s="42"/>
      <c r="G1061" s="42"/>
      <c r="H1061" s="42"/>
      <c r="I1061" s="42"/>
      <c r="J1061" s="42"/>
      <c r="K1061" s="375"/>
      <c r="L1061" s="42"/>
      <c r="M1061" s="42"/>
      <c r="N1061" s="42"/>
      <c r="O1061" s="42"/>
      <c r="P1061" s="42"/>
      <c r="Q1061" s="42"/>
      <c r="R1061" s="42"/>
      <c r="S1061" s="42"/>
      <c r="T1061" s="42"/>
      <c r="U1061" s="42"/>
      <c r="V1061" s="42"/>
      <c r="W1061" s="42"/>
      <c r="X1061" s="42"/>
      <c r="Y1061" s="42"/>
      <c r="Z1061" s="42"/>
      <c r="AA1061" s="42"/>
    </row>
    <row r="1062">
      <c r="A1062" s="125"/>
      <c r="B1062" s="323"/>
      <c r="C1062" s="374"/>
      <c r="D1062" s="42"/>
      <c r="E1062" s="42"/>
      <c r="F1062" s="42"/>
      <c r="G1062" s="42"/>
      <c r="H1062" s="42"/>
      <c r="I1062" s="42"/>
      <c r="J1062" s="42"/>
      <c r="K1062" s="375"/>
      <c r="L1062" s="42"/>
      <c r="M1062" s="42"/>
      <c r="N1062" s="42"/>
      <c r="O1062" s="42"/>
      <c r="P1062" s="42"/>
      <c r="Q1062" s="42"/>
      <c r="R1062" s="42"/>
      <c r="S1062" s="42"/>
      <c r="T1062" s="42"/>
      <c r="U1062" s="42"/>
      <c r="V1062" s="42"/>
      <c r="W1062" s="42"/>
      <c r="X1062" s="42"/>
      <c r="Y1062" s="42"/>
      <c r="Z1062" s="42"/>
      <c r="AA1062" s="42"/>
    </row>
    <row r="1063">
      <c r="A1063" s="125"/>
      <c r="B1063" s="323"/>
      <c r="C1063" s="374"/>
      <c r="D1063" s="42"/>
      <c r="E1063" s="42"/>
      <c r="F1063" s="42"/>
      <c r="G1063" s="42"/>
      <c r="H1063" s="42"/>
      <c r="I1063" s="42"/>
      <c r="J1063" s="42"/>
      <c r="K1063" s="375"/>
      <c r="L1063" s="42"/>
      <c r="M1063" s="42"/>
      <c r="N1063" s="42"/>
      <c r="O1063" s="42"/>
      <c r="P1063" s="42"/>
      <c r="Q1063" s="42"/>
      <c r="R1063" s="42"/>
      <c r="S1063" s="42"/>
      <c r="T1063" s="42"/>
      <c r="U1063" s="42"/>
      <c r="V1063" s="42"/>
      <c r="W1063" s="42"/>
      <c r="X1063" s="42"/>
      <c r="Y1063" s="42"/>
      <c r="Z1063" s="42"/>
      <c r="AA1063" s="42"/>
    </row>
    <row r="1064">
      <c r="A1064" s="125"/>
      <c r="B1064" s="323"/>
      <c r="C1064" s="374"/>
      <c r="D1064" s="42"/>
      <c r="E1064" s="42"/>
      <c r="F1064" s="42"/>
      <c r="G1064" s="42"/>
      <c r="H1064" s="42"/>
      <c r="I1064" s="42"/>
      <c r="J1064" s="42"/>
      <c r="K1064" s="375"/>
      <c r="L1064" s="42"/>
      <c r="M1064" s="42"/>
      <c r="N1064" s="42"/>
      <c r="O1064" s="42"/>
      <c r="P1064" s="42"/>
      <c r="Q1064" s="42"/>
      <c r="R1064" s="42"/>
      <c r="S1064" s="42"/>
      <c r="T1064" s="42"/>
      <c r="U1064" s="42"/>
      <c r="V1064" s="42"/>
      <c r="W1064" s="42"/>
      <c r="X1064" s="42"/>
      <c r="Y1064" s="42"/>
      <c r="Z1064" s="42"/>
      <c r="AA1064" s="42"/>
    </row>
    <row r="1065">
      <c r="A1065" s="125"/>
      <c r="B1065" s="323"/>
      <c r="C1065" s="374"/>
      <c r="D1065" s="42"/>
      <c r="E1065" s="42"/>
      <c r="F1065" s="42"/>
      <c r="G1065" s="42"/>
      <c r="H1065" s="42"/>
      <c r="I1065" s="42"/>
      <c r="J1065" s="42"/>
      <c r="K1065" s="375"/>
      <c r="L1065" s="42"/>
      <c r="M1065" s="42"/>
      <c r="N1065" s="42"/>
      <c r="O1065" s="42"/>
      <c r="P1065" s="42"/>
      <c r="Q1065" s="42"/>
      <c r="R1065" s="42"/>
      <c r="S1065" s="42"/>
      <c r="T1065" s="42"/>
      <c r="U1065" s="42"/>
      <c r="V1065" s="42"/>
      <c r="W1065" s="42"/>
      <c r="X1065" s="42"/>
      <c r="Y1065" s="42"/>
      <c r="Z1065" s="42"/>
      <c r="AA1065" s="42"/>
    </row>
    <row r="1066">
      <c r="A1066" s="125"/>
      <c r="B1066" s="323"/>
      <c r="C1066" s="374"/>
      <c r="D1066" s="42"/>
      <c r="E1066" s="42"/>
      <c r="F1066" s="42"/>
      <c r="G1066" s="42"/>
      <c r="H1066" s="42"/>
      <c r="I1066" s="42"/>
      <c r="J1066" s="42"/>
      <c r="K1066" s="375"/>
      <c r="L1066" s="42"/>
      <c r="M1066" s="42"/>
      <c r="N1066" s="42"/>
      <c r="O1066" s="42"/>
      <c r="P1066" s="42"/>
      <c r="Q1066" s="42"/>
      <c r="R1066" s="42"/>
      <c r="S1066" s="42"/>
      <c r="T1066" s="42"/>
      <c r="U1066" s="42"/>
      <c r="V1066" s="42"/>
      <c r="W1066" s="42"/>
      <c r="X1066" s="42"/>
      <c r="Y1066" s="42"/>
      <c r="Z1066" s="42"/>
      <c r="AA1066" s="42"/>
    </row>
    <row r="1067">
      <c r="A1067" s="125"/>
      <c r="B1067" s="323"/>
      <c r="C1067" s="374"/>
      <c r="D1067" s="42"/>
      <c r="E1067" s="42"/>
      <c r="F1067" s="42"/>
      <c r="G1067" s="42"/>
      <c r="H1067" s="42"/>
      <c r="I1067" s="42"/>
      <c r="J1067" s="42"/>
      <c r="K1067" s="375"/>
      <c r="L1067" s="42"/>
      <c r="M1067" s="42"/>
      <c r="N1067" s="42"/>
      <c r="O1067" s="42"/>
      <c r="P1067" s="42"/>
      <c r="Q1067" s="42"/>
      <c r="R1067" s="42"/>
      <c r="S1067" s="42"/>
      <c r="T1067" s="42"/>
      <c r="U1067" s="42"/>
      <c r="V1067" s="42"/>
      <c r="W1067" s="42"/>
      <c r="X1067" s="42"/>
      <c r="Y1067" s="42"/>
      <c r="Z1067" s="42"/>
      <c r="AA1067" s="42"/>
    </row>
    <row r="1068">
      <c r="A1068" s="125"/>
      <c r="B1068" s="323"/>
      <c r="C1068" s="374"/>
      <c r="D1068" s="42"/>
      <c r="E1068" s="42"/>
      <c r="F1068" s="42"/>
      <c r="G1068" s="42"/>
      <c r="H1068" s="42"/>
      <c r="I1068" s="42"/>
      <c r="J1068" s="42"/>
      <c r="K1068" s="375"/>
      <c r="L1068" s="42"/>
      <c r="M1068" s="42"/>
      <c r="N1068" s="42"/>
      <c r="O1068" s="42"/>
      <c r="P1068" s="42"/>
      <c r="Q1068" s="42"/>
      <c r="R1068" s="42"/>
      <c r="S1068" s="42"/>
      <c r="T1068" s="42"/>
      <c r="U1068" s="42"/>
      <c r="V1068" s="42"/>
      <c r="W1068" s="42"/>
      <c r="X1068" s="42"/>
      <c r="Y1068" s="42"/>
      <c r="Z1068" s="42"/>
      <c r="AA1068" s="42"/>
    </row>
    <row r="1069">
      <c r="A1069" s="125"/>
      <c r="B1069" s="323"/>
      <c r="C1069" s="374"/>
      <c r="D1069" s="42"/>
      <c r="E1069" s="42"/>
      <c r="F1069" s="42"/>
      <c r="G1069" s="42"/>
      <c r="H1069" s="42"/>
      <c r="I1069" s="42"/>
      <c r="J1069" s="42"/>
      <c r="K1069" s="375"/>
      <c r="L1069" s="42"/>
      <c r="M1069" s="42"/>
      <c r="N1069" s="42"/>
      <c r="O1069" s="42"/>
      <c r="P1069" s="42"/>
      <c r="Q1069" s="42"/>
      <c r="R1069" s="42"/>
      <c r="S1069" s="42"/>
      <c r="T1069" s="42"/>
      <c r="U1069" s="42"/>
      <c r="V1069" s="42"/>
      <c r="W1069" s="42"/>
      <c r="X1069" s="42"/>
      <c r="Y1069" s="42"/>
      <c r="Z1069" s="42"/>
      <c r="AA1069" s="42"/>
    </row>
    <row r="1070">
      <c r="A1070" s="125"/>
      <c r="B1070" s="323"/>
      <c r="C1070" s="374"/>
      <c r="D1070" s="42"/>
      <c r="E1070" s="42"/>
      <c r="F1070" s="42"/>
      <c r="G1070" s="42"/>
      <c r="H1070" s="42"/>
      <c r="I1070" s="42"/>
      <c r="J1070" s="42"/>
      <c r="K1070" s="375"/>
      <c r="L1070" s="42"/>
      <c r="M1070" s="42"/>
      <c r="N1070" s="42"/>
      <c r="O1070" s="42"/>
      <c r="P1070" s="42"/>
      <c r="Q1070" s="42"/>
      <c r="R1070" s="42"/>
      <c r="S1070" s="42"/>
      <c r="T1070" s="42"/>
      <c r="U1070" s="42"/>
      <c r="V1070" s="42"/>
      <c r="W1070" s="42"/>
      <c r="X1070" s="42"/>
      <c r="Y1070" s="42"/>
      <c r="Z1070" s="42"/>
      <c r="AA1070" s="42"/>
    </row>
    <row r="1071">
      <c r="A1071" s="125"/>
      <c r="B1071" s="323"/>
      <c r="C1071" s="374"/>
      <c r="D1071" s="42"/>
      <c r="E1071" s="42"/>
      <c r="F1071" s="42"/>
      <c r="G1071" s="42"/>
      <c r="H1071" s="42"/>
      <c r="I1071" s="42"/>
      <c r="J1071" s="42"/>
      <c r="K1071" s="375"/>
      <c r="L1071" s="42"/>
      <c r="M1071" s="42"/>
      <c r="N1071" s="42"/>
      <c r="O1071" s="42"/>
      <c r="P1071" s="42"/>
      <c r="Q1071" s="42"/>
      <c r="R1071" s="42"/>
      <c r="S1071" s="42"/>
      <c r="T1071" s="42"/>
      <c r="U1071" s="42"/>
      <c r="V1071" s="42"/>
      <c r="W1071" s="42"/>
      <c r="X1071" s="42"/>
      <c r="Y1071" s="42"/>
      <c r="Z1071" s="42"/>
      <c r="AA1071" s="42"/>
    </row>
    <row r="1072">
      <c r="A1072" s="125"/>
      <c r="B1072" s="323"/>
      <c r="C1072" s="374"/>
      <c r="D1072" s="42"/>
      <c r="E1072" s="42"/>
      <c r="F1072" s="42"/>
      <c r="G1072" s="42"/>
      <c r="H1072" s="42"/>
      <c r="I1072" s="42"/>
      <c r="J1072" s="42"/>
      <c r="K1072" s="375"/>
      <c r="L1072" s="42"/>
      <c r="M1072" s="42"/>
      <c r="N1072" s="42"/>
      <c r="O1072" s="42"/>
      <c r="P1072" s="42"/>
      <c r="Q1072" s="42"/>
      <c r="R1072" s="42"/>
      <c r="S1072" s="42"/>
      <c r="T1072" s="42"/>
      <c r="U1072" s="42"/>
      <c r="V1072" s="42"/>
      <c r="W1072" s="42"/>
      <c r="X1072" s="42"/>
      <c r="Y1072" s="42"/>
      <c r="Z1072" s="42"/>
      <c r="AA1072" s="42"/>
    </row>
    <row r="1073">
      <c r="A1073" s="125"/>
      <c r="B1073" s="323"/>
      <c r="C1073" s="374"/>
      <c r="D1073" s="42"/>
      <c r="E1073" s="42"/>
      <c r="F1073" s="42"/>
      <c r="G1073" s="42"/>
      <c r="H1073" s="42"/>
      <c r="I1073" s="42"/>
      <c r="J1073" s="42"/>
      <c r="K1073" s="375"/>
      <c r="L1073" s="42"/>
      <c r="M1073" s="42"/>
      <c r="N1073" s="42"/>
      <c r="O1073" s="42"/>
      <c r="P1073" s="42"/>
      <c r="Q1073" s="42"/>
      <c r="R1073" s="42"/>
      <c r="S1073" s="42"/>
      <c r="T1073" s="42"/>
      <c r="U1073" s="42"/>
      <c r="V1073" s="42"/>
      <c r="W1073" s="42"/>
      <c r="X1073" s="42"/>
      <c r="Y1073" s="42"/>
      <c r="Z1073" s="42"/>
      <c r="AA1073" s="42"/>
    </row>
    <row r="1074">
      <c r="A1074" s="125"/>
      <c r="B1074" s="323"/>
      <c r="C1074" s="374"/>
      <c r="D1074" s="42"/>
      <c r="E1074" s="42"/>
      <c r="F1074" s="42"/>
      <c r="G1074" s="42"/>
      <c r="H1074" s="42"/>
      <c r="I1074" s="42"/>
      <c r="J1074" s="42"/>
      <c r="K1074" s="375"/>
      <c r="L1074" s="42"/>
      <c r="M1074" s="42"/>
      <c r="N1074" s="42"/>
      <c r="O1074" s="42"/>
      <c r="P1074" s="42"/>
      <c r="Q1074" s="42"/>
      <c r="R1074" s="42"/>
      <c r="S1074" s="42"/>
      <c r="T1074" s="42"/>
      <c r="U1074" s="42"/>
      <c r="V1074" s="42"/>
      <c r="W1074" s="42"/>
      <c r="X1074" s="42"/>
      <c r="Y1074" s="42"/>
      <c r="Z1074" s="42"/>
      <c r="AA1074" s="42"/>
    </row>
    <row r="1075">
      <c r="A1075" s="125"/>
      <c r="B1075" s="323"/>
      <c r="C1075" s="374"/>
      <c r="D1075" s="42"/>
      <c r="E1075" s="42"/>
      <c r="F1075" s="42"/>
      <c r="G1075" s="42"/>
      <c r="H1075" s="42"/>
      <c r="I1075" s="42"/>
      <c r="J1075" s="42"/>
      <c r="K1075" s="375"/>
      <c r="L1075" s="42"/>
      <c r="M1075" s="42"/>
      <c r="N1075" s="42"/>
      <c r="O1075" s="42"/>
      <c r="P1075" s="42"/>
      <c r="Q1075" s="42"/>
      <c r="R1075" s="42"/>
      <c r="S1075" s="42"/>
      <c r="T1075" s="42"/>
      <c r="U1075" s="42"/>
      <c r="V1075" s="42"/>
      <c r="W1075" s="42"/>
      <c r="X1075" s="42"/>
      <c r="Y1075" s="42"/>
      <c r="Z1075" s="42"/>
      <c r="AA1075" s="42"/>
    </row>
    <row r="1076">
      <c r="A1076" s="125"/>
      <c r="B1076" s="323"/>
      <c r="C1076" s="374"/>
      <c r="D1076" s="42"/>
      <c r="E1076" s="42"/>
      <c r="F1076" s="42"/>
      <c r="G1076" s="42"/>
      <c r="H1076" s="42"/>
      <c r="I1076" s="42"/>
      <c r="J1076" s="42"/>
      <c r="K1076" s="375"/>
      <c r="L1076" s="42"/>
      <c r="M1076" s="42"/>
      <c r="N1076" s="42"/>
      <c r="O1076" s="42"/>
      <c r="P1076" s="42"/>
      <c r="Q1076" s="42"/>
      <c r="R1076" s="42"/>
      <c r="S1076" s="42"/>
      <c r="T1076" s="42"/>
      <c r="U1076" s="42"/>
      <c r="V1076" s="42"/>
      <c r="W1076" s="42"/>
      <c r="X1076" s="42"/>
      <c r="Y1076" s="42"/>
      <c r="Z1076" s="42"/>
      <c r="AA1076" s="42"/>
    </row>
    <row r="1077">
      <c r="A1077" s="125"/>
      <c r="B1077" s="323"/>
      <c r="C1077" s="374"/>
      <c r="D1077" s="42"/>
      <c r="E1077" s="42"/>
      <c r="F1077" s="42"/>
      <c r="G1077" s="42"/>
      <c r="H1077" s="42"/>
      <c r="I1077" s="42"/>
      <c r="J1077" s="42"/>
      <c r="K1077" s="375"/>
      <c r="L1077" s="42"/>
      <c r="M1077" s="42"/>
      <c r="N1077" s="42"/>
      <c r="O1077" s="42"/>
      <c r="P1077" s="42"/>
      <c r="Q1077" s="42"/>
      <c r="R1077" s="42"/>
      <c r="S1077" s="42"/>
      <c r="T1077" s="42"/>
      <c r="U1077" s="42"/>
      <c r="V1077" s="42"/>
      <c r="W1077" s="42"/>
      <c r="X1077" s="42"/>
      <c r="Y1077" s="42"/>
      <c r="Z1077" s="42"/>
      <c r="AA1077" s="42"/>
    </row>
    <row r="1078">
      <c r="A1078" s="125"/>
      <c r="B1078" s="323"/>
      <c r="C1078" s="374"/>
      <c r="D1078" s="42"/>
      <c r="E1078" s="42"/>
      <c r="F1078" s="42"/>
      <c r="G1078" s="42"/>
      <c r="H1078" s="42"/>
      <c r="I1078" s="42"/>
      <c r="J1078" s="42"/>
      <c r="K1078" s="375"/>
      <c r="L1078" s="42"/>
      <c r="M1078" s="42"/>
      <c r="N1078" s="42"/>
      <c r="O1078" s="42"/>
      <c r="P1078" s="42"/>
      <c r="Q1078" s="42"/>
      <c r="R1078" s="42"/>
      <c r="S1078" s="42"/>
      <c r="T1078" s="42"/>
      <c r="U1078" s="42"/>
      <c r="V1078" s="42"/>
      <c r="W1078" s="42"/>
      <c r="X1078" s="42"/>
      <c r="Y1078" s="42"/>
      <c r="Z1078" s="42"/>
      <c r="AA1078" s="42"/>
    </row>
    <row r="1079">
      <c r="A1079" s="125"/>
      <c r="B1079" s="323"/>
      <c r="C1079" s="374"/>
      <c r="D1079" s="42"/>
      <c r="E1079" s="42"/>
      <c r="F1079" s="42"/>
      <c r="G1079" s="42"/>
      <c r="H1079" s="42"/>
      <c r="I1079" s="42"/>
      <c r="J1079" s="42"/>
      <c r="K1079" s="375"/>
      <c r="L1079" s="42"/>
      <c r="M1079" s="42"/>
      <c r="N1079" s="42"/>
      <c r="O1079" s="42"/>
      <c r="P1079" s="42"/>
      <c r="Q1079" s="42"/>
      <c r="R1079" s="42"/>
      <c r="S1079" s="42"/>
      <c r="T1079" s="42"/>
      <c r="U1079" s="42"/>
      <c r="V1079" s="42"/>
      <c r="W1079" s="42"/>
      <c r="X1079" s="42"/>
      <c r="Y1079" s="42"/>
      <c r="Z1079" s="42"/>
      <c r="AA1079" s="42"/>
    </row>
    <row r="1080">
      <c r="A1080" s="125"/>
      <c r="B1080" s="323"/>
      <c r="C1080" s="374"/>
      <c r="D1080" s="42"/>
      <c r="E1080" s="42"/>
      <c r="F1080" s="42"/>
      <c r="G1080" s="42"/>
      <c r="H1080" s="42"/>
      <c r="I1080" s="42"/>
      <c r="J1080" s="42"/>
      <c r="K1080" s="375"/>
      <c r="L1080" s="42"/>
      <c r="M1080" s="42"/>
      <c r="N1080" s="42"/>
      <c r="O1080" s="42"/>
      <c r="P1080" s="42"/>
      <c r="Q1080" s="42"/>
      <c r="R1080" s="42"/>
      <c r="S1080" s="42"/>
      <c r="T1080" s="42"/>
      <c r="U1080" s="42"/>
      <c r="V1080" s="42"/>
      <c r="W1080" s="42"/>
      <c r="X1080" s="42"/>
      <c r="Y1080" s="42"/>
      <c r="Z1080" s="42"/>
      <c r="AA1080" s="42"/>
    </row>
    <row r="1081">
      <c r="A1081" s="125"/>
      <c r="B1081" s="323"/>
      <c r="C1081" s="374"/>
      <c r="D1081" s="42"/>
      <c r="E1081" s="42"/>
      <c r="F1081" s="42"/>
      <c r="G1081" s="42"/>
      <c r="H1081" s="42"/>
      <c r="I1081" s="42"/>
      <c r="J1081" s="42"/>
      <c r="K1081" s="375"/>
      <c r="L1081" s="42"/>
      <c r="M1081" s="42"/>
      <c r="N1081" s="42"/>
      <c r="O1081" s="42"/>
      <c r="P1081" s="42"/>
      <c r="Q1081" s="42"/>
      <c r="R1081" s="42"/>
      <c r="S1081" s="42"/>
      <c r="T1081" s="42"/>
      <c r="U1081" s="42"/>
      <c r="V1081" s="42"/>
      <c r="W1081" s="42"/>
      <c r="X1081" s="42"/>
      <c r="Y1081" s="42"/>
      <c r="Z1081" s="42"/>
      <c r="AA1081" s="42"/>
    </row>
    <row r="1082">
      <c r="A1082" s="125"/>
      <c r="B1082" s="323"/>
      <c r="C1082" s="374"/>
      <c r="D1082" s="42"/>
      <c r="E1082" s="42"/>
      <c r="F1082" s="42"/>
      <c r="G1082" s="42"/>
      <c r="H1082" s="42"/>
      <c r="I1082" s="42"/>
      <c r="J1082" s="42"/>
      <c r="K1082" s="375"/>
      <c r="L1082" s="42"/>
      <c r="M1082" s="42"/>
      <c r="N1082" s="42"/>
      <c r="O1082" s="42"/>
      <c r="P1082" s="42"/>
      <c r="Q1082" s="42"/>
      <c r="R1082" s="42"/>
      <c r="S1082" s="42"/>
      <c r="T1082" s="42"/>
      <c r="U1082" s="42"/>
      <c r="V1082" s="42"/>
      <c r="W1082" s="42"/>
      <c r="X1082" s="42"/>
      <c r="Y1082" s="42"/>
      <c r="Z1082" s="42"/>
      <c r="AA1082" s="42"/>
    </row>
    <row r="1083">
      <c r="A1083" s="125"/>
      <c r="B1083" s="323"/>
      <c r="C1083" s="374"/>
      <c r="D1083" s="42"/>
      <c r="E1083" s="42"/>
      <c r="F1083" s="42"/>
      <c r="G1083" s="42"/>
      <c r="H1083" s="42"/>
      <c r="I1083" s="42"/>
      <c r="J1083" s="42"/>
      <c r="K1083" s="375"/>
      <c r="L1083" s="42"/>
      <c r="M1083" s="42"/>
      <c r="N1083" s="42"/>
      <c r="O1083" s="42"/>
      <c r="P1083" s="42"/>
      <c r="Q1083" s="42"/>
      <c r="R1083" s="42"/>
      <c r="S1083" s="42"/>
      <c r="T1083" s="42"/>
      <c r="U1083" s="42"/>
      <c r="V1083" s="42"/>
      <c r="W1083" s="42"/>
      <c r="X1083" s="42"/>
      <c r="Y1083" s="42"/>
      <c r="Z1083" s="42"/>
      <c r="AA1083" s="42"/>
    </row>
    <row r="1084">
      <c r="A1084" s="125"/>
      <c r="B1084" s="323"/>
      <c r="C1084" s="374"/>
      <c r="D1084" s="42"/>
      <c r="E1084" s="42"/>
      <c r="F1084" s="42"/>
      <c r="G1084" s="42"/>
      <c r="H1084" s="42"/>
      <c r="I1084" s="42"/>
      <c r="J1084" s="42"/>
      <c r="K1084" s="375"/>
      <c r="L1084" s="42"/>
      <c r="M1084" s="42"/>
      <c r="N1084" s="42"/>
      <c r="O1084" s="42"/>
      <c r="P1084" s="42"/>
      <c r="Q1084" s="42"/>
      <c r="R1084" s="42"/>
      <c r="S1084" s="42"/>
      <c r="T1084" s="42"/>
      <c r="U1084" s="42"/>
      <c r="V1084" s="42"/>
      <c r="W1084" s="42"/>
      <c r="X1084" s="42"/>
      <c r="Y1084" s="42"/>
      <c r="Z1084" s="42"/>
      <c r="AA1084" s="42"/>
    </row>
    <row r="1085">
      <c r="A1085" s="125"/>
      <c r="B1085" s="323"/>
      <c r="C1085" s="374"/>
      <c r="D1085" s="42"/>
      <c r="E1085" s="42"/>
      <c r="F1085" s="42"/>
      <c r="G1085" s="42"/>
      <c r="H1085" s="42"/>
      <c r="I1085" s="42"/>
      <c r="J1085" s="42"/>
      <c r="K1085" s="375"/>
      <c r="L1085" s="42"/>
      <c r="M1085" s="42"/>
      <c r="N1085" s="42"/>
      <c r="O1085" s="42"/>
      <c r="P1085" s="42"/>
      <c r="Q1085" s="42"/>
      <c r="R1085" s="42"/>
      <c r="S1085" s="42"/>
      <c r="T1085" s="42"/>
      <c r="U1085" s="42"/>
      <c r="V1085" s="42"/>
      <c r="W1085" s="42"/>
      <c r="X1085" s="42"/>
      <c r="Y1085" s="42"/>
      <c r="Z1085" s="42"/>
      <c r="AA1085" s="42"/>
    </row>
    <row r="1086">
      <c r="A1086" s="125"/>
      <c r="B1086" s="323"/>
      <c r="C1086" s="374"/>
      <c r="D1086" s="42"/>
      <c r="E1086" s="42"/>
      <c r="F1086" s="42"/>
      <c r="G1086" s="42"/>
      <c r="H1086" s="42"/>
      <c r="I1086" s="42"/>
      <c r="J1086" s="42"/>
      <c r="K1086" s="375"/>
      <c r="L1086" s="42"/>
      <c r="M1086" s="42"/>
      <c r="N1086" s="42"/>
      <c r="O1086" s="42"/>
      <c r="P1086" s="42"/>
      <c r="Q1086" s="42"/>
      <c r="R1086" s="42"/>
      <c r="S1086" s="42"/>
      <c r="T1086" s="42"/>
      <c r="U1086" s="42"/>
      <c r="V1086" s="42"/>
      <c r="W1086" s="42"/>
      <c r="X1086" s="42"/>
      <c r="Y1086" s="42"/>
      <c r="Z1086" s="42"/>
      <c r="AA1086" s="42"/>
    </row>
    <row r="1087">
      <c r="A1087" s="125"/>
      <c r="B1087" s="323"/>
      <c r="C1087" s="374"/>
      <c r="D1087" s="42"/>
      <c r="E1087" s="42"/>
      <c r="F1087" s="42"/>
      <c r="G1087" s="42"/>
      <c r="H1087" s="42"/>
      <c r="I1087" s="42"/>
      <c r="J1087" s="42"/>
      <c r="K1087" s="375"/>
      <c r="L1087" s="42"/>
      <c r="M1087" s="42"/>
      <c r="N1087" s="42"/>
      <c r="O1087" s="42"/>
      <c r="P1087" s="42"/>
      <c r="Q1087" s="42"/>
      <c r="R1087" s="42"/>
      <c r="S1087" s="42"/>
      <c r="T1087" s="42"/>
      <c r="U1087" s="42"/>
      <c r="V1087" s="42"/>
      <c r="W1087" s="42"/>
      <c r="X1087" s="42"/>
      <c r="Y1087" s="42"/>
      <c r="Z1087" s="42"/>
      <c r="AA1087" s="42"/>
    </row>
    <row r="1088">
      <c r="A1088" s="125"/>
      <c r="B1088" s="323"/>
      <c r="C1088" s="374"/>
      <c r="D1088" s="42"/>
      <c r="E1088" s="42"/>
      <c r="F1088" s="42"/>
      <c r="G1088" s="42"/>
      <c r="H1088" s="42"/>
      <c r="I1088" s="42"/>
      <c r="J1088" s="42"/>
      <c r="K1088" s="375"/>
      <c r="L1088" s="42"/>
      <c r="M1088" s="42"/>
      <c r="N1088" s="42"/>
      <c r="O1088" s="42"/>
      <c r="P1088" s="42"/>
      <c r="Q1088" s="42"/>
      <c r="R1088" s="42"/>
      <c r="S1088" s="42"/>
      <c r="T1088" s="42"/>
      <c r="U1088" s="42"/>
      <c r="V1088" s="42"/>
      <c r="W1088" s="42"/>
      <c r="X1088" s="42"/>
      <c r="Y1088" s="42"/>
      <c r="Z1088" s="42"/>
      <c r="AA1088" s="42"/>
    </row>
    <row r="1089">
      <c r="A1089" s="125"/>
      <c r="B1089" s="323"/>
      <c r="C1089" s="374"/>
      <c r="D1089" s="42"/>
      <c r="E1089" s="42"/>
      <c r="F1089" s="42"/>
      <c r="G1089" s="42"/>
      <c r="H1089" s="42"/>
      <c r="I1089" s="42"/>
      <c r="J1089" s="42"/>
      <c r="K1089" s="375"/>
      <c r="L1089" s="42"/>
      <c r="M1089" s="42"/>
      <c r="N1089" s="42"/>
      <c r="O1089" s="42"/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</row>
    <row r="1090">
      <c r="A1090" s="125"/>
      <c r="B1090" s="323"/>
      <c r="C1090" s="374"/>
      <c r="D1090" s="42"/>
      <c r="E1090" s="42"/>
      <c r="F1090" s="42"/>
      <c r="G1090" s="42"/>
      <c r="H1090" s="42"/>
      <c r="I1090" s="42"/>
      <c r="J1090" s="42"/>
      <c r="K1090" s="375"/>
      <c r="L1090" s="42"/>
      <c r="M1090" s="42"/>
      <c r="N1090" s="42"/>
      <c r="O1090" s="42"/>
      <c r="P1090" s="42"/>
      <c r="Q1090" s="42"/>
      <c r="R1090" s="42"/>
      <c r="S1090" s="42"/>
      <c r="T1090" s="42"/>
      <c r="U1090" s="42"/>
      <c r="V1090" s="42"/>
      <c r="W1090" s="42"/>
      <c r="X1090" s="42"/>
      <c r="Y1090" s="42"/>
      <c r="Z1090" s="42"/>
      <c r="AA1090" s="42"/>
    </row>
    <row r="1091">
      <c r="A1091" s="125"/>
      <c r="B1091" s="323"/>
      <c r="C1091" s="374"/>
      <c r="D1091" s="42"/>
      <c r="E1091" s="42"/>
      <c r="F1091" s="42"/>
      <c r="G1091" s="42"/>
      <c r="H1091" s="42"/>
      <c r="I1091" s="42"/>
      <c r="J1091" s="42"/>
      <c r="K1091" s="375"/>
      <c r="L1091" s="42"/>
      <c r="M1091" s="42"/>
      <c r="N1091" s="42"/>
      <c r="O1091" s="42"/>
      <c r="P1091" s="42"/>
      <c r="Q1091" s="42"/>
      <c r="R1091" s="42"/>
      <c r="S1091" s="42"/>
      <c r="T1091" s="42"/>
      <c r="U1091" s="42"/>
      <c r="V1091" s="42"/>
      <c r="W1091" s="42"/>
      <c r="X1091" s="42"/>
      <c r="Y1091" s="42"/>
      <c r="Z1091" s="42"/>
      <c r="AA1091" s="42"/>
    </row>
    <row r="1092">
      <c r="A1092" s="125"/>
      <c r="B1092" s="323"/>
      <c r="C1092" s="374"/>
      <c r="D1092" s="42"/>
      <c r="E1092" s="42"/>
      <c r="F1092" s="42"/>
      <c r="G1092" s="42"/>
      <c r="H1092" s="42"/>
      <c r="I1092" s="42"/>
      <c r="J1092" s="42"/>
      <c r="K1092" s="375"/>
      <c r="L1092" s="42"/>
      <c r="M1092" s="42"/>
      <c r="N1092" s="42"/>
      <c r="O1092" s="42"/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</row>
    <row r="1093">
      <c r="A1093" s="125"/>
      <c r="B1093" s="323"/>
      <c r="C1093" s="374"/>
      <c r="D1093" s="42"/>
      <c r="E1093" s="42"/>
      <c r="F1093" s="42"/>
      <c r="G1093" s="42"/>
      <c r="H1093" s="42"/>
      <c r="I1093" s="42"/>
      <c r="J1093" s="42"/>
      <c r="K1093" s="375"/>
      <c r="L1093" s="42"/>
      <c r="M1093" s="42"/>
      <c r="N1093" s="42"/>
      <c r="O1093" s="42"/>
      <c r="P1093" s="42"/>
      <c r="Q1093" s="42"/>
      <c r="R1093" s="42"/>
      <c r="S1093" s="42"/>
      <c r="T1093" s="42"/>
      <c r="U1093" s="42"/>
      <c r="V1093" s="42"/>
      <c r="W1093" s="42"/>
      <c r="X1093" s="42"/>
      <c r="Y1093" s="42"/>
      <c r="Z1093" s="42"/>
      <c r="AA1093" s="42"/>
    </row>
    <row r="1094">
      <c r="A1094" s="125"/>
      <c r="B1094" s="323"/>
      <c r="C1094" s="374"/>
      <c r="D1094" s="42"/>
      <c r="E1094" s="42"/>
      <c r="F1094" s="42"/>
      <c r="G1094" s="42"/>
      <c r="H1094" s="42"/>
      <c r="I1094" s="42"/>
      <c r="J1094" s="42"/>
      <c r="K1094" s="375"/>
      <c r="L1094" s="42"/>
      <c r="M1094" s="42"/>
      <c r="N1094" s="42"/>
      <c r="O1094" s="42"/>
      <c r="P1094" s="42"/>
      <c r="Q1094" s="42"/>
      <c r="R1094" s="42"/>
      <c r="S1094" s="42"/>
      <c r="T1094" s="42"/>
      <c r="U1094" s="42"/>
      <c r="V1094" s="42"/>
      <c r="W1094" s="42"/>
      <c r="X1094" s="42"/>
      <c r="Y1094" s="42"/>
      <c r="Z1094" s="42"/>
      <c r="AA1094" s="42"/>
    </row>
    <row r="1095">
      <c r="A1095" s="125"/>
      <c r="B1095" s="323"/>
      <c r="C1095" s="374"/>
      <c r="D1095" s="42"/>
      <c r="E1095" s="42"/>
      <c r="F1095" s="42"/>
      <c r="G1095" s="42"/>
      <c r="H1095" s="42"/>
      <c r="I1095" s="42"/>
      <c r="J1095" s="42"/>
      <c r="K1095" s="375"/>
      <c r="L1095" s="42"/>
      <c r="M1095" s="42"/>
      <c r="N1095" s="42"/>
      <c r="O1095" s="42"/>
      <c r="P1095" s="42"/>
      <c r="Q1095" s="42"/>
      <c r="R1095" s="42"/>
      <c r="S1095" s="42"/>
      <c r="T1095" s="42"/>
      <c r="U1095" s="42"/>
      <c r="V1095" s="42"/>
      <c r="W1095" s="42"/>
      <c r="X1095" s="42"/>
      <c r="Y1095" s="42"/>
      <c r="Z1095" s="42"/>
      <c r="AA1095" s="42"/>
    </row>
    <row r="1096">
      <c r="A1096" s="125"/>
      <c r="B1096" s="323"/>
      <c r="C1096" s="374"/>
      <c r="D1096" s="42"/>
      <c r="E1096" s="42"/>
      <c r="F1096" s="42"/>
      <c r="G1096" s="42"/>
      <c r="H1096" s="42"/>
      <c r="I1096" s="42"/>
      <c r="J1096" s="42"/>
      <c r="K1096" s="375"/>
      <c r="L1096" s="42"/>
      <c r="M1096" s="42"/>
      <c r="N1096" s="42"/>
      <c r="O1096" s="42"/>
      <c r="P1096" s="42"/>
      <c r="Q1096" s="42"/>
      <c r="R1096" s="42"/>
      <c r="S1096" s="42"/>
      <c r="T1096" s="42"/>
      <c r="U1096" s="42"/>
      <c r="V1096" s="42"/>
      <c r="W1096" s="42"/>
      <c r="X1096" s="42"/>
      <c r="Y1096" s="42"/>
      <c r="Z1096" s="42"/>
      <c r="AA1096" s="42"/>
    </row>
    <row r="1097">
      <c r="A1097" s="125"/>
      <c r="B1097" s="323"/>
      <c r="C1097" s="374"/>
      <c r="D1097" s="42"/>
      <c r="E1097" s="42"/>
      <c r="F1097" s="42"/>
      <c r="G1097" s="42"/>
      <c r="H1097" s="42"/>
      <c r="I1097" s="42"/>
      <c r="J1097" s="42"/>
      <c r="K1097" s="375"/>
      <c r="L1097" s="42"/>
      <c r="M1097" s="42"/>
      <c r="N1097" s="42"/>
      <c r="O1097" s="42"/>
      <c r="P1097" s="42"/>
      <c r="Q1097" s="42"/>
      <c r="R1097" s="42"/>
      <c r="S1097" s="42"/>
      <c r="T1097" s="42"/>
      <c r="U1097" s="42"/>
      <c r="V1097" s="42"/>
      <c r="W1097" s="42"/>
      <c r="X1097" s="42"/>
      <c r="Y1097" s="42"/>
      <c r="Z1097" s="42"/>
      <c r="AA1097" s="42"/>
    </row>
    <row r="1098">
      <c r="A1098" s="125"/>
      <c r="B1098" s="323"/>
      <c r="C1098" s="374"/>
      <c r="D1098" s="42"/>
      <c r="E1098" s="42"/>
      <c r="F1098" s="42"/>
      <c r="G1098" s="42"/>
      <c r="H1098" s="42"/>
      <c r="I1098" s="42"/>
      <c r="J1098" s="42"/>
      <c r="K1098" s="375"/>
      <c r="L1098" s="42"/>
      <c r="M1098" s="42"/>
      <c r="N1098" s="42"/>
      <c r="O1098" s="42"/>
      <c r="P1098" s="42"/>
      <c r="Q1098" s="42"/>
      <c r="R1098" s="42"/>
      <c r="S1098" s="42"/>
      <c r="T1098" s="42"/>
      <c r="U1098" s="42"/>
      <c r="V1098" s="42"/>
      <c r="W1098" s="42"/>
      <c r="X1098" s="42"/>
      <c r="Y1098" s="42"/>
      <c r="Z1098" s="42"/>
      <c r="AA1098" s="42"/>
    </row>
    <row r="1099">
      <c r="A1099" s="125"/>
      <c r="B1099" s="323"/>
      <c r="C1099" s="374"/>
      <c r="D1099" s="42"/>
      <c r="E1099" s="42"/>
      <c r="F1099" s="42"/>
      <c r="G1099" s="42"/>
      <c r="H1099" s="42"/>
      <c r="I1099" s="42"/>
      <c r="J1099" s="42"/>
      <c r="K1099" s="375"/>
      <c r="L1099" s="42"/>
      <c r="M1099" s="42"/>
      <c r="N1099" s="42"/>
      <c r="O1099" s="42"/>
      <c r="P1099" s="42"/>
      <c r="Q1099" s="42"/>
      <c r="R1099" s="42"/>
      <c r="S1099" s="42"/>
      <c r="T1099" s="42"/>
      <c r="U1099" s="42"/>
      <c r="V1099" s="42"/>
      <c r="W1099" s="42"/>
      <c r="X1099" s="42"/>
      <c r="Y1099" s="42"/>
      <c r="Z1099" s="42"/>
      <c r="AA1099" s="42"/>
    </row>
    <row r="1100">
      <c r="A1100" s="125"/>
      <c r="B1100" s="323"/>
      <c r="C1100" s="374"/>
      <c r="D1100" s="42"/>
      <c r="E1100" s="42"/>
      <c r="F1100" s="42"/>
      <c r="G1100" s="42"/>
      <c r="H1100" s="42"/>
      <c r="I1100" s="42"/>
      <c r="J1100" s="42"/>
      <c r="K1100" s="375"/>
      <c r="L1100" s="42"/>
      <c r="M1100" s="42"/>
      <c r="N1100" s="42"/>
      <c r="O1100" s="42"/>
      <c r="P1100" s="42"/>
      <c r="Q1100" s="42"/>
      <c r="R1100" s="42"/>
      <c r="S1100" s="42"/>
      <c r="T1100" s="42"/>
      <c r="U1100" s="42"/>
      <c r="V1100" s="42"/>
      <c r="W1100" s="42"/>
      <c r="X1100" s="42"/>
      <c r="Y1100" s="42"/>
      <c r="Z1100" s="42"/>
      <c r="AA1100" s="42"/>
    </row>
    <row r="1101">
      <c r="A1101" s="125"/>
      <c r="B1101" s="323"/>
      <c r="C1101" s="374"/>
      <c r="D1101" s="42"/>
      <c r="E1101" s="42"/>
      <c r="F1101" s="42"/>
      <c r="G1101" s="42"/>
      <c r="H1101" s="42"/>
      <c r="I1101" s="42"/>
      <c r="J1101" s="42"/>
      <c r="K1101" s="375"/>
      <c r="L1101" s="42"/>
      <c r="M1101" s="42"/>
      <c r="N1101" s="42"/>
      <c r="O1101" s="42"/>
      <c r="P1101" s="42"/>
      <c r="Q1101" s="42"/>
      <c r="R1101" s="42"/>
      <c r="S1101" s="42"/>
      <c r="T1101" s="42"/>
      <c r="U1101" s="42"/>
      <c r="V1101" s="42"/>
      <c r="W1101" s="42"/>
      <c r="X1101" s="42"/>
      <c r="Y1101" s="42"/>
      <c r="Z1101" s="42"/>
      <c r="AA1101" s="42"/>
    </row>
    <row r="1102">
      <c r="A1102" s="125"/>
      <c r="B1102" s="323"/>
      <c r="C1102" s="374"/>
      <c r="D1102" s="42"/>
      <c r="E1102" s="42"/>
      <c r="F1102" s="42"/>
      <c r="G1102" s="42"/>
      <c r="H1102" s="42"/>
      <c r="I1102" s="42"/>
      <c r="J1102" s="42"/>
      <c r="K1102" s="375"/>
      <c r="L1102" s="42"/>
      <c r="M1102" s="42"/>
      <c r="N1102" s="42"/>
      <c r="O1102" s="42"/>
      <c r="P1102" s="42"/>
      <c r="Q1102" s="42"/>
      <c r="R1102" s="42"/>
      <c r="S1102" s="42"/>
      <c r="T1102" s="42"/>
      <c r="U1102" s="42"/>
      <c r="V1102" s="42"/>
      <c r="W1102" s="42"/>
      <c r="X1102" s="42"/>
      <c r="Y1102" s="42"/>
      <c r="Z1102" s="42"/>
      <c r="AA1102" s="42"/>
    </row>
    <row r="1103">
      <c r="A1103" s="125"/>
      <c r="B1103" s="323"/>
      <c r="C1103" s="374"/>
      <c r="D1103" s="42"/>
      <c r="E1103" s="42"/>
      <c r="F1103" s="42"/>
      <c r="G1103" s="42"/>
      <c r="H1103" s="42"/>
      <c r="I1103" s="42"/>
      <c r="J1103" s="42"/>
      <c r="K1103" s="375"/>
      <c r="L1103" s="42"/>
      <c r="M1103" s="42"/>
      <c r="N1103" s="42"/>
      <c r="O1103" s="42"/>
      <c r="P1103" s="42"/>
      <c r="Q1103" s="42"/>
      <c r="R1103" s="42"/>
      <c r="S1103" s="42"/>
      <c r="T1103" s="42"/>
      <c r="U1103" s="42"/>
      <c r="V1103" s="42"/>
      <c r="W1103" s="42"/>
      <c r="X1103" s="42"/>
      <c r="Y1103" s="42"/>
      <c r="Z1103" s="42"/>
      <c r="AA1103" s="42"/>
    </row>
    <row r="1104">
      <c r="A1104" s="125"/>
      <c r="B1104" s="323"/>
      <c r="C1104" s="374"/>
      <c r="D1104" s="42"/>
      <c r="E1104" s="42"/>
      <c r="F1104" s="42"/>
      <c r="G1104" s="42"/>
      <c r="H1104" s="42"/>
      <c r="I1104" s="42"/>
      <c r="J1104" s="42"/>
      <c r="K1104" s="375"/>
      <c r="L1104" s="42"/>
      <c r="M1104" s="42"/>
      <c r="N1104" s="42"/>
      <c r="O1104" s="42"/>
      <c r="P1104" s="42"/>
      <c r="Q1104" s="42"/>
      <c r="R1104" s="42"/>
      <c r="S1104" s="42"/>
      <c r="T1104" s="42"/>
      <c r="U1104" s="42"/>
      <c r="V1104" s="42"/>
      <c r="W1104" s="42"/>
      <c r="X1104" s="42"/>
      <c r="Y1104" s="42"/>
      <c r="Z1104" s="42"/>
      <c r="AA1104" s="42"/>
    </row>
    <row r="1105">
      <c r="A1105" s="125"/>
      <c r="B1105" s="323"/>
      <c r="C1105" s="374"/>
      <c r="D1105" s="42"/>
      <c r="E1105" s="42"/>
      <c r="F1105" s="42"/>
      <c r="G1105" s="42"/>
      <c r="H1105" s="42"/>
      <c r="I1105" s="42"/>
      <c r="J1105" s="42"/>
      <c r="K1105" s="375"/>
      <c r="L1105" s="42"/>
      <c r="M1105" s="42"/>
      <c r="N1105" s="42"/>
      <c r="O1105" s="42"/>
      <c r="P1105" s="42"/>
      <c r="Q1105" s="42"/>
      <c r="R1105" s="42"/>
      <c r="S1105" s="42"/>
      <c r="T1105" s="42"/>
      <c r="U1105" s="42"/>
      <c r="V1105" s="42"/>
      <c r="W1105" s="42"/>
      <c r="X1105" s="42"/>
      <c r="Y1105" s="42"/>
      <c r="Z1105" s="42"/>
      <c r="AA1105" s="42"/>
    </row>
    <row r="1106">
      <c r="A1106" s="125"/>
      <c r="B1106" s="323"/>
      <c r="C1106" s="374"/>
      <c r="D1106" s="42"/>
      <c r="E1106" s="42"/>
      <c r="F1106" s="42"/>
      <c r="G1106" s="42"/>
      <c r="H1106" s="42"/>
      <c r="I1106" s="42"/>
      <c r="J1106" s="42"/>
      <c r="K1106" s="375"/>
      <c r="L1106" s="42"/>
      <c r="M1106" s="42"/>
      <c r="N1106" s="42"/>
      <c r="O1106" s="42"/>
      <c r="P1106" s="42"/>
      <c r="Q1106" s="42"/>
      <c r="R1106" s="42"/>
      <c r="S1106" s="42"/>
      <c r="T1106" s="42"/>
      <c r="U1106" s="42"/>
      <c r="V1106" s="42"/>
      <c r="W1106" s="42"/>
      <c r="X1106" s="42"/>
      <c r="Y1106" s="42"/>
      <c r="Z1106" s="42"/>
      <c r="AA1106" s="42"/>
    </row>
    <row r="1107">
      <c r="A1107" s="125"/>
      <c r="B1107" s="323"/>
      <c r="C1107" s="374"/>
      <c r="D1107" s="42"/>
      <c r="E1107" s="42"/>
      <c r="F1107" s="42"/>
      <c r="G1107" s="42"/>
      <c r="H1107" s="42"/>
      <c r="I1107" s="42"/>
      <c r="J1107" s="42"/>
      <c r="K1107" s="375"/>
      <c r="L1107" s="42"/>
      <c r="M1107" s="42"/>
      <c r="N1107" s="42"/>
      <c r="O1107" s="42"/>
      <c r="P1107" s="42"/>
      <c r="Q1107" s="42"/>
      <c r="R1107" s="42"/>
      <c r="S1107" s="42"/>
      <c r="T1107" s="42"/>
      <c r="U1107" s="42"/>
      <c r="V1107" s="42"/>
      <c r="W1107" s="42"/>
      <c r="X1107" s="42"/>
      <c r="Y1107" s="42"/>
      <c r="Z1107" s="42"/>
      <c r="AA1107" s="42"/>
    </row>
    <row r="1108">
      <c r="A1108" s="125"/>
      <c r="B1108" s="323"/>
      <c r="C1108" s="374"/>
      <c r="D1108" s="42"/>
      <c r="E1108" s="42"/>
      <c r="F1108" s="42"/>
      <c r="G1108" s="42"/>
      <c r="H1108" s="42"/>
      <c r="I1108" s="42"/>
      <c r="J1108" s="42"/>
      <c r="K1108" s="375"/>
      <c r="L1108" s="42"/>
      <c r="M1108" s="42"/>
      <c r="N1108" s="42"/>
      <c r="O1108" s="42"/>
      <c r="P1108" s="42"/>
      <c r="Q1108" s="42"/>
      <c r="R1108" s="42"/>
      <c r="S1108" s="42"/>
      <c r="T1108" s="42"/>
      <c r="U1108" s="42"/>
      <c r="V1108" s="42"/>
      <c r="W1108" s="42"/>
      <c r="X1108" s="42"/>
      <c r="Y1108" s="42"/>
      <c r="Z1108" s="42"/>
      <c r="AA1108" s="42"/>
    </row>
    <row r="1109">
      <c r="A1109" s="125"/>
      <c r="B1109" s="323"/>
      <c r="C1109" s="374"/>
      <c r="D1109" s="42"/>
      <c r="E1109" s="42"/>
      <c r="F1109" s="42"/>
      <c r="G1109" s="42"/>
      <c r="H1109" s="42"/>
      <c r="I1109" s="42"/>
      <c r="J1109" s="42"/>
      <c r="K1109" s="375"/>
      <c r="L1109" s="42"/>
      <c r="M1109" s="42"/>
      <c r="N1109" s="42"/>
      <c r="O1109" s="42"/>
      <c r="P1109" s="42"/>
      <c r="Q1109" s="42"/>
      <c r="R1109" s="42"/>
      <c r="S1109" s="42"/>
      <c r="T1109" s="42"/>
      <c r="U1109" s="42"/>
      <c r="V1109" s="42"/>
      <c r="W1109" s="42"/>
      <c r="X1109" s="42"/>
      <c r="Y1109" s="42"/>
      <c r="Z1109" s="42"/>
      <c r="AA1109" s="42"/>
    </row>
    <row r="1110">
      <c r="A1110" s="125"/>
      <c r="B1110" s="323"/>
      <c r="C1110" s="374"/>
      <c r="D1110" s="42"/>
      <c r="E1110" s="42"/>
      <c r="F1110" s="42"/>
      <c r="G1110" s="42"/>
      <c r="H1110" s="42"/>
      <c r="I1110" s="42"/>
      <c r="J1110" s="42"/>
      <c r="K1110" s="375"/>
      <c r="L1110" s="42"/>
      <c r="M1110" s="42"/>
      <c r="N1110" s="42"/>
      <c r="O1110" s="42"/>
      <c r="P1110" s="42"/>
      <c r="Q1110" s="42"/>
      <c r="R1110" s="42"/>
      <c r="S1110" s="42"/>
      <c r="T1110" s="42"/>
      <c r="U1110" s="42"/>
      <c r="V1110" s="42"/>
      <c r="W1110" s="42"/>
      <c r="X1110" s="42"/>
      <c r="Y1110" s="42"/>
      <c r="Z1110" s="42"/>
      <c r="AA1110" s="42"/>
    </row>
    <row r="1111">
      <c r="A1111" s="125"/>
      <c r="B1111" s="323"/>
      <c r="C1111" s="374"/>
      <c r="D1111" s="42"/>
      <c r="E1111" s="42"/>
      <c r="F1111" s="42"/>
      <c r="G1111" s="42"/>
      <c r="H1111" s="42"/>
      <c r="I1111" s="42"/>
      <c r="J1111" s="42"/>
      <c r="K1111" s="375"/>
      <c r="L1111" s="42"/>
      <c r="M1111" s="42"/>
      <c r="N1111" s="42"/>
      <c r="O1111" s="42"/>
      <c r="P1111" s="42"/>
      <c r="Q1111" s="42"/>
      <c r="R1111" s="42"/>
      <c r="S1111" s="42"/>
      <c r="T1111" s="42"/>
      <c r="U1111" s="42"/>
      <c r="V1111" s="42"/>
      <c r="W1111" s="42"/>
      <c r="X1111" s="42"/>
      <c r="Y1111" s="42"/>
      <c r="Z1111" s="42"/>
      <c r="AA1111" s="42"/>
    </row>
    <row r="1112">
      <c r="A1112" s="125"/>
      <c r="B1112" s="323"/>
      <c r="C1112" s="374"/>
      <c r="D1112" s="42"/>
      <c r="E1112" s="42"/>
      <c r="F1112" s="42"/>
      <c r="G1112" s="42"/>
      <c r="H1112" s="42"/>
      <c r="I1112" s="42"/>
      <c r="J1112" s="42"/>
      <c r="K1112" s="375"/>
      <c r="L1112" s="42"/>
      <c r="M1112" s="42"/>
      <c r="N1112" s="42"/>
      <c r="O1112" s="42"/>
      <c r="P1112" s="42"/>
      <c r="Q1112" s="42"/>
      <c r="R1112" s="42"/>
      <c r="S1112" s="42"/>
      <c r="T1112" s="42"/>
      <c r="U1112" s="42"/>
      <c r="V1112" s="42"/>
      <c r="W1112" s="42"/>
      <c r="X1112" s="42"/>
      <c r="Y1112" s="42"/>
      <c r="Z1112" s="42"/>
      <c r="AA1112" s="42"/>
    </row>
    <row r="1113">
      <c r="A1113" s="125"/>
      <c r="B1113" s="323"/>
      <c r="C1113" s="374"/>
      <c r="D1113" s="42"/>
      <c r="E1113" s="42"/>
      <c r="F1113" s="42"/>
      <c r="G1113" s="42"/>
      <c r="H1113" s="42"/>
      <c r="I1113" s="42"/>
      <c r="J1113" s="42"/>
      <c r="K1113" s="375"/>
      <c r="L1113" s="42"/>
      <c r="M1113" s="42"/>
      <c r="N1113" s="42"/>
      <c r="O1113" s="42"/>
      <c r="P1113" s="42"/>
      <c r="Q1113" s="42"/>
      <c r="R1113" s="42"/>
      <c r="S1113" s="42"/>
      <c r="T1113" s="42"/>
      <c r="U1113" s="42"/>
      <c r="V1113" s="42"/>
      <c r="W1113" s="42"/>
      <c r="X1113" s="42"/>
      <c r="Y1113" s="42"/>
      <c r="Z1113" s="42"/>
      <c r="AA1113" s="42"/>
    </row>
    <row r="1114">
      <c r="A1114" s="125"/>
      <c r="B1114" s="323"/>
      <c r="C1114" s="374"/>
      <c r="D1114" s="42"/>
      <c r="E1114" s="42"/>
      <c r="F1114" s="42"/>
      <c r="G1114" s="42"/>
      <c r="H1114" s="42"/>
      <c r="I1114" s="42"/>
      <c r="J1114" s="42"/>
      <c r="K1114" s="375"/>
      <c r="L1114" s="42"/>
      <c r="M1114" s="42"/>
      <c r="N1114" s="42"/>
      <c r="O1114" s="42"/>
      <c r="P1114" s="42"/>
      <c r="Q1114" s="42"/>
      <c r="R1114" s="42"/>
      <c r="S1114" s="42"/>
      <c r="T1114" s="42"/>
      <c r="U1114" s="42"/>
      <c r="V1114" s="42"/>
      <c r="W1114" s="42"/>
      <c r="X1114" s="42"/>
      <c r="Y1114" s="42"/>
      <c r="Z1114" s="42"/>
      <c r="AA1114" s="42"/>
    </row>
    <row r="1115">
      <c r="A1115" s="125"/>
      <c r="B1115" s="323"/>
      <c r="C1115" s="374"/>
      <c r="D1115" s="42"/>
      <c r="E1115" s="42"/>
      <c r="F1115" s="42"/>
      <c r="G1115" s="42"/>
      <c r="H1115" s="42"/>
      <c r="I1115" s="42"/>
      <c r="J1115" s="42"/>
      <c r="K1115" s="375"/>
      <c r="L1115" s="42"/>
      <c r="M1115" s="42"/>
      <c r="N1115" s="42"/>
      <c r="O1115" s="42"/>
      <c r="P1115" s="42"/>
      <c r="Q1115" s="42"/>
      <c r="R1115" s="42"/>
      <c r="S1115" s="42"/>
      <c r="T1115" s="42"/>
      <c r="U1115" s="42"/>
      <c r="V1115" s="42"/>
      <c r="W1115" s="42"/>
      <c r="X1115" s="42"/>
      <c r="Y1115" s="42"/>
      <c r="Z1115" s="42"/>
      <c r="AA1115" s="42"/>
    </row>
    <row r="1116">
      <c r="A1116" s="125"/>
      <c r="B1116" s="323"/>
      <c r="C1116" s="374"/>
      <c r="D1116" s="42"/>
      <c r="E1116" s="42"/>
      <c r="F1116" s="42"/>
      <c r="G1116" s="42"/>
      <c r="H1116" s="42"/>
      <c r="I1116" s="42"/>
      <c r="J1116" s="42"/>
      <c r="K1116" s="375"/>
      <c r="L1116" s="42"/>
      <c r="M1116" s="42"/>
      <c r="N1116" s="42"/>
      <c r="O1116" s="42"/>
      <c r="P1116" s="42"/>
      <c r="Q1116" s="42"/>
      <c r="R1116" s="42"/>
      <c r="S1116" s="42"/>
      <c r="T1116" s="42"/>
      <c r="U1116" s="42"/>
      <c r="V1116" s="42"/>
      <c r="W1116" s="42"/>
      <c r="X1116" s="42"/>
      <c r="Y1116" s="42"/>
      <c r="Z1116" s="42"/>
      <c r="AA1116" s="42"/>
    </row>
    <row r="1117">
      <c r="A1117" s="125"/>
      <c r="B1117" s="323"/>
      <c r="C1117" s="374"/>
      <c r="D1117" s="42"/>
      <c r="E1117" s="42"/>
      <c r="F1117" s="42"/>
      <c r="G1117" s="42"/>
      <c r="H1117" s="42"/>
      <c r="I1117" s="42"/>
      <c r="J1117" s="42"/>
      <c r="K1117" s="375"/>
      <c r="L1117" s="42"/>
      <c r="M1117" s="42"/>
      <c r="N1117" s="42"/>
      <c r="O1117" s="42"/>
      <c r="P1117" s="42"/>
      <c r="Q1117" s="42"/>
      <c r="R1117" s="42"/>
      <c r="S1117" s="42"/>
      <c r="T1117" s="42"/>
      <c r="U1117" s="42"/>
      <c r="V1117" s="42"/>
      <c r="W1117" s="42"/>
      <c r="X1117" s="42"/>
      <c r="Y1117" s="42"/>
      <c r="Z1117" s="42"/>
      <c r="AA1117" s="42"/>
    </row>
    <row r="1118">
      <c r="A1118" s="125"/>
      <c r="B1118" s="323"/>
      <c r="C1118" s="374"/>
      <c r="D1118" s="42"/>
      <c r="E1118" s="42"/>
      <c r="F1118" s="42"/>
      <c r="G1118" s="42"/>
      <c r="H1118" s="42"/>
      <c r="I1118" s="42"/>
      <c r="J1118" s="42"/>
      <c r="K1118" s="375"/>
      <c r="L1118" s="42"/>
      <c r="M1118" s="42"/>
      <c r="N1118" s="42"/>
      <c r="O1118" s="42"/>
      <c r="P1118" s="42"/>
      <c r="Q1118" s="42"/>
      <c r="R1118" s="42"/>
      <c r="S1118" s="42"/>
      <c r="T1118" s="42"/>
      <c r="U1118" s="42"/>
      <c r="V1118" s="42"/>
      <c r="W1118" s="42"/>
      <c r="X1118" s="42"/>
      <c r="Y1118" s="42"/>
      <c r="Z1118" s="42"/>
      <c r="AA1118" s="42"/>
    </row>
    <row r="1119">
      <c r="A1119" s="125"/>
      <c r="B1119" s="323"/>
      <c r="C1119" s="374"/>
      <c r="D1119" s="42"/>
      <c r="E1119" s="42"/>
      <c r="F1119" s="42"/>
      <c r="G1119" s="42"/>
      <c r="H1119" s="42"/>
      <c r="I1119" s="42"/>
      <c r="J1119" s="42"/>
      <c r="K1119" s="375"/>
      <c r="L1119" s="42"/>
      <c r="M1119" s="42"/>
      <c r="N1119" s="42"/>
      <c r="O1119" s="42"/>
      <c r="P1119" s="42"/>
      <c r="Q1119" s="42"/>
      <c r="R1119" s="42"/>
      <c r="S1119" s="42"/>
      <c r="T1119" s="42"/>
      <c r="U1119" s="42"/>
      <c r="V1119" s="42"/>
      <c r="W1119" s="42"/>
      <c r="X1119" s="42"/>
      <c r="Y1119" s="42"/>
      <c r="Z1119" s="42"/>
      <c r="AA1119" s="42"/>
    </row>
    <row r="1120">
      <c r="A1120" s="125"/>
      <c r="B1120" s="323"/>
      <c r="C1120" s="374"/>
      <c r="D1120" s="42"/>
      <c r="E1120" s="42"/>
      <c r="F1120" s="42"/>
      <c r="G1120" s="42"/>
      <c r="H1120" s="42"/>
      <c r="I1120" s="42"/>
      <c r="J1120" s="42"/>
      <c r="K1120" s="375"/>
      <c r="L1120" s="42"/>
      <c r="M1120" s="42"/>
      <c r="N1120" s="42"/>
      <c r="O1120" s="42"/>
      <c r="P1120" s="42"/>
      <c r="Q1120" s="42"/>
      <c r="R1120" s="42"/>
      <c r="S1120" s="42"/>
      <c r="T1120" s="42"/>
      <c r="U1120" s="42"/>
      <c r="V1120" s="42"/>
      <c r="W1120" s="42"/>
      <c r="X1120" s="42"/>
      <c r="Y1120" s="42"/>
      <c r="Z1120" s="42"/>
      <c r="AA1120" s="42"/>
    </row>
  </sheetData>
  <mergeCells count="12">
    <mergeCell ref="J2:M2"/>
    <mergeCell ref="P293:Q293"/>
    <mergeCell ref="P298:Q298"/>
    <mergeCell ref="P305:Q305"/>
    <mergeCell ref="P317:Q317"/>
    <mergeCell ref="C1:M1"/>
    <mergeCell ref="C2:C3"/>
    <mergeCell ref="D2:D3"/>
    <mergeCell ref="E2:E3"/>
    <mergeCell ref="F2:F3"/>
    <mergeCell ref="G2:G3"/>
    <mergeCell ref="I2:I3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0" t="s">
        <v>2</v>
      </c>
      <c r="B1" s="80" t="s">
        <v>4</v>
      </c>
      <c r="C1" s="80" t="s">
        <v>42</v>
      </c>
      <c r="D1" s="81" t="s">
        <v>43</v>
      </c>
      <c r="E1" s="81" t="s">
        <v>44</v>
      </c>
      <c r="F1" s="81" t="s">
        <v>45</v>
      </c>
      <c r="G1" s="2" t="s">
        <v>46</v>
      </c>
      <c r="H1" s="82" t="s">
        <v>4</v>
      </c>
      <c r="I1" s="82" t="s">
        <v>42</v>
      </c>
      <c r="J1" s="84" t="s">
        <v>43</v>
      </c>
      <c r="K1" s="84" t="s">
        <v>45</v>
      </c>
      <c r="L1" s="84" t="s">
        <v>33</v>
      </c>
    </row>
    <row r="2">
      <c r="A2" s="74" t="str">
        <f t="shared" ref="A2:A25" si="1">IF(ISBLANK(B2),"",TEXT(B2,"dddd"))</f>
        <v>Tuesday</v>
      </c>
      <c r="B2" s="49">
        <v>46266.0</v>
      </c>
      <c r="C2" s="142">
        <v>1.0</v>
      </c>
      <c r="D2" s="143">
        <v>29365.07</v>
      </c>
      <c r="E2" s="144">
        <v>17640.0</v>
      </c>
      <c r="F2" s="88">
        <f t="shared" ref="F2:F25" si="2">D2*E2</f>
        <v>517999834.8</v>
      </c>
      <c r="H2" s="91">
        <f t="array" ref="H2:H4">INDEX(UNIQUE(B2:C1000), , 1)
</f>
        <v>46266</v>
      </c>
      <c r="I2" s="92">
        <f t="array" ref="I2:I4">INDEX(UNIQUE(B2:C1000), , 2)
</f>
        <v>1</v>
      </c>
      <c r="J2" s="93">
        <f t="shared" ref="J2:J3" si="3">SUMIFS($D$2:$D1000, $B$2:$B1000, H2, $C$2:$C1000, I2)</f>
        <v>215341.18</v>
      </c>
      <c r="K2" s="94">
        <f t="shared" ref="K2:K3" si="4">SUMIFS($F$2:$F1000, $B$2:$B1000, H2, $C$2:$C1000, I2)</f>
        <v>3796812293</v>
      </c>
      <c r="L2" s="95">
        <f t="shared" ref="L2:L3" si="5">IFERROR(K2/J2, 0)</f>
        <v>17631.61274</v>
      </c>
    </row>
    <row r="3">
      <c r="A3" s="74" t="str">
        <f t="shared" si="1"/>
        <v>Tuesday</v>
      </c>
      <c r="B3" s="49">
        <v>46266.0</v>
      </c>
      <c r="C3" s="142">
        <v>1.0</v>
      </c>
      <c r="D3" s="143">
        <v>113475.0</v>
      </c>
      <c r="E3" s="144">
        <v>17625.0</v>
      </c>
      <c r="F3" s="88">
        <f t="shared" si="2"/>
        <v>1999996875</v>
      </c>
      <c r="G3" s="104"/>
      <c r="H3" s="91">
        <v>46266.0</v>
      </c>
      <c r="I3" s="105">
        <v>2.0</v>
      </c>
      <c r="J3" s="93">
        <f t="shared" si="3"/>
        <v>75308.03</v>
      </c>
      <c r="K3" s="94">
        <f t="shared" si="4"/>
        <v>1328006358</v>
      </c>
      <c r="L3" s="95">
        <f t="shared" si="5"/>
        <v>17634.32608</v>
      </c>
    </row>
    <row r="4">
      <c r="A4" s="74" t="str">
        <f t="shared" si="1"/>
        <v>Tuesday</v>
      </c>
      <c r="B4" s="49">
        <v>46266.0</v>
      </c>
      <c r="C4" s="148">
        <v>1.0</v>
      </c>
      <c r="D4" s="143">
        <v>15990.92</v>
      </c>
      <c r="E4" s="144">
        <v>17635.0</v>
      </c>
      <c r="F4" s="88">
        <f t="shared" si="2"/>
        <v>281999874.2</v>
      </c>
      <c r="H4" s="91"/>
      <c r="I4" s="105"/>
      <c r="J4" s="93"/>
      <c r="K4" s="94"/>
      <c r="L4" s="95"/>
    </row>
    <row r="5">
      <c r="A5" s="74" t="str">
        <f t="shared" si="1"/>
        <v>Tuesday</v>
      </c>
      <c r="B5" s="49">
        <v>46266.0</v>
      </c>
      <c r="C5" s="148">
        <v>1.0</v>
      </c>
      <c r="D5" s="143">
        <v>1944.28</v>
      </c>
      <c r="E5" s="144">
        <v>17617.0</v>
      </c>
      <c r="F5" s="88">
        <f t="shared" si="2"/>
        <v>34252380.76</v>
      </c>
      <c r="H5" s="91"/>
      <c r="I5" s="105"/>
      <c r="J5" s="93"/>
      <c r="K5" s="94"/>
      <c r="L5" s="95"/>
    </row>
    <row r="6">
      <c r="A6" s="74" t="str">
        <f t="shared" si="1"/>
        <v>Tuesday</v>
      </c>
      <c r="B6" s="49">
        <v>46266.0</v>
      </c>
      <c r="C6" s="148">
        <v>1.0</v>
      </c>
      <c r="D6" s="143">
        <v>4135.08</v>
      </c>
      <c r="E6" s="144">
        <v>17645.0</v>
      </c>
      <c r="F6" s="88">
        <f t="shared" si="2"/>
        <v>72963486.6</v>
      </c>
      <c r="H6" s="91"/>
      <c r="I6" s="105"/>
      <c r="J6" s="93"/>
      <c r="K6" s="94"/>
      <c r="L6" s="95"/>
    </row>
    <row r="7">
      <c r="A7" s="74" t="str">
        <f t="shared" si="1"/>
        <v>Tuesday</v>
      </c>
      <c r="B7" s="49">
        <v>46266.0</v>
      </c>
      <c r="C7" s="148">
        <v>1.0</v>
      </c>
      <c r="D7" s="143">
        <v>50430.83</v>
      </c>
      <c r="E7" s="144">
        <v>17640.0</v>
      </c>
      <c r="F7" s="88">
        <f t="shared" si="2"/>
        <v>889599841.2</v>
      </c>
      <c r="H7" s="91"/>
      <c r="I7" s="105"/>
      <c r="J7" s="93"/>
      <c r="K7" s="94"/>
      <c r="L7" s="95"/>
    </row>
    <row r="8">
      <c r="A8" s="74" t="str">
        <f t="shared" si="1"/>
        <v>Tuesday</v>
      </c>
      <c r="B8" s="49">
        <v>46266.0</v>
      </c>
      <c r="C8" s="148">
        <v>2.0</v>
      </c>
      <c r="D8" s="143">
        <v>2053.98</v>
      </c>
      <c r="E8" s="144">
        <v>17637.0</v>
      </c>
      <c r="F8" s="88">
        <f t="shared" si="2"/>
        <v>36226045.26</v>
      </c>
      <c r="H8" s="91"/>
      <c r="I8" s="105"/>
      <c r="J8" s="93"/>
      <c r="K8" s="94"/>
      <c r="L8" s="95"/>
    </row>
    <row r="9">
      <c r="A9" s="74" t="str">
        <f t="shared" si="1"/>
        <v>Tuesday</v>
      </c>
      <c r="B9" s="49">
        <v>46266.0</v>
      </c>
      <c r="C9" s="148">
        <v>2.0</v>
      </c>
      <c r="D9" s="143">
        <v>5997.0</v>
      </c>
      <c r="E9" s="144">
        <v>17637.0</v>
      </c>
      <c r="F9" s="88">
        <f t="shared" si="2"/>
        <v>105769089</v>
      </c>
      <c r="H9" s="91"/>
      <c r="I9" s="105"/>
      <c r="J9" s="93"/>
      <c r="K9" s="94"/>
      <c r="L9" s="95"/>
    </row>
    <row r="10">
      <c r="A10" s="74" t="str">
        <f t="shared" si="1"/>
        <v>Tuesday</v>
      </c>
      <c r="B10" s="49">
        <v>46266.0</v>
      </c>
      <c r="C10" s="148">
        <v>2.0</v>
      </c>
      <c r="D10" s="143">
        <v>3998.0</v>
      </c>
      <c r="E10" s="144">
        <v>17637.0</v>
      </c>
      <c r="F10" s="88">
        <f t="shared" si="2"/>
        <v>70512726</v>
      </c>
      <c r="H10" s="91"/>
      <c r="I10" s="105"/>
      <c r="J10" s="93"/>
      <c r="K10" s="94"/>
      <c r="L10" s="95"/>
    </row>
    <row r="11">
      <c r="A11" s="74" t="str">
        <f t="shared" si="1"/>
        <v>Tuesday</v>
      </c>
      <c r="B11" s="49">
        <v>46266.0</v>
      </c>
      <c r="C11" s="148">
        <v>2.0</v>
      </c>
      <c r="D11" s="143">
        <v>2998.5</v>
      </c>
      <c r="E11" s="144">
        <v>17637.0</v>
      </c>
      <c r="F11" s="88">
        <f t="shared" si="2"/>
        <v>52884544.5</v>
      </c>
      <c r="H11" s="91"/>
      <c r="I11" s="105"/>
      <c r="J11" s="93"/>
      <c r="K11" s="94"/>
      <c r="L11" s="95"/>
    </row>
    <row r="12">
      <c r="A12" s="74" t="str">
        <f t="shared" si="1"/>
        <v>Tuesday</v>
      </c>
      <c r="B12" s="49">
        <v>46266.0</v>
      </c>
      <c r="C12" s="148">
        <v>2.0</v>
      </c>
      <c r="D12" s="143">
        <v>2998.5</v>
      </c>
      <c r="E12" s="144">
        <v>17635.0</v>
      </c>
      <c r="F12" s="88">
        <f t="shared" si="2"/>
        <v>52878547.5</v>
      </c>
      <c r="H12" s="91"/>
      <c r="I12" s="105"/>
      <c r="J12" s="93"/>
      <c r="K12" s="94"/>
      <c r="L12" s="95"/>
    </row>
    <row r="13">
      <c r="A13" s="74" t="str">
        <f t="shared" si="1"/>
        <v>Tuesday</v>
      </c>
      <c r="B13" s="49">
        <v>46266.0</v>
      </c>
      <c r="C13" s="148">
        <v>2.0</v>
      </c>
      <c r="D13" s="143">
        <v>569.72</v>
      </c>
      <c r="E13" s="144">
        <v>17630.0</v>
      </c>
      <c r="F13" s="88">
        <f t="shared" si="2"/>
        <v>10044163.6</v>
      </c>
      <c r="H13" s="91"/>
      <c r="I13" s="105"/>
      <c r="J13" s="93"/>
      <c r="K13" s="94"/>
      <c r="L13" s="95"/>
    </row>
    <row r="14">
      <c r="A14" s="74" t="str">
        <f t="shared" si="1"/>
        <v>Tuesday</v>
      </c>
      <c r="B14" s="49">
        <v>46266.0</v>
      </c>
      <c r="C14" s="148">
        <v>2.0</v>
      </c>
      <c r="D14" s="143">
        <v>575.72</v>
      </c>
      <c r="E14" s="144">
        <v>17626.0</v>
      </c>
      <c r="F14" s="88">
        <f t="shared" si="2"/>
        <v>10147640.72</v>
      </c>
      <c r="H14" s="91"/>
      <c r="I14" s="105"/>
      <c r="J14" s="93"/>
      <c r="K14" s="94"/>
      <c r="L14" s="95"/>
    </row>
    <row r="15">
      <c r="A15" s="74" t="str">
        <f t="shared" si="1"/>
        <v>Tuesday</v>
      </c>
      <c r="B15" s="49">
        <v>46266.0</v>
      </c>
      <c r="C15" s="148">
        <v>2.0</v>
      </c>
      <c r="D15" s="143">
        <v>9378.12</v>
      </c>
      <c r="E15" s="144">
        <v>17626.0</v>
      </c>
      <c r="F15" s="88">
        <f t="shared" si="2"/>
        <v>165298743.1</v>
      </c>
      <c r="H15" s="91"/>
      <c r="I15" s="105"/>
      <c r="J15" s="93"/>
      <c r="K15" s="94"/>
      <c r="L15" s="95"/>
    </row>
    <row r="16">
      <c r="A16" s="74" t="str">
        <f t="shared" si="1"/>
        <v>Tuesday</v>
      </c>
      <c r="B16" s="49">
        <v>46266.0</v>
      </c>
      <c r="C16" s="148">
        <v>2.0</v>
      </c>
      <c r="D16" s="143">
        <v>7874.47</v>
      </c>
      <c r="E16" s="144">
        <v>17626.0</v>
      </c>
      <c r="F16" s="88">
        <f t="shared" si="2"/>
        <v>138795408.2</v>
      </c>
      <c r="H16" s="91"/>
      <c r="I16" s="105"/>
      <c r="J16" s="93"/>
      <c r="K16" s="94"/>
      <c r="L16" s="95"/>
    </row>
    <row r="17">
      <c r="A17" s="74" t="str">
        <f t="shared" si="1"/>
        <v>Tuesday</v>
      </c>
      <c r="B17" s="49">
        <v>46266.0</v>
      </c>
      <c r="C17" s="148">
        <v>2.0</v>
      </c>
      <c r="D17" s="143">
        <v>7455.0</v>
      </c>
      <c r="E17" s="144">
        <v>17626.0</v>
      </c>
      <c r="F17" s="88">
        <f t="shared" si="2"/>
        <v>131401830</v>
      </c>
      <c r="H17" s="91"/>
      <c r="I17" s="105"/>
      <c r="J17" s="93"/>
      <c r="K17" s="94"/>
      <c r="L17" s="95"/>
    </row>
    <row r="18">
      <c r="A18" s="74" t="str">
        <f t="shared" si="1"/>
        <v>Tuesday</v>
      </c>
      <c r="B18" s="49">
        <v>46266.0</v>
      </c>
      <c r="C18" s="148">
        <v>2.0</v>
      </c>
      <c r="D18" s="143">
        <v>3968.97</v>
      </c>
      <c r="E18" s="144">
        <v>17628.0</v>
      </c>
      <c r="F18" s="88">
        <f t="shared" si="2"/>
        <v>69965003.16</v>
      </c>
      <c r="H18" s="91"/>
      <c r="I18" s="105"/>
      <c r="J18" s="93"/>
      <c r="K18" s="94"/>
      <c r="L18" s="95"/>
    </row>
    <row r="19">
      <c r="A19" s="74" t="str">
        <f t="shared" si="1"/>
        <v>Tuesday</v>
      </c>
      <c r="B19" s="49">
        <v>46266.0</v>
      </c>
      <c r="C19" s="148">
        <v>2.0</v>
      </c>
      <c r="D19" s="143">
        <v>7649.95</v>
      </c>
      <c r="E19" s="144">
        <v>17628.0</v>
      </c>
      <c r="F19" s="88">
        <f t="shared" si="2"/>
        <v>134853318.6</v>
      </c>
      <c r="H19" s="91"/>
      <c r="I19" s="105"/>
      <c r="J19" s="93"/>
      <c r="K19" s="94"/>
      <c r="L19" s="95"/>
    </row>
    <row r="20">
      <c r="A20" s="74" t="str">
        <f t="shared" si="1"/>
        <v>Tuesday</v>
      </c>
      <c r="B20" s="49">
        <v>46266.0</v>
      </c>
      <c r="C20" s="148">
        <v>2.0</v>
      </c>
      <c r="D20" s="143">
        <v>2998.5</v>
      </c>
      <c r="E20" s="144">
        <v>17628.0</v>
      </c>
      <c r="F20" s="88">
        <f t="shared" si="2"/>
        <v>52857558</v>
      </c>
      <c r="H20" s="91"/>
      <c r="I20" s="105"/>
      <c r="J20" s="93"/>
      <c r="K20" s="94"/>
      <c r="L20" s="95"/>
    </row>
    <row r="21">
      <c r="A21" s="74" t="str">
        <f t="shared" si="1"/>
        <v>Tuesday</v>
      </c>
      <c r="B21" s="49">
        <v>46266.0</v>
      </c>
      <c r="C21" s="148">
        <v>2.0</v>
      </c>
      <c r="D21" s="143">
        <v>2498.75</v>
      </c>
      <c r="E21" s="144">
        <v>17650.0</v>
      </c>
      <c r="F21" s="88">
        <f t="shared" si="2"/>
        <v>44102937.5</v>
      </c>
      <c r="H21" s="91"/>
      <c r="I21" s="105"/>
      <c r="J21" s="93"/>
      <c r="K21" s="94"/>
      <c r="L21" s="95"/>
    </row>
    <row r="22">
      <c r="A22" s="74" t="str">
        <f t="shared" si="1"/>
        <v>Tuesday</v>
      </c>
      <c r="B22" s="49">
        <v>46266.0</v>
      </c>
      <c r="C22" s="148">
        <v>2.0</v>
      </c>
      <c r="D22" s="143">
        <v>3998.0</v>
      </c>
      <c r="E22" s="144">
        <v>17650.0</v>
      </c>
      <c r="F22" s="88">
        <f t="shared" si="2"/>
        <v>70564700</v>
      </c>
      <c r="H22" s="91"/>
      <c r="I22" s="105"/>
      <c r="J22" s="93"/>
      <c r="K22" s="94"/>
      <c r="L22" s="95"/>
    </row>
    <row r="23">
      <c r="A23" s="74" t="str">
        <f t="shared" si="1"/>
        <v>Tuesday</v>
      </c>
      <c r="B23" s="49">
        <v>46266.0</v>
      </c>
      <c r="C23" s="148">
        <v>2.0</v>
      </c>
      <c r="D23" s="143">
        <v>3998.0</v>
      </c>
      <c r="E23" s="144">
        <v>17650.0</v>
      </c>
      <c r="F23" s="88">
        <f t="shared" si="2"/>
        <v>70564700</v>
      </c>
      <c r="H23" s="91"/>
      <c r="I23" s="105"/>
      <c r="J23" s="93"/>
      <c r="K23" s="94"/>
      <c r="L23" s="95"/>
    </row>
    <row r="24">
      <c r="A24" s="74" t="str">
        <f t="shared" si="1"/>
        <v>Tuesday</v>
      </c>
      <c r="B24" s="49">
        <v>46266.0</v>
      </c>
      <c r="C24" s="148">
        <v>2.0</v>
      </c>
      <c r="D24" s="143">
        <v>3998.0</v>
      </c>
      <c r="E24" s="144">
        <v>17650.0</v>
      </c>
      <c r="F24" s="88">
        <f t="shared" si="2"/>
        <v>70564700</v>
      </c>
      <c r="H24" s="91"/>
      <c r="I24" s="105"/>
      <c r="J24" s="93"/>
      <c r="K24" s="94"/>
      <c r="L24" s="95"/>
    </row>
    <row r="25">
      <c r="A25" s="74" t="str">
        <f t="shared" si="1"/>
        <v>Tuesday</v>
      </c>
      <c r="B25" s="49">
        <v>46266.0</v>
      </c>
      <c r="C25" s="148">
        <v>2.0</v>
      </c>
      <c r="D25" s="143">
        <v>2298.85</v>
      </c>
      <c r="E25" s="144">
        <v>17650.0</v>
      </c>
      <c r="F25" s="88">
        <f t="shared" si="2"/>
        <v>40574702.5</v>
      </c>
      <c r="H25" s="91"/>
      <c r="I25" s="105"/>
      <c r="J25" s="93"/>
      <c r="K25" s="94"/>
      <c r="L25" s="95"/>
    </row>
  </sheetData>
  <drawing r:id="rId1"/>
</worksheet>
</file>